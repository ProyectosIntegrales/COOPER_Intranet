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75" windowWidth="18195" windowHeight="11565" activeTab="2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Q1159" i="3"/>
  <c r="P1159"/>
  <c r="O1159"/>
  <c r="N1159"/>
  <c r="Q1158"/>
  <c r="P1158"/>
  <c r="O1158"/>
  <c r="N1158"/>
  <c r="Q1157"/>
  <c r="P1157"/>
  <c r="O1157"/>
  <c r="N1157"/>
  <c r="Q1156"/>
  <c r="P1156"/>
  <c r="O1156"/>
  <c r="N1156"/>
  <c r="Q1155"/>
  <c r="P1155"/>
  <c r="O1155"/>
  <c r="N1155"/>
  <c r="Q1154"/>
  <c r="P1154"/>
  <c r="O1154"/>
  <c r="N1154"/>
  <c r="Q1153"/>
  <c r="P1153"/>
  <c r="O1153"/>
  <c r="N1153"/>
  <c r="Q1152"/>
  <c r="P1152"/>
  <c r="O1152"/>
  <c r="N1152"/>
  <c r="Q1151"/>
  <c r="P1151"/>
  <c r="O1151"/>
  <c r="N1151"/>
  <c r="Q1150"/>
  <c r="P1150"/>
  <c r="O1150"/>
  <c r="N1150"/>
  <c r="Q1149"/>
  <c r="P1149"/>
  <c r="O1149"/>
  <c r="N1149"/>
  <c r="Q1148"/>
  <c r="P1148"/>
  <c r="O1148"/>
  <c r="N1148"/>
  <c r="Q1147"/>
  <c r="P1147"/>
  <c r="O1147"/>
  <c r="N1147"/>
  <c r="Q1146"/>
  <c r="P1146"/>
  <c r="O1146"/>
  <c r="N1146"/>
  <c r="Q1145"/>
  <c r="P1145"/>
  <c r="O1145"/>
  <c r="N1145"/>
  <c r="Q1144"/>
  <c r="P1144"/>
  <c r="O1144"/>
  <c r="N1144"/>
  <c r="Q1143"/>
  <c r="P1143"/>
  <c r="O1143"/>
  <c r="N1143"/>
  <c r="Q1142"/>
  <c r="P1142"/>
  <c r="O1142"/>
  <c r="N1142"/>
  <c r="Q1141"/>
  <c r="P1141"/>
  <c r="O1141"/>
  <c r="N1141"/>
  <c r="Q1140"/>
  <c r="P1140"/>
  <c r="O1140"/>
  <c r="N1140"/>
  <c r="Q1139"/>
  <c r="P1139"/>
  <c r="O1139"/>
  <c r="N1139"/>
  <c r="Q1138"/>
  <c r="P1138"/>
  <c r="O1138"/>
  <c r="N1138"/>
  <c r="Q1137"/>
  <c r="P1137"/>
  <c r="O1137"/>
  <c r="N1137"/>
  <c r="Q1136"/>
  <c r="P1136"/>
  <c r="O1136"/>
  <c r="N1136"/>
  <c r="Q1135"/>
  <c r="P1135"/>
  <c r="O1135"/>
  <c r="N1135"/>
  <c r="Q1134"/>
  <c r="P1134"/>
  <c r="O1134"/>
  <c r="N1134"/>
  <c r="Q1133"/>
  <c r="P1133"/>
  <c r="O1133"/>
  <c r="N1133"/>
  <c r="Q1132"/>
  <c r="P1132"/>
  <c r="O1132"/>
  <c r="N1132"/>
  <c r="Q1131"/>
  <c r="P1131"/>
  <c r="O1131"/>
  <c r="N1131"/>
  <c r="Q1130"/>
  <c r="P1130"/>
  <c r="O1130"/>
  <c r="N1130"/>
  <c r="Q1129"/>
  <c r="P1129"/>
  <c r="O1129"/>
  <c r="N1129"/>
  <c r="Q1128"/>
  <c r="P1128"/>
  <c r="O1128"/>
  <c r="N1128"/>
  <c r="Q1127"/>
  <c r="P1127"/>
  <c r="O1127"/>
  <c r="N1127"/>
  <c r="Q1126"/>
  <c r="P1126"/>
  <c r="O1126"/>
  <c r="N1126"/>
  <c r="Q1125"/>
  <c r="P1125"/>
  <c r="O1125"/>
  <c r="N1125"/>
  <c r="Q1124"/>
  <c r="P1124"/>
  <c r="O1124"/>
  <c r="N1124"/>
  <c r="Q1123"/>
  <c r="P1123"/>
  <c r="O1123"/>
  <c r="N1123"/>
  <c r="Q1122"/>
  <c r="P1122"/>
  <c r="O1122"/>
  <c r="N1122"/>
  <c r="Q1121"/>
  <c r="P1121"/>
  <c r="O1121"/>
  <c r="N1121"/>
  <c r="Q1120"/>
  <c r="P1120"/>
  <c r="O1120"/>
  <c r="N1120"/>
  <c r="Q1119"/>
  <c r="P1119"/>
  <c r="O1119"/>
  <c r="N1119"/>
  <c r="Q1118"/>
  <c r="P1118"/>
  <c r="O1118"/>
  <c r="N1118"/>
  <c r="Q1117"/>
  <c r="P1117"/>
  <c r="O1117"/>
  <c r="N1117"/>
  <c r="Q1116"/>
  <c r="P1116"/>
  <c r="O1116"/>
  <c r="N1116"/>
  <c r="Q1115"/>
  <c r="P1115"/>
  <c r="O1115"/>
  <c r="N1115"/>
  <c r="Q1114"/>
  <c r="P1114"/>
  <c r="O1114"/>
  <c r="N1114"/>
  <c r="Q1113"/>
  <c r="P1113"/>
  <c r="O1113"/>
  <c r="N1113"/>
  <c r="Q1112"/>
  <c r="P1112"/>
  <c r="O1112"/>
  <c r="N1112"/>
  <c r="Q1111"/>
  <c r="P1111"/>
  <c r="O1111"/>
  <c r="N1111"/>
  <c r="Q1110"/>
  <c r="P1110"/>
  <c r="O1110"/>
  <c r="N1110"/>
  <c r="Q1109"/>
  <c r="P1109"/>
  <c r="O1109"/>
  <c r="N1109"/>
  <c r="Q1108"/>
  <c r="P1108"/>
  <c r="O1108"/>
  <c r="N1108"/>
  <c r="Q1107"/>
  <c r="P1107"/>
  <c r="O1107"/>
  <c r="N1107"/>
  <c r="Q1106"/>
  <c r="P1106"/>
  <c r="O1106"/>
  <c r="N1106"/>
  <c r="Q1105"/>
  <c r="P1105"/>
  <c r="O1105"/>
  <c r="N1105"/>
  <c r="Q1104"/>
  <c r="P1104"/>
  <c r="O1104"/>
  <c r="N1104"/>
  <c r="Q1103"/>
  <c r="P1103"/>
  <c r="O1103"/>
  <c r="N1103"/>
  <c r="Q1102"/>
  <c r="P1102"/>
  <c r="O1102"/>
  <c r="N1102"/>
  <c r="Q1101"/>
  <c r="P1101"/>
  <c r="O1101"/>
  <c r="N1101"/>
  <c r="Q1100"/>
  <c r="P1100"/>
  <c r="O1100"/>
  <c r="N1100"/>
  <c r="Q1099"/>
  <c r="P1099"/>
  <c r="O1099"/>
  <c r="N1099"/>
  <c r="Q1098"/>
  <c r="P1098"/>
  <c r="O1098"/>
  <c r="N1098"/>
  <c r="Q1097"/>
  <c r="P1097"/>
  <c r="O1097"/>
  <c r="N1097"/>
  <c r="Q1096"/>
  <c r="P1096"/>
  <c r="O1096"/>
  <c r="N1096"/>
  <c r="Q1095"/>
  <c r="P1095"/>
  <c r="O1095"/>
  <c r="N1095"/>
  <c r="Q1094"/>
  <c r="P1094"/>
  <c r="O1094"/>
  <c r="N1094"/>
  <c r="Q1093"/>
  <c r="P1093"/>
  <c r="O1093"/>
  <c r="N1093"/>
  <c r="Q1092"/>
  <c r="P1092"/>
  <c r="O1092"/>
  <c r="N1092"/>
  <c r="Q1091"/>
  <c r="P1091"/>
  <c r="O1091"/>
  <c r="N1091"/>
  <c r="Q1090"/>
  <c r="P1090"/>
  <c r="O1090"/>
  <c r="N1090"/>
  <c r="Q1089"/>
  <c r="P1089"/>
  <c r="O1089"/>
  <c r="N1089"/>
  <c r="Q1088"/>
  <c r="P1088"/>
  <c r="O1088"/>
  <c r="N1088"/>
  <c r="Q1087"/>
  <c r="P1087"/>
  <c r="O1087"/>
  <c r="N1087"/>
  <c r="Q1086"/>
  <c r="P1086"/>
  <c r="O1086"/>
  <c r="N1086"/>
  <c r="Q1085"/>
  <c r="P1085"/>
  <c r="O1085"/>
  <c r="N1085"/>
  <c r="Q1084"/>
  <c r="P1084"/>
  <c r="O1084"/>
  <c r="N1084"/>
  <c r="Q1083"/>
  <c r="P1083"/>
  <c r="O1083"/>
  <c r="N1083"/>
  <c r="Q1082"/>
  <c r="P1082"/>
  <c r="O1082"/>
  <c r="N1082"/>
  <c r="Q1081"/>
  <c r="P1081"/>
  <c r="O1081"/>
  <c r="N1081"/>
  <c r="Q1080"/>
  <c r="P1080"/>
  <c r="O1080"/>
  <c r="N1080"/>
  <c r="Q1079"/>
  <c r="P1079"/>
  <c r="O1079"/>
  <c r="N1079"/>
  <c r="Q1078"/>
  <c r="P1078"/>
  <c r="O1078"/>
  <c r="N1078"/>
  <c r="Q1077"/>
  <c r="P1077"/>
  <c r="O1077"/>
  <c r="N1077"/>
  <c r="Q1076"/>
  <c r="P1076"/>
  <c r="O1076"/>
  <c r="N1076"/>
  <c r="Q1075"/>
  <c r="P1075"/>
  <c r="O1075"/>
  <c r="N1075"/>
  <c r="Q1074"/>
  <c r="P1074"/>
  <c r="O1074"/>
  <c r="N1074"/>
  <c r="Q1073"/>
  <c r="P1073"/>
  <c r="O1073"/>
  <c r="N1073"/>
  <c r="Q1072"/>
  <c r="P1072"/>
  <c r="O1072"/>
  <c r="N1072"/>
  <c r="Q1071"/>
  <c r="P1071"/>
  <c r="O1071"/>
  <c r="N1071"/>
  <c r="Q1070"/>
  <c r="P1070"/>
  <c r="O1070"/>
  <c r="N1070"/>
  <c r="Q1069"/>
  <c r="P1069"/>
  <c r="O1069"/>
  <c r="N1069"/>
  <c r="Q1068"/>
  <c r="P1068"/>
  <c r="O1068"/>
  <c r="N1068"/>
  <c r="Q1067"/>
  <c r="P1067"/>
  <c r="O1067"/>
  <c r="N1067"/>
  <c r="Q1066"/>
  <c r="P1066"/>
  <c r="O1066"/>
  <c r="N1066"/>
  <c r="Q1065"/>
  <c r="P1065"/>
  <c r="O1065"/>
  <c r="N1065"/>
  <c r="Q1064"/>
  <c r="P1064"/>
  <c r="O1064"/>
  <c r="N1064"/>
  <c r="Q1063"/>
  <c r="P1063"/>
  <c r="O1063"/>
  <c r="N1063"/>
  <c r="Q1062"/>
  <c r="P1062"/>
  <c r="O1062"/>
  <c r="N1062"/>
  <c r="Q1061"/>
  <c r="P1061"/>
  <c r="O1061"/>
  <c r="N1061"/>
  <c r="Q1060"/>
  <c r="P1060"/>
  <c r="O1060"/>
  <c r="N1060"/>
  <c r="Q1059"/>
  <c r="P1059"/>
  <c r="O1059"/>
  <c r="N1059"/>
  <c r="Q1058"/>
  <c r="P1058"/>
  <c r="O1058"/>
  <c r="N1058"/>
  <c r="Q1057"/>
  <c r="P1057"/>
  <c r="O1057"/>
  <c r="N1057"/>
  <c r="Q1056"/>
  <c r="P1056"/>
  <c r="O1056"/>
  <c r="N1056"/>
  <c r="Q1055"/>
  <c r="P1055"/>
  <c r="O1055"/>
  <c r="N1055"/>
  <c r="Q1054"/>
  <c r="P1054"/>
  <c r="O1054"/>
  <c r="N1054"/>
  <c r="Q1053"/>
  <c r="P1053"/>
  <c r="O1053"/>
  <c r="N1053"/>
  <c r="Q1052"/>
  <c r="P1052"/>
  <c r="O1052"/>
  <c r="N1052"/>
  <c r="Q1051"/>
  <c r="P1051"/>
  <c r="O1051"/>
  <c r="N1051"/>
  <c r="Q1050"/>
  <c r="P1050"/>
  <c r="O1050"/>
  <c r="N1050"/>
  <c r="Q1049"/>
  <c r="P1049"/>
  <c r="O1049"/>
  <c r="N1049"/>
  <c r="Q1048"/>
  <c r="P1048"/>
  <c r="O1048"/>
  <c r="N1048"/>
  <c r="Q1047"/>
  <c r="P1047"/>
  <c r="O1047"/>
  <c r="N1047"/>
  <c r="Q1046"/>
  <c r="P1046"/>
  <c r="O1046"/>
  <c r="N1046"/>
  <c r="Q1045"/>
  <c r="P1045"/>
  <c r="O1045"/>
  <c r="N1045"/>
  <c r="Q1044"/>
  <c r="P1044"/>
  <c r="O1044"/>
  <c r="N1044"/>
  <c r="Q1043"/>
  <c r="P1043"/>
  <c r="O1043"/>
  <c r="N1043"/>
  <c r="Q1042"/>
  <c r="P1042"/>
  <c r="O1042"/>
  <c r="N1042"/>
  <c r="Q1041"/>
  <c r="P1041"/>
  <c r="O1041"/>
  <c r="N1041"/>
  <c r="Q1040"/>
  <c r="P1040"/>
  <c r="O1040"/>
  <c r="N1040"/>
  <c r="Q1039"/>
  <c r="P1039"/>
  <c r="O1039"/>
  <c r="N1039"/>
  <c r="Q1038"/>
  <c r="P1038"/>
  <c r="O1038"/>
  <c r="N1038"/>
  <c r="Q1037"/>
  <c r="P1037"/>
  <c r="O1037"/>
  <c r="N1037"/>
  <c r="Q1036"/>
  <c r="P1036"/>
  <c r="O1036"/>
  <c r="N1036"/>
  <c r="Q1035"/>
  <c r="P1035"/>
  <c r="O1035"/>
  <c r="N1035"/>
  <c r="Q1034"/>
  <c r="P1034"/>
  <c r="O1034"/>
  <c r="N1034"/>
  <c r="Q1033"/>
  <c r="P1033"/>
  <c r="O1033"/>
  <c r="N1033"/>
  <c r="Q1032"/>
  <c r="P1032"/>
  <c r="O1032"/>
  <c r="N1032"/>
  <c r="Q1031"/>
  <c r="P1031"/>
  <c r="O1031"/>
  <c r="N1031"/>
  <c r="Q1030"/>
  <c r="P1030"/>
  <c r="O1030"/>
  <c r="N1030"/>
  <c r="Q1029"/>
  <c r="P1029"/>
  <c r="O1029"/>
  <c r="N1029"/>
  <c r="Q1028"/>
  <c r="P1028"/>
  <c r="O1028"/>
  <c r="N1028"/>
  <c r="Q1027"/>
  <c r="P1027"/>
  <c r="O1027"/>
  <c r="N1027"/>
  <c r="Q1026"/>
  <c r="P1026"/>
  <c r="O1026"/>
  <c r="N1026"/>
  <c r="Q1025"/>
  <c r="P1025"/>
  <c r="O1025"/>
  <c r="N1025"/>
  <c r="Q1024"/>
  <c r="P1024"/>
  <c r="O1024"/>
  <c r="N1024"/>
  <c r="Q1023"/>
  <c r="P1023"/>
  <c r="O1023"/>
  <c r="N1023"/>
  <c r="Q1022"/>
  <c r="P1022"/>
  <c r="O1022"/>
  <c r="N1022"/>
  <c r="Q1021"/>
  <c r="P1021"/>
  <c r="O1021"/>
  <c r="N1021"/>
  <c r="Q1020"/>
  <c r="P1020"/>
  <c r="O1020"/>
  <c r="N1020"/>
  <c r="Q1019"/>
  <c r="P1019"/>
  <c r="O1019"/>
  <c r="N1019"/>
  <c r="Q1018"/>
  <c r="P1018"/>
  <c r="O1018"/>
  <c r="N1018"/>
  <c r="Q1017"/>
  <c r="P1017"/>
  <c r="O1017"/>
  <c r="N1017"/>
  <c r="Q1016"/>
  <c r="P1016"/>
  <c r="O1016"/>
  <c r="N1016"/>
  <c r="Q1015"/>
  <c r="P1015"/>
  <c r="O1015"/>
  <c r="N1015"/>
  <c r="Q1014"/>
  <c r="P1014"/>
  <c r="O1014"/>
  <c r="N1014"/>
  <c r="Q1013"/>
  <c r="P1013"/>
  <c r="O1013"/>
  <c r="N1013"/>
  <c r="Q1012"/>
  <c r="P1012"/>
  <c r="O1012"/>
  <c r="N1012"/>
  <c r="Q1011"/>
  <c r="P1011"/>
  <c r="O1011"/>
  <c r="N1011"/>
  <c r="Q1010"/>
  <c r="P1010"/>
  <c r="O1010"/>
  <c r="N1010"/>
  <c r="Q1009"/>
  <c r="P1009"/>
  <c r="O1009"/>
  <c r="N1009"/>
  <c r="Q1008"/>
  <c r="P1008"/>
  <c r="O1008"/>
  <c r="N1008"/>
  <c r="Q1007"/>
  <c r="P1007"/>
  <c r="O1007"/>
  <c r="N1007"/>
  <c r="Q1006"/>
  <c r="P1006"/>
  <c r="O1006"/>
  <c r="N1006"/>
  <c r="Q1005"/>
  <c r="P1005"/>
  <c r="O1005"/>
  <c r="N1005"/>
  <c r="Q1004"/>
  <c r="P1004"/>
  <c r="O1004"/>
  <c r="N1004"/>
  <c r="Q1003"/>
  <c r="P1003"/>
  <c r="O1003"/>
  <c r="N1003"/>
  <c r="Q1002"/>
  <c r="P1002"/>
  <c r="O1002"/>
  <c r="N1002"/>
  <c r="Q1001"/>
  <c r="P1001"/>
  <c r="O1001"/>
  <c r="N1001"/>
  <c r="Q1000"/>
  <c r="P1000"/>
  <c r="O1000"/>
  <c r="N1000"/>
  <c r="Q999"/>
  <c r="P999"/>
  <c r="O999"/>
  <c r="N999"/>
  <c r="Q998"/>
  <c r="P998"/>
  <c r="O998"/>
  <c r="N998"/>
  <c r="Q997"/>
  <c r="P997"/>
  <c r="O997"/>
  <c r="N997"/>
  <c r="Q996"/>
  <c r="P996"/>
  <c r="O996"/>
  <c r="N996"/>
  <c r="Q995"/>
  <c r="P995"/>
  <c r="O995"/>
  <c r="N995"/>
  <c r="Q994"/>
  <c r="P994"/>
  <c r="O994"/>
  <c r="N994"/>
  <c r="Q993"/>
  <c r="P993"/>
  <c r="O993"/>
  <c r="N993"/>
  <c r="Q992"/>
  <c r="P992"/>
  <c r="O992"/>
  <c r="N992"/>
  <c r="Q991"/>
  <c r="P991"/>
  <c r="O991"/>
  <c r="N991"/>
  <c r="Q990"/>
  <c r="P990"/>
  <c r="O990"/>
  <c r="N990"/>
  <c r="Q989"/>
  <c r="P989"/>
  <c r="O989"/>
  <c r="N989"/>
  <c r="Q988"/>
  <c r="P988"/>
  <c r="O988"/>
  <c r="N988"/>
  <c r="Q987"/>
  <c r="P987"/>
  <c r="O987"/>
  <c r="N987"/>
  <c r="Q986"/>
  <c r="P986"/>
  <c r="O986"/>
  <c r="N986"/>
  <c r="Q985"/>
  <c r="P985"/>
  <c r="O985"/>
  <c r="N985"/>
  <c r="Q984"/>
  <c r="P984"/>
  <c r="O984"/>
  <c r="N984"/>
  <c r="Q983"/>
  <c r="P983"/>
  <c r="O983"/>
  <c r="N983"/>
  <c r="Q982"/>
  <c r="P982"/>
  <c r="O982"/>
  <c r="N982"/>
  <c r="Q981"/>
  <c r="P981"/>
  <c r="O981"/>
  <c r="N981"/>
  <c r="Q980"/>
  <c r="P980"/>
  <c r="O980"/>
  <c r="N980"/>
  <c r="Q979"/>
  <c r="P979"/>
  <c r="O979"/>
  <c r="N979"/>
  <c r="Q978"/>
  <c r="P978"/>
  <c r="O978"/>
  <c r="N978"/>
  <c r="Q977"/>
  <c r="P977"/>
  <c r="O977"/>
  <c r="N977"/>
  <c r="Q976"/>
  <c r="P976"/>
  <c r="O976"/>
  <c r="N976"/>
  <c r="Q975"/>
  <c r="P975"/>
  <c r="O975"/>
  <c r="N975"/>
  <c r="Q974"/>
  <c r="P974"/>
  <c r="O974"/>
  <c r="N974"/>
  <c r="Q973"/>
  <c r="P973"/>
  <c r="O973"/>
  <c r="N973"/>
  <c r="Q972"/>
  <c r="P972"/>
  <c r="O972"/>
  <c r="N972"/>
  <c r="Q971"/>
  <c r="P971"/>
  <c r="O971"/>
  <c r="N971"/>
  <c r="Q970"/>
  <c r="P970"/>
  <c r="O970"/>
  <c r="N970"/>
  <c r="Q969"/>
  <c r="P969"/>
  <c r="O969"/>
  <c r="N969"/>
  <c r="Q968"/>
  <c r="P968"/>
  <c r="O968"/>
  <c r="N968"/>
  <c r="Q967"/>
  <c r="P967"/>
  <c r="O967"/>
  <c r="N967"/>
  <c r="Q966"/>
  <c r="P966"/>
  <c r="O966"/>
  <c r="N966"/>
  <c r="Q965"/>
  <c r="P965"/>
  <c r="O965"/>
  <c r="N965"/>
  <c r="Q964"/>
  <c r="P964"/>
  <c r="O964"/>
  <c r="N964"/>
  <c r="Q963"/>
  <c r="P963"/>
  <c r="O963"/>
  <c r="N963"/>
  <c r="Q962"/>
  <c r="P962"/>
  <c r="O962"/>
  <c r="N962"/>
  <c r="Q961"/>
  <c r="P961"/>
  <c r="O961"/>
  <c r="N961"/>
  <c r="Q960"/>
  <c r="P960"/>
  <c r="O960"/>
  <c r="N960"/>
  <c r="Q959"/>
  <c r="P959"/>
  <c r="O959"/>
  <c r="N959"/>
  <c r="Q958"/>
  <c r="P958"/>
  <c r="O958"/>
  <c r="N958"/>
  <c r="Q957"/>
  <c r="P957"/>
  <c r="O957"/>
  <c r="N957"/>
  <c r="Q956"/>
  <c r="P956"/>
  <c r="O956"/>
  <c r="N956"/>
  <c r="Q955"/>
  <c r="P955"/>
  <c r="O955"/>
  <c r="N955"/>
  <c r="Q954"/>
  <c r="P954"/>
  <c r="O954"/>
  <c r="N954"/>
  <c r="Q953"/>
  <c r="P953"/>
  <c r="O953"/>
  <c r="N953"/>
  <c r="Q952"/>
  <c r="P952"/>
  <c r="O952"/>
  <c r="N952"/>
  <c r="Q951"/>
  <c r="P951"/>
  <c r="O951"/>
  <c r="N951"/>
  <c r="Q950"/>
  <c r="P950"/>
  <c r="O950"/>
  <c r="N950"/>
  <c r="Q949"/>
  <c r="P949"/>
  <c r="O949"/>
  <c r="N949"/>
  <c r="Q948"/>
  <c r="P948"/>
  <c r="O948"/>
  <c r="N948"/>
  <c r="Q947"/>
  <c r="P947"/>
  <c r="O947"/>
  <c r="N947"/>
  <c r="Q946"/>
  <c r="P946"/>
  <c r="O946"/>
  <c r="N946"/>
  <c r="Q945"/>
  <c r="P945"/>
  <c r="O945"/>
  <c r="N945"/>
  <c r="Q944"/>
  <c r="P944"/>
  <c r="O944"/>
  <c r="N944"/>
  <c r="Q943"/>
  <c r="P943"/>
  <c r="O943"/>
  <c r="N943"/>
  <c r="Q942"/>
  <c r="P942"/>
  <c r="O942"/>
  <c r="N942"/>
  <c r="Q941"/>
  <c r="P941"/>
  <c r="O941"/>
  <c r="N941"/>
  <c r="Q940"/>
  <c r="P940"/>
  <c r="O940"/>
  <c r="N940"/>
  <c r="Q939"/>
  <c r="P939"/>
  <c r="O939"/>
  <c r="N939"/>
  <c r="Q938"/>
  <c r="P938"/>
  <c r="O938"/>
  <c r="N938"/>
  <c r="Q937"/>
  <c r="P937"/>
  <c r="O937"/>
  <c r="N937"/>
  <c r="Q936"/>
  <c r="P936"/>
  <c r="O936"/>
  <c r="N936"/>
  <c r="Q935"/>
  <c r="P935"/>
  <c r="O935"/>
  <c r="N935"/>
  <c r="Q934"/>
  <c r="P934"/>
  <c r="O934"/>
  <c r="N934"/>
  <c r="Q933"/>
  <c r="P933"/>
  <c r="O933"/>
  <c r="N933"/>
  <c r="Q932"/>
  <c r="P932"/>
  <c r="O932"/>
  <c r="N932"/>
  <c r="Q931"/>
  <c r="P931"/>
  <c r="O931"/>
  <c r="N931"/>
  <c r="Q930"/>
  <c r="P930"/>
  <c r="O930"/>
  <c r="N930"/>
  <c r="Q929"/>
  <c r="P929"/>
  <c r="O929"/>
  <c r="N929"/>
  <c r="Q928"/>
  <c r="P928"/>
  <c r="O928"/>
  <c r="N928"/>
  <c r="Q927"/>
  <c r="P927"/>
  <c r="O927"/>
  <c r="N927"/>
  <c r="Q926"/>
  <c r="P926"/>
  <c r="O926"/>
  <c r="N926"/>
  <c r="Q925"/>
  <c r="P925"/>
  <c r="O925"/>
  <c r="N925"/>
  <c r="Q924"/>
  <c r="P924"/>
  <c r="O924"/>
  <c r="N924"/>
  <c r="Q923"/>
  <c r="P923"/>
  <c r="O923"/>
  <c r="N923"/>
  <c r="Q922"/>
  <c r="P922"/>
  <c r="O922"/>
  <c r="N922"/>
  <c r="Q921"/>
  <c r="P921"/>
  <c r="O921"/>
  <c r="N921"/>
  <c r="Q920"/>
  <c r="P920"/>
  <c r="O920"/>
  <c r="N920"/>
  <c r="Q919"/>
  <c r="P919"/>
  <c r="O919"/>
  <c r="N919"/>
  <c r="Q918"/>
  <c r="P918"/>
  <c r="O918"/>
  <c r="N918"/>
  <c r="Q917"/>
  <c r="P917"/>
  <c r="O917"/>
  <c r="N917"/>
  <c r="Q916"/>
  <c r="P916"/>
  <c r="O916"/>
  <c r="N916"/>
  <c r="Q915"/>
  <c r="P915"/>
  <c r="O915"/>
  <c r="N915"/>
  <c r="Q914"/>
  <c r="P914"/>
  <c r="O914"/>
  <c r="N914"/>
  <c r="Q913"/>
  <c r="P913"/>
  <c r="O913"/>
  <c r="N913"/>
  <c r="Q912"/>
  <c r="P912"/>
  <c r="O912"/>
  <c r="N912"/>
  <c r="Q911"/>
  <c r="P911"/>
  <c r="O911"/>
  <c r="N911"/>
  <c r="Q910"/>
  <c r="P910"/>
  <c r="O910"/>
  <c r="N910"/>
  <c r="Q909"/>
  <c r="P909"/>
  <c r="O909"/>
  <c r="N909"/>
  <c r="Q908"/>
  <c r="P908"/>
  <c r="O908"/>
  <c r="N908"/>
  <c r="Q907"/>
  <c r="P907"/>
  <c r="O907"/>
  <c r="N907"/>
  <c r="Q906"/>
  <c r="P906"/>
  <c r="O906"/>
  <c r="N906"/>
  <c r="Q905"/>
  <c r="P905"/>
  <c r="O905"/>
  <c r="N905"/>
  <c r="Q904"/>
  <c r="P904"/>
  <c r="O904"/>
  <c r="N904"/>
  <c r="Q903"/>
  <c r="P903"/>
  <c r="O903"/>
  <c r="N903"/>
  <c r="Q902"/>
  <c r="P902"/>
  <c r="O902"/>
  <c r="N902"/>
  <c r="Q901"/>
  <c r="P901"/>
  <c r="O901"/>
  <c r="N901"/>
  <c r="Q900"/>
  <c r="P900"/>
  <c r="O900"/>
  <c r="N900"/>
  <c r="Q899"/>
  <c r="P899"/>
  <c r="O899"/>
  <c r="N899"/>
  <c r="Q898"/>
  <c r="P898"/>
  <c r="O898"/>
  <c r="N898"/>
  <c r="Q897"/>
  <c r="P897"/>
  <c r="O897"/>
  <c r="N897"/>
  <c r="Q896"/>
  <c r="P896"/>
  <c r="O896"/>
  <c r="N896"/>
  <c r="Q895"/>
  <c r="P895"/>
  <c r="O895"/>
  <c r="N895"/>
  <c r="Q894"/>
  <c r="P894"/>
  <c r="O894"/>
  <c r="N894"/>
  <c r="Q893"/>
  <c r="P893"/>
  <c r="O893"/>
  <c r="N893"/>
  <c r="Q892"/>
  <c r="P892"/>
  <c r="O892"/>
  <c r="N892"/>
  <c r="Q891"/>
  <c r="P891"/>
  <c r="O891"/>
  <c r="N891"/>
  <c r="Q890"/>
  <c r="P890"/>
  <c r="O890"/>
  <c r="N890"/>
  <c r="Q889"/>
  <c r="P889"/>
  <c r="O889"/>
  <c r="N889"/>
  <c r="Q888"/>
  <c r="P888"/>
  <c r="O888"/>
  <c r="N888"/>
  <c r="Q887"/>
  <c r="P887"/>
  <c r="O887"/>
  <c r="N887"/>
  <c r="Q886"/>
  <c r="P886"/>
  <c r="O886"/>
  <c r="N886"/>
  <c r="Q885"/>
  <c r="P885"/>
  <c r="O885"/>
  <c r="N885"/>
  <c r="Q884"/>
  <c r="P884"/>
  <c r="O884"/>
  <c r="N884"/>
  <c r="Q883"/>
  <c r="P883"/>
  <c r="O883"/>
  <c r="N883"/>
  <c r="Q882"/>
  <c r="P882"/>
  <c r="O882"/>
  <c r="N882"/>
  <c r="Q881"/>
  <c r="P881"/>
  <c r="O881"/>
  <c r="N881"/>
  <c r="Q880"/>
  <c r="P880"/>
  <c r="O880"/>
  <c r="N880"/>
  <c r="Q879"/>
  <c r="P879"/>
  <c r="O879"/>
  <c r="N879"/>
  <c r="Q878"/>
  <c r="P878"/>
  <c r="O878"/>
  <c r="N878"/>
  <c r="Q877"/>
  <c r="P877"/>
  <c r="O877"/>
  <c r="N877"/>
  <c r="Q876"/>
  <c r="P876"/>
  <c r="O876"/>
  <c r="N876"/>
  <c r="Q875"/>
  <c r="P875"/>
  <c r="O875"/>
  <c r="N875"/>
  <c r="Q874"/>
  <c r="P874"/>
  <c r="O874"/>
  <c r="N874"/>
  <c r="Q873"/>
  <c r="P873"/>
  <c r="O873"/>
  <c r="N873"/>
  <c r="Q872"/>
  <c r="P872"/>
  <c r="O872"/>
  <c r="N872"/>
  <c r="Q871"/>
  <c r="P871"/>
  <c r="O871"/>
  <c r="N871"/>
  <c r="Q870"/>
  <c r="P870"/>
  <c r="O870"/>
  <c r="N870"/>
  <c r="Q869"/>
  <c r="P869"/>
  <c r="O869"/>
  <c r="N869"/>
  <c r="Q868"/>
  <c r="P868"/>
  <c r="O868"/>
  <c r="N868"/>
  <c r="Q867"/>
  <c r="P867"/>
  <c r="O867"/>
  <c r="N867"/>
  <c r="Q866"/>
  <c r="P866"/>
  <c r="O866"/>
  <c r="N866"/>
  <c r="Q865"/>
  <c r="P865"/>
  <c r="O865"/>
  <c r="N865"/>
  <c r="Q864"/>
  <c r="P864"/>
  <c r="O864"/>
  <c r="N864"/>
  <c r="Q863"/>
  <c r="P863"/>
  <c r="O863"/>
  <c r="N863"/>
  <c r="Q862"/>
  <c r="P862"/>
  <c r="O862"/>
  <c r="N862"/>
  <c r="Q861"/>
  <c r="P861"/>
  <c r="O861"/>
  <c r="N861"/>
  <c r="Q860"/>
  <c r="P860"/>
  <c r="O860"/>
  <c r="N860"/>
  <c r="Q859"/>
  <c r="P859"/>
  <c r="O859"/>
  <c r="N859"/>
  <c r="Q858"/>
  <c r="P858"/>
  <c r="O858"/>
  <c r="N858"/>
  <c r="Q857"/>
  <c r="P857"/>
  <c r="O857"/>
  <c r="N857"/>
  <c r="Q856"/>
  <c r="P856"/>
  <c r="O856"/>
  <c r="N856"/>
  <c r="Q855"/>
  <c r="P855"/>
  <c r="O855"/>
  <c r="N855"/>
  <c r="Q854"/>
  <c r="P854"/>
  <c r="O854"/>
  <c r="N854"/>
  <c r="Q853"/>
  <c r="P853"/>
  <c r="O853"/>
  <c r="N853"/>
  <c r="Q852"/>
  <c r="P852"/>
  <c r="O852"/>
  <c r="N852"/>
  <c r="Q851"/>
  <c r="P851"/>
  <c r="O851"/>
  <c r="N851"/>
  <c r="Q850"/>
  <c r="P850"/>
  <c r="O850"/>
  <c r="N850"/>
  <c r="Q849"/>
  <c r="P849"/>
  <c r="O849"/>
  <c r="N849"/>
  <c r="Q848"/>
  <c r="P848"/>
  <c r="O848"/>
  <c r="N848"/>
  <c r="Q847"/>
  <c r="P847"/>
  <c r="O847"/>
  <c r="N847"/>
  <c r="Q846"/>
  <c r="P846"/>
  <c r="O846"/>
  <c r="N846"/>
  <c r="Q845"/>
  <c r="P845"/>
  <c r="O845"/>
  <c r="N845"/>
  <c r="Q844"/>
  <c r="P844"/>
  <c r="O844"/>
  <c r="N844"/>
  <c r="Q843"/>
  <c r="P843"/>
  <c r="O843"/>
  <c r="N843"/>
  <c r="Q842"/>
  <c r="P842"/>
  <c r="O842"/>
  <c r="N842"/>
  <c r="Q841"/>
  <c r="P841"/>
  <c r="O841"/>
  <c r="N841"/>
  <c r="Q840"/>
  <c r="P840"/>
  <c r="O840"/>
  <c r="N840"/>
  <c r="Q839"/>
  <c r="P839"/>
  <c r="O839"/>
  <c r="N839"/>
  <c r="Q838"/>
  <c r="P838"/>
  <c r="O838"/>
  <c r="N838"/>
  <c r="Q837"/>
  <c r="P837"/>
  <c r="O837"/>
  <c r="N837"/>
  <c r="Q836"/>
  <c r="P836"/>
  <c r="O836"/>
  <c r="N836"/>
  <c r="Q835"/>
  <c r="P835"/>
  <c r="O835"/>
  <c r="N835"/>
  <c r="Q834"/>
  <c r="P834"/>
  <c r="O834"/>
  <c r="N834"/>
  <c r="Q833"/>
  <c r="P833"/>
  <c r="O833"/>
  <c r="N833"/>
  <c r="Q832"/>
  <c r="P832"/>
  <c r="O832"/>
  <c r="N832"/>
  <c r="Q831"/>
  <c r="P831"/>
  <c r="O831"/>
  <c r="N831"/>
  <c r="Q830"/>
  <c r="P830"/>
  <c r="O830"/>
  <c r="N830"/>
  <c r="Q829"/>
  <c r="P829"/>
  <c r="O829"/>
  <c r="N829"/>
  <c r="Q828"/>
  <c r="P828"/>
  <c r="O828"/>
  <c r="N828"/>
  <c r="Q827"/>
  <c r="P827"/>
  <c r="O827"/>
  <c r="N827"/>
  <c r="Q826"/>
  <c r="P826"/>
  <c r="O826"/>
  <c r="N826"/>
  <c r="Q825"/>
  <c r="P825"/>
  <c r="O825"/>
  <c r="N825"/>
  <c r="Q824"/>
  <c r="P824"/>
  <c r="O824"/>
  <c r="N824"/>
  <c r="Q823"/>
  <c r="P823"/>
  <c r="O823"/>
  <c r="N823"/>
  <c r="Q822"/>
  <c r="P822"/>
  <c r="O822"/>
  <c r="N822"/>
  <c r="Q821"/>
  <c r="P821"/>
  <c r="O821"/>
  <c r="N821"/>
  <c r="Q820"/>
  <c r="P820"/>
  <c r="O820"/>
  <c r="N820"/>
  <c r="Q819"/>
  <c r="P819"/>
  <c r="O819"/>
  <c r="N819"/>
  <c r="Q818"/>
  <c r="P818"/>
  <c r="O818"/>
  <c r="N818"/>
  <c r="Q817"/>
  <c r="P817"/>
  <c r="O817"/>
  <c r="N817"/>
  <c r="Q816"/>
  <c r="P816"/>
  <c r="O816"/>
  <c r="N816"/>
  <c r="Q815"/>
  <c r="P815"/>
  <c r="O815"/>
  <c r="N815"/>
  <c r="Q814"/>
  <c r="P814"/>
  <c r="O814"/>
  <c r="N814"/>
  <c r="Q813"/>
  <c r="P813"/>
  <c r="O813"/>
  <c r="N813"/>
  <c r="Q812"/>
  <c r="P812"/>
  <c r="O812"/>
  <c r="N812"/>
  <c r="Q811"/>
  <c r="P811"/>
  <c r="O811"/>
  <c r="N811"/>
  <c r="Q810"/>
  <c r="P810"/>
  <c r="O810"/>
  <c r="N810"/>
  <c r="Q809"/>
  <c r="P809"/>
  <c r="O809"/>
  <c r="N809"/>
  <c r="Q808"/>
  <c r="P808"/>
  <c r="O808"/>
  <c r="N808"/>
  <c r="Q807"/>
  <c r="P807"/>
  <c r="O807"/>
  <c r="N807"/>
  <c r="Q806"/>
  <c r="P806"/>
  <c r="O806"/>
  <c r="N806"/>
  <c r="Q805"/>
  <c r="P805"/>
  <c r="O805"/>
  <c r="N805"/>
  <c r="Q804"/>
  <c r="P804"/>
  <c r="O804"/>
  <c r="N804"/>
  <c r="Q803"/>
  <c r="P803"/>
  <c r="O803"/>
  <c r="N803"/>
  <c r="Q802"/>
  <c r="P802"/>
  <c r="O802"/>
  <c r="N802"/>
  <c r="Q801"/>
  <c r="P801"/>
  <c r="O801"/>
  <c r="N801"/>
  <c r="Q800"/>
  <c r="P800"/>
  <c r="O800"/>
  <c r="N800"/>
  <c r="Q799"/>
  <c r="P799"/>
  <c r="O799"/>
  <c r="N799"/>
  <c r="Q798"/>
  <c r="P798"/>
  <c r="O798"/>
  <c r="N798"/>
  <c r="Q797"/>
  <c r="P797"/>
  <c r="O797"/>
  <c r="N797"/>
  <c r="Q796"/>
  <c r="P796"/>
  <c r="O796"/>
  <c r="N796"/>
  <c r="Q795"/>
  <c r="P795"/>
  <c r="O795"/>
  <c r="N795"/>
  <c r="Q794"/>
  <c r="P794"/>
  <c r="O794"/>
  <c r="N794"/>
  <c r="Q793"/>
  <c r="P793"/>
  <c r="O793"/>
  <c r="N793"/>
  <c r="Q792"/>
  <c r="P792"/>
  <c r="O792"/>
  <c r="N792"/>
  <c r="Q791"/>
  <c r="P791"/>
  <c r="O791"/>
  <c r="N791"/>
  <c r="Q790"/>
  <c r="P790"/>
  <c r="O790"/>
  <c r="N790"/>
  <c r="Q789"/>
  <c r="P789"/>
  <c r="O789"/>
  <c r="N789"/>
  <c r="Q788"/>
  <c r="P788"/>
  <c r="O788"/>
  <c r="N788"/>
  <c r="Q787"/>
  <c r="P787"/>
  <c r="O787"/>
  <c r="N787"/>
  <c r="Q786"/>
  <c r="P786"/>
  <c r="O786"/>
  <c r="N786"/>
  <c r="Q785"/>
  <c r="P785"/>
  <c r="O785"/>
  <c r="N785"/>
  <c r="Q784"/>
  <c r="P784"/>
  <c r="O784"/>
  <c r="N784"/>
  <c r="Q783"/>
  <c r="P783"/>
  <c r="O783"/>
  <c r="N783"/>
  <c r="Q782"/>
  <c r="P782"/>
  <c r="O782"/>
  <c r="N782"/>
  <c r="Q781"/>
  <c r="P781"/>
  <c r="O781"/>
  <c r="N781"/>
  <c r="Q780"/>
  <c r="P780"/>
  <c r="O780"/>
  <c r="N780"/>
  <c r="Q779"/>
  <c r="P779"/>
  <c r="O779"/>
  <c r="N779"/>
  <c r="Q778"/>
  <c r="P778"/>
  <c r="O778"/>
  <c r="N778"/>
  <c r="Q777"/>
  <c r="P777"/>
  <c r="O777"/>
  <c r="N777"/>
  <c r="Q776"/>
  <c r="P776"/>
  <c r="O776"/>
  <c r="N776"/>
  <c r="Q775"/>
  <c r="P775"/>
  <c r="O775"/>
  <c r="N775"/>
  <c r="Q774"/>
  <c r="P774"/>
  <c r="O774"/>
  <c r="N774"/>
  <c r="Q773"/>
  <c r="P773"/>
  <c r="O773"/>
  <c r="N773"/>
  <c r="Q772"/>
  <c r="P772"/>
  <c r="O772"/>
  <c r="N772"/>
  <c r="Q771"/>
  <c r="P771"/>
  <c r="O771"/>
  <c r="N771"/>
  <c r="Q770"/>
  <c r="P770"/>
  <c r="O770"/>
  <c r="N770"/>
  <c r="Q769"/>
  <c r="P769"/>
  <c r="O769"/>
  <c r="N769"/>
  <c r="Q768"/>
  <c r="P768"/>
  <c r="O768"/>
  <c r="N768"/>
  <c r="Q767"/>
  <c r="P767"/>
  <c r="O767"/>
  <c r="N767"/>
  <c r="Q766"/>
  <c r="P766"/>
  <c r="O766"/>
  <c r="N766"/>
  <c r="Q765"/>
  <c r="P765"/>
  <c r="O765"/>
  <c r="N765"/>
  <c r="Q764"/>
  <c r="P764"/>
  <c r="O764"/>
  <c r="N764"/>
  <c r="Q763"/>
  <c r="P763"/>
  <c r="O763"/>
  <c r="N763"/>
  <c r="Q762"/>
  <c r="P762"/>
  <c r="O762"/>
  <c r="N762"/>
  <c r="Q761"/>
  <c r="P761"/>
  <c r="O761"/>
  <c r="N761"/>
  <c r="Q760"/>
  <c r="P760"/>
  <c r="O760"/>
  <c r="N760"/>
  <c r="Q759"/>
  <c r="P759"/>
  <c r="O759"/>
  <c r="N759"/>
  <c r="Q758"/>
  <c r="P758"/>
  <c r="O758"/>
  <c r="N758"/>
  <c r="Q757"/>
  <c r="P757"/>
  <c r="O757"/>
  <c r="N757"/>
  <c r="Q756"/>
  <c r="P756"/>
  <c r="O756"/>
  <c r="N756"/>
  <c r="Q755"/>
  <c r="P755"/>
  <c r="O755"/>
  <c r="N755"/>
  <c r="Q754"/>
  <c r="P754"/>
  <c r="O754"/>
  <c r="N754"/>
  <c r="Q753"/>
  <c r="P753"/>
  <c r="O753"/>
  <c r="N753"/>
  <c r="Q752"/>
  <c r="P752"/>
  <c r="O752"/>
  <c r="N752"/>
  <c r="Q751"/>
  <c r="P751"/>
  <c r="O751"/>
  <c r="N751"/>
  <c r="Q750"/>
  <c r="P750"/>
  <c r="O750"/>
  <c r="N750"/>
  <c r="Q749"/>
  <c r="P749"/>
  <c r="O749"/>
  <c r="N749"/>
  <c r="Q748"/>
  <c r="P748"/>
  <c r="O748"/>
  <c r="N748"/>
  <c r="Q747"/>
  <c r="P747"/>
  <c r="O747"/>
  <c r="N747"/>
  <c r="Q746"/>
  <c r="P746"/>
  <c r="O746"/>
  <c r="N746"/>
  <c r="Q745"/>
  <c r="P745"/>
  <c r="O745"/>
  <c r="N745"/>
  <c r="Q744"/>
  <c r="P744"/>
  <c r="O744"/>
  <c r="N744"/>
  <c r="Q743"/>
  <c r="P743"/>
  <c r="O743"/>
  <c r="N743"/>
  <c r="Q742"/>
  <c r="P742"/>
  <c r="O742"/>
  <c r="N742"/>
  <c r="Q741"/>
  <c r="P741"/>
  <c r="O741"/>
  <c r="N741"/>
  <c r="Q740"/>
  <c r="P740"/>
  <c r="O740"/>
  <c r="N740"/>
  <c r="Q739"/>
  <c r="P739"/>
  <c r="O739"/>
  <c r="N739"/>
  <c r="Q738"/>
  <c r="P738"/>
  <c r="O738"/>
  <c r="N738"/>
  <c r="Q737"/>
  <c r="P737"/>
  <c r="O737"/>
  <c r="N737"/>
  <c r="Q736"/>
  <c r="P736"/>
  <c r="O736"/>
  <c r="N736"/>
  <c r="Q735"/>
  <c r="P735"/>
  <c r="O735"/>
  <c r="N735"/>
  <c r="Q734"/>
  <c r="P734"/>
  <c r="O734"/>
  <c r="N734"/>
  <c r="Q733"/>
  <c r="P733"/>
  <c r="O733"/>
  <c r="N733"/>
  <c r="Q732"/>
  <c r="P732"/>
  <c r="O732"/>
  <c r="N732"/>
  <c r="Q731"/>
  <c r="P731"/>
  <c r="O731"/>
  <c r="N731"/>
  <c r="Q730"/>
  <c r="P730"/>
  <c r="O730"/>
  <c r="N730"/>
  <c r="Q729"/>
  <c r="P729"/>
  <c r="O729"/>
  <c r="N729"/>
  <c r="Q728"/>
  <c r="P728"/>
  <c r="O728"/>
  <c r="N728"/>
  <c r="Q727"/>
  <c r="P727"/>
  <c r="O727"/>
  <c r="N727"/>
  <c r="Q726"/>
  <c r="P726"/>
  <c r="O726"/>
  <c r="N726"/>
  <c r="Q725"/>
  <c r="P725"/>
  <c r="O725"/>
  <c r="N725"/>
  <c r="Q724"/>
  <c r="P724"/>
  <c r="O724"/>
  <c r="N724"/>
  <c r="Q723"/>
  <c r="P723"/>
  <c r="O723"/>
  <c r="N723"/>
  <c r="Q722"/>
  <c r="P722"/>
  <c r="O722"/>
  <c r="N722"/>
  <c r="Q721"/>
  <c r="P721"/>
  <c r="O721"/>
  <c r="N721"/>
  <c r="Q720"/>
  <c r="P720"/>
  <c r="O720"/>
  <c r="N720"/>
  <c r="Q719"/>
  <c r="P719"/>
  <c r="O719"/>
  <c r="N719"/>
  <c r="Q718"/>
  <c r="P718"/>
  <c r="O718"/>
  <c r="N718"/>
  <c r="Q717"/>
  <c r="P717"/>
  <c r="O717"/>
  <c r="N717"/>
  <c r="Q716"/>
  <c r="P716"/>
  <c r="O716"/>
  <c r="N716"/>
  <c r="Q715"/>
  <c r="P715"/>
  <c r="O715"/>
  <c r="N715"/>
  <c r="Q714"/>
  <c r="P714"/>
  <c r="O714"/>
  <c r="N714"/>
  <c r="Q713"/>
  <c r="P713"/>
  <c r="O713"/>
  <c r="N713"/>
  <c r="Q712"/>
  <c r="P712"/>
  <c r="O712"/>
  <c r="N712"/>
  <c r="Q711"/>
  <c r="P711"/>
  <c r="O711"/>
  <c r="N711"/>
  <c r="Q710"/>
  <c r="P710"/>
  <c r="O710"/>
  <c r="N710"/>
  <c r="Q709"/>
  <c r="P709"/>
  <c r="O709"/>
  <c r="N709"/>
  <c r="Q708"/>
  <c r="P708"/>
  <c r="O708"/>
  <c r="N708"/>
  <c r="Q707"/>
  <c r="P707"/>
  <c r="O707"/>
  <c r="N707"/>
  <c r="Q706"/>
  <c r="P706"/>
  <c r="O706"/>
  <c r="N706"/>
  <c r="Q705"/>
  <c r="P705"/>
  <c r="O705"/>
  <c r="N705"/>
  <c r="Q704"/>
  <c r="P704"/>
  <c r="O704"/>
  <c r="N704"/>
  <c r="Q703"/>
  <c r="P703"/>
  <c r="O703"/>
  <c r="N703"/>
  <c r="Q702"/>
  <c r="P702"/>
  <c r="O702"/>
  <c r="N702"/>
  <c r="Q701"/>
  <c r="P701"/>
  <c r="O701"/>
  <c r="N701"/>
  <c r="Q700"/>
  <c r="P700"/>
  <c r="O700"/>
  <c r="N700"/>
  <c r="Q699"/>
  <c r="P699"/>
  <c r="O699"/>
  <c r="N699"/>
  <c r="Q698"/>
  <c r="P698"/>
  <c r="O698"/>
  <c r="N698"/>
  <c r="Q697"/>
  <c r="P697"/>
  <c r="O697"/>
  <c r="N697"/>
  <c r="Q696"/>
  <c r="P696"/>
  <c r="O696"/>
  <c r="N696"/>
  <c r="Q695"/>
  <c r="P695"/>
  <c r="O695"/>
  <c r="N695"/>
  <c r="Q694"/>
  <c r="P694"/>
  <c r="O694"/>
  <c r="N694"/>
  <c r="Q693"/>
  <c r="P693"/>
  <c r="O693"/>
  <c r="N693"/>
  <c r="Q692"/>
  <c r="P692"/>
  <c r="O692"/>
  <c r="N692"/>
  <c r="Q691"/>
  <c r="P691"/>
  <c r="O691"/>
  <c r="N691"/>
  <c r="Q690"/>
  <c r="P690"/>
  <c r="O690"/>
  <c r="N690"/>
  <c r="Q689"/>
  <c r="P689"/>
  <c r="O689"/>
  <c r="N689"/>
  <c r="Q688"/>
  <c r="P688"/>
  <c r="O688"/>
  <c r="N688"/>
  <c r="Q687"/>
  <c r="P687"/>
  <c r="O687"/>
  <c r="N687"/>
  <c r="Q686"/>
  <c r="P686"/>
  <c r="O686"/>
  <c r="N686"/>
  <c r="Q685"/>
  <c r="P685"/>
  <c r="O685"/>
  <c r="N685"/>
  <c r="Q684"/>
  <c r="P684"/>
  <c r="O684"/>
  <c r="N684"/>
  <c r="Q683"/>
  <c r="P683"/>
  <c r="O683"/>
  <c r="N683"/>
  <c r="Q682"/>
  <c r="P682"/>
  <c r="O682"/>
  <c r="N682"/>
  <c r="Q681"/>
  <c r="P681"/>
  <c r="O681"/>
  <c r="N681"/>
  <c r="Q680"/>
  <c r="P680"/>
  <c r="O680"/>
  <c r="N680"/>
  <c r="Q679"/>
  <c r="P679"/>
  <c r="O679"/>
  <c r="N679"/>
  <c r="Q678"/>
  <c r="P678"/>
  <c r="O678"/>
  <c r="N678"/>
  <c r="Q677"/>
  <c r="P677"/>
  <c r="O677"/>
  <c r="N677"/>
  <c r="Q676"/>
  <c r="P676"/>
  <c r="O676"/>
  <c r="N676"/>
  <c r="Q675"/>
  <c r="P675"/>
  <c r="O675"/>
  <c r="N675"/>
  <c r="Q674"/>
  <c r="P674"/>
  <c r="O674"/>
  <c r="N674"/>
  <c r="Q673"/>
  <c r="P673"/>
  <c r="O673"/>
  <c r="N673"/>
  <c r="Q672"/>
  <c r="P672"/>
  <c r="O672"/>
  <c r="N672"/>
  <c r="Q671"/>
  <c r="P671"/>
  <c r="O671"/>
  <c r="N671"/>
  <c r="Q670"/>
  <c r="P670"/>
  <c r="O670"/>
  <c r="N670"/>
  <c r="Q669"/>
  <c r="P669"/>
  <c r="O669"/>
  <c r="N669"/>
  <c r="Q668"/>
  <c r="P668"/>
  <c r="O668"/>
  <c r="N668"/>
  <c r="Q667"/>
  <c r="P667"/>
  <c r="O667"/>
  <c r="N667"/>
  <c r="Q666"/>
  <c r="P666"/>
  <c r="O666"/>
  <c r="N666"/>
  <c r="Q665"/>
  <c r="P665"/>
  <c r="O665"/>
  <c r="N665"/>
  <c r="Q664"/>
  <c r="P664"/>
  <c r="O664"/>
  <c r="N664"/>
  <c r="Q663"/>
  <c r="P663"/>
  <c r="O663"/>
  <c r="N663"/>
  <c r="Q662"/>
  <c r="P662"/>
  <c r="O662"/>
  <c r="N662"/>
  <c r="Q661"/>
  <c r="P661"/>
  <c r="O661"/>
  <c r="N661"/>
  <c r="Q660"/>
  <c r="P660"/>
  <c r="O660"/>
  <c r="N660"/>
  <c r="Q659"/>
  <c r="P659"/>
  <c r="O659"/>
  <c r="N659"/>
  <c r="Q658"/>
  <c r="P658"/>
  <c r="O658"/>
  <c r="N658"/>
  <c r="Q657"/>
  <c r="P657"/>
  <c r="O657"/>
  <c r="N657"/>
  <c r="Q656"/>
  <c r="P656"/>
  <c r="O656"/>
  <c r="N656"/>
  <c r="Q655"/>
  <c r="P655"/>
  <c r="O655"/>
  <c r="N655"/>
  <c r="Q654"/>
  <c r="P654"/>
  <c r="O654"/>
  <c r="N654"/>
  <c r="Q653"/>
  <c r="P653"/>
  <c r="O653"/>
  <c r="N653"/>
  <c r="Q652"/>
  <c r="P652"/>
  <c r="O652"/>
  <c r="N652"/>
  <c r="Q651"/>
  <c r="P651"/>
  <c r="O651"/>
  <c r="N651"/>
  <c r="Q650"/>
  <c r="P650"/>
  <c r="O650"/>
  <c r="N650"/>
  <c r="Q649"/>
  <c r="P649"/>
  <c r="O649"/>
  <c r="N649"/>
  <c r="Q648"/>
  <c r="P648"/>
  <c r="O648"/>
  <c r="N648"/>
  <c r="Q647"/>
  <c r="P647"/>
  <c r="O647"/>
  <c r="N647"/>
  <c r="Q646"/>
  <c r="P646"/>
  <c r="O646"/>
  <c r="N646"/>
  <c r="Q645"/>
  <c r="P645"/>
  <c r="O645"/>
  <c r="N645"/>
  <c r="Q644"/>
  <c r="P644"/>
  <c r="O644"/>
  <c r="N644"/>
  <c r="Q643"/>
  <c r="P643"/>
  <c r="O643"/>
  <c r="N643"/>
  <c r="Q642"/>
  <c r="P642"/>
  <c r="O642"/>
  <c r="N642"/>
  <c r="Q641"/>
  <c r="P641"/>
  <c r="O641"/>
  <c r="N641"/>
  <c r="Q640"/>
  <c r="P640"/>
  <c r="O640"/>
  <c r="N640"/>
  <c r="Q639"/>
  <c r="P639"/>
  <c r="O639"/>
  <c r="N639"/>
  <c r="Q638"/>
  <c r="P638"/>
  <c r="O638"/>
  <c r="N638"/>
  <c r="Q637"/>
  <c r="P637"/>
  <c r="O637"/>
  <c r="N637"/>
  <c r="Q636"/>
  <c r="P636"/>
  <c r="O636"/>
  <c r="N636"/>
  <c r="Q635"/>
  <c r="P635"/>
  <c r="O635"/>
  <c r="N635"/>
  <c r="Q634"/>
  <c r="P634"/>
  <c r="O634"/>
  <c r="N634"/>
  <c r="Q633"/>
  <c r="P633"/>
  <c r="O633"/>
  <c r="N633"/>
  <c r="Q632"/>
  <c r="P632"/>
  <c r="O632"/>
  <c r="N632"/>
  <c r="Q631"/>
  <c r="P631"/>
  <c r="O631"/>
  <c r="N631"/>
  <c r="Q630"/>
  <c r="P630"/>
  <c r="O630"/>
  <c r="N630"/>
  <c r="Q629"/>
  <c r="P629"/>
  <c r="O629"/>
  <c r="N629"/>
  <c r="Q628"/>
  <c r="P628"/>
  <c r="O628"/>
  <c r="N628"/>
  <c r="Q627"/>
  <c r="P627"/>
  <c r="O627"/>
  <c r="N627"/>
  <c r="Q626"/>
  <c r="P626"/>
  <c r="O626"/>
  <c r="N626"/>
  <c r="Q625"/>
  <c r="P625"/>
  <c r="O625"/>
  <c r="N625"/>
  <c r="Q624"/>
  <c r="P624"/>
  <c r="O624"/>
  <c r="N624"/>
  <c r="Q623"/>
  <c r="P623"/>
  <c r="O623"/>
  <c r="N623"/>
  <c r="Q622"/>
  <c r="P622"/>
  <c r="O622"/>
  <c r="N622"/>
  <c r="Q621"/>
  <c r="P621"/>
  <c r="O621"/>
  <c r="N621"/>
  <c r="Q620"/>
  <c r="P620"/>
  <c r="O620"/>
  <c r="N620"/>
  <c r="Q619"/>
  <c r="P619"/>
  <c r="O619"/>
  <c r="N619"/>
  <c r="Q618"/>
  <c r="P618"/>
  <c r="O618"/>
  <c r="N618"/>
  <c r="Q617"/>
  <c r="P617"/>
  <c r="O617"/>
  <c r="N617"/>
  <c r="Q616"/>
  <c r="P616"/>
  <c r="O616"/>
  <c r="N616"/>
  <c r="Q615"/>
  <c r="P615"/>
  <c r="O615"/>
  <c r="N615"/>
  <c r="Q614"/>
  <c r="P614"/>
  <c r="O614"/>
  <c r="N614"/>
  <c r="Q613"/>
  <c r="P613"/>
  <c r="O613"/>
  <c r="N613"/>
  <c r="Q612"/>
  <c r="P612"/>
  <c r="O612"/>
  <c r="N612"/>
  <c r="Q611"/>
  <c r="P611"/>
  <c r="O611"/>
  <c r="N611"/>
  <c r="Q610"/>
  <c r="P610"/>
  <c r="O610"/>
  <c r="N610"/>
  <c r="Q609"/>
  <c r="P609"/>
  <c r="O609"/>
  <c r="N609"/>
  <c r="Q608"/>
  <c r="P608"/>
  <c r="O608"/>
  <c r="N608"/>
  <c r="Q607"/>
  <c r="P607"/>
  <c r="O607"/>
  <c r="N607"/>
  <c r="Q606"/>
  <c r="P606"/>
  <c r="O606"/>
  <c r="N606"/>
  <c r="Q605"/>
  <c r="P605"/>
  <c r="O605"/>
  <c r="N605"/>
  <c r="Q604"/>
  <c r="P604"/>
  <c r="O604"/>
  <c r="N604"/>
  <c r="Q603"/>
  <c r="P603"/>
  <c r="O603"/>
  <c r="N603"/>
  <c r="Q602"/>
  <c r="P602"/>
  <c r="O602"/>
  <c r="N602"/>
  <c r="Q601"/>
  <c r="P601"/>
  <c r="O601"/>
  <c r="N601"/>
  <c r="Q600"/>
  <c r="P600"/>
  <c r="O600"/>
  <c r="N600"/>
  <c r="Q599"/>
  <c r="P599"/>
  <c r="O599"/>
  <c r="N599"/>
  <c r="Q598"/>
  <c r="P598"/>
  <c r="O598"/>
  <c r="N598"/>
  <c r="Q597"/>
  <c r="P597"/>
  <c r="O597"/>
  <c r="N597"/>
  <c r="Q596"/>
  <c r="P596"/>
  <c r="O596"/>
  <c r="N596"/>
  <c r="Q595"/>
  <c r="P595"/>
  <c r="O595"/>
  <c r="N595"/>
  <c r="Q594"/>
  <c r="P594"/>
  <c r="O594"/>
  <c r="N594"/>
  <c r="Q593"/>
  <c r="P593"/>
  <c r="O593"/>
  <c r="N593"/>
  <c r="Q592"/>
  <c r="P592"/>
  <c r="O592"/>
  <c r="N592"/>
  <c r="Q591"/>
  <c r="P591"/>
  <c r="O591"/>
  <c r="N591"/>
  <c r="Q590"/>
  <c r="P590"/>
  <c r="O590"/>
  <c r="N590"/>
  <c r="Q589"/>
  <c r="P589"/>
  <c r="O589"/>
  <c r="N589"/>
  <c r="Q588"/>
  <c r="P588"/>
  <c r="O588"/>
  <c r="N588"/>
  <c r="Q587"/>
  <c r="P587"/>
  <c r="O587"/>
  <c r="N587"/>
  <c r="Q586"/>
  <c r="P586"/>
  <c r="O586"/>
  <c r="N586"/>
  <c r="Q585"/>
  <c r="P585"/>
  <c r="O585"/>
  <c r="N585"/>
  <c r="Q584"/>
  <c r="P584"/>
  <c r="O584"/>
  <c r="N584"/>
  <c r="Q583"/>
  <c r="P583"/>
  <c r="O583"/>
  <c r="N583"/>
  <c r="Q582"/>
  <c r="P582"/>
  <c r="O582"/>
  <c r="N582"/>
  <c r="Q581"/>
  <c r="P581"/>
  <c r="O581"/>
  <c r="N581"/>
  <c r="Q580"/>
  <c r="P580"/>
  <c r="O580"/>
  <c r="N580"/>
  <c r="Q579"/>
  <c r="P579"/>
  <c r="O579"/>
  <c r="N579"/>
  <c r="Q578"/>
  <c r="P578"/>
  <c r="O578"/>
  <c r="N578"/>
  <c r="Q577"/>
  <c r="P577"/>
  <c r="O577"/>
  <c r="N577"/>
  <c r="Q576"/>
  <c r="P576"/>
  <c r="O576"/>
  <c r="N576"/>
  <c r="Q575"/>
  <c r="P575"/>
  <c r="O575"/>
  <c r="N575"/>
  <c r="Q574"/>
  <c r="P574"/>
  <c r="O574"/>
  <c r="N574"/>
  <c r="Q573"/>
  <c r="P573"/>
  <c r="O573"/>
  <c r="N573"/>
  <c r="Q572"/>
  <c r="P572"/>
  <c r="O572"/>
  <c r="N572"/>
  <c r="Q571"/>
  <c r="P571"/>
  <c r="O571"/>
  <c r="N571"/>
  <c r="Q570"/>
  <c r="P570"/>
  <c r="O570"/>
  <c r="N570"/>
  <c r="Q569"/>
  <c r="P569"/>
  <c r="O569"/>
  <c r="N569"/>
  <c r="Q568"/>
  <c r="P568"/>
  <c r="O568"/>
  <c r="N568"/>
  <c r="Q567"/>
  <c r="P567"/>
  <c r="O567"/>
  <c r="N567"/>
  <c r="Q566"/>
  <c r="P566"/>
  <c r="O566"/>
  <c r="N566"/>
  <c r="Q565"/>
  <c r="P565"/>
  <c r="O565"/>
  <c r="N565"/>
  <c r="Q564"/>
  <c r="P564"/>
  <c r="O564"/>
  <c r="N564"/>
  <c r="Q563"/>
  <c r="P563"/>
  <c r="O563"/>
  <c r="N563"/>
  <c r="Q562"/>
  <c r="P562"/>
  <c r="O562"/>
  <c r="N562"/>
  <c r="Q561"/>
  <c r="P561"/>
  <c r="O561"/>
  <c r="N561"/>
  <c r="Q560"/>
  <c r="P560"/>
  <c r="O560"/>
  <c r="N560"/>
  <c r="Q559"/>
  <c r="P559"/>
  <c r="O559"/>
  <c r="N559"/>
  <c r="Q558"/>
  <c r="P558"/>
  <c r="O558"/>
  <c r="N558"/>
  <c r="Q557"/>
  <c r="P557"/>
  <c r="O557"/>
  <c r="N557"/>
  <c r="Q556"/>
  <c r="P556"/>
  <c r="O556"/>
  <c r="N556"/>
  <c r="Q555"/>
  <c r="P555"/>
  <c r="O555"/>
  <c r="N555"/>
  <c r="Q554"/>
  <c r="P554"/>
  <c r="O554"/>
  <c r="N554"/>
  <c r="Q553"/>
  <c r="P553"/>
  <c r="O553"/>
  <c r="N553"/>
  <c r="Q552"/>
  <c r="P552"/>
  <c r="O552"/>
  <c r="N552"/>
  <c r="Q551"/>
  <c r="P551"/>
  <c r="O551"/>
  <c r="N551"/>
  <c r="Q550"/>
  <c r="P550"/>
  <c r="O550"/>
  <c r="N550"/>
  <c r="Q549"/>
  <c r="P549"/>
  <c r="O549"/>
  <c r="N549"/>
  <c r="Q548"/>
  <c r="P548"/>
  <c r="O548"/>
  <c r="N548"/>
  <c r="Q547"/>
  <c r="P547"/>
  <c r="O547"/>
  <c r="N547"/>
  <c r="Q546"/>
  <c r="P546"/>
  <c r="O546"/>
  <c r="N546"/>
  <c r="Q545"/>
  <c r="P545"/>
  <c r="O545"/>
  <c r="N545"/>
  <c r="Q544"/>
  <c r="P544"/>
  <c r="O544"/>
  <c r="N544"/>
  <c r="Q543"/>
  <c r="P543"/>
  <c r="O543"/>
  <c r="N543"/>
  <c r="Q542"/>
  <c r="P542"/>
  <c r="O542"/>
  <c r="N542"/>
  <c r="Q541"/>
  <c r="P541"/>
  <c r="O541"/>
  <c r="N541"/>
  <c r="Q540"/>
  <c r="P540"/>
  <c r="O540"/>
  <c r="N540"/>
  <c r="Q539"/>
  <c r="P539"/>
  <c r="O539"/>
  <c r="N539"/>
  <c r="Q538"/>
  <c r="P538"/>
  <c r="O538"/>
  <c r="N538"/>
  <c r="Q537"/>
  <c r="P537"/>
  <c r="O537"/>
  <c r="N537"/>
  <c r="Q536"/>
  <c r="P536"/>
  <c r="O536"/>
  <c r="N536"/>
  <c r="Q535"/>
  <c r="P535"/>
  <c r="O535"/>
  <c r="N535"/>
  <c r="Q534"/>
  <c r="P534"/>
  <c r="O534"/>
  <c r="N534"/>
  <c r="Q533"/>
  <c r="P533"/>
  <c r="O533"/>
  <c r="N533"/>
  <c r="Q532"/>
  <c r="P532"/>
  <c r="O532"/>
  <c r="N532"/>
  <c r="Q531"/>
  <c r="P531"/>
  <c r="O531"/>
  <c r="N531"/>
  <c r="Q530"/>
  <c r="P530"/>
  <c r="O530"/>
  <c r="N530"/>
  <c r="Q529"/>
  <c r="P529"/>
  <c r="O529"/>
  <c r="N529"/>
  <c r="Q528"/>
  <c r="P528"/>
  <c r="O528"/>
  <c r="N528"/>
  <c r="Q527"/>
  <c r="P527"/>
  <c r="O527"/>
  <c r="N527"/>
  <c r="Q526"/>
  <c r="P526"/>
  <c r="O526"/>
  <c r="N526"/>
  <c r="Q525"/>
  <c r="P525"/>
  <c r="O525"/>
  <c r="N525"/>
  <c r="Q524"/>
  <c r="P524"/>
  <c r="O524"/>
  <c r="N524"/>
  <c r="Q523"/>
  <c r="P523"/>
  <c r="O523"/>
  <c r="N523"/>
  <c r="Q522"/>
  <c r="P522"/>
  <c r="O522"/>
  <c r="N522"/>
  <c r="Q521"/>
  <c r="P521"/>
  <c r="O521"/>
  <c r="N521"/>
  <c r="Q520"/>
  <c r="P520"/>
  <c r="O520"/>
  <c r="N520"/>
  <c r="Q519"/>
  <c r="P519"/>
  <c r="O519"/>
  <c r="N519"/>
  <c r="Q518"/>
  <c r="P518"/>
  <c r="O518"/>
  <c r="N518"/>
  <c r="Q517"/>
  <c r="P517"/>
  <c r="O517"/>
  <c r="N517"/>
  <c r="Q516"/>
  <c r="P516"/>
  <c r="O516"/>
  <c r="N516"/>
  <c r="Q515"/>
  <c r="P515"/>
  <c r="O515"/>
  <c r="N515"/>
  <c r="Q514"/>
  <c r="P514"/>
  <c r="O514"/>
  <c r="N514"/>
  <c r="Q513"/>
  <c r="P513"/>
  <c r="O513"/>
  <c r="N513"/>
  <c r="Q512"/>
  <c r="P512"/>
  <c r="O512"/>
  <c r="N512"/>
  <c r="Q511"/>
  <c r="P511"/>
  <c r="O511"/>
  <c r="N511"/>
  <c r="Q510"/>
  <c r="P510"/>
  <c r="O510"/>
  <c r="N510"/>
  <c r="Q509"/>
  <c r="P509"/>
  <c r="O509"/>
  <c r="N509"/>
  <c r="Q508"/>
  <c r="P508"/>
  <c r="O508"/>
  <c r="N508"/>
  <c r="Q507"/>
  <c r="P507"/>
  <c r="O507"/>
  <c r="N507"/>
  <c r="Q506"/>
  <c r="P506"/>
  <c r="O506"/>
  <c r="N506"/>
  <c r="Q505"/>
  <c r="P505"/>
  <c r="O505"/>
  <c r="N505"/>
  <c r="Q504"/>
  <c r="P504"/>
  <c r="O504"/>
  <c r="N504"/>
  <c r="Q503"/>
  <c r="P503"/>
  <c r="O503"/>
  <c r="N503"/>
  <c r="Q502"/>
  <c r="P502"/>
  <c r="O502"/>
  <c r="N502"/>
  <c r="Q501"/>
  <c r="P501"/>
  <c r="O501"/>
  <c r="N501"/>
  <c r="Q500"/>
  <c r="P500"/>
  <c r="O500"/>
  <c r="N500"/>
  <c r="Q499"/>
  <c r="P499"/>
  <c r="O499"/>
  <c r="N499"/>
  <c r="Q498"/>
  <c r="P498"/>
  <c r="O498"/>
  <c r="N498"/>
  <c r="Q497"/>
  <c r="P497"/>
  <c r="O497"/>
  <c r="N497"/>
  <c r="Q496"/>
  <c r="P496"/>
  <c r="O496"/>
  <c r="N496"/>
  <c r="Q495"/>
  <c r="P495"/>
  <c r="O495"/>
  <c r="N495"/>
  <c r="Q494"/>
  <c r="P494"/>
  <c r="O494"/>
  <c r="N494"/>
  <c r="Q493"/>
  <c r="P493"/>
  <c r="O493"/>
  <c r="N493"/>
  <c r="Q492"/>
  <c r="P492"/>
  <c r="O492"/>
  <c r="N492"/>
  <c r="Q491"/>
  <c r="P491"/>
  <c r="O491"/>
  <c r="N491"/>
  <c r="Q490"/>
  <c r="P490"/>
  <c r="O490"/>
  <c r="N490"/>
  <c r="Q489"/>
  <c r="P489"/>
  <c r="O489"/>
  <c r="N489"/>
  <c r="Q488"/>
  <c r="P488"/>
  <c r="O488"/>
  <c r="N488"/>
  <c r="Q487"/>
  <c r="P487"/>
  <c r="O487"/>
  <c r="N487"/>
  <c r="Q486"/>
  <c r="P486"/>
  <c r="O486"/>
  <c r="N486"/>
  <c r="Q485"/>
  <c r="P485"/>
  <c r="O485"/>
  <c r="N485"/>
  <c r="Q484"/>
  <c r="P484"/>
  <c r="O484"/>
  <c r="N484"/>
  <c r="Q483"/>
  <c r="P483"/>
  <c r="O483"/>
  <c r="N483"/>
  <c r="Q482"/>
  <c r="P482"/>
  <c r="O482"/>
  <c r="N482"/>
  <c r="Q481"/>
  <c r="P481"/>
  <c r="O481"/>
  <c r="N481"/>
  <c r="Q480"/>
  <c r="P480"/>
  <c r="O480"/>
  <c r="N480"/>
  <c r="Q479"/>
  <c r="P479"/>
  <c r="O479"/>
  <c r="N479"/>
  <c r="Q478"/>
  <c r="P478"/>
  <c r="O478"/>
  <c r="N478"/>
  <c r="Q477"/>
  <c r="P477"/>
  <c r="O477"/>
  <c r="N477"/>
  <c r="Q476"/>
  <c r="P476"/>
  <c r="O476"/>
  <c r="N476"/>
  <c r="Q475"/>
  <c r="P475"/>
  <c r="O475"/>
  <c r="N475"/>
  <c r="Q474"/>
  <c r="P474"/>
  <c r="O474"/>
  <c r="N474"/>
  <c r="Q473"/>
  <c r="P473"/>
  <c r="O473"/>
  <c r="N473"/>
  <c r="Q472"/>
  <c r="P472"/>
  <c r="O472"/>
  <c r="N472"/>
  <c r="Q471"/>
  <c r="P471"/>
  <c r="O471"/>
  <c r="N471"/>
  <c r="Q470"/>
  <c r="P470"/>
  <c r="O470"/>
  <c r="N470"/>
  <c r="Q469"/>
  <c r="P469"/>
  <c r="O469"/>
  <c r="N469"/>
  <c r="Q468"/>
  <c r="P468"/>
  <c r="O468"/>
  <c r="N468"/>
  <c r="Q467"/>
  <c r="P467"/>
  <c r="O467"/>
  <c r="N467"/>
  <c r="Q466"/>
  <c r="P466"/>
  <c r="O466"/>
  <c r="N466"/>
  <c r="Q465"/>
  <c r="P465"/>
  <c r="O465"/>
  <c r="N465"/>
  <c r="Q464"/>
  <c r="P464"/>
  <c r="O464"/>
  <c r="N464"/>
  <c r="Q463"/>
  <c r="P463"/>
  <c r="O463"/>
  <c r="N463"/>
  <c r="Q462"/>
  <c r="P462"/>
  <c r="O462"/>
  <c r="N462"/>
  <c r="Q461"/>
  <c r="P461"/>
  <c r="O461"/>
  <c r="N461"/>
  <c r="Q460"/>
  <c r="P460"/>
  <c r="O460"/>
  <c r="N460"/>
  <c r="Q459"/>
  <c r="P459"/>
  <c r="O459"/>
  <c r="N459"/>
  <c r="Q458"/>
  <c r="P458"/>
  <c r="O458"/>
  <c r="N458"/>
  <c r="Q457"/>
  <c r="P457"/>
  <c r="O457"/>
  <c r="N457"/>
  <c r="Q456"/>
  <c r="P456"/>
  <c r="O456"/>
  <c r="N456"/>
  <c r="Q455"/>
  <c r="P455"/>
  <c r="O455"/>
  <c r="N455"/>
  <c r="Q454"/>
  <c r="P454"/>
  <c r="O454"/>
  <c r="N454"/>
  <c r="Q453"/>
  <c r="P453"/>
  <c r="O453"/>
  <c r="N453"/>
  <c r="Q452"/>
  <c r="P452"/>
  <c r="O452"/>
  <c r="N452"/>
  <c r="Q451"/>
  <c r="P451"/>
  <c r="O451"/>
  <c r="N451"/>
  <c r="Q450"/>
  <c r="P450"/>
  <c r="O450"/>
  <c r="N450"/>
  <c r="Q449"/>
  <c r="P449"/>
  <c r="O449"/>
  <c r="N449"/>
  <c r="Q448"/>
  <c r="P448"/>
  <c r="O448"/>
  <c r="N448"/>
  <c r="Q447"/>
  <c r="P447"/>
  <c r="O447"/>
  <c r="N447"/>
  <c r="Q446"/>
  <c r="P446"/>
  <c r="O446"/>
  <c r="N446"/>
  <c r="Q445"/>
  <c r="P445"/>
  <c r="O445"/>
  <c r="N445"/>
  <c r="Q444"/>
  <c r="P444"/>
  <c r="O444"/>
  <c r="N444"/>
  <c r="Q443"/>
  <c r="P443"/>
  <c r="O443"/>
  <c r="N443"/>
  <c r="Q442"/>
  <c r="P442"/>
  <c r="O442"/>
  <c r="N442"/>
  <c r="Q441"/>
  <c r="P441"/>
  <c r="O441"/>
  <c r="N441"/>
  <c r="Q440"/>
  <c r="P440"/>
  <c r="O440"/>
  <c r="N440"/>
  <c r="Q439"/>
  <c r="P439"/>
  <c r="O439"/>
  <c r="N439"/>
  <c r="Q438"/>
  <c r="P438"/>
  <c r="O438"/>
  <c r="N438"/>
  <c r="Q437"/>
  <c r="P437"/>
  <c r="O437"/>
  <c r="N437"/>
  <c r="Q436"/>
  <c r="P436"/>
  <c r="O436"/>
  <c r="N436"/>
  <c r="Q435"/>
  <c r="P435"/>
  <c r="O435"/>
  <c r="N435"/>
  <c r="Q434"/>
  <c r="P434"/>
  <c r="O434"/>
  <c r="N434"/>
  <c r="Q433"/>
  <c r="P433"/>
  <c r="O433"/>
  <c r="N433"/>
  <c r="Q432"/>
  <c r="P432"/>
  <c r="O432"/>
  <c r="N432"/>
  <c r="Q431"/>
  <c r="P431"/>
  <c r="O431"/>
  <c r="N431"/>
  <c r="Q430"/>
  <c r="P430"/>
  <c r="O430"/>
  <c r="N430"/>
  <c r="Q429"/>
  <c r="P429"/>
  <c r="O429"/>
  <c r="N429"/>
  <c r="Q428"/>
  <c r="P428"/>
  <c r="O428"/>
  <c r="N428"/>
  <c r="Q427"/>
  <c r="P427"/>
  <c r="O427"/>
  <c r="N427"/>
  <c r="Q426"/>
  <c r="P426"/>
  <c r="O426"/>
  <c r="N426"/>
  <c r="Q425"/>
  <c r="P425"/>
  <c r="O425"/>
  <c r="N425"/>
  <c r="Q424"/>
  <c r="P424"/>
  <c r="O424"/>
  <c r="N424"/>
  <c r="Q423"/>
  <c r="P423"/>
  <c r="O423"/>
  <c r="N423"/>
  <c r="Q422"/>
  <c r="P422"/>
  <c r="O422"/>
  <c r="N422"/>
  <c r="Q421"/>
  <c r="P421"/>
  <c r="O421"/>
  <c r="N421"/>
  <c r="Q420"/>
  <c r="P420"/>
  <c r="O420"/>
  <c r="N420"/>
  <c r="Q419"/>
  <c r="P419"/>
  <c r="O419"/>
  <c r="N419"/>
  <c r="Q418"/>
  <c r="P418"/>
  <c r="O418"/>
  <c r="N418"/>
  <c r="Q417"/>
  <c r="P417"/>
  <c r="O417"/>
  <c r="N417"/>
  <c r="Q416"/>
  <c r="P416"/>
  <c r="O416"/>
  <c r="N416"/>
  <c r="Q415"/>
  <c r="P415"/>
  <c r="O415"/>
  <c r="N415"/>
  <c r="Q414"/>
  <c r="P414"/>
  <c r="O414"/>
  <c r="N414"/>
  <c r="Q413"/>
  <c r="P413"/>
  <c r="O413"/>
  <c r="N413"/>
  <c r="Q412"/>
  <c r="P412"/>
  <c r="O412"/>
  <c r="N412"/>
  <c r="Q411"/>
  <c r="P411"/>
  <c r="O411"/>
  <c r="N411"/>
  <c r="Q410"/>
  <c r="P410"/>
  <c r="O410"/>
  <c r="N410"/>
  <c r="Q409"/>
  <c r="P409"/>
  <c r="O409"/>
  <c r="N409"/>
  <c r="Q408"/>
  <c r="P408"/>
  <c r="O408"/>
  <c r="N408"/>
  <c r="Q407"/>
  <c r="P407"/>
  <c r="O407"/>
  <c r="N407"/>
  <c r="Q406"/>
  <c r="P406"/>
  <c r="O406"/>
  <c r="N406"/>
  <c r="Q405"/>
  <c r="P405"/>
  <c r="O405"/>
  <c r="N405"/>
  <c r="Q404"/>
  <c r="P404"/>
  <c r="O404"/>
  <c r="N404"/>
  <c r="Q403"/>
  <c r="P403"/>
  <c r="O403"/>
  <c r="N403"/>
  <c r="Q402"/>
  <c r="P402"/>
  <c r="O402"/>
  <c r="N402"/>
  <c r="Q401"/>
  <c r="P401"/>
  <c r="O401"/>
  <c r="N401"/>
  <c r="Q400"/>
  <c r="P400"/>
  <c r="O400"/>
  <c r="N400"/>
  <c r="Q399"/>
  <c r="P399"/>
  <c r="O399"/>
  <c r="N399"/>
  <c r="Q398"/>
  <c r="P398"/>
  <c r="O398"/>
  <c r="N398"/>
  <c r="Q397"/>
  <c r="P397"/>
  <c r="O397"/>
  <c r="N397"/>
  <c r="Q396"/>
  <c r="P396"/>
  <c r="O396"/>
  <c r="N396"/>
  <c r="Q395"/>
  <c r="P395"/>
  <c r="O395"/>
  <c r="N395"/>
  <c r="Q394"/>
  <c r="P394"/>
  <c r="O394"/>
  <c r="N394"/>
  <c r="Q393"/>
  <c r="P393"/>
  <c r="O393"/>
  <c r="N393"/>
  <c r="Q392"/>
  <c r="P392"/>
  <c r="O392"/>
  <c r="N392"/>
  <c r="Q391"/>
  <c r="P391"/>
  <c r="O391"/>
  <c r="N391"/>
  <c r="Q390"/>
  <c r="P390"/>
  <c r="O390"/>
  <c r="N390"/>
  <c r="Q389"/>
  <c r="P389"/>
  <c r="O389"/>
  <c r="N389"/>
  <c r="Q388"/>
  <c r="P388"/>
  <c r="O388"/>
  <c r="N388"/>
  <c r="Q387"/>
  <c r="P387"/>
  <c r="O387"/>
  <c r="N387"/>
  <c r="Q386"/>
  <c r="P386"/>
  <c r="O386"/>
  <c r="N386"/>
  <c r="Q385"/>
  <c r="P385"/>
  <c r="O385"/>
  <c r="N385"/>
  <c r="Q384"/>
  <c r="P384"/>
  <c r="O384"/>
  <c r="N384"/>
  <c r="Q383"/>
  <c r="P383"/>
  <c r="O383"/>
  <c r="N383"/>
  <c r="Q382"/>
  <c r="P382"/>
  <c r="O382"/>
  <c r="N382"/>
  <c r="Q381"/>
  <c r="P381"/>
  <c r="O381"/>
  <c r="N381"/>
  <c r="Q380"/>
  <c r="P380"/>
  <c r="O380"/>
  <c r="N380"/>
  <c r="Q379"/>
  <c r="P379"/>
  <c r="O379"/>
  <c r="N379"/>
  <c r="Q378"/>
  <c r="P378"/>
  <c r="O378"/>
  <c r="N378"/>
  <c r="Q377"/>
  <c r="P377"/>
  <c r="O377"/>
  <c r="N377"/>
  <c r="Q376"/>
  <c r="P376"/>
  <c r="O376"/>
  <c r="N376"/>
  <c r="Q375"/>
  <c r="P375"/>
  <c r="O375"/>
  <c r="N375"/>
  <c r="Q374"/>
  <c r="P374"/>
  <c r="O374"/>
  <c r="N374"/>
  <c r="Q373"/>
  <c r="P373"/>
  <c r="O373"/>
  <c r="N373"/>
  <c r="Q372"/>
  <c r="P372"/>
  <c r="O372"/>
  <c r="N372"/>
  <c r="Q371"/>
  <c r="P371"/>
  <c r="O371"/>
  <c r="N371"/>
  <c r="Q370"/>
  <c r="P370"/>
  <c r="O370"/>
  <c r="N370"/>
  <c r="Q369"/>
  <c r="P369"/>
  <c r="O369"/>
  <c r="N369"/>
  <c r="Q368"/>
  <c r="P368"/>
  <c r="O368"/>
  <c r="N368"/>
  <c r="Q367"/>
  <c r="P367"/>
  <c r="O367"/>
  <c r="N367"/>
  <c r="Q366"/>
  <c r="P366"/>
  <c r="O366"/>
  <c r="N366"/>
  <c r="Q365"/>
  <c r="P365"/>
  <c r="O365"/>
  <c r="N365"/>
  <c r="Q364"/>
  <c r="P364"/>
  <c r="O364"/>
  <c r="N364"/>
  <c r="Q363"/>
  <c r="P363"/>
  <c r="O363"/>
  <c r="N363"/>
  <c r="Q362"/>
  <c r="P362"/>
  <c r="O362"/>
  <c r="N362"/>
  <c r="Q361"/>
  <c r="P361"/>
  <c r="O361"/>
  <c r="N361"/>
  <c r="Q360"/>
  <c r="P360"/>
  <c r="O360"/>
  <c r="N360"/>
  <c r="Q359"/>
  <c r="P359"/>
  <c r="O359"/>
  <c r="N359"/>
  <c r="Q358"/>
  <c r="P358"/>
  <c r="O358"/>
  <c r="N358"/>
  <c r="Q357"/>
  <c r="P357"/>
  <c r="O357"/>
  <c r="N357"/>
  <c r="Q356"/>
  <c r="P356"/>
  <c r="O356"/>
  <c r="N356"/>
  <c r="Q355"/>
  <c r="P355"/>
  <c r="O355"/>
  <c r="N355"/>
  <c r="Q354"/>
  <c r="P354"/>
  <c r="O354"/>
  <c r="N354"/>
  <c r="Q353"/>
  <c r="P353"/>
  <c r="O353"/>
  <c r="N353"/>
  <c r="Q352"/>
  <c r="P352"/>
  <c r="O352"/>
  <c r="N352"/>
  <c r="Q351"/>
  <c r="P351"/>
  <c r="O351"/>
  <c r="N351"/>
  <c r="Q350"/>
  <c r="P350"/>
  <c r="O350"/>
  <c r="N350"/>
  <c r="Q349"/>
  <c r="P349"/>
  <c r="O349"/>
  <c r="N349"/>
  <c r="Q348"/>
  <c r="P348"/>
  <c r="O348"/>
  <c r="N348"/>
  <c r="Q347"/>
  <c r="P347"/>
  <c r="O347"/>
  <c r="N347"/>
  <c r="Q346"/>
  <c r="P346"/>
  <c r="O346"/>
  <c r="N346"/>
  <c r="Q345"/>
  <c r="P345"/>
  <c r="O345"/>
  <c r="N345"/>
  <c r="Q344"/>
  <c r="P344"/>
  <c r="O344"/>
  <c r="N344"/>
  <c r="Q343"/>
  <c r="P343"/>
  <c r="O343"/>
  <c r="N343"/>
  <c r="Q342"/>
  <c r="P342"/>
  <c r="O342"/>
  <c r="N342"/>
  <c r="Q341"/>
  <c r="P341"/>
  <c r="O341"/>
  <c r="N341"/>
  <c r="Q340"/>
  <c r="P340"/>
  <c r="O340"/>
  <c r="N340"/>
  <c r="Q339"/>
  <c r="P339"/>
  <c r="O339"/>
  <c r="N339"/>
  <c r="Q338"/>
  <c r="P338"/>
  <c r="O338"/>
  <c r="N338"/>
  <c r="Q337"/>
  <c r="P337"/>
  <c r="O337"/>
  <c r="N337"/>
  <c r="Q336"/>
  <c r="P336"/>
  <c r="O336"/>
  <c r="N336"/>
  <c r="Q335"/>
  <c r="P335"/>
  <c r="O335"/>
  <c r="N335"/>
  <c r="Q334"/>
  <c r="P334"/>
  <c r="O334"/>
  <c r="N334"/>
  <c r="Q333"/>
  <c r="P333"/>
  <c r="O333"/>
  <c r="N333"/>
  <c r="Q332"/>
  <c r="P332"/>
  <c r="O332"/>
  <c r="N332"/>
  <c r="Q331"/>
  <c r="P331"/>
  <c r="O331"/>
  <c r="N331"/>
  <c r="Q330"/>
  <c r="P330"/>
  <c r="O330"/>
  <c r="N330"/>
  <c r="Q329"/>
  <c r="P329"/>
  <c r="O329"/>
  <c r="N329"/>
  <c r="Q328"/>
  <c r="P328"/>
  <c r="O328"/>
  <c r="N328"/>
  <c r="Q327"/>
  <c r="P327"/>
  <c r="O327"/>
  <c r="N327"/>
  <c r="Q326"/>
  <c r="P326"/>
  <c r="O326"/>
  <c r="N326"/>
  <c r="Q325"/>
  <c r="P325"/>
  <c r="O325"/>
  <c r="N325"/>
  <c r="Q324"/>
  <c r="P324"/>
  <c r="O324"/>
  <c r="N324"/>
  <c r="Q323"/>
  <c r="P323"/>
  <c r="O323"/>
  <c r="N323"/>
  <c r="Q322"/>
  <c r="P322"/>
  <c r="O322"/>
  <c r="N322"/>
  <c r="Q321"/>
  <c r="P321"/>
  <c r="O321"/>
  <c r="N321"/>
  <c r="Q320"/>
  <c r="P320"/>
  <c r="O320"/>
  <c r="N320"/>
  <c r="Q319"/>
  <c r="P319"/>
  <c r="O319"/>
  <c r="N319"/>
  <c r="Q318"/>
  <c r="P318"/>
  <c r="O318"/>
  <c r="N318"/>
  <c r="Q317"/>
  <c r="P317"/>
  <c r="O317"/>
  <c r="N317"/>
  <c r="Q316"/>
  <c r="P316"/>
  <c r="O316"/>
  <c r="N316"/>
  <c r="Q315"/>
  <c r="P315"/>
  <c r="O315"/>
  <c r="N315"/>
  <c r="Q314"/>
  <c r="P314"/>
  <c r="O314"/>
  <c r="N314"/>
  <c r="Q313"/>
  <c r="P313"/>
  <c r="O313"/>
  <c r="N313"/>
  <c r="Q312"/>
  <c r="P312"/>
  <c r="O312"/>
  <c r="N312"/>
  <c r="Q311"/>
  <c r="P311"/>
  <c r="O311"/>
  <c r="N311"/>
  <c r="Q310"/>
  <c r="P310"/>
  <c r="O310"/>
  <c r="N310"/>
  <c r="Q309"/>
  <c r="P309"/>
  <c r="O309"/>
  <c r="N309"/>
  <c r="Q308"/>
  <c r="P308"/>
  <c r="O308"/>
  <c r="N308"/>
  <c r="Q307"/>
  <c r="P307"/>
  <c r="O307"/>
  <c r="N307"/>
  <c r="Q306"/>
  <c r="P306"/>
  <c r="O306"/>
  <c r="N306"/>
  <c r="Q305"/>
  <c r="P305"/>
  <c r="O305"/>
  <c r="N305"/>
  <c r="Q304"/>
  <c r="P304"/>
  <c r="O304"/>
  <c r="N304"/>
  <c r="Q303"/>
  <c r="P303"/>
  <c r="O303"/>
  <c r="N303"/>
  <c r="Q302"/>
  <c r="P302"/>
  <c r="O302"/>
  <c r="N302"/>
  <c r="Q301"/>
  <c r="P301"/>
  <c r="O301"/>
  <c r="N301"/>
  <c r="Q300"/>
  <c r="P300"/>
  <c r="O300"/>
  <c r="N300"/>
  <c r="Q299"/>
  <c r="P299"/>
  <c r="O299"/>
  <c r="N299"/>
  <c r="Q298"/>
  <c r="P298"/>
  <c r="O298"/>
  <c r="N298"/>
  <c r="Q297"/>
  <c r="P297"/>
  <c r="O297"/>
  <c r="N297"/>
  <c r="Q296"/>
  <c r="P296"/>
  <c r="O296"/>
  <c r="N296"/>
  <c r="Q295"/>
  <c r="P295"/>
  <c r="O295"/>
  <c r="N295"/>
  <c r="Q294"/>
  <c r="P294"/>
  <c r="O294"/>
  <c r="N294"/>
  <c r="Q293"/>
  <c r="P293"/>
  <c r="O293"/>
  <c r="N293"/>
  <c r="Q292"/>
  <c r="P292"/>
  <c r="O292"/>
  <c r="N292"/>
  <c r="Q291"/>
  <c r="P291"/>
  <c r="O291"/>
  <c r="N291"/>
  <c r="Q290"/>
  <c r="P290"/>
  <c r="O290"/>
  <c r="N290"/>
  <c r="Q289"/>
  <c r="P289"/>
  <c r="O289"/>
  <c r="N289"/>
  <c r="Q288"/>
  <c r="P288"/>
  <c r="O288"/>
  <c r="N288"/>
  <c r="Q287"/>
  <c r="P287"/>
  <c r="O287"/>
  <c r="N287"/>
  <c r="Q286"/>
  <c r="P286"/>
  <c r="O286"/>
  <c r="N286"/>
  <c r="Q285"/>
  <c r="P285"/>
  <c r="O285"/>
  <c r="N285"/>
  <c r="Q284"/>
  <c r="P284"/>
  <c r="O284"/>
  <c r="N284"/>
  <c r="Q283"/>
  <c r="P283"/>
  <c r="O283"/>
  <c r="N283"/>
  <c r="Q282"/>
  <c r="P282"/>
  <c r="O282"/>
  <c r="N282"/>
  <c r="Q281"/>
  <c r="P281"/>
  <c r="O281"/>
  <c r="N281"/>
  <c r="Q280"/>
  <c r="P280"/>
  <c r="O280"/>
  <c r="N280"/>
  <c r="Q279"/>
  <c r="P279"/>
  <c r="O279"/>
  <c r="N279"/>
  <c r="Q278"/>
  <c r="P278"/>
  <c r="O278"/>
  <c r="N278"/>
  <c r="Q277"/>
  <c r="P277"/>
  <c r="O277"/>
  <c r="N277"/>
  <c r="Q276"/>
  <c r="P276"/>
  <c r="O276"/>
  <c r="N276"/>
  <c r="Q275"/>
  <c r="P275"/>
  <c r="O275"/>
  <c r="N275"/>
  <c r="Q274"/>
  <c r="P274"/>
  <c r="O274"/>
  <c r="N274"/>
  <c r="Q273"/>
  <c r="P273"/>
  <c r="O273"/>
  <c r="N273"/>
  <c r="Q272"/>
  <c r="P272"/>
  <c r="O272"/>
  <c r="N272"/>
  <c r="Q271"/>
  <c r="P271"/>
  <c r="O271"/>
  <c r="N271"/>
  <c r="Q270"/>
  <c r="P270"/>
  <c r="O270"/>
  <c r="N270"/>
  <c r="Q269"/>
  <c r="P269"/>
  <c r="O269"/>
  <c r="N269"/>
  <c r="Q268"/>
  <c r="P268"/>
  <c r="O268"/>
  <c r="N268"/>
  <c r="Q267"/>
  <c r="P267"/>
  <c r="O267"/>
  <c r="N267"/>
  <c r="Q266"/>
  <c r="P266"/>
  <c r="O266"/>
  <c r="N266"/>
  <c r="Q265"/>
  <c r="P265"/>
  <c r="O265"/>
  <c r="N265"/>
  <c r="Q264"/>
  <c r="P264"/>
  <c r="O264"/>
  <c r="N264"/>
  <c r="Q263"/>
  <c r="P263"/>
  <c r="O263"/>
  <c r="N263"/>
  <c r="Q262"/>
  <c r="P262"/>
  <c r="O262"/>
  <c r="N262"/>
  <c r="Q261"/>
  <c r="P261"/>
  <c r="O261"/>
  <c r="N261"/>
  <c r="Q260"/>
  <c r="P260"/>
  <c r="O260"/>
  <c r="N260"/>
  <c r="Q259"/>
  <c r="P259"/>
  <c r="O259"/>
  <c r="N259"/>
  <c r="Q258"/>
  <c r="P258"/>
  <c r="O258"/>
  <c r="N258"/>
  <c r="Q257"/>
  <c r="P257"/>
  <c r="O257"/>
  <c r="N257"/>
  <c r="Q256"/>
  <c r="P256"/>
  <c r="O256"/>
  <c r="N256"/>
  <c r="Q255"/>
  <c r="P255"/>
  <c r="O255"/>
  <c r="N255"/>
  <c r="Q254"/>
  <c r="P254"/>
  <c r="O254"/>
  <c r="N254"/>
  <c r="Q253"/>
  <c r="P253"/>
  <c r="O253"/>
  <c r="N253"/>
  <c r="Q252"/>
  <c r="P252"/>
  <c r="O252"/>
  <c r="N252"/>
  <c r="Q251"/>
  <c r="P251"/>
  <c r="O251"/>
  <c r="N251"/>
  <c r="Q250"/>
  <c r="P250"/>
  <c r="O250"/>
  <c r="N250"/>
  <c r="Q249"/>
  <c r="P249"/>
  <c r="O249"/>
  <c r="N249"/>
  <c r="Q248"/>
  <c r="P248"/>
  <c r="O248"/>
  <c r="N248"/>
  <c r="Q247"/>
  <c r="P247"/>
  <c r="O247"/>
  <c r="N247"/>
  <c r="Q246"/>
  <c r="P246"/>
  <c r="O246"/>
  <c r="N246"/>
  <c r="Q245"/>
  <c r="P245"/>
  <c r="O245"/>
  <c r="N245"/>
  <c r="Q244"/>
  <c r="P244"/>
  <c r="O244"/>
  <c r="N244"/>
  <c r="Q243"/>
  <c r="P243"/>
  <c r="O243"/>
  <c r="N243"/>
  <c r="Q242"/>
  <c r="P242"/>
  <c r="O242"/>
  <c r="N242"/>
  <c r="Q241"/>
  <c r="P241"/>
  <c r="O241"/>
  <c r="N241"/>
  <c r="Q240"/>
  <c r="P240"/>
  <c r="O240"/>
  <c r="N240"/>
  <c r="Q239"/>
  <c r="P239"/>
  <c r="O239"/>
  <c r="N239"/>
  <c r="Q238"/>
  <c r="P238"/>
  <c r="O238"/>
  <c r="N238"/>
  <c r="Q237"/>
  <c r="P237"/>
  <c r="O237"/>
  <c r="N237"/>
  <c r="Q236"/>
  <c r="P236"/>
  <c r="O236"/>
  <c r="N236"/>
  <c r="Q235"/>
  <c r="P235"/>
  <c r="O235"/>
  <c r="N235"/>
  <c r="Q234"/>
  <c r="P234"/>
  <c r="O234"/>
  <c r="N234"/>
  <c r="Q233"/>
  <c r="P233"/>
  <c r="O233"/>
  <c r="N233"/>
  <c r="Q232"/>
  <c r="P232"/>
  <c r="O232"/>
  <c r="N232"/>
  <c r="Q231"/>
  <c r="P231"/>
  <c r="O231"/>
  <c r="N231"/>
  <c r="Q230"/>
  <c r="P230"/>
  <c r="O230"/>
  <c r="N230"/>
  <c r="Q229"/>
  <c r="P229"/>
  <c r="O229"/>
  <c r="N229"/>
  <c r="Q228"/>
  <c r="P228"/>
  <c r="O228"/>
  <c r="N228"/>
  <c r="Q227"/>
  <c r="P227"/>
  <c r="O227"/>
  <c r="N227"/>
  <c r="Q226"/>
  <c r="P226"/>
  <c r="O226"/>
  <c r="N226"/>
  <c r="Q225"/>
  <c r="P225"/>
  <c r="O225"/>
  <c r="N225"/>
  <c r="Q224"/>
  <c r="P224"/>
  <c r="O224"/>
  <c r="N224"/>
  <c r="Q223"/>
  <c r="P223"/>
  <c r="O223"/>
  <c r="N223"/>
  <c r="Q222"/>
  <c r="P222"/>
  <c r="O222"/>
  <c r="N222"/>
  <c r="Q221"/>
  <c r="P221"/>
  <c r="O221"/>
  <c r="N221"/>
  <c r="Q220"/>
  <c r="P220"/>
  <c r="O220"/>
  <c r="N220"/>
  <c r="Q219"/>
  <c r="P219"/>
  <c r="O219"/>
  <c r="N219"/>
  <c r="Q218"/>
  <c r="P218"/>
  <c r="O218"/>
  <c r="N218"/>
  <c r="Q217"/>
  <c r="P217"/>
  <c r="O217"/>
  <c r="N217"/>
  <c r="Q216"/>
  <c r="P216"/>
  <c r="O216"/>
  <c r="N216"/>
  <c r="Q215"/>
  <c r="P215"/>
  <c r="O215"/>
  <c r="N215"/>
  <c r="Q214"/>
  <c r="P214"/>
  <c r="O214"/>
  <c r="N214"/>
  <c r="Q213"/>
  <c r="P213"/>
  <c r="O213"/>
  <c r="N213"/>
  <c r="Q212"/>
  <c r="P212"/>
  <c r="O212"/>
  <c r="N212"/>
  <c r="Q211"/>
  <c r="P211"/>
  <c r="O211"/>
  <c r="N211"/>
  <c r="Q210"/>
  <c r="P210"/>
  <c r="O210"/>
  <c r="N210"/>
  <c r="Q209"/>
  <c r="P209"/>
  <c r="O209"/>
  <c r="N209"/>
  <c r="Q208"/>
  <c r="P208"/>
  <c r="O208"/>
  <c r="N208"/>
  <c r="Q207"/>
  <c r="P207"/>
  <c r="O207"/>
  <c r="N207"/>
  <c r="Q206"/>
  <c r="P206"/>
  <c r="O206"/>
  <c r="N206"/>
  <c r="Q205"/>
  <c r="P205"/>
  <c r="O205"/>
  <c r="N205"/>
  <c r="Q204"/>
  <c r="P204"/>
  <c r="O204"/>
  <c r="N204"/>
  <c r="Q203"/>
  <c r="P203"/>
  <c r="O203"/>
  <c r="N203"/>
  <c r="Q202"/>
  <c r="P202"/>
  <c r="O202"/>
  <c r="N202"/>
  <c r="Q201"/>
  <c r="P201"/>
  <c r="O201"/>
  <c r="N201"/>
  <c r="Q200"/>
  <c r="P200"/>
  <c r="O200"/>
  <c r="N200"/>
  <c r="Q199"/>
  <c r="P199"/>
  <c r="O199"/>
  <c r="N199"/>
  <c r="Q198"/>
  <c r="P198"/>
  <c r="O198"/>
  <c r="N198"/>
  <c r="Q197"/>
  <c r="P197"/>
  <c r="O197"/>
  <c r="N197"/>
  <c r="Q196"/>
  <c r="P196"/>
  <c r="O196"/>
  <c r="N196"/>
  <c r="Q195"/>
  <c r="P195"/>
  <c r="O195"/>
  <c r="N195"/>
  <c r="Q194"/>
  <c r="P194"/>
  <c r="O194"/>
  <c r="N194"/>
  <c r="Q193"/>
  <c r="P193"/>
  <c r="O193"/>
  <c r="N193"/>
  <c r="Q192"/>
  <c r="P192"/>
  <c r="O192"/>
  <c r="N192"/>
  <c r="Q191"/>
  <c r="P191"/>
  <c r="O191"/>
  <c r="N191"/>
  <c r="Q190"/>
  <c r="P190"/>
  <c r="O190"/>
  <c r="N190"/>
  <c r="Q189"/>
  <c r="P189"/>
  <c r="O189"/>
  <c r="N189"/>
  <c r="Q188"/>
  <c r="P188"/>
  <c r="O188"/>
  <c r="N188"/>
  <c r="Q187"/>
  <c r="P187"/>
  <c r="O187"/>
  <c r="N187"/>
  <c r="Q186"/>
  <c r="P186"/>
  <c r="O186"/>
  <c r="N186"/>
  <c r="Q185"/>
  <c r="P185"/>
  <c r="O185"/>
  <c r="N185"/>
  <c r="Q184"/>
  <c r="P184"/>
  <c r="O184"/>
  <c r="N184"/>
  <c r="Q183"/>
  <c r="P183"/>
  <c r="O183"/>
  <c r="N183"/>
  <c r="Q182"/>
  <c r="P182"/>
  <c r="O182"/>
  <c r="N182"/>
  <c r="Q181"/>
  <c r="P181"/>
  <c r="O181"/>
  <c r="N181"/>
  <c r="Q180"/>
  <c r="P180"/>
  <c r="O180"/>
  <c r="N180"/>
  <c r="Q179"/>
  <c r="P179"/>
  <c r="O179"/>
  <c r="N179"/>
  <c r="Q178"/>
  <c r="P178"/>
  <c r="O178"/>
  <c r="N178"/>
  <c r="Q177"/>
  <c r="P177"/>
  <c r="O177"/>
  <c r="N177"/>
  <c r="Q176"/>
  <c r="P176"/>
  <c r="O176"/>
  <c r="N176"/>
  <c r="Q175"/>
  <c r="P175"/>
  <c r="O175"/>
  <c r="N175"/>
  <c r="Q174"/>
  <c r="P174"/>
  <c r="O174"/>
  <c r="N174"/>
  <c r="Q173"/>
  <c r="P173"/>
  <c r="O173"/>
  <c r="N173"/>
  <c r="Q172"/>
  <c r="P172"/>
  <c r="O172"/>
  <c r="N172"/>
  <c r="Q171"/>
  <c r="P171"/>
  <c r="O171"/>
  <c r="N171"/>
  <c r="Q170"/>
  <c r="P170"/>
  <c r="O170"/>
  <c r="N170"/>
  <c r="Q169"/>
  <c r="P169"/>
  <c r="O169"/>
  <c r="N169"/>
  <c r="Q168"/>
  <c r="P168"/>
  <c r="O168"/>
  <c r="N168"/>
  <c r="Q167"/>
  <c r="P167"/>
  <c r="O167"/>
  <c r="N167"/>
  <c r="Q166"/>
  <c r="P166"/>
  <c r="O166"/>
  <c r="N166"/>
  <c r="Q165"/>
  <c r="P165"/>
  <c r="O165"/>
  <c r="N165"/>
  <c r="Q164"/>
  <c r="P164"/>
  <c r="O164"/>
  <c r="N164"/>
  <c r="Q163"/>
  <c r="P163"/>
  <c r="O163"/>
  <c r="N163"/>
  <c r="Q162"/>
  <c r="P162"/>
  <c r="O162"/>
  <c r="N162"/>
  <c r="Q161"/>
  <c r="P161"/>
  <c r="O161"/>
  <c r="N161"/>
  <c r="Q160"/>
  <c r="P160"/>
  <c r="O160"/>
  <c r="N160"/>
  <c r="Q159"/>
  <c r="P159"/>
  <c r="O159"/>
  <c r="N159"/>
  <c r="Q158"/>
  <c r="P158"/>
  <c r="O158"/>
  <c r="N158"/>
  <c r="Q157"/>
  <c r="P157"/>
  <c r="O157"/>
  <c r="N157"/>
  <c r="Q156"/>
  <c r="P156"/>
  <c r="O156"/>
  <c r="N156"/>
  <c r="Q155"/>
  <c r="P155"/>
  <c r="O155"/>
  <c r="N155"/>
  <c r="Q154"/>
  <c r="P154"/>
  <c r="O154"/>
  <c r="N154"/>
  <c r="Q153"/>
  <c r="P153"/>
  <c r="O153"/>
  <c r="N153"/>
  <c r="Q152"/>
  <c r="P152"/>
  <c r="O152"/>
  <c r="N152"/>
  <c r="Q151"/>
  <c r="P151"/>
  <c r="O151"/>
  <c r="N151"/>
  <c r="Q150"/>
  <c r="P150"/>
  <c r="O150"/>
  <c r="N150"/>
  <c r="Q149"/>
  <c r="P149"/>
  <c r="O149"/>
  <c r="N149"/>
  <c r="Q148"/>
  <c r="P148"/>
  <c r="O148"/>
  <c r="N148"/>
  <c r="Q147"/>
  <c r="P147"/>
  <c r="O147"/>
  <c r="N147"/>
  <c r="Q146"/>
  <c r="P146"/>
  <c r="O146"/>
  <c r="N146"/>
  <c r="Q145"/>
  <c r="P145"/>
  <c r="O145"/>
  <c r="N145"/>
  <c r="Q144"/>
  <c r="P144"/>
  <c r="O144"/>
  <c r="N144"/>
  <c r="Q143"/>
  <c r="P143"/>
  <c r="O143"/>
  <c r="N143"/>
  <c r="Q142"/>
  <c r="P142"/>
  <c r="O142"/>
  <c r="N142"/>
  <c r="Q141"/>
  <c r="P141"/>
  <c r="O141"/>
  <c r="N141"/>
  <c r="Q140"/>
  <c r="P140"/>
  <c r="O140"/>
  <c r="N140"/>
  <c r="Q139"/>
  <c r="P139"/>
  <c r="O139"/>
  <c r="N139"/>
  <c r="Q138"/>
  <c r="P138"/>
  <c r="O138"/>
  <c r="N138"/>
  <c r="Q137"/>
  <c r="P137"/>
  <c r="O137"/>
  <c r="N137"/>
  <c r="Q136"/>
  <c r="P136"/>
  <c r="O136"/>
  <c r="N136"/>
  <c r="Q135"/>
  <c r="P135"/>
  <c r="O135"/>
  <c r="N135"/>
  <c r="Q134"/>
  <c r="P134"/>
  <c r="O134"/>
  <c r="N134"/>
  <c r="Q133"/>
  <c r="P133"/>
  <c r="O133"/>
  <c r="N133"/>
  <c r="Q132"/>
  <c r="P132"/>
  <c r="O132"/>
  <c r="N132"/>
  <c r="Q131"/>
  <c r="P131"/>
  <c r="O131"/>
  <c r="N131"/>
  <c r="Q130"/>
  <c r="P130"/>
  <c r="O130"/>
  <c r="N130"/>
  <c r="Q129"/>
  <c r="P129"/>
  <c r="O129"/>
  <c r="N129"/>
  <c r="Q128"/>
  <c r="P128"/>
  <c r="O128"/>
  <c r="N128"/>
  <c r="Q127"/>
  <c r="P127"/>
  <c r="O127"/>
  <c r="N127"/>
  <c r="Q126"/>
  <c r="P126"/>
  <c r="O126"/>
  <c r="N126"/>
  <c r="Q125"/>
  <c r="P125"/>
  <c r="O125"/>
  <c r="N125"/>
  <c r="Q124"/>
  <c r="P124"/>
  <c r="O124"/>
  <c r="N124"/>
  <c r="Q123"/>
  <c r="P123"/>
  <c r="O123"/>
  <c r="N123"/>
  <c r="Q122"/>
  <c r="P122"/>
  <c r="O122"/>
  <c r="N122"/>
  <c r="Q121"/>
  <c r="P121"/>
  <c r="O121"/>
  <c r="N121"/>
  <c r="Q120"/>
  <c r="P120"/>
  <c r="O120"/>
  <c r="N120"/>
  <c r="Q119"/>
  <c r="P119"/>
  <c r="O119"/>
  <c r="N119"/>
  <c r="Q118"/>
  <c r="P118"/>
  <c r="O118"/>
  <c r="N118"/>
  <c r="Q117"/>
  <c r="P117"/>
  <c r="O117"/>
  <c r="N117"/>
  <c r="Q116"/>
  <c r="P116"/>
  <c r="O116"/>
  <c r="N116"/>
  <c r="Q115"/>
  <c r="P115"/>
  <c r="O115"/>
  <c r="N115"/>
  <c r="Q114"/>
  <c r="P114"/>
  <c r="O114"/>
  <c r="N114"/>
  <c r="Q113"/>
  <c r="P113"/>
  <c r="O113"/>
  <c r="N113"/>
  <c r="Q112"/>
  <c r="P112"/>
  <c r="O112"/>
  <c r="N112"/>
  <c r="Q111"/>
  <c r="P111"/>
  <c r="O111"/>
  <c r="N111"/>
  <c r="Q110"/>
  <c r="P110"/>
  <c r="O110"/>
  <c r="N110"/>
  <c r="Q109"/>
  <c r="P109"/>
  <c r="O109"/>
  <c r="N109"/>
  <c r="Q108"/>
  <c r="P108"/>
  <c r="O108"/>
  <c r="N108"/>
  <c r="Q107"/>
  <c r="P107"/>
  <c r="O107"/>
  <c r="N107"/>
  <c r="Q106"/>
  <c r="P106"/>
  <c r="O106"/>
  <c r="N106"/>
  <c r="Q105"/>
  <c r="P105"/>
  <c r="O105"/>
  <c r="N105"/>
  <c r="Q104"/>
  <c r="P104"/>
  <c r="O104"/>
  <c r="N104"/>
  <c r="Q103"/>
  <c r="P103"/>
  <c r="O103"/>
  <c r="N103"/>
  <c r="Q102"/>
  <c r="P102"/>
  <c r="O102"/>
  <c r="N102"/>
  <c r="Q101"/>
  <c r="P101"/>
  <c r="O101"/>
  <c r="N101"/>
  <c r="Q100"/>
  <c r="P100"/>
  <c r="O100"/>
  <c r="N100"/>
  <c r="Q99"/>
  <c r="P99"/>
  <c r="O99"/>
  <c r="N99"/>
  <c r="Q98"/>
  <c r="P98"/>
  <c r="O98"/>
  <c r="N98"/>
  <c r="Q97"/>
  <c r="P97"/>
  <c r="O97"/>
  <c r="N97"/>
  <c r="Q96"/>
  <c r="P96"/>
  <c r="O96"/>
  <c r="N96"/>
  <c r="Q95"/>
  <c r="P95"/>
  <c r="O95"/>
  <c r="N95"/>
  <c r="Q94"/>
  <c r="P94"/>
  <c r="O94"/>
  <c r="N94"/>
  <c r="Q93"/>
  <c r="P93"/>
  <c r="O93"/>
  <c r="N93"/>
  <c r="Q92"/>
  <c r="P92"/>
  <c r="O92"/>
  <c r="N92"/>
  <c r="Q91"/>
  <c r="P91"/>
  <c r="O91"/>
  <c r="N91"/>
  <c r="Q90"/>
  <c r="P90"/>
  <c r="O90"/>
  <c r="N90"/>
  <c r="Q89"/>
  <c r="P89"/>
  <c r="O89"/>
  <c r="N89"/>
  <c r="Q88"/>
  <c r="P88"/>
  <c r="O88"/>
  <c r="N88"/>
  <c r="Q87"/>
  <c r="P87"/>
  <c r="O87"/>
  <c r="N87"/>
  <c r="Q86"/>
  <c r="P86"/>
  <c r="O86"/>
  <c r="N86"/>
  <c r="Q85"/>
  <c r="P85"/>
  <c r="O85"/>
  <c r="N85"/>
  <c r="Q84"/>
  <c r="P84"/>
  <c r="O84"/>
  <c r="N84"/>
  <c r="Q83"/>
  <c r="P83"/>
  <c r="O83"/>
  <c r="N83"/>
  <c r="Q82"/>
  <c r="P82"/>
  <c r="O82"/>
  <c r="N82"/>
  <c r="Q81"/>
  <c r="P81"/>
  <c r="O81"/>
  <c r="N81"/>
  <c r="Q80"/>
  <c r="P80"/>
  <c r="O80"/>
  <c r="N80"/>
  <c r="Q79"/>
  <c r="P79"/>
  <c r="O79"/>
  <c r="N79"/>
  <c r="Q78"/>
  <c r="P78"/>
  <c r="O78"/>
  <c r="N78"/>
  <c r="Q77"/>
  <c r="P77"/>
  <c r="O77"/>
  <c r="N77"/>
  <c r="Q76"/>
  <c r="P76"/>
  <c r="O76"/>
  <c r="N76"/>
  <c r="Q75"/>
  <c r="P75"/>
  <c r="O75"/>
  <c r="N75"/>
  <c r="Q74"/>
  <c r="P74"/>
  <c r="O74"/>
  <c r="N74"/>
  <c r="Q73"/>
  <c r="P73"/>
  <c r="O73"/>
  <c r="N73"/>
  <c r="Q72"/>
  <c r="P72"/>
  <c r="O72"/>
  <c r="N72"/>
  <c r="Q71"/>
  <c r="P71"/>
  <c r="O71"/>
  <c r="N71"/>
  <c r="Q70"/>
  <c r="P70"/>
  <c r="O70"/>
  <c r="N70"/>
  <c r="Q69"/>
  <c r="P69"/>
  <c r="O69"/>
  <c r="N69"/>
  <c r="Q68"/>
  <c r="P68"/>
  <c r="O68"/>
  <c r="N68"/>
  <c r="Q67"/>
  <c r="P67"/>
  <c r="O67"/>
  <c r="N67"/>
  <c r="Q66"/>
  <c r="P66"/>
  <c r="O66"/>
  <c r="N66"/>
  <c r="Q65"/>
  <c r="P65"/>
  <c r="O65"/>
  <c r="N65"/>
  <c r="Q64"/>
  <c r="P64"/>
  <c r="O64"/>
  <c r="N64"/>
  <c r="Q63"/>
  <c r="P63"/>
  <c r="O63"/>
  <c r="N63"/>
  <c r="Q62"/>
  <c r="P62"/>
  <c r="O62"/>
  <c r="N62"/>
  <c r="Q61"/>
  <c r="P61"/>
  <c r="O61"/>
  <c r="N61"/>
  <c r="Q60"/>
  <c r="P60"/>
  <c r="O60"/>
  <c r="N60"/>
  <c r="Q59"/>
  <c r="P59"/>
  <c r="O59"/>
  <c r="N59"/>
  <c r="Q58"/>
  <c r="P58"/>
  <c r="O58"/>
  <c r="N58"/>
  <c r="Q57"/>
  <c r="P57"/>
  <c r="O57"/>
  <c r="N57"/>
  <c r="Q56"/>
  <c r="P56"/>
  <c r="O56"/>
  <c r="N56"/>
  <c r="Q55"/>
  <c r="P55"/>
  <c r="O55"/>
  <c r="N55"/>
  <c r="Q54"/>
  <c r="P54"/>
  <c r="O54"/>
  <c r="N54"/>
  <c r="Q53"/>
  <c r="P53"/>
  <c r="O53"/>
  <c r="N53"/>
  <c r="Q52"/>
  <c r="P52"/>
  <c r="O52"/>
  <c r="N52"/>
  <c r="Q51"/>
  <c r="P51"/>
  <c r="O51"/>
  <c r="N51"/>
  <c r="Q50"/>
  <c r="P50"/>
  <c r="O50"/>
  <c r="N50"/>
  <c r="Q49"/>
  <c r="P49"/>
  <c r="O49"/>
  <c r="N49"/>
  <c r="Q48"/>
  <c r="P48"/>
  <c r="O48"/>
  <c r="N48"/>
  <c r="Q47"/>
  <c r="P47"/>
  <c r="O47"/>
  <c r="N47"/>
  <c r="Q46"/>
  <c r="P46"/>
  <c r="O46"/>
  <c r="N46"/>
  <c r="Q45"/>
  <c r="P45"/>
  <c r="O45"/>
  <c r="N45"/>
  <c r="Q44"/>
  <c r="P44"/>
  <c r="O44"/>
  <c r="N44"/>
  <c r="Q43"/>
  <c r="P43"/>
  <c r="O43"/>
  <c r="N43"/>
  <c r="Q42"/>
  <c r="P42"/>
  <c r="O42"/>
  <c r="N42"/>
  <c r="Q41"/>
  <c r="P41"/>
  <c r="O41"/>
  <c r="N41"/>
  <c r="Q40"/>
  <c r="P40"/>
  <c r="O40"/>
  <c r="N40"/>
  <c r="Q39"/>
  <c r="P39"/>
  <c r="O39"/>
  <c r="N39"/>
  <c r="Q38"/>
  <c r="P38"/>
  <c r="O38"/>
  <c r="N38"/>
  <c r="Q37"/>
  <c r="P37"/>
  <c r="O37"/>
  <c r="N37"/>
  <c r="Q36"/>
  <c r="P36"/>
  <c r="O36"/>
  <c r="N36"/>
  <c r="Q35"/>
  <c r="P35"/>
  <c r="O35"/>
  <c r="N35"/>
  <c r="Q34"/>
  <c r="P34"/>
  <c r="O34"/>
  <c r="N34"/>
  <c r="Q33"/>
  <c r="P33"/>
  <c r="O33"/>
  <c r="N33"/>
  <c r="Q32"/>
  <c r="P32"/>
  <c r="O32"/>
  <c r="N32"/>
  <c r="Q31"/>
  <c r="P31"/>
  <c r="O31"/>
  <c r="N31"/>
  <c r="Q30"/>
  <c r="P30"/>
  <c r="O30"/>
  <c r="N30"/>
  <c r="Q29"/>
  <c r="P29"/>
  <c r="O29"/>
  <c r="N29"/>
  <c r="Q28"/>
  <c r="P28"/>
  <c r="O28"/>
  <c r="N28"/>
  <c r="Q27"/>
  <c r="P27"/>
  <c r="O27"/>
  <c r="N27"/>
  <c r="Q26"/>
  <c r="P26"/>
  <c r="O26"/>
  <c r="N26"/>
  <c r="Q25"/>
  <c r="P25"/>
  <c r="O25"/>
  <c r="N25"/>
  <c r="Q24"/>
  <c r="P24"/>
  <c r="O24"/>
  <c r="N24"/>
  <c r="Q23"/>
  <c r="P23"/>
  <c r="O23"/>
  <c r="N23"/>
  <c r="Q22"/>
  <c r="P22"/>
  <c r="O22"/>
  <c r="N22"/>
  <c r="Q21"/>
  <c r="P21"/>
  <c r="O21"/>
  <c r="N21"/>
  <c r="Q20"/>
  <c r="P20"/>
  <c r="O20"/>
  <c r="N20"/>
  <c r="Q19"/>
  <c r="P19"/>
  <c r="O19"/>
  <c r="N19"/>
  <c r="Q18"/>
  <c r="P18"/>
  <c r="O18"/>
  <c r="N18"/>
  <c r="Q17"/>
  <c r="P17"/>
  <c r="O17"/>
  <c r="N17"/>
  <c r="Q16"/>
  <c r="P16"/>
  <c r="O16"/>
  <c r="N16"/>
  <c r="Q15"/>
  <c r="P15"/>
  <c r="O15"/>
  <c r="N15"/>
  <c r="Q14"/>
  <c r="P14"/>
  <c r="O14"/>
  <c r="N14"/>
  <c r="Q13"/>
  <c r="P13"/>
  <c r="O13"/>
  <c r="N13"/>
  <c r="Q12"/>
  <c r="P12"/>
  <c r="O12"/>
  <c r="N12"/>
  <c r="Q11"/>
  <c r="P11"/>
  <c r="O11"/>
  <c r="N11"/>
  <c r="Q10"/>
  <c r="P10"/>
  <c r="O10"/>
  <c r="N10"/>
  <c r="Q9"/>
  <c r="P9"/>
  <c r="O9"/>
  <c r="N9"/>
  <c r="Q8"/>
  <c r="P8"/>
  <c r="O8"/>
  <c r="N8"/>
  <c r="Q7"/>
  <c r="P7"/>
  <c r="O7"/>
  <c r="N7"/>
  <c r="Q6"/>
  <c r="P6"/>
  <c r="O6"/>
  <c r="N6"/>
  <c r="Q5"/>
  <c r="P5"/>
  <c r="O5"/>
  <c r="N5"/>
  <c r="Q4"/>
  <c r="P4"/>
  <c r="O4"/>
  <c r="N4"/>
  <c r="Q3"/>
  <c r="P3"/>
  <c r="O3"/>
  <c r="N3"/>
  <c r="Q2"/>
  <c r="P2"/>
  <c r="O2"/>
  <c r="N2"/>
  <c r="Q1"/>
  <c r="P1"/>
  <c r="O1"/>
  <c r="N1"/>
  <c r="O1056" i="2"/>
  <c r="Q810"/>
  <c r="Q762"/>
  <c r="Q980"/>
  <c r="Q1025"/>
  <c r="Q1024"/>
  <c r="Q959"/>
  <c r="Q911"/>
  <c r="Q941"/>
  <c r="Q934"/>
  <c r="Q929"/>
  <c r="Q869"/>
  <c r="Q758"/>
  <c r="Q742"/>
  <c r="Q740"/>
  <c r="Q739"/>
  <c r="Q732"/>
  <c r="Q731"/>
  <c r="Q730"/>
  <c r="Q141"/>
  <c r="Q499"/>
  <c r="Q317"/>
  <c r="Q316"/>
  <c r="Q315"/>
  <c r="Q314"/>
  <c r="Q311"/>
  <c r="Q308"/>
  <c r="Q306"/>
  <c r="Q292"/>
  <c r="Q285"/>
  <c r="Q222"/>
  <c r="Q221"/>
  <c r="Q220"/>
  <c r="Q212"/>
  <c r="Q183"/>
  <c r="Q182"/>
  <c r="Q181"/>
  <c r="Q157"/>
  <c r="Q156"/>
  <c r="Q154"/>
  <c r="Q87"/>
  <c r="Q81"/>
  <c r="Q80"/>
  <c r="Q33"/>
  <c r="Q22"/>
  <c r="Q9"/>
  <c r="Q674"/>
  <c r="Q673"/>
  <c r="Q506"/>
  <c r="Q486"/>
  <c r="Q973"/>
  <c r="Q969"/>
  <c r="Q968"/>
  <c r="Q453"/>
  <c r="Q447"/>
  <c r="Q440"/>
  <c r="Q439"/>
  <c r="Q433"/>
  <c r="Q418"/>
  <c r="Q417"/>
  <c r="Q401"/>
  <c r="Q400"/>
  <c r="Q399"/>
  <c r="Q388"/>
  <c r="Q387"/>
  <c r="Q362"/>
  <c r="Q438"/>
  <c r="Q961"/>
  <c r="Q960"/>
  <c r="Q210"/>
  <c r="Q208"/>
  <c r="Q207"/>
  <c r="Q206"/>
  <c r="Q204"/>
  <c r="Q203"/>
  <c r="Q176"/>
  <c r="Q921"/>
  <c r="Q152"/>
  <c r="Q151"/>
  <c r="Q150"/>
  <c r="Q149"/>
  <c r="Q148"/>
  <c r="Q147"/>
  <c r="Q146"/>
  <c r="Q145"/>
  <c r="Q144"/>
  <c r="Q920"/>
  <c r="Q902"/>
  <c r="Q901"/>
  <c r="Q889"/>
  <c r="Q906"/>
  <c r="Q888"/>
  <c r="Q864"/>
  <c r="Q854"/>
  <c r="Q860"/>
  <c r="Q859"/>
  <c r="Q858"/>
  <c r="Q857"/>
  <c r="Q856"/>
  <c r="Q862"/>
  <c r="Q861"/>
  <c r="Q852"/>
  <c r="Q851"/>
  <c r="Q850"/>
  <c r="Q849"/>
  <c r="Q846"/>
  <c r="Q855"/>
  <c r="Q848"/>
  <c r="Q847"/>
  <c r="Q853"/>
  <c r="Q843"/>
  <c r="Q842"/>
  <c r="Q841"/>
  <c r="Q715"/>
  <c r="Q709"/>
  <c r="Q708"/>
  <c r="Q705"/>
  <c r="Q537"/>
  <c r="Q559"/>
  <c r="Q564"/>
  <c r="Q526"/>
  <c r="Q1133"/>
  <c r="Q1130"/>
  <c r="Q1129"/>
  <c r="Q1128"/>
  <c r="Q1127"/>
  <c r="Q1124"/>
  <c r="Q1119"/>
  <c r="Q1118"/>
  <c r="Q1116"/>
  <c r="Q1115"/>
  <c r="Q1114"/>
  <c r="Q1113"/>
  <c r="Q1109"/>
  <c r="Q1103"/>
  <c r="Q1102"/>
  <c r="Q1101"/>
  <c r="Q1100"/>
  <c r="Q1099"/>
  <c r="Q1098"/>
  <c r="Q1097"/>
  <c r="Q1096"/>
  <c r="Q1095"/>
  <c r="Q1094"/>
  <c r="Q1093"/>
  <c r="Q1092"/>
  <c r="Q1091"/>
  <c r="Q1090"/>
  <c r="Q1089"/>
  <c r="Q1085"/>
  <c r="Q1082"/>
  <c r="Q1079"/>
  <c r="Q1076"/>
  <c r="Q1075"/>
  <c r="Q1074"/>
  <c r="Q1073"/>
  <c r="Q1072"/>
  <c r="Q1070"/>
  <c r="Q1160"/>
  <c r="Q1159"/>
  <c r="Q466"/>
  <c r="Q498"/>
  <c r="Q303"/>
  <c r="Q299"/>
  <c r="Q1054"/>
  <c r="Q1055"/>
  <c r="Q971"/>
  <c r="Q970"/>
  <c r="Q965"/>
  <c r="Q460"/>
  <c r="Q451"/>
  <c r="Q448"/>
  <c r="Q446"/>
  <c r="Q445"/>
  <c r="Q384"/>
  <c r="Q319"/>
  <c r="Q895"/>
  <c r="Q796"/>
  <c r="Q791"/>
  <c r="Q711"/>
  <c r="Q987"/>
  <c r="Q986"/>
  <c r="Q684"/>
  <c r="Q179"/>
  <c r="Q178"/>
  <c r="Q177"/>
  <c r="Q168"/>
  <c r="Q1069"/>
  <c r="Q1068"/>
  <c r="Q1060"/>
  <c r="Q1059"/>
  <c r="Q1058"/>
  <c r="Q1057"/>
  <c r="Q1035"/>
  <c r="Q1034"/>
  <c r="Q1033"/>
  <c r="Q1032"/>
  <c r="Q1031"/>
  <c r="Q1030"/>
  <c r="Q1053"/>
  <c r="Q1052"/>
  <c r="Q1051"/>
  <c r="Q1050"/>
  <c r="Q1049"/>
  <c r="Q1048"/>
  <c r="Q1047"/>
  <c r="Q1046"/>
  <c r="Q1045"/>
  <c r="Q1044"/>
  <c r="Q1043"/>
  <c r="Q1042"/>
  <c r="Q1041"/>
  <c r="Q1040"/>
  <c r="Q1039"/>
  <c r="Q1038"/>
  <c r="Q1037"/>
  <c r="Q1036"/>
  <c r="Q1008"/>
  <c r="Q985"/>
  <c r="Q984"/>
  <c r="Q983"/>
  <c r="Q982"/>
  <c r="Q981"/>
  <c r="Q1056"/>
  <c r="Q1029"/>
  <c r="Q1028"/>
  <c r="Q1027"/>
  <c r="Q1026"/>
  <c r="Q1023"/>
  <c r="Q1022"/>
  <c r="Q1021"/>
  <c r="Q1020"/>
  <c r="Q1019"/>
  <c r="Q1018"/>
  <c r="Q1017"/>
  <c r="Q1016"/>
  <c r="Q1012"/>
  <c r="Q1011"/>
  <c r="Q1010"/>
  <c r="Q1009"/>
  <c r="Q1007"/>
  <c r="Q1006"/>
  <c r="Q1005"/>
  <c r="Q1004"/>
  <c r="Q1003"/>
  <c r="Q1002"/>
  <c r="Q1001"/>
  <c r="Q1000"/>
  <c r="Q999"/>
  <c r="Q998"/>
  <c r="Q997"/>
  <c r="Q996"/>
  <c r="Q995"/>
  <c r="Q994"/>
  <c r="Q993"/>
  <c r="Q992"/>
  <c r="Q988"/>
  <c r="Q6"/>
  <c r="Q5"/>
  <c r="Q4"/>
  <c r="Q3"/>
  <c r="Q2"/>
  <c r="Q1061"/>
  <c r="Q662"/>
  <c r="Q661"/>
  <c r="Q666"/>
  <c r="Q665"/>
  <c r="Q664"/>
  <c r="Q663"/>
  <c r="Q469"/>
  <c r="Q468"/>
  <c r="Q467"/>
  <c r="Q465"/>
  <c r="Q464"/>
  <c r="Q463"/>
  <c r="Q462"/>
  <c r="Q461"/>
  <c r="Q459"/>
  <c r="Q458"/>
  <c r="Q452"/>
  <c r="Q313"/>
  <c r="Q312"/>
  <c r="Q310"/>
  <c r="Q309"/>
  <c r="Q307"/>
  <c r="Q305"/>
  <c r="Q304"/>
  <c r="Q302"/>
  <c r="Q301"/>
  <c r="Q300"/>
  <c r="Q298"/>
  <c r="Q297"/>
  <c r="Q296"/>
  <c r="Q295"/>
  <c r="Q294"/>
  <c r="Q293"/>
  <c r="Q291"/>
  <c r="Q290"/>
  <c r="Q289"/>
  <c r="Q288"/>
  <c r="Q287"/>
  <c r="Q286"/>
  <c r="Q284"/>
  <c r="Q283"/>
  <c r="Q282"/>
  <c r="Q281"/>
  <c r="Q280"/>
  <c r="Q279"/>
  <c r="Q278"/>
  <c r="Q277"/>
  <c r="Q276"/>
  <c r="Q275"/>
  <c r="Q274"/>
  <c r="Q273"/>
  <c r="Q272"/>
  <c r="Q219"/>
  <c r="Q218"/>
  <c r="Q217"/>
  <c r="Q216"/>
  <c r="Q215"/>
  <c r="Q180"/>
  <c r="Q155"/>
  <c r="Q153"/>
  <c r="Q93"/>
  <c r="Q92"/>
  <c r="Q91"/>
  <c r="Q90"/>
  <c r="Q89"/>
  <c r="Q88"/>
  <c r="Q86"/>
  <c r="Q85"/>
  <c r="Q84"/>
  <c r="Q83"/>
  <c r="Q82"/>
  <c r="Q79"/>
  <c r="Q78"/>
  <c r="Q77"/>
  <c r="Q76"/>
  <c r="Q75"/>
  <c r="Q74"/>
  <c r="Q73"/>
  <c r="Q72"/>
  <c r="Q71"/>
  <c r="Q70"/>
  <c r="Q69"/>
  <c r="Q68"/>
  <c r="Q67"/>
  <c r="Q66"/>
  <c r="Q65"/>
  <c r="Q64"/>
  <c r="Q63"/>
  <c r="Q62"/>
  <c r="Q61"/>
  <c r="Q60"/>
  <c r="Q59"/>
  <c r="Q58"/>
  <c r="Q57"/>
  <c r="Q56"/>
  <c r="Q55"/>
  <c r="Q54"/>
  <c r="Q53"/>
  <c r="Q52"/>
  <c r="Q51"/>
  <c r="Q50"/>
  <c r="Q49"/>
  <c r="Q48"/>
  <c r="Q47"/>
  <c r="Q46"/>
  <c r="Q45"/>
  <c r="Q44"/>
  <c r="Q43"/>
  <c r="Q42"/>
  <c r="Q41"/>
  <c r="Q40"/>
  <c r="Q39"/>
  <c r="Q38"/>
  <c r="Q37"/>
  <c r="Q36"/>
  <c r="Q35"/>
  <c r="Q34"/>
  <c r="Q32"/>
  <c r="Q31"/>
  <c r="Q30"/>
  <c r="Q29"/>
  <c r="Q28"/>
  <c r="Q27"/>
  <c r="Q26"/>
  <c r="Q25"/>
  <c r="Q24"/>
  <c r="Q23"/>
  <c r="Q21"/>
  <c r="Q20"/>
  <c r="Q19"/>
  <c r="Q18"/>
  <c r="Q17"/>
  <c r="Q16"/>
  <c r="Q15"/>
  <c r="Q14"/>
  <c r="Q13"/>
  <c r="Q12"/>
  <c r="Q11"/>
  <c r="Q10"/>
  <c r="Q8"/>
  <c r="Q7"/>
  <c r="Q672"/>
  <c r="Q671"/>
  <c r="Q670"/>
  <c r="Q669"/>
  <c r="Q668"/>
  <c r="Q667"/>
  <c r="Q660"/>
  <c r="Q504"/>
  <c r="Q659"/>
  <c r="Q658"/>
  <c r="Q657"/>
  <c r="Q656"/>
  <c r="Q507"/>
  <c r="Q505"/>
  <c r="Q503"/>
  <c r="Q502"/>
  <c r="Q501"/>
  <c r="Q500"/>
  <c r="Q497"/>
  <c r="Q496"/>
  <c r="Q495"/>
  <c r="Q494"/>
  <c r="Q493"/>
  <c r="Q492"/>
  <c r="Q491"/>
  <c r="Q490"/>
  <c r="Q489"/>
  <c r="Q488"/>
  <c r="Q487"/>
  <c r="Q485"/>
  <c r="Q484"/>
  <c r="Q483"/>
  <c r="Q482"/>
  <c r="Q481"/>
  <c r="Q480"/>
  <c r="Q479"/>
  <c r="Q478"/>
  <c r="Q477"/>
  <c r="Q476"/>
  <c r="Q475"/>
  <c r="Q474"/>
  <c r="Q473"/>
  <c r="Q472"/>
  <c r="Q471"/>
  <c r="Q470"/>
  <c r="Q972"/>
  <c r="Q967"/>
  <c r="Q966"/>
  <c r="Q964"/>
  <c r="Q963"/>
  <c r="Q962"/>
  <c r="Q457"/>
  <c r="Q456"/>
  <c r="Q455"/>
  <c r="Q454"/>
  <c r="Q450"/>
  <c r="Q449"/>
  <c r="Q444"/>
  <c r="Q443"/>
  <c r="Q442"/>
  <c r="Q441"/>
  <c r="Q437"/>
  <c r="Q436"/>
  <c r="Q435"/>
  <c r="Q434"/>
  <c r="Q432"/>
  <c r="Q431"/>
  <c r="Q430"/>
  <c r="Q429"/>
  <c r="Q428"/>
  <c r="Q427"/>
  <c r="Q426"/>
  <c r="Q425"/>
  <c r="Q424"/>
  <c r="Q423"/>
  <c r="Q422"/>
  <c r="Q421"/>
  <c r="Q420"/>
  <c r="Q419"/>
  <c r="Q416"/>
  <c r="Q415"/>
  <c r="Q414"/>
  <c r="Q413"/>
  <c r="Q412"/>
  <c r="Q411"/>
  <c r="Q410"/>
  <c r="Q409"/>
  <c r="Q408"/>
  <c r="Q407"/>
  <c r="Q406"/>
  <c r="Q405"/>
  <c r="Q404"/>
  <c r="Q403"/>
  <c r="Q402"/>
  <c r="Q398"/>
  <c r="Q397"/>
  <c r="Q396"/>
  <c r="Q395"/>
  <c r="Q394"/>
  <c r="Q393"/>
  <c r="Q392"/>
  <c r="Q391"/>
  <c r="Q390"/>
  <c r="Q389"/>
  <c r="Q386"/>
  <c r="Q385"/>
  <c r="Q383"/>
  <c r="Q382"/>
  <c r="Q381"/>
  <c r="Q380"/>
  <c r="Q379"/>
  <c r="Q378"/>
  <c r="Q377"/>
  <c r="Q376"/>
  <c r="Q375"/>
  <c r="Q374"/>
  <c r="Q373"/>
  <c r="Q372"/>
  <c r="Q371"/>
  <c r="Q370"/>
  <c r="Q369"/>
  <c r="Q368"/>
  <c r="Q367"/>
  <c r="Q366"/>
  <c r="Q365"/>
  <c r="Q364"/>
  <c r="Q363"/>
  <c r="Q361"/>
  <c r="Q360"/>
  <c r="Q359"/>
  <c r="Q358"/>
  <c r="Q357"/>
  <c r="Q356"/>
  <c r="Q355"/>
  <c r="Q354"/>
  <c r="Q353"/>
  <c r="Q352"/>
  <c r="Q351"/>
  <c r="Q350"/>
  <c r="Q349"/>
  <c r="Q348"/>
  <c r="Q347"/>
  <c r="Q346"/>
  <c r="Q345"/>
  <c r="Q344"/>
  <c r="Q343"/>
  <c r="Q342"/>
  <c r="Q341"/>
  <c r="Q340"/>
  <c r="Q339"/>
  <c r="Q338"/>
  <c r="Q337"/>
  <c r="Q336"/>
  <c r="Q335"/>
  <c r="Q334"/>
  <c r="Q333"/>
  <c r="Q332"/>
  <c r="Q331"/>
  <c r="Q330"/>
  <c r="Q329"/>
  <c r="Q328"/>
  <c r="Q327"/>
  <c r="Q326"/>
  <c r="Q325"/>
  <c r="Q324"/>
  <c r="Q323"/>
  <c r="Q322"/>
  <c r="Q321"/>
  <c r="Q320"/>
  <c r="Q318"/>
  <c r="Q271"/>
  <c r="Q270"/>
  <c r="Q269"/>
  <c r="Q268"/>
  <c r="Q267"/>
  <c r="Q266"/>
  <c r="Q265"/>
  <c r="Q264"/>
  <c r="Q263"/>
  <c r="Q262"/>
  <c r="Q261"/>
  <c r="Q260"/>
  <c r="Q259"/>
  <c r="Q258"/>
  <c r="Q257"/>
  <c r="Q256"/>
  <c r="Q255"/>
  <c r="Q254"/>
  <c r="Q253"/>
  <c r="Q252"/>
  <c r="Q251"/>
  <c r="Q250"/>
  <c r="Q249"/>
  <c r="Q248"/>
  <c r="Q247"/>
  <c r="Q245"/>
  <c r="Q244"/>
  <c r="Q243"/>
  <c r="Q242"/>
  <c r="Q241"/>
  <c r="Q240"/>
  <c r="Q239"/>
  <c r="Q238"/>
  <c r="Q237"/>
  <c r="Q236"/>
  <c r="Q235"/>
  <c r="Q234"/>
  <c r="Q233"/>
  <c r="Q246"/>
  <c r="Q232"/>
  <c r="Q231"/>
  <c r="Q230"/>
  <c r="Q229"/>
  <c r="Q228"/>
  <c r="Q227"/>
  <c r="Q226"/>
  <c r="Q225"/>
  <c r="Q224"/>
  <c r="Q223"/>
  <c r="Q214"/>
  <c r="Q213"/>
  <c r="Q211"/>
  <c r="Q209"/>
  <c r="Q205"/>
  <c r="Q202"/>
  <c r="Q201"/>
  <c r="Q200"/>
  <c r="Q199"/>
  <c r="Q198"/>
  <c r="Q197"/>
  <c r="Q196"/>
  <c r="Q195"/>
  <c r="Q194"/>
  <c r="Q193"/>
  <c r="Q192"/>
  <c r="Q191"/>
  <c r="Q190"/>
  <c r="Q189"/>
  <c r="Q188"/>
  <c r="Q187"/>
  <c r="Q186"/>
  <c r="Q185"/>
  <c r="Q184"/>
  <c r="Q175"/>
  <c r="Q635"/>
  <c r="Q600"/>
  <c r="Q174"/>
  <c r="Q173"/>
  <c r="Q172"/>
  <c r="Q171"/>
  <c r="Q170"/>
  <c r="Q169"/>
  <c r="Q167"/>
  <c r="Q166"/>
  <c r="Q165"/>
  <c r="Q164"/>
  <c r="Q163"/>
  <c r="Q162"/>
  <c r="Q161"/>
  <c r="Q160"/>
  <c r="Q159"/>
  <c r="Q158"/>
  <c r="Q143"/>
  <c r="Q142"/>
  <c r="Q140"/>
  <c r="Q139"/>
  <c r="Q138"/>
  <c r="Q137"/>
  <c r="Q136"/>
  <c r="Q135"/>
  <c r="Q134"/>
  <c r="Q133"/>
  <c r="Q132"/>
  <c r="Q131"/>
  <c r="Q130"/>
  <c r="Q129"/>
  <c r="Q128"/>
  <c r="Q127"/>
  <c r="Q126"/>
  <c r="Q125"/>
  <c r="Q124"/>
  <c r="Q123"/>
  <c r="Q122"/>
  <c r="Q121"/>
  <c r="Q120"/>
  <c r="Q119"/>
  <c r="Q118"/>
  <c r="Q117"/>
  <c r="Q116"/>
  <c r="Q115"/>
  <c r="Q114"/>
  <c r="Q113"/>
  <c r="Q112"/>
  <c r="Q111"/>
  <c r="Q110"/>
  <c r="Q109"/>
  <c r="Q108"/>
  <c r="Q107"/>
  <c r="Q106"/>
  <c r="Q105"/>
  <c r="Q104"/>
  <c r="Q103"/>
  <c r="Q102"/>
  <c r="Q101"/>
  <c r="Q100"/>
  <c r="Q99"/>
  <c r="Q98"/>
  <c r="Q97"/>
  <c r="Q96"/>
  <c r="Q95"/>
  <c r="Q94"/>
  <c r="Q925"/>
  <c r="Q924"/>
  <c r="Q923"/>
  <c r="Q922"/>
  <c r="Q958"/>
  <c r="Q957"/>
  <c r="Q956"/>
  <c r="Q955"/>
  <c r="Q954"/>
  <c r="Q953"/>
  <c r="Q951"/>
  <c r="Q952"/>
  <c r="Q950"/>
  <c r="Q949"/>
  <c r="Q948"/>
  <c r="Q947"/>
  <c r="Q946"/>
  <c r="Q943"/>
  <c r="Q942"/>
  <c r="Q940"/>
  <c r="Q939"/>
  <c r="Q938"/>
  <c r="Q937"/>
  <c r="Q936"/>
  <c r="Q935"/>
  <c r="Q933"/>
  <c r="Q932"/>
  <c r="Q931"/>
  <c r="Q930"/>
  <c r="Q945"/>
  <c r="Q944"/>
  <c r="Q928"/>
  <c r="Q927"/>
  <c r="Q926"/>
  <c r="Q919"/>
  <c r="Q918"/>
  <c r="Q917"/>
  <c r="Q916"/>
  <c r="Q915"/>
  <c r="Q914"/>
  <c r="Q913"/>
  <c r="Q912"/>
  <c r="Q910"/>
  <c r="Q909"/>
  <c r="Q908"/>
  <c r="Q907"/>
  <c r="Q905"/>
  <c r="Q904"/>
  <c r="Q903"/>
  <c r="Q900"/>
  <c r="Q899"/>
  <c r="Q898"/>
  <c r="Q897"/>
  <c r="Q896"/>
  <c r="Q894"/>
  <c r="Q893"/>
  <c r="Q892"/>
  <c r="Q891"/>
  <c r="Q890"/>
  <c r="Q887"/>
  <c r="Q886"/>
  <c r="Q885"/>
  <c r="Q884"/>
  <c r="Q883"/>
  <c r="Q882"/>
  <c r="Q881"/>
  <c r="Q880"/>
  <c r="Q879"/>
  <c r="Q878"/>
  <c r="Q877"/>
  <c r="Q876"/>
  <c r="Q875"/>
  <c r="Q874"/>
  <c r="Q873"/>
  <c r="Q872"/>
  <c r="Q871"/>
  <c r="Q870"/>
  <c r="Q868"/>
  <c r="Q867"/>
  <c r="Q866"/>
  <c r="Q865"/>
  <c r="Q863"/>
  <c r="Q844"/>
  <c r="Q845"/>
  <c r="Q1062"/>
  <c r="Q830"/>
  <c r="Q979"/>
  <c r="Q1067"/>
  <c r="Q840"/>
  <c r="Q835"/>
  <c r="Q834"/>
  <c r="Q1066"/>
  <c r="Q829"/>
  <c r="Q839"/>
  <c r="Q978"/>
  <c r="Q833"/>
  <c r="Q828"/>
  <c r="Q838"/>
  <c r="Q1065"/>
  <c r="Q977"/>
  <c r="Q675"/>
  <c r="Q1064"/>
  <c r="Q832"/>
  <c r="Q827"/>
  <c r="Q837"/>
  <c r="Q976"/>
  <c r="Q975"/>
  <c r="Q826"/>
  <c r="Q1063"/>
  <c r="Q831"/>
  <c r="Q836"/>
  <c r="Q974"/>
  <c r="Q825"/>
  <c r="Q824"/>
  <c r="Q823"/>
  <c r="Q822"/>
  <c r="Q821"/>
  <c r="Q820"/>
  <c r="Q819"/>
  <c r="Q785"/>
  <c r="Q818"/>
  <c r="Q817"/>
  <c r="Q816"/>
  <c r="Q815"/>
  <c r="Q814"/>
  <c r="Q813"/>
  <c r="Q812"/>
  <c r="Q811"/>
  <c r="Q809"/>
  <c r="Q808"/>
  <c r="Q807"/>
  <c r="Q806"/>
  <c r="Q805"/>
  <c r="Q804"/>
  <c r="Q803"/>
  <c r="Q802"/>
  <c r="Q801"/>
  <c r="Q800"/>
  <c r="Q799"/>
  <c r="Q798"/>
  <c r="Q797"/>
  <c r="Q795"/>
  <c r="Q794"/>
  <c r="Q793"/>
  <c r="Q792"/>
  <c r="Q790"/>
  <c r="Q789"/>
  <c r="Q788"/>
  <c r="Q787"/>
  <c r="Q786"/>
  <c r="Q783"/>
  <c r="Q782"/>
  <c r="Q781"/>
  <c r="Q780"/>
  <c r="Q779"/>
  <c r="Q778"/>
  <c r="Q777"/>
  <c r="Q776"/>
  <c r="Q775"/>
  <c r="Q774"/>
  <c r="Q773"/>
  <c r="Q772"/>
  <c r="Q771"/>
  <c r="Q770"/>
  <c r="Q769"/>
  <c r="Q768"/>
  <c r="Q767"/>
  <c r="Q766"/>
  <c r="Q765"/>
  <c r="Q764"/>
  <c r="Q763"/>
  <c r="Q714"/>
  <c r="Q713"/>
  <c r="Q1015"/>
  <c r="Q1014"/>
  <c r="Q1013"/>
  <c r="Q712"/>
  <c r="Q710"/>
  <c r="Q707"/>
  <c r="Q706"/>
  <c r="Q704"/>
  <c r="Q703"/>
  <c r="Q702"/>
  <c r="Q701"/>
  <c r="Q700"/>
  <c r="Q699"/>
  <c r="Q698"/>
  <c r="Q697"/>
  <c r="Q696"/>
  <c r="Q695"/>
  <c r="Q694"/>
  <c r="Q693"/>
  <c r="Q692"/>
  <c r="Q691"/>
  <c r="Q690"/>
  <c r="Q991"/>
  <c r="Q990"/>
  <c r="Q989"/>
  <c r="Q689"/>
  <c r="Q688"/>
  <c r="Q687"/>
  <c r="Q686"/>
  <c r="Q685"/>
  <c r="Q683"/>
  <c r="Q682"/>
  <c r="Q681"/>
  <c r="Q680"/>
  <c r="Q679"/>
  <c r="Q678"/>
  <c r="Q677"/>
  <c r="Q676"/>
  <c r="Q784"/>
  <c r="Q761"/>
  <c r="Q760"/>
  <c r="Q759"/>
  <c r="Q757"/>
  <c r="Q756"/>
  <c r="Q755"/>
  <c r="Q754"/>
  <c r="Q753"/>
  <c r="Q752"/>
  <c r="Q751"/>
  <c r="Q750"/>
  <c r="Q749"/>
  <c r="Q748"/>
  <c r="Q747"/>
  <c r="Q746"/>
  <c r="Q745"/>
  <c r="Q744"/>
  <c r="Q743"/>
  <c r="Q741"/>
  <c r="Q738"/>
  <c r="Q737"/>
  <c r="Q736"/>
  <c r="Q735"/>
  <c r="Q734"/>
  <c r="Q733"/>
  <c r="Q728"/>
  <c r="Q727"/>
  <c r="Q726"/>
  <c r="Q725"/>
  <c r="Q724"/>
  <c r="Q723"/>
  <c r="Q722"/>
  <c r="Q721"/>
  <c r="Q720"/>
  <c r="Q719"/>
  <c r="Q718"/>
  <c r="Q717"/>
  <c r="Q716"/>
  <c r="Q729"/>
  <c r="Q1152"/>
  <c r="Q655"/>
  <c r="Q1151"/>
  <c r="Q1150"/>
  <c r="Q650"/>
  <c r="Q643"/>
  <c r="Q642"/>
  <c r="Q634"/>
  <c r="Q623"/>
  <c r="Q619"/>
  <c r="Q606"/>
  <c r="Q604"/>
  <c r="Q596"/>
  <c r="Q593"/>
  <c r="Q581"/>
  <c r="Q579"/>
  <c r="Q578"/>
  <c r="Q576"/>
  <c r="Q574"/>
  <c r="Q573"/>
  <c r="Q572"/>
  <c r="Q531"/>
  <c r="Q530"/>
  <c r="Q1149"/>
  <c r="Q1148"/>
  <c r="Q1147"/>
  <c r="Q653"/>
  <c r="Q637"/>
  <c r="Q617"/>
  <c r="Q589"/>
  <c r="Q547"/>
  <c r="Q1146"/>
  <c r="Q1145"/>
  <c r="Q1144"/>
  <c r="Q1143"/>
  <c r="Q1142"/>
  <c r="Q1141"/>
  <c r="Q1140"/>
  <c r="Q1139"/>
  <c r="Q1138"/>
  <c r="Q1137"/>
  <c r="Q1136"/>
  <c r="Q1135"/>
  <c r="Q636"/>
  <c r="Q631"/>
  <c r="Q611"/>
  <c r="Q582"/>
  <c r="Q569"/>
  <c r="Q568"/>
  <c r="Q518"/>
  <c r="Q517"/>
  <c r="Q516"/>
  <c r="Q515"/>
  <c r="Q514"/>
  <c r="Q513"/>
  <c r="Q1120"/>
  <c r="Q595"/>
  <c r="Q565"/>
  <c r="Q563"/>
  <c r="Q558"/>
  <c r="Q1106"/>
  <c r="Q1105"/>
  <c r="Q1104"/>
  <c r="Q645"/>
  <c r="Q644"/>
  <c r="Q633"/>
  <c r="Q603"/>
  <c r="Q592"/>
  <c r="Q588"/>
  <c r="Q587"/>
  <c r="Q580"/>
  <c r="Q577"/>
  <c r="Q575"/>
  <c r="Q567"/>
  <c r="Q566"/>
  <c r="Q560"/>
  <c r="Q557"/>
  <c r="Q554"/>
  <c r="Q553"/>
  <c r="Q546"/>
  <c r="Q545"/>
  <c r="Q544"/>
  <c r="Q543"/>
  <c r="Q538"/>
  <c r="Q533"/>
  <c r="Q529"/>
  <c r="Q528"/>
  <c r="Q527"/>
  <c r="Q525"/>
  <c r="Q524"/>
  <c r="Q523"/>
  <c r="Q1153"/>
  <c r="Q512"/>
  <c r="Q641"/>
  <c r="Q599"/>
  <c r="Q598"/>
  <c r="Q597"/>
  <c r="Q590"/>
  <c r="Q585"/>
  <c r="Q584"/>
  <c r="Q1134"/>
  <c r="Q1132"/>
  <c r="Q1131"/>
  <c r="Q1126"/>
  <c r="Q1125"/>
  <c r="Q1123"/>
  <c r="Q1122"/>
  <c r="Q624"/>
  <c r="Q622"/>
  <c r="Q620"/>
  <c r="Q618"/>
  <c r="Q609"/>
  <c r="Q608"/>
  <c r="Q607"/>
  <c r="Q594"/>
  <c r="Q570"/>
  <c r="Q552"/>
  <c r="Q551"/>
  <c r="Q535"/>
  <c r="Q532"/>
  <c r="Q519"/>
  <c r="Q1117"/>
  <c r="Q1121"/>
  <c r="Q640"/>
  <c r="Q639"/>
  <c r="Q632"/>
  <c r="Q629"/>
  <c r="Q621"/>
  <c r="Q616"/>
  <c r="Q614"/>
  <c r="Q613"/>
  <c r="Q612"/>
  <c r="Q586"/>
  <c r="Q583"/>
  <c r="Q571"/>
  <c r="Q550"/>
  <c r="Q549"/>
  <c r="Q542"/>
  <c r="Q540"/>
  <c r="Q539"/>
  <c r="Q536"/>
  <c r="Q534"/>
  <c r="Q521"/>
  <c r="Q1112"/>
  <c r="Q1111"/>
  <c r="Q1110"/>
  <c r="Q1108"/>
  <c r="Q1107"/>
  <c r="Q627"/>
  <c r="Q626"/>
  <c r="Q625"/>
  <c r="Q615"/>
  <c r="Q610"/>
  <c r="Q602"/>
  <c r="Q601"/>
  <c r="Q591"/>
  <c r="Q562"/>
  <c r="Q561"/>
  <c r="Q556"/>
  <c r="Q555"/>
  <c r="Q548"/>
  <c r="Q541"/>
  <c r="Q522"/>
  <c r="Q520"/>
  <c r="Q511"/>
  <c r="Q510"/>
  <c r="Q509"/>
  <c r="Q508"/>
  <c r="Q1088"/>
  <c r="Q1087"/>
  <c r="Q1086"/>
  <c r="Q1084"/>
  <c r="Q1083"/>
  <c r="Q1081"/>
  <c r="Q1080"/>
  <c r="Q1078"/>
  <c r="Q1077"/>
  <c r="Q1071"/>
  <c r="Q649"/>
  <c r="Q648"/>
  <c r="Q638"/>
  <c r="Q630"/>
  <c r="Q628"/>
  <c r="Q605"/>
  <c r="Q1158"/>
  <c r="Q1157"/>
  <c r="Q1155"/>
  <c r="Q1154"/>
  <c r="Q1156"/>
  <c r="Q654"/>
  <c r="Q652"/>
  <c r="Q651"/>
  <c r="Q647"/>
  <c r="Q646"/>
  <c r="P810"/>
  <c r="P762"/>
  <c r="P980"/>
  <c r="P1025"/>
  <c r="P1024"/>
  <c r="P959"/>
  <c r="P911"/>
  <c r="P941"/>
  <c r="P934"/>
  <c r="P929"/>
  <c r="P869"/>
  <c r="P758"/>
  <c r="P742"/>
  <c r="P740"/>
  <c r="P739"/>
  <c r="P732"/>
  <c r="P731"/>
  <c r="P730"/>
  <c r="P141"/>
  <c r="P499"/>
  <c r="P317"/>
  <c r="P316"/>
  <c r="P315"/>
  <c r="P314"/>
  <c r="P311"/>
  <c r="P308"/>
  <c r="P306"/>
  <c r="P292"/>
  <c r="P285"/>
  <c r="P222"/>
  <c r="P221"/>
  <c r="P220"/>
  <c r="P212"/>
  <c r="P183"/>
  <c r="P182"/>
  <c r="P181"/>
  <c r="P157"/>
  <c r="P156"/>
  <c r="P154"/>
  <c r="P87"/>
  <c r="P81"/>
  <c r="P80"/>
  <c r="P33"/>
  <c r="P22"/>
  <c r="P9"/>
  <c r="P674"/>
  <c r="P673"/>
  <c r="P506"/>
  <c r="P486"/>
  <c r="P973"/>
  <c r="P969"/>
  <c r="P968"/>
  <c r="P453"/>
  <c r="P447"/>
  <c r="P440"/>
  <c r="P439"/>
  <c r="P433"/>
  <c r="P418"/>
  <c r="P417"/>
  <c r="P401"/>
  <c r="P400"/>
  <c r="P399"/>
  <c r="P388"/>
  <c r="P387"/>
  <c r="P362"/>
  <c r="P438"/>
  <c r="P961"/>
  <c r="P960"/>
  <c r="P210"/>
  <c r="P208"/>
  <c r="P207"/>
  <c r="P206"/>
  <c r="P204"/>
  <c r="P203"/>
  <c r="P176"/>
  <c r="P921"/>
  <c r="P152"/>
  <c r="P151"/>
  <c r="P150"/>
  <c r="P149"/>
  <c r="P148"/>
  <c r="P147"/>
  <c r="P146"/>
  <c r="P145"/>
  <c r="P144"/>
  <c r="P920"/>
  <c r="P902"/>
  <c r="P901"/>
  <c r="P889"/>
  <c r="P906"/>
  <c r="P888"/>
  <c r="P864"/>
  <c r="P854"/>
  <c r="P860"/>
  <c r="P859"/>
  <c r="P858"/>
  <c r="P857"/>
  <c r="P856"/>
  <c r="P862"/>
  <c r="P861"/>
  <c r="P852"/>
  <c r="P851"/>
  <c r="P850"/>
  <c r="P849"/>
  <c r="P846"/>
  <c r="P855"/>
  <c r="P848"/>
  <c r="P847"/>
  <c r="P853"/>
  <c r="P843"/>
  <c r="P842"/>
  <c r="P841"/>
  <c r="P715"/>
  <c r="P709"/>
  <c r="P708"/>
  <c r="P705"/>
  <c r="P537"/>
  <c r="P559"/>
  <c r="P564"/>
  <c r="P526"/>
  <c r="P1133"/>
  <c r="P1130"/>
  <c r="P1129"/>
  <c r="P1128"/>
  <c r="P1127"/>
  <c r="P1124"/>
  <c r="P1119"/>
  <c r="P1118"/>
  <c r="P1116"/>
  <c r="P1115"/>
  <c r="P1114"/>
  <c r="P1113"/>
  <c r="P1109"/>
  <c r="P1103"/>
  <c r="P1102"/>
  <c r="P1101"/>
  <c r="P1100"/>
  <c r="P1099"/>
  <c r="P1098"/>
  <c r="P1097"/>
  <c r="P1096"/>
  <c r="P1095"/>
  <c r="P1094"/>
  <c r="P1093"/>
  <c r="P1092"/>
  <c r="P1091"/>
  <c r="P1090"/>
  <c r="P1089"/>
  <c r="P1085"/>
  <c r="P1082"/>
  <c r="P1079"/>
  <c r="P1076"/>
  <c r="P1075"/>
  <c r="P1074"/>
  <c r="P1073"/>
  <c r="P1072"/>
  <c r="P1070"/>
  <c r="P1160"/>
  <c r="P1159"/>
  <c r="P466"/>
  <c r="P498"/>
  <c r="P303"/>
  <c r="P299"/>
  <c r="P1054"/>
  <c r="P1055"/>
  <c r="P971"/>
  <c r="P970"/>
  <c r="P965"/>
  <c r="P460"/>
  <c r="P451"/>
  <c r="P448"/>
  <c r="P446"/>
  <c r="P445"/>
  <c r="P384"/>
  <c r="P319"/>
  <c r="P895"/>
  <c r="P796"/>
  <c r="P791"/>
  <c r="P711"/>
  <c r="P987"/>
  <c r="P986"/>
  <c r="P684"/>
  <c r="P179"/>
  <c r="P178"/>
  <c r="P177"/>
  <c r="P168"/>
  <c r="P1069"/>
  <c r="P1068"/>
  <c r="P1060"/>
  <c r="P1059"/>
  <c r="P1058"/>
  <c r="P1057"/>
  <c r="P1035"/>
  <c r="P1034"/>
  <c r="P1033"/>
  <c r="P1032"/>
  <c r="P1031"/>
  <c r="P1030"/>
  <c r="P1053"/>
  <c r="P1052"/>
  <c r="P1051"/>
  <c r="P1050"/>
  <c r="P1049"/>
  <c r="P1048"/>
  <c r="P1047"/>
  <c r="P1046"/>
  <c r="P1045"/>
  <c r="P1044"/>
  <c r="P1043"/>
  <c r="P1042"/>
  <c r="P1041"/>
  <c r="P1040"/>
  <c r="P1039"/>
  <c r="P1038"/>
  <c r="P1037"/>
  <c r="P1036"/>
  <c r="P1008"/>
  <c r="P985"/>
  <c r="P984"/>
  <c r="P983"/>
  <c r="P982"/>
  <c r="P981"/>
  <c r="P1056"/>
  <c r="P1029"/>
  <c r="P1028"/>
  <c r="P1027"/>
  <c r="P1026"/>
  <c r="P1023"/>
  <c r="P1022"/>
  <c r="P1021"/>
  <c r="P1020"/>
  <c r="P1019"/>
  <c r="P1018"/>
  <c r="P1017"/>
  <c r="P1016"/>
  <c r="P1012"/>
  <c r="P1011"/>
  <c r="P1010"/>
  <c r="P1009"/>
  <c r="P1007"/>
  <c r="P1006"/>
  <c r="P1005"/>
  <c r="P1004"/>
  <c r="P1003"/>
  <c r="P1002"/>
  <c r="P1001"/>
  <c r="P1000"/>
  <c r="P999"/>
  <c r="P998"/>
  <c r="P997"/>
  <c r="P996"/>
  <c r="P995"/>
  <c r="P994"/>
  <c r="P993"/>
  <c r="P992"/>
  <c r="P988"/>
  <c r="P6"/>
  <c r="P5"/>
  <c r="P4"/>
  <c r="P3"/>
  <c r="P2"/>
  <c r="P1061"/>
  <c r="P662"/>
  <c r="P661"/>
  <c r="P666"/>
  <c r="P665"/>
  <c r="P664"/>
  <c r="P663"/>
  <c r="P469"/>
  <c r="P468"/>
  <c r="P467"/>
  <c r="P465"/>
  <c r="P464"/>
  <c r="P463"/>
  <c r="P462"/>
  <c r="P461"/>
  <c r="P459"/>
  <c r="P458"/>
  <c r="P452"/>
  <c r="P313"/>
  <c r="P312"/>
  <c r="P310"/>
  <c r="P309"/>
  <c r="P307"/>
  <c r="P305"/>
  <c r="P304"/>
  <c r="P302"/>
  <c r="P301"/>
  <c r="P300"/>
  <c r="P298"/>
  <c r="P297"/>
  <c r="P296"/>
  <c r="P295"/>
  <c r="P294"/>
  <c r="P293"/>
  <c r="P291"/>
  <c r="P290"/>
  <c r="P289"/>
  <c r="P288"/>
  <c r="P287"/>
  <c r="P286"/>
  <c r="P284"/>
  <c r="P283"/>
  <c r="P282"/>
  <c r="P281"/>
  <c r="P280"/>
  <c r="P279"/>
  <c r="P278"/>
  <c r="P277"/>
  <c r="P276"/>
  <c r="P275"/>
  <c r="P274"/>
  <c r="P273"/>
  <c r="P272"/>
  <c r="P219"/>
  <c r="P218"/>
  <c r="P217"/>
  <c r="P216"/>
  <c r="P215"/>
  <c r="P180"/>
  <c r="P155"/>
  <c r="P153"/>
  <c r="P93"/>
  <c r="P92"/>
  <c r="P91"/>
  <c r="P90"/>
  <c r="P89"/>
  <c r="P88"/>
  <c r="P86"/>
  <c r="P85"/>
  <c r="P84"/>
  <c r="P83"/>
  <c r="P82"/>
  <c r="P79"/>
  <c r="P78"/>
  <c r="P77"/>
  <c r="P76"/>
  <c r="P75"/>
  <c r="P74"/>
  <c r="P73"/>
  <c r="P72"/>
  <c r="P71"/>
  <c r="P70"/>
  <c r="P69"/>
  <c r="P68"/>
  <c r="P67"/>
  <c r="P66"/>
  <c r="P65"/>
  <c r="P64"/>
  <c r="P63"/>
  <c r="P62"/>
  <c r="P61"/>
  <c r="P60"/>
  <c r="P59"/>
  <c r="P58"/>
  <c r="P57"/>
  <c r="P56"/>
  <c r="P55"/>
  <c r="P54"/>
  <c r="P53"/>
  <c r="P52"/>
  <c r="P51"/>
  <c r="P50"/>
  <c r="P49"/>
  <c r="P48"/>
  <c r="P47"/>
  <c r="P46"/>
  <c r="P45"/>
  <c r="P44"/>
  <c r="P43"/>
  <c r="P42"/>
  <c r="P41"/>
  <c r="P40"/>
  <c r="P39"/>
  <c r="P38"/>
  <c r="P37"/>
  <c r="P36"/>
  <c r="P35"/>
  <c r="P34"/>
  <c r="P32"/>
  <c r="P31"/>
  <c r="P30"/>
  <c r="P29"/>
  <c r="P28"/>
  <c r="P27"/>
  <c r="P26"/>
  <c r="P25"/>
  <c r="P24"/>
  <c r="P23"/>
  <c r="P21"/>
  <c r="P20"/>
  <c r="P19"/>
  <c r="P18"/>
  <c r="P17"/>
  <c r="P16"/>
  <c r="P15"/>
  <c r="P14"/>
  <c r="P13"/>
  <c r="P12"/>
  <c r="P11"/>
  <c r="P10"/>
  <c r="P8"/>
  <c r="P7"/>
  <c r="P672"/>
  <c r="P671"/>
  <c r="P670"/>
  <c r="P669"/>
  <c r="P668"/>
  <c r="P667"/>
  <c r="P660"/>
  <c r="P504"/>
  <c r="P659"/>
  <c r="P658"/>
  <c r="P657"/>
  <c r="P656"/>
  <c r="P507"/>
  <c r="P505"/>
  <c r="P503"/>
  <c r="P502"/>
  <c r="P501"/>
  <c r="P500"/>
  <c r="P497"/>
  <c r="P496"/>
  <c r="P495"/>
  <c r="P494"/>
  <c r="P493"/>
  <c r="P492"/>
  <c r="P491"/>
  <c r="P490"/>
  <c r="P489"/>
  <c r="P488"/>
  <c r="P487"/>
  <c r="P485"/>
  <c r="P484"/>
  <c r="P483"/>
  <c r="P482"/>
  <c r="P481"/>
  <c r="P480"/>
  <c r="P479"/>
  <c r="P478"/>
  <c r="P477"/>
  <c r="P476"/>
  <c r="P475"/>
  <c r="P474"/>
  <c r="P473"/>
  <c r="P472"/>
  <c r="P471"/>
  <c r="P470"/>
  <c r="P972"/>
  <c r="P967"/>
  <c r="P966"/>
  <c r="P964"/>
  <c r="P963"/>
  <c r="P962"/>
  <c r="P457"/>
  <c r="P456"/>
  <c r="P455"/>
  <c r="P454"/>
  <c r="P450"/>
  <c r="P449"/>
  <c r="P444"/>
  <c r="P443"/>
  <c r="P442"/>
  <c r="P441"/>
  <c r="P437"/>
  <c r="P436"/>
  <c r="P435"/>
  <c r="P434"/>
  <c r="P432"/>
  <c r="P431"/>
  <c r="P430"/>
  <c r="P429"/>
  <c r="P428"/>
  <c r="P427"/>
  <c r="P426"/>
  <c r="P425"/>
  <c r="P424"/>
  <c r="P423"/>
  <c r="P422"/>
  <c r="P421"/>
  <c r="P420"/>
  <c r="P419"/>
  <c r="P416"/>
  <c r="P415"/>
  <c r="P414"/>
  <c r="P413"/>
  <c r="P412"/>
  <c r="P411"/>
  <c r="P410"/>
  <c r="P409"/>
  <c r="P408"/>
  <c r="P407"/>
  <c r="P406"/>
  <c r="P405"/>
  <c r="P404"/>
  <c r="P403"/>
  <c r="P402"/>
  <c r="P398"/>
  <c r="P397"/>
  <c r="P396"/>
  <c r="P395"/>
  <c r="P394"/>
  <c r="P393"/>
  <c r="P392"/>
  <c r="P391"/>
  <c r="P390"/>
  <c r="P389"/>
  <c r="P386"/>
  <c r="P385"/>
  <c r="P383"/>
  <c r="P382"/>
  <c r="P381"/>
  <c r="P380"/>
  <c r="P379"/>
  <c r="P378"/>
  <c r="P377"/>
  <c r="P376"/>
  <c r="P375"/>
  <c r="P374"/>
  <c r="P373"/>
  <c r="P372"/>
  <c r="P371"/>
  <c r="P370"/>
  <c r="P369"/>
  <c r="P368"/>
  <c r="P367"/>
  <c r="P366"/>
  <c r="P365"/>
  <c r="P364"/>
  <c r="P363"/>
  <c r="P361"/>
  <c r="P360"/>
  <c r="P359"/>
  <c r="P358"/>
  <c r="P357"/>
  <c r="P356"/>
  <c r="P355"/>
  <c r="P354"/>
  <c r="P353"/>
  <c r="P352"/>
  <c r="P351"/>
  <c r="P350"/>
  <c r="P349"/>
  <c r="P348"/>
  <c r="P347"/>
  <c r="P346"/>
  <c r="P345"/>
  <c r="P344"/>
  <c r="P343"/>
  <c r="P342"/>
  <c r="P341"/>
  <c r="P340"/>
  <c r="P339"/>
  <c r="P338"/>
  <c r="P337"/>
  <c r="P336"/>
  <c r="P335"/>
  <c r="P334"/>
  <c r="P333"/>
  <c r="P332"/>
  <c r="P331"/>
  <c r="P330"/>
  <c r="P329"/>
  <c r="P328"/>
  <c r="P327"/>
  <c r="P326"/>
  <c r="P325"/>
  <c r="P324"/>
  <c r="P323"/>
  <c r="P322"/>
  <c r="P321"/>
  <c r="P320"/>
  <c r="P318"/>
  <c r="P271"/>
  <c r="P270"/>
  <c r="P269"/>
  <c r="P268"/>
  <c r="P267"/>
  <c r="P266"/>
  <c r="P265"/>
  <c r="P264"/>
  <c r="P263"/>
  <c r="P262"/>
  <c r="P261"/>
  <c r="P260"/>
  <c r="P259"/>
  <c r="P258"/>
  <c r="P257"/>
  <c r="P256"/>
  <c r="P255"/>
  <c r="P254"/>
  <c r="P253"/>
  <c r="P252"/>
  <c r="P251"/>
  <c r="P250"/>
  <c r="P249"/>
  <c r="P248"/>
  <c r="P247"/>
  <c r="P245"/>
  <c r="P244"/>
  <c r="P243"/>
  <c r="P242"/>
  <c r="P241"/>
  <c r="P240"/>
  <c r="P239"/>
  <c r="P238"/>
  <c r="P237"/>
  <c r="P236"/>
  <c r="P235"/>
  <c r="P234"/>
  <c r="P233"/>
  <c r="P246"/>
  <c r="P232"/>
  <c r="P231"/>
  <c r="P230"/>
  <c r="P229"/>
  <c r="P228"/>
  <c r="P227"/>
  <c r="P226"/>
  <c r="P225"/>
  <c r="P224"/>
  <c r="P223"/>
  <c r="P214"/>
  <c r="P213"/>
  <c r="P211"/>
  <c r="P209"/>
  <c r="P205"/>
  <c r="P202"/>
  <c r="P201"/>
  <c r="P200"/>
  <c r="P199"/>
  <c r="P198"/>
  <c r="P197"/>
  <c r="P196"/>
  <c r="P195"/>
  <c r="P194"/>
  <c r="P193"/>
  <c r="P192"/>
  <c r="P191"/>
  <c r="P190"/>
  <c r="P189"/>
  <c r="P188"/>
  <c r="P187"/>
  <c r="P186"/>
  <c r="P185"/>
  <c r="P184"/>
  <c r="P175"/>
  <c r="P635"/>
  <c r="P600"/>
  <c r="P174"/>
  <c r="P173"/>
  <c r="P172"/>
  <c r="P171"/>
  <c r="P170"/>
  <c r="P169"/>
  <c r="P167"/>
  <c r="P166"/>
  <c r="P165"/>
  <c r="P164"/>
  <c r="P163"/>
  <c r="P162"/>
  <c r="P161"/>
  <c r="P160"/>
  <c r="P159"/>
  <c r="P158"/>
  <c r="P143"/>
  <c r="P142"/>
  <c r="P140"/>
  <c r="P139"/>
  <c r="P138"/>
  <c r="P137"/>
  <c r="P136"/>
  <c r="P135"/>
  <c r="P134"/>
  <c r="P133"/>
  <c r="P132"/>
  <c r="P131"/>
  <c r="P130"/>
  <c r="P129"/>
  <c r="P128"/>
  <c r="P127"/>
  <c r="P126"/>
  <c r="P125"/>
  <c r="P124"/>
  <c r="P123"/>
  <c r="P122"/>
  <c r="P121"/>
  <c r="P120"/>
  <c r="P119"/>
  <c r="P118"/>
  <c r="P117"/>
  <c r="P116"/>
  <c r="P115"/>
  <c r="P114"/>
  <c r="P113"/>
  <c r="P112"/>
  <c r="P111"/>
  <c r="P110"/>
  <c r="P109"/>
  <c r="P108"/>
  <c r="P107"/>
  <c r="P106"/>
  <c r="P105"/>
  <c r="P104"/>
  <c r="P103"/>
  <c r="P102"/>
  <c r="P101"/>
  <c r="P100"/>
  <c r="P99"/>
  <c r="P98"/>
  <c r="P97"/>
  <c r="P96"/>
  <c r="P95"/>
  <c r="P94"/>
  <c r="P925"/>
  <c r="P924"/>
  <c r="P923"/>
  <c r="P922"/>
  <c r="P958"/>
  <c r="P957"/>
  <c r="P956"/>
  <c r="P955"/>
  <c r="P954"/>
  <c r="P953"/>
  <c r="P951"/>
  <c r="P952"/>
  <c r="P950"/>
  <c r="P949"/>
  <c r="P948"/>
  <c r="P947"/>
  <c r="P946"/>
  <c r="P943"/>
  <c r="P942"/>
  <c r="P940"/>
  <c r="P939"/>
  <c r="P938"/>
  <c r="P937"/>
  <c r="P936"/>
  <c r="P935"/>
  <c r="P933"/>
  <c r="P932"/>
  <c r="P931"/>
  <c r="P930"/>
  <c r="P945"/>
  <c r="P944"/>
  <c r="P928"/>
  <c r="P927"/>
  <c r="P926"/>
  <c r="P919"/>
  <c r="P918"/>
  <c r="P917"/>
  <c r="P916"/>
  <c r="P915"/>
  <c r="P914"/>
  <c r="P913"/>
  <c r="P912"/>
  <c r="P910"/>
  <c r="P909"/>
  <c r="P908"/>
  <c r="P907"/>
  <c r="P905"/>
  <c r="P904"/>
  <c r="P903"/>
  <c r="P900"/>
  <c r="P899"/>
  <c r="P898"/>
  <c r="P897"/>
  <c r="P896"/>
  <c r="P894"/>
  <c r="P893"/>
  <c r="P892"/>
  <c r="P891"/>
  <c r="P890"/>
  <c r="P887"/>
  <c r="P886"/>
  <c r="P885"/>
  <c r="P884"/>
  <c r="P883"/>
  <c r="P882"/>
  <c r="P881"/>
  <c r="P880"/>
  <c r="P879"/>
  <c r="P878"/>
  <c r="P877"/>
  <c r="P876"/>
  <c r="P875"/>
  <c r="P874"/>
  <c r="P873"/>
  <c r="P872"/>
  <c r="P871"/>
  <c r="P870"/>
  <c r="P868"/>
  <c r="P867"/>
  <c r="P866"/>
  <c r="P865"/>
  <c r="P863"/>
  <c r="P844"/>
  <c r="P845"/>
  <c r="P1062"/>
  <c r="P830"/>
  <c r="P979"/>
  <c r="P1067"/>
  <c r="P840"/>
  <c r="P835"/>
  <c r="P834"/>
  <c r="P1066"/>
  <c r="P829"/>
  <c r="P839"/>
  <c r="P978"/>
  <c r="P833"/>
  <c r="P828"/>
  <c r="P838"/>
  <c r="P1065"/>
  <c r="P977"/>
  <c r="P675"/>
  <c r="P1064"/>
  <c r="P832"/>
  <c r="P827"/>
  <c r="P837"/>
  <c r="P976"/>
  <c r="P975"/>
  <c r="P826"/>
  <c r="P1063"/>
  <c r="P831"/>
  <c r="P836"/>
  <c r="P974"/>
  <c r="P825"/>
  <c r="P824"/>
  <c r="P823"/>
  <c r="P822"/>
  <c r="P821"/>
  <c r="P820"/>
  <c r="P819"/>
  <c r="P785"/>
  <c r="P818"/>
  <c r="P817"/>
  <c r="P816"/>
  <c r="P815"/>
  <c r="P814"/>
  <c r="P813"/>
  <c r="P812"/>
  <c r="P811"/>
  <c r="P809"/>
  <c r="P808"/>
  <c r="P807"/>
  <c r="P806"/>
  <c r="P805"/>
  <c r="P804"/>
  <c r="P803"/>
  <c r="P802"/>
  <c r="P801"/>
  <c r="P800"/>
  <c r="P799"/>
  <c r="P798"/>
  <c r="P797"/>
  <c r="P795"/>
  <c r="P794"/>
  <c r="P793"/>
  <c r="P792"/>
  <c r="P790"/>
  <c r="P789"/>
  <c r="P788"/>
  <c r="P787"/>
  <c r="P786"/>
  <c r="P783"/>
  <c r="P782"/>
  <c r="P781"/>
  <c r="P780"/>
  <c r="P779"/>
  <c r="P778"/>
  <c r="P777"/>
  <c r="P776"/>
  <c r="P775"/>
  <c r="P774"/>
  <c r="P773"/>
  <c r="P772"/>
  <c r="P771"/>
  <c r="P770"/>
  <c r="P769"/>
  <c r="P768"/>
  <c r="P767"/>
  <c r="P766"/>
  <c r="P765"/>
  <c r="P764"/>
  <c r="P763"/>
  <c r="P714"/>
  <c r="P713"/>
  <c r="P1015"/>
  <c r="P1014"/>
  <c r="P1013"/>
  <c r="P712"/>
  <c r="P710"/>
  <c r="P707"/>
  <c r="P706"/>
  <c r="P704"/>
  <c r="P703"/>
  <c r="P702"/>
  <c r="P701"/>
  <c r="P700"/>
  <c r="P699"/>
  <c r="P698"/>
  <c r="P697"/>
  <c r="P696"/>
  <c r="P695"/>
  <c r="P694"/>
  <c r="P693"/>
  <c r="P692"/>
  <c r="P691"/>
  <c r="P690"/>
  <c r="P991"/>
  <c r="P990"/>
  <c r="P989"/>
  <c r="P689"/>
  <c r="P688"/>
  <c r="P687"/>
  <c r="P686"/>
  <c r="P685"/>
  <c r="P683"/>
  <c r="P682"/>
  <c r="P681"/>
  <c r="P680"/>
  <c r="P679"/>
  <c r="P678"/>
  <c r="P677"/>
  <c r="P676"/>
  <c r="P784"/>
  <c r="P761"/>
  <c r="P760"/>
  <c r="P759"/>
  <c r="P757"/>
  <c r="P756"/>
  <c r="P755"/>
  <c r="P754"/>
  <c r="P753"/>
  <c r="P752"/>
  <c r="P751"/>
  <c r="P750"/>
  <c r="P749"/>
  <c r="P748"/>
  <c r="P747"/>
  <c r="P746"/>
  <c r="P745"/>
  <c r="P744"/>
  <c r="P743"/>
  <c r="P741"/>
  <c r="P738"/>
  <c r="P737"/>
  <c r="P736"/>
  <c r="P735"/>
  <c r="P734"/>
  <c r="P733"/>
  <c r="P728"/>
  <c r="P727"/>
  <c r="P726"/>
  <c r="P725"/>
  <c r="P724"/>
  <c r="P723"/>
  <c r="P722"/>
  <c r="P721"/>
  <c r="P720"/>
  <c r="P719"/>
  <c r="P718"/>
  <c r="P717"/>
  <c r="P716"/>
  <c r="P729"/>
  <c r="P1152"/>
  <c r="P655"/>
  <c r="P1151"/>
  <c r="P1150"/>
  <c r="P650"/>
  <c r="P643"/>
  <c r="P642"/>
  <c r="P634"/>
  <c r="P623"/>
  <c r="P619"/>
  <c r="P606"/>
  <c r="P604"/>
  <c r="P596"/>
  <c r="P593"/>
  <c r="P581"/>
  <c r="P579"/>
  <c r="P578"/>
  <c r="P576"/>
  <c r="P574"/>
  <c r="P573"/>
  <c r="P572"/>
  <c r="P531"/>
  <c r="P530"/>
  <c r="P1149"/>
  <c r="P1148"/>
  <c r="P1147"/>
  <c r="P653"/>
  <c r="P637"/>
  <c r="P617"/>
  <c r="P589"/>
  <c r="P547"/>
  <c r="P1146"/>
  <c r="P1145"/>
  <c r="P1144"/>
  <c r="P1143"/>
  <c r="P1142"/>
  <c r="P1141"/>
  <c r="P1140"/>
  <c r="P1139"/>
  <c r="P1138"/>
  <c r="P1137"/>
  <c r="P1136"/>
  <c r="P1135"/>
  <c r="P636"/>
  <c r="P631"/>
  <c r="P611"/>
  <c r="P582"/>
  <c r="P569"/>
  <c r="P568"/>
  <c r="P518"/>
  <c r="P517"/>
  <c r="P516"/>
  <c r="P515"/>
  <c r="P514"/>
  <c r="P513"/>
  <c r="P1120"/>
  <c r="P595"/>
  <c r="P565"/>
  <c r="P563"/>
  <c r="P558"/>
  <c r="P1106"/>
  <c r="P1105"/>
  <c r="P1104"/>
  <c r="P645"/>
  <c r="P644"/>
  <c r="P633"/>
  <c r="P603"/>
  <c r="P592"/>
  <c r="P588"/>
  <c r="P587"/>
  <c r="P580"/>
  <c r="P577"/>
  <c r="P575"/>
  <c r="P567"/>
  <c r="P566"/>
  <c r="P560"/>
  <c r="P557"/>
  <c r="P554"/>
  <c r="P553"/>
  <c r="P546"/>
  <c r="P545"/>
  <c r="P544"/>
  <c r="P543"/>
  <c r="P538"/>
  <c r="P533"/>
  <c r="P529"/>
  <c r="P528"/>
  <c r="P527"/>
  <c r="P525"/>
  <c r="P524"/>
  <c r="P523"/>
  <c r="P1153"/>
  <c r="P512"/>
  <c r="P641"/>
  <c r="P599"/>
  <c r="P598"/>
  <c r="P597"/>
  <c r="P590"/>
  <c r="P585"/>
  <c r="P584"/>
  <c r="P1134"/>
  <c r="P1132"/>
  <c r="P1131"/>
  <c r="P1126"/>
  <c r="P1125"/>
  <c r="P1123"/>
  <c r="P1122"/>
  <c r="P624"/>
  <c r="P622"/>
  <c r="P620"/>
  <c r="P618"/>
  <c r="P609"/>
  <c r="P608"/>
  <c r="P607"/>
  <c r="P594"/>
  <c r="P570"/>
  <c r="P552"/>
  <c r="P551"/>
  <c r="P535"/>
  <c r="P532"/>
  <c r="P519"/>
  <c r="P1117"/>
  <c r="P1121"/>
  <c r="P640"/>
  <c r="P639"/>
  <c r="P632"/>
  <c r="P629"/>
  <c r="P621"/>
  <c r="P616"/>
  <c r="P614"/>
  <c r="P613"/>
  <c r="P612"/>
  <c r="P586"/>
  <c r="P583"/>
  <c r="P571"/>
  <c r="P550"/>
  <c r="P549"/>
  <c r="P542"/>
  <c r="P540"/>
  <c r="P539"/>
  <c r="P536"/>
  <c r="P534"/>
  <c r="P521"/>
  <c r="P1112"/>
  <c r="P1111"/>
  <c r="P1110"/>
  <c r="P1108"/>
  <c r="P1107"/>
  <c r="P627"/>
  <c r="P626"/>
  <c r="P625"/>
  <c r="P615"/>
  <c r="P610"/>
  <c r="P602"/>
  <c r="P601"/>
  <c r="P591"/>
  <c r="P562"/>
  <c r="P561"/>
  <c r="P556"/>
  <c r="P555"/>
  <c r="P548"/>
  <c r="P541"/>
  <c r="P522"/>
  <c r="P520"/>
  <c r="P511"/>
  <c r="P510"/>
  <c r="P509"/>
  <c r="P508"/>
  <c r="P1088"/>
  <c r="P1087"/>
  <c r="P1086"/>
  <c r="P1084"/>
  <c r="P1083"/>
  <c r="P1081"/>
  <c r="P1080"/>
  <c r="P1078"/>
  <c r="P1077"/>
  <c r="P1071"/>
  <c r="P649"/>
  <c r="P648"/>
  <c r="P638"/>
  <c r="P630"/>
  <c r="P628"/>
  <c r="P605"/>
  <c r="P1158"/>
  <c r="P1157"/>
  <c r="P1155"/>
  <c r="P1154"/>
  <c r="P1156"/>
  <c r="P654"/>
  <c r="P652"/>
  <c r="P651"/>
  <c r="P647"/>
  <c r="P646"/>
  <c r="N321"/>
  <c r="N810"/>
  <c r="N762"/>
  <c r="N974"/>
  <c r="N843"/>
  <c r="N841"/>
  <c r="N1153"/>
  <c r="N512"/>
  <c r="N1134"/>
  <c r="N607"/>
  <c r="N535"/>
  <c r="N1133"/>
  <c r="N1132"/>
  <c r="N1131"/>
  <c r="N622"/>
  <c r="N1129"/>
  <c r="N1128"/>
  <c r="N1127"/>
  <c r="N1126"/>
  <c r="N1125"/>
  <c r="N1124"/>
  <c r="N1123"/>
  <c r="N1122"/>
  <c r="N618"/>
  <c r="N609"/>
  <c r="N594"/>
  <c r="N551"/>
  <c r="N980"/>
  <c r="N624"/>
  <c r="N620"/>
  <c r="N608"/>
  <c r="N570"/>
  <c r="N552"/>
  <c r="N532"/>
  <c r="N519"/>
  <c r="N1119"/>
  <c r="N1118"/>
  <c r="N1121"/>
  <c r="N842"/>
  <c r="N640"/>
  <c r="N639"/>
  <c r="N632"/>
  <c r="N629"/>
  <c r="N621"/>
  <c r="N616"/>
  <c r="N614"/>
  <c r="N613"/>
  <c r="N612"/>
  <c r="N586"/>
  <c r="N583"/>
  <c r="N571"/>
  <c r="N550"/>
  <c r="N549"/>
  <c r="N542"/>
  <c r="N540"/>
  <c r="N539"/>
  <c r="N536"/>
  <c r="N534"/>
  <c r="N521"/>
  <c r="N1116"/>
  <c r="N1115"/>
  <c r="N1114"/>
  <c r="N1113"/>
  <c r="N1112"/>
  <c r="N1111"/>
  <c r="N1110"/>
  <c r="N1109"/>
  <c r="N1108"/>
  <c r="N1107"/>
  <c r="N627"/>
  <c r="N626"/>
  <c r="N625"/>
  <c r="N615"/>
  <c r="N610"/>
  <c r="N602"/>
  <c r="N601"/>
  <c r="N591"/>
  <c r="N562"/>
  <c r="N561"/>
  <c r="N556"/>
  <c r="N555"/>
  <c r="N548"/>
  <c r="N541"/>
  <c r="N522"/>
  <c r="N520"/>
  <c r="N511"/>
  <c r="N510"/>
  <c r="N509"/>
  <c r="N508"/>
  <c r="N1103"/>
  <c r="N1102"/>
  <c r="N1101"/>
  <c r="N1100"/>
  <c r="N1099"/>
  <c r="N1098"/>
  <c r="N1097"/>
  <c r="N1096"/>
  <c r="N1095"/>
  <c r="N1094"/>
  <c r="N1093"/>
  <c r="N1092"/>
  <c r="N1091"/>
  <c r="N1090"/>
  <c r="N1089"/>
  <c r="N1088"/>
  <c r="N1087"/>
  <c r="N1086"/>
  <c r="N1085"/>
  <c r="N1084"/>
  <c r="N1083"/>
  <c r="N1082"/>
  <c r="N1081"/>
  <c r="N1080"/>
  <c r="N1079"/>
  <c r="N1078"/>
  <c r="N1077"/>
  <c r="N1076"/>
  <c r="N1075"/>
  <c r="N1074"/>
  <c r="N1073"/>
  <c r="N1072"/>
  <c r="N1071"/>
  <c r="N1070"/>
  <c r="N649"/>
  <c r="N648"/>
  <c r="N638"/>
  <c r="N630"/>
  <c r="N628"/>
  <c r="N605"/>
  <c r="N363"/>
  <c r="N324"/>
  <c r="N323"/>
  <c r="N208"/>
  <c r="N206"/>
  <c r="N205"/>
  <c r="N410"/>
  <c r="N408"/>
  <c r="N271"/>
  <c r="N270"/>
  <c r="N269"/>
  <c r="N268"/>
  <c r="N267"/>
  <c r="N266"/>
  <c r="N265"/>
  <c r="N264"/>
  <c r="N263"/>
  <c r="N262"/>
  <c r="N261"/>
  <c r="N260"/>
  <c r="N259"/>
  <c r="N258"/>
  <c r="N257"/>
  <c r="N256"/>
  <c r="N255"/>
  <c r="N254"/>
  <c r="N253"/>
  <c r="N252"/>
  <c r="N251"/>
  <c r="N250"/>
  <c r="N249"/>
  <c r="N248"/>
  <c r="N247"/>
  <c r="N246"/>
  <c r="N245"/>
  <c r="N244"/>
  <c r="N243"/>
  <c r="N242"/>
  <c r="N241"/>
  <c r="N240"/>
  <c r="N239"/>
  <c r="N238"/>
  <c r="N237"/>
  <c r="N236"/>
  <c r="N235"/>
  <c r="N234"/>
  <c r="N233"/>
  <c r="N232"/>
  <c r="N138"/>
  <c r="N137"/>
  <c r="N126"/>
  <c r="N125"/>
  <c r="N124"/>
  <c r="N120"/>
  <c r="N118"/>
  <c r="N116"/>
  <c r="N115"/>
  <c r="N112"/>
  <c r="N111"/>
  <c r="N110"/>
  <c r="N109"/>
  <c r="N108"/>
  <c r="N107"/>
  <c r="N106"/>
  <c r="N105"/>
  <c r="N104"/>
  <c r="N103"/>
  <c r="N102"/>
  <c r="N99"/>
  <c r="N153"/>
  <c r="N457"/>
  <c r="N456"/>
  <c r="N454"/>
  <c r="N451"/>
  <c r="N422"/>
  <c r="N411"/>
  <c r="N409"/>
  <c r="N406"/>
  <c r="N395"/>
  <c r="N377"/>
  <c r="N376"/>
  <c r="N368"/>
  <c r="N366"/>
  <c r="N359"/>
  <c r="N349"/>
  <c r="N348"/>
  <c r="N338"/>
  <c r="N337"/>
  <c r="N336"/>
  <c r="N334"/>
  <c r="N333"/>
  <c r="N332"/>
  <c r="N330"/>
  <c r="N329"/>
  <c r="N327"/>
  <c r="N326"/>
  <c r="N325"/>
  <c r="N312"/>
  <c r="N309"/>
  <c r="N306"/>
  <c r="N292"/>
  <c r="N273"/>
  <c r="N1056"/>
  <c r="N1055"/>
  <c r="N1035"/>
  <c r="N1034"/>
  <c r="N1033"/>
  <c r="N1032"/>
  <c r="N1031"/>
  <c r="N1030"/>
  <c r="N1029"/>
  <c r="N1028"/>
  <c r="N1027"/>
  <c r="N1026"/>
  <c r="N1025"/>
  <c r="N1024"/>
  <c r="N1023"/>
  <c r="N1022"/>
  <c r="N1021"/>
  <c r="N1020"/>
  <c r="N1019"/>
  <c r="N1018"/>
  <c r="N1017"/>
  <c r="N1016"/>
  <c r="N1015"/>
  <c r="N1014"/>
  <c r="N1013"/>
  <c r="N1012"/>
  <c r="N1011"/>
  <c r="N1010"/>
  <c r="N1009"/>
  <c r="N1007"/>
  <c r="N1006"/>
  <c r="N1005"/>
  <c r="N1004"/>
  <c r="N1003"/>
  <c r="N1002"/>
  <c r="N1001"/>
  <c r="N1000"/>
  <c r="N999"/>
  <c r="N998"/>
  <c r="N997"/>
  <c r="N996"/>
  <c r="N995"/>
  <c r="N994"/>
  <c r="N993"/>
  <c r="N992"/>
  <c r="N991"/>
  <c r="N990"/>
  <c r="N989"/>
  <c r="N988"/>
  <c r="N987"/>
  <c r="N986"/>
  <c r="N149"/>
  <c r="N441"/>
  <c r="N423"/>
  <c r="N419"/>
  <c r="N396"/>
  <c r="N380"/>
  <c r="N379"/>
  <c r="N335"/>
  <c r="N331"/>
  <c r="N315"/>
  <c r="N314"/>
  <c r="N303"/>
  <c r="N299"/>
  <c r="N291"/>
  <c r="N921"/>
  <c r="N89"/>
  <c r="N88"/>
  <c r="N86"/>
  <c r="N85"/>
  <c r="N84"/>
  <c r="N83"/>
  <c r="N80"/>
  <c r="N79"/>
  <c r="N78"/>
  <c r="N77"/>
  <c r="N75"/>
  <c r="N74"/>
  <c r="N73"/>
  <c r="N72"/>
  <c r="N71"/>
  <c r="N70"/>
  <c r="N69"/>
  <c r="N68"/>
  <c r="N67"/>
  <c r="N66"/>
  <c r="N65"/>
  <c r="N64"/>
  <c r="N63"/>
  <c r="N62"/>
  <c r="N61"/>
  <c r="N60"/>
  <c r="N58"/>
  <c r="N57"/>
  <c r="N56"/>
  <c r="N55"/>
  <c r="N54"/>
  <c r="N53"/>
  <c r="N52"/>
  <c r="N51"/>
  <c r="N50"/>
  <c r="N49"/>
  <c r="N48"/>
  <c r="N47"/>
  <c r="N46"/>
  <c r="N45"/>
  <c r="N44"/>
  <c r="N43"/>
  <c r="N42"/>
  <c r="N41"/>
  <c r="N39"/>
  <c r="N38"/>
  <c r="N37"/>
  <c r="N36"/>
  <c r="N35"/>
  <c r="N34"/>
  <c r="N33"/>
  <c r="N32"/>
  <c r="N31"/>
  <c r="N30"/>
  <c r="N29"/>
  <c r="N28"/>
  <c r="N27"/>
  <c r="N26"/>
  <c r="N25"/>
  <c r="N24"/>
  <c r="N23"/>
  <c r="N21"/>
  <c r="N20"/>
  <c r="N19"/>
  <c r="N18"/>
  <c r="N17"/>
  <c r="N16"/>
  <c r="N15"/>
  <c r="N14"/>
  <c r="N12"/>
  <c r="N11"/>
  <c r="N10"/>
  <c r="N961"/>
  <c r="N222"/>
  <c r="N221"/>
  <c r="N220"/>
  <c r="N219"/>
  <c r="N218"/>
  <c r="N217"/>
  <c r="N216"/>
  <c r="N313"/>
  <c r="N460"/>
  <c r="N450"/>
  <c r="N449"/>
  <c r="N448"/>
  <c r="N444"/>
  <c r="N443"/>
  <c r="N439"/>
  <c r="N385"/>
  <c r="N375"/>
  <c r="N339"/>
  <c r="N328"/>
  <c r="N311"/>
  <c r="N1060"/>
  <c r="N1059"/>
  <c r="N1058"/>
  <c r="N1057"/>
  <c r="N824"/>
  <c r="N823"/>
  <c r="N822"/>
  <c r="N821"/>
  <c r="N820"/>
  <c r="N819"/>
  <c r="N1054"/>
  <c r="N1053"/>
  <c r="N1052"/>
  <c r="N818"/>
  <c r="N817"/>
  <c r="N816"/>
  <c r="N815"/>
  <c r="N814"/>
  <c r="N813"/>
  <c r="N812"/>
  <c r="N811"/>
  <c r="N1051"/>
  <c r="N1050"/>
  <c r="N1049"/>
  <c r="N1048"/>
  <c r="N1047"/>
  <c r="N1046"/>
  <c r="N1045"/>
  <c r="N1044"/>
  <c r="N1043"/>
  <c r="N1042"/>
  <c r="N1041"/>
  <c r="N1040"/>
  <c r="N1039"/>
  <c r="N1038"/>
  <c r="N1037"/>
  <c r="N1036"/>
  <c r="N796"/>
  <c r="N795"/>
  <c r="N794"/>
  <c r="N793"/>
  <c r="N792"/>
  <c r="N791"/>
  <c r="N790"/>
  <c r="N789"/>
  <c r="N788"/>
  <c r="N787"/>
  <c r="N786"/>
  <c r="N1008"/>
  <c r="N766"/>
  <c r="N765"/>
  <c r="N764"/>
  <c r="N763"/>
  <c r="N985"/>
  <c r="N984"/>
  <c r="N983"/>
  <c r="N982"/>
  <c r="N981"/>
  <c r="N711"/>
  <c r="N710"/>
  <c r="N709"/>
  <c r="N708"/>
  <c r="N707"/>
  <c r="N706"/>
  <c r="N705"/>
  <c r="N704"/>
  <c r="N703"/>
  <c r="N702"/>
  <c r="N701"/>
  <c r="N700"/>
  <c r="N699"/>
  <c r="N698"/>
  <c r="N697"/>
  <c r="N696"/>
  <c r="N695"/>
  <c r="N694"/>
  <c r="N693"/>
  <c r="N692"/>
  <c r="N691"/>
  <c r="N690"/>
  <c r="N689"/>
  <c r="N688"/>
  <c r="N687"/>
  <c r="N686"/>
  <c r="N685"/>
  <c r="N684"/>
  <c r="N683"/>
  <c r="N682"/>
  <c r="N681"/>
  <c r="N680"/>
  <c r="N679"/>
  <c r="N678"/>
  <c r="N677"/>
  <c r="N676"/>
  <c r="N785"/>
  <c r="N906"/>
  <c r="N214"/>
  <c r="N213"/>
  <c r="N202"/>
  <c r="N201"/>
  <c r="N200"/>
  <c r="N199"/>
  <c r="N198"/>
  <c r="N197"/>
  <c r="N196"/>
  <c r="N195"/>
  <c r="N194"/>
  <c r="N193"/>
  <c r="N192"/>
  <c r="N191"/>
  <c r="N190"/>
  <c r="N189"/>
  <c r="N188"/>
  <c r="N187"/>
  <c r="N186"/>
  <c r="N185"/>
  <c r="N184"/>
  <c r="N1069"/>
  <c r="N1068"/>
  <c r="N210"/>
  <c r="N209"/>
  <c r="N207"/>
  <c r="N183"/>
  <c r="N182"/>
  <c r="N181"/>
  <c r="N447"/>
  <c r="N367"/>
  <c r="N925"/>
  <c r="N924"/>
  <c r="N923"/>
  <c r="N922"/>
  <c r="N180"/>
  <c r="N960"/>
  <c r="N231"/>
  <c r="N230"/>
  <c r="N229"/>
  <c r="N228"/>
  <c r="N227"/>
  <c r="N226"/>
  <c r="N225"/>
  <c r="N224"/>
  <c r="N223"/>
  <c r="N215"/>
  <c r="N1130"/>
  <c r="N1117"/>
  <c r="N151"/>
  <c r="N150"/>
  <c r="N22"/>
  <c r="N959"/>
  <c r="N920"/>
  <c r="N825"/>
  <c r="N958"/>
  <c r="N957"/>
  <c r="N956"/>
  <c r="N955"/>
  <c r="N954"/>
  <c r="N953"/>
  <c r="N952"/>
  <c r="N951"/>
  <c r="N950"/>
  <c r="N949"/>
  <c r="N948"/>
  <c r="N947"/>
  <c r="N946"/>
  <c r="N919"/>
  <c r="N918"/>
  <c r="N917"/>
  <c r="N916"/>
  <c r="N915"/>
  <c r="N914"/>
  <c r="N913"/>
  <c r="N912"/>
  <c r="N911"/>
  <c r="N910"/>
  <c r="N909"/>
  <c r="N908"/>
  <c r="N907"/>
  <c r="N809"/>
  <c r="N808"/>
  <c r="N807"/>
  <c r="N806"/>
  <c r="N805"/>
  <c r="N804"/>
  <c r="N803"/>
  <c r="N802"/>
  <c r="N801"/>
  <c r="N800"/>
  <c r="N799"/>
  <c r="N798"/>
  <c r="N797"/>
  <c r="N943"/>
  <c r="N942"/>
  <c r="N941"/>
  <c r="N940"/>
  <c r="N939"/>
  <c r="N938"/>
  <c r="N937"/>
  <c r="N936"/>
  <c r="N935"/>
  <c r="N934"/>
  <c r="N933"/>
  <c r="N932"/>
  <c r="N931"/>
  <c r="N930"/>
  <c r="N929"/>
  <c r="N905"/>
  <c r="N904"/>
  <c r="N903"/>
  <c r="N902"/>
  <c r="N901"/>
  <c r="N900"/>
  <c r="N899"/>
  <c r="N898"/>
  <c r="N897"/>
  <c r="N896"/>
  <c r="N895"/>
  <c r="N894"/>
  <c r="N893"/>
  <c r="N892"/>
  <c r="N891"/>
  <c r="N890"/>
  <c r="N889"/>
  <c r="N783"/>
  <c r="N782"/>
  <c r="N781"/>
  <c r="N780"/>
  <c r="N779"/>
  <c r="N778"/>
  <c r="N777"/>
  <c r="N776"/>
  <c r="N775"/>
  <c r="N774"/>
  <c r="N773"/>
  <c r="N772"/>
  <c r="N771"/>
  <c r="N770"/>
  <c r="N769"/>
  <c r="N768"/>
  <c r="N767"/>
  <c r="N715"/>
  <c r="N714"/>
  <c r="N713"/>
  <c r="N712"/>
  <c r="N977"/>
  <c r="N976"/>
  <c r="N975"/>
  <c r="N674"/>
  <c r="N673"/>
  <c r="N672"/>
  <c r="N671"/>
  <c r="N670"/>
  <c r="N669"/>
  <c r="N668"/>
  <c r="N667"/>
  <c r="N660"/>
  <c r="N659"/>
  <c r="N658"/>
  <c r="N657"/>
  <c r="N656"/>
  <c r="N437"/>
  <c r="N421"/>
  <c r="N418"/>
  <c r="N417"/>
  <c r="N416"/>
  <c r="N415"/>
  <c r="N413"/>
  <c r="N412"/>
  <c r="N402"/>
  <c r="N401"/>
  <c r="N400"/>
  <c r="N399"/>
  <c r="N318"/>
  <c r="N310"/>
  <c r="N308"/>
  <c r="N307"/>
  <c r="N304"/>
  <c r="N302"/>
  <c r="N301"/>
  <c r="N300"/>
  <c r="N298"/>
  <c r="N297"/>
  <c r="N290"/>
  <c r="N289"/>
  <c r="N288"/>
  <c r="N287"/>
  <c r="N274"/>
  <c r="N127"/>
  <c r="N76"/>
  <c r="N973"/>
  <c r="N972"/>
  <c r="N971"/>
  <c r="N970"/>
  <c r="N969"/>
  <c r="N968"/>
  <c r="N967"/>
  <c r="N966"/>
  <c r="N965"/>
  <c r="N964"/>
  <c r="N963"/>
  <c r="N962"/>
  <c r="N405"/>
  <c r="N397"/>
  <c r="N382"/>
  <c r="N381"/>
  <c r="N378"/>
  <c r="N317"/>
  <c r="N295"/>
  <c r="N294"/>
  <c r="N293"/>
  <c r="N279"/>
  <c r="N277"/>
  <c r="N362"/>
  <c r="N361"/>
  <c r="N360"/>
  <c r="N945"/>
  <c r="N944"/>
  <c r="N784"/>
  <c r="N928"/>
  <c r="N927"/>
  <c r="N888"/>
  <c r="N887"/>
  <c r="N886"/>
  <c r="N885"/>
  <c r="N884"/>
  <c r="N883"/>
  <c r="N882"/>
  <c r="N881"/>
  <c r="N880"/>
  <c r="N879"/>
  <c r="N878"/>
  <c r="N877"/>
  <c r="N876"/>
  <c r="N875"/>
  <c r="N874"/>
  <c r="N873"/>
  <c r="N872"/>
  <c r="N871"/>
  <c r="N870"/>
  <c r="N869"/>
  <c r="N868"/>
  <c r="N867"/>
  <c r="N866"/>
  <c r="N865"/>
  <c r="N864"/>
  <c r="N863"/>
  <c r="N761"/>
  <c r="N760"/>
  <c r="N759"/>
  <c r="N758"/>
  <c r="N757"/>
  <c r="N756"/>
  <c r="N755"/>
  <c r="N754"/>
  <c r="N753"/>
  <c r="N752"/>
  <c r="N751"/>
  <c r="N750"/>
  <c r="N749"/>
  <c r="N748"/>
  <c r="N747"/>
  <c r="N746"/>
  <c r="N745"/>
  <c r="N744"/>
  <c r="N743"/>
  <c r="N742"/>
  <c r="N741"/>
  <c r="N740"/>
  <c r="N739"/>
  <c r="N738"/>
  <c r="N737"/>
  <c r="N736"/>
  <c r="N735"/>
  <c r="N926"/>
  <c r="N862"/>
  <c r="N861"/>
  <c r="N860"/>
  <c r="N859"/>
  <c r="N858"/>
  <c r="N857"/>
  <c r="N856"/>
  <c r="N855"/>
  <c r="N854"/>
  <c r="N853"/>
  <c r="N852"/>
  <c r="N851"/>
  <c r="N850"/>
  <c r="N849"/>
  <c r="N848"/>
  <c r="N847"/>
  <c r="N846"/>
  <c r="N845"/>
  <c r="N844"/>
  <c r="N734"/>
  <c r="N733"/>
  <c r="N732"/>
  <c r="N731"/>
  <c r="N730"/>
  <c r="N729"/>
  <c r="N728"/>
  <c r="N727"/>
  <c r="N726"/>
  <c r="N725"/>
  <c r="N724"/>
  <c r="N723"/>
  <c r="N722"/>
  <c r="N721"/>
  <c r="N720"/>
  <c r="N719"/>
  <c r="N718"/>
  <c r="N717"/>
  <c r="N716"/>
  <c r="N179"/>
  <c r="N178"/>
  <c r="N177"/>
  <c r="N176"/>
  <c r="N175"/>
  <c r="N168"/>
  <c r="N164"/>
  <c r="N158"/>
  <c r="N154"/>
  <c r="N1152"/>
  <c r="N655"/>
  <c r="N1151"/>
  <c r="N1150"/>
  <c r="N1067"/>
  <c r="N840"/>
  <c r="N835"/>
  <c r="N650"/>
  <c r="N643"/>
  <c r="N642"/>
  <c r="N634"/>
  <c r="N623"/>
  <c r="N619"/>
  <c r="N606"/>
  <c r="N604"/>
  <c r="N596"/>
  <c r="N593"/>
  <c r="N581"/>
  <c r="N579"/>
  <c r="N578"/>
  <c r="N576"/>
  <c r="N574"/>
  <c r="N573"/>
  <c r="N572"/>
  <c r="N531"/>
  <c r="N530"/>
  <c r="N1066"/>
  <c r="N978"/>
  <c r="N839"/>
  <c r="N834"/>
  <c r="N1149"/>
  <c r="N1148"/>
  <c r="N1147"/>
  <c r="N1065"/>
  <c r="N838"/>
  <c r="N833"/>
  <c r="N828"/>
  <c r="N653"/>
  <c r="N637"/>
  <c r="N617"/>
  <c r="N589"/>
  <c r="N537"/>
  <c r="N1120"/>
  <c r="N595"/>
  <c r="N565"/>
  <c r="N563"/>
  <c r="N559"/>
  <c r="N558"/>
  <c r="N1106"/>
  <c r="N1105"/>
  <c r="N1104"/>
  <c r="N1063"/>
  <c r="N836"/>
  <c r="N831"/>
  <c r="N826"/>
  <c r="N645"/>
  <c r="N644"/>
  <c r="N633"/>
  <c r="N603"/>
  <c r="N592"/>
  <c r="N588"/>
  <c r="N587"/>
  <c r="N580"/>
  <c r="N577"/>
  <c r="N575"/>
  <c r="N567"/>
  <c r="N566"/>
  <c r="N564"/>
  <c r="N560"/>
  <c r="N557"/>
  <c r="N554"/>
  <c r="N553"/>
  <c r="N546"/>
  <c r="N545"/>
  <c r="N544"/>
  <c r="N543"/>
  <c r="N538"/>
  <c r="N533"/>
  <c r="N529"/>
  <c r="N528"/>
  <c r="N527"/>
  <c r="N526"/>
  <c r="N525"/>
  <c r="N524"/>
  <c r="N523"/>
  <c r="N675"/>
  <c r="N1146"/>
  <c r="N1145"/>
  <c r="N1144"/>
  <c r="N1143"/>
  <c r="N1142"/>
  <c r="N1141"/>
  <c r="N1140"/>
  <c r="N1139"/>
  <c r="N1138"/>
  <c r="N1137"/>
  <c r="N1136"/>
  <c r="N1135"/>
  <c r="N636"/>
  <c r="N631"/>
  <c r="N611"/>
  <c r="N582"/>
  <c r="N568"/>
  <c r="N516"/>
  <c r="N515"/>
  <c r="N514"/>
  <c r="N211"/>
  <c r="N147"/>
  <c r="N87"/>
  <c r="N82"/>
  <c r="N81"/>
  <c r="N830"/>
  <c r="N829"/>
  <c r="N837"/>
  <c r="N832"/>
  <c r="N827"/>
  <c r="N93"/>
  <c r="N92"/>
  <c r="N174"/>
  <c r="N173"/>
  <c r="N172"/>
  <c r="N171"/>
  <c r="N170"/>
  <c r="N169"/>
  <c r="N167"/>
  <c r="N166"/>
  <c r="N165"/>
  <c r="N163"/>
  <c r="N162"/>
  <c r="N161"/>
  <c r="N160"/>
  <c r="N159"/>
  <c r="N157"/>
  <c r="N156"/>
  <c r="N155"/>
  <c r="N666"/>
  <c r="N665"/>
  <c r="N664"/>
  <c r="N663"/>
  <c r="N662"/>
  <c r="N661"/>
  <c r="N212"/>
  <c r="N455"/>
  <c r="N453"/>
  <c r="N440"/>
  <c r="N276"/>
  <c r="N547"/>
  <c r="N518"/>
  <c r="N517"/>
  <c r="N513"/>
  <c r="N398"/>
  <c r="N386"/>
  <c r="N203"/>
  <c r="N635"/>
  <c r="N600"/>
  <c r="N599"/>
  <c r="N598"/>
  <c r="N597"/>
  <c r="N590"/>
  <c r="N585"/>
  <c r="N584"/>
  <c r="N641"/>
  <c r="N204"/>
  <c r="N152"/>
  <c r="N148"/>
  <c r="N139"/>
  <c r="N135"/>
  <c r="N131"/>
  <c r="N130"/>
  <c r="N129"/>
  <c r="N123"/>
  <c r="N122"/>
  <c r="N121"/>
  <c r="N119"/>
  <c r="N117"/>
  <c r="N114"/>
  <c r="N96"/>
  <c r="N461"/>
  <c r="N459"/>
  <c r="N458"/>
  <c r="N452"/>
  <c r="N446"/>
  <c r="N445"/>
  <c r="N442"/>
  <c r="N438"/>
  <c r="N436"/>
  <c r="N435"/>
  <c r="N434"/>
  <c r="N433"/>
  <c r="N432"/>
  <c r="N431"/>
  <c r="N430"/>
  <c r="N429"/>
  <c r="N428"/>
  <c r="N427"/>
  <c r="N426"/>
  <c r="N425"/>
  <c r="N424"/>
  <c r="N420"/>
  <c r="N414"/>
  <c r="N407"/>
  <c r="N404"/>
  <c r="N403"/>
  <c r="N394"/>
  <c r="N393"/>
  <c r="N392"/>
  <c r="N391"/>
  <c r="N390"/>
  <c r="N389"/>
  <c r="N388"/>
  <c r="N387"/>
  <c r="N384"/>
  <c r="N383"/>
  <c r="N374"/>
  <c r="N373"/>
  <c r="N372"/>
  <c r="N371"/>
  <c r="N370"/>
  <c r="N369"/>
  <c r="N365"/>
  <c r="N364"/>
  <c r="N358"/>
  <c r="N357"/>
  <c r="N356"/>
  <c r="N355"/>
  <c r="N354"/>
  <c r="N353"/>
  <c r="N352"/>
  <c r="N351"/>
  <c r="N350"/>
  <c r="N347"/>
  <c r="N346"/>
  <c r="N345"/>
  <c r="N344"/>
  <c r="N343"/>
  <c r="N342"/>
  <c r="N341"/>
  <c r="N340"/>
  <c r="N322"/>
  <c r="N320"/>
  <c r="N319"/>
  <c r="N316"/>
  <c r="N305"/>
  <c r="N296"/>
  <c r="N286"/>
  <c r="N285"/>
  <c r="N284"/>
  <c r="N283"/>
  <c r="N282"/>
  <c r="N281"/>
  <c r="N280"/>
  <c r="N278"/>
  <c r="N275"/>
  <c r="N272"/>
  <c r="N6"/>
  <c r="N5"/>
  <c r="N4"/>
  <c r="N3"/>
  <c r="N2"/>
  <c r="N1062"/>
  <c r="N1061"/>
  <c r="N141"/>
  <c r="N136"/>
  <c r="N134"/>
  <c r="N133"/>
  <c r="N132"/>
  <c r="N128"/>
  <c r="N113"/>
  <c r="N101"/>
  <c r="N100"/>
  <c r="N98"/>
  <c r="N97"/>
  <c r="N95"/>
  <c r="N94"/>
  <c r="N9"/>
  <c r="N8"/>
  <c r="N7"/>
  <c r="N498"/>
  <c r="N497"/>
  <c r="N496"/>
  <c r="N495"/>
  <c r="N494"/>
  <c r="N493"/>
  <c r="N492"/>
  <c r="N491"/>
  <c r="N490"/>
  <c r="N489"/>
  <c r="N488"/>
  <c r="N487"/>
  <c r="N486"/>
  <c r="N485"/>
  <c r="N484"/>
  <c r="N483"/>
  <c r="N482"/>
  <c r="N481"/>
  <c r="N480"/>
  <c r="N479"/>
  <c r="N478"/>
  <c r="N477"/>
  <c r="N476"/>
  <c r="N475"/>
  <c r="N474"/>
  <c r="N473"/>
  <c r="N472"/>
  <c r="N471"/>
  <c r="N470"/>
  <c r="N469"/>
  <c r="N468"/>
  <c r="N467"/>
  <c r="N466"/>
  <c r="N465"/>
  <c r="N464"/>
  <c r="N463"/>
  <c r="N462"/>
  <c r="N91"/>
  <c r="N979"/>
  <c r="N1160"/>
  <c r="N1159"/>
  <c r="N1158"/>
  <c r="N1157"/>
  <c r="N1156"/>
  <c r="N1155"/>
  <c r="N1154"/>
  <c r="N654"/>
  <c r="N652"/>
  <c r="N651"/>
  <c r="N647"/>
  <c r="N646"/>
  <c r="N569"/>
  <c r="N146"/>
  <c r="N145"/>
  <c r="N144"/>
  <c r="N143"/>
  <c r="N142"/>
  <c r="N140"/>
  <c r="N90"/>
  <c r="N59"/>
  <c r="N40"/>
  <c r="N13"/>
  <c r="N507"/>
  <c r="N506"/>
  <c r="N505"/>
  <c r="N504"/>
  <c r="N503"/>
  <c r="N502"/>
  <c r="N501"/>
  <c r="N500"/>
  <c r="N499"/>
  <c r="N1064"/>
  <c r="O321"/>
  <c r="O810"/>
  <c r="O762"/>
  <c r="O974"/>
  <c r="O843"/>
  <c r="O841"/>
  <c r="O1153"/>
  <c r="O512"/>
  <c r="O1134"/>
  <c r="O607"/>
  <c r="O535"/>
  <c r="O1133"/>
  <c r="O1132"/>
  <c r="O1131"/>
  <c r="O622"/>
  <c r="O1129"/>
  <c r="O1128"/>
  <c r="O1127"/>
  <c r="O1126"/>
  <c r="O1125"/>
  <c r="O1124"/>
  <c r="O1123"/>
  <c r="O1122"/>
  <c r="O618"/>
  <c r="O609"/>
  <c r="O594"/>
  <c r="O551"/>
  <c r="O980"/>
  <c r="O624"/>
  <c r="O620"/>
  <c r="O608"/>
  <c r="O570"/>
  <c r="O552"/>
  <c r="O532"/>
  <c r="O519"/>
  <c r="O1119"/>
  <c r="O1118"/>
  <c r="O1121"/>
  <c r="O842"/>
  <c r="O640"/>
  <c r="O639"/>
  <c r="O632"/>
  <c r="O629"/>
  <c r="O621"/>
  <c r="O616"/>
  <c r="O614"/>
  <c r="O613"/>
  <c r="O612"/>
  <c r="O586"/>
  <c r="O583"/>
  <c r="O571"/>
  <c r="O550"/>
  <c r="O549"/>
  <c r="O542"/>
  <c r="O540"/>
  <c r="O539"/>
  <c r="O536"/>
  <c r="O534"/>
  <c r="O521"/>
  <c r="O1116"/>
  <c r="O1115"/>
  <c r="O1114"/>
  <c r="O1113"/>
  <c r="O1112"/>
  <c r="O1111"/>
  <c r="O1110"/>
  <c r="O1109"/>
  <c r="O1108"/>
  <c r="O1107"/>
  <c r="O627"/>
  <c r="O626"/>
  <c r="O625"/>
  <c r="O615"/>
  <c r="O610"/>
  <c r="O602"/>
  <c r="O601"/>
  <c r="O591"/>
  <c r="O562"/>
  <c r="O561"/>
  <c r="O556"/>
  <c r="O555"/>
  <c r="O548"/>
  <c r="O541"/>
  <c r="O522"/>
  <c r="O520"/>
  <c r="O511"/>
  <c r="O510"/>
  <c r="O509"/>
  <c r="O508"/>
  <c r="O1103"/>
  <c r="O1102"/>
  <c r="O1101"/>
  <c r="O1100"/>
  <c r="O1099"/>
  <c r="O1098"/>
  <c r="O1097"/>
  <c r="O1096"/>
  <c r="O1095"/>
  <c r="O1094"/>
  <c r="O1093"/>
  <c r="O1092"/>
  <c r="O1091"/>
  <c r="O1090"/>
  <c r="O1089"/>
  <c r="O1088"/>
  <c r="O1087"/>
  <c r="O1086"/>
  <c r="O1085"/>
  <c r="O1084"/>
  <c r="O1083"/>
  <c r="O1082"/>
  <c r="O1081"/>
  <c r="O1080"/>
  <c r="O1079"/>
  <c r="O1078"/>
  <c r="O1077"/>
  <c r="O1076"/>
  <c r="O1075"/>
  <c r="O1074"/>
  <c r="O1073"/>
  <c r="O1072"/>
  <c r="O1071"/>
  <c r="O1070"/>
  <c r="O649"/>
  <c r="O648"/>
  <c r="O638"/>
  <c r="O630"/>
  <c r="O628"/>
  <c r="O605"/>
  <c r="O363"/>
  <c r="O324"/>
  <c r="O323"/>
  <c r="O208"/>
  <c r="O206"/>
  <c r="O205"/>
  <c r="O410"/>
  <c r="O408"/>
  <c r="O271"/>
  <c r="O270"/>
  <c r="O269"/>
  <c r="O268"/>
  <c r="O267"/>
  <c r="O266"/>
  <c r="O265"/>
  <c r="O264"/>
  <c r="O263"/>
  <c r="O262"/>
  <c r="O261"/>
  <c r="O260"/>
  <c r="O259"/>
  <c r="O258"/>
  <c r="O257"/>
  <c r="O256"/>
  <c r="O255"/>
  <c r="O254"/>
  <c r="O253"/>
  <c r="O252"/>
  <c r="O251"/>
  <c r="O250"/>
  <c r="O249"/>
  <c r="O248"/>
  <c r="O247"/>
  <c r="O246"/>
  <c r="O245"/>
  <c r="O244"/>
  <c r="O243"/>
  <c r="O242"/>
  <c r="O241"/>
  <c r="O240"/>
  <c r="O239"/>
  <c r="O238"/>
  <c r="O237"/>
  <c r="O236"/>
  <c r="O235"/>
  <c r="O234"/>
  <c r="O233"/>
  <c r="O232"/>
  <c r="O138"/>
  <c r="O137"/>
  <c r="O126"/>
  <c r="O125"/>
  <c r="O124"/>
  <c r="O120"/>
  <c r="O118"/>
  <c r="O116"/>
  <c r="O115"/>
  <c r="O112"/>
  <c r="O111"/>
  <c r="O110"/>
  <c r="O109"/>
  <c r="O108"/>
  <c r="O107"/>
  <c r="O106"/>
  <c r="O105"/>
  <c r="O104"/>
  <c r="O103"/>
  <c r="O102"/>
  <c r="O99"/>
  <c r="O153"/>
  <c r="O457"/>
  <c r="O456"/>
  <c r="O454"/>
  <c r="O451"/>
  <c r="O422"/>
  <c r="O411"/>
  <c r="O409"/>
  <c r="O406"/>
  <c r="O395"/>
  <c r="O377"/>
  <c r="O376"/>
  <c r="O368"/>
  <c r="O366"/>
  <c r="O359"/>
  <c r="O349"/>
  <c r="O348"/>
  <c r="O338"/>
  <c r="O337"/>
  <c r="O336"/>
  <c r="O334"/>
  <c r="O333"/>
  <c r="O332"/>
  <c r="O330"/>
  <c r="O329"/>
  <c r="O327"/>
  <c r="O326"/>
  <c r="O325"/>
  <c r="O312"/>
  <c r="O309"/>
  <c r="O306"/>
  <c r="O292"/>
  <c r="O273"/>
  <c r="O1055"/>
  <c r="O1035"/>
  <c r="O1034"/>
  <c r="O1033"/>
  <c r="O1032"/>
  <c r="O1031"/>
  <c r="O1030"/>
  <c r="O1029"/>
  <c r="O1028"/>
  <c r="O1027"/>
  <c r="O1026"/>
  <c r="O1025"/>
  <c r="O1024"/>
  <c r="O1023"/>
  <c r="O1022"/>
  <c r="O1021"/>
  <c r="O1020"/>
  <c r="O1019"/>
  <c r="O1018"/>
  <c r="O1017"/>
  <c r="O1016"/>
  <c r="O1015"/>
  <c r="O1014"/>
  <c r="O1013"/>
  <c r="O1012"/>
  <c r="O1011"/>
  <c r="O1010"/>
  <c r="O1009"/>
  <c r="O1007"/>
  <c r="O1006"/>
  <c r="O1005"/>
  <c r="O1004"/>
  <c r="O1003"/>
  <c r="O1002"/>
  <c r="O1001"/>
  <c r="O1000"/>
  <c r="O999"/>
  <c r="O998"/>
  <c r="O997"/>
  <c r="O996"/>
  <c r="O995"/>
  <c r="O994"/>
  <c r="O993"/>
  <c r="O992"/>
  <c r="O991"/>
  <c r="O990"/>
  <c r="O989"/>
  <c r="O988"/>
  <c r="O987"/>
  <c r="O986"/>
  <c r="O149"/>
  <c r="O441"/>
  <c r="O423"/>
  <c r="O419"/>
  <c r="O396"/>
  <c r="O380"/>
  <c r="O379"/>
  <c r="O335"/>
  <c r="O331"/>
  <c r="O315"/>
  <c r="O314"/>
  <c r="O303"/>
  <c r="O299"/>
  <c r="O291"/>
  <c r="O921"/>
  <c r="O89"/>
  <c r="O88"/>
  <c r="O86"/>
  <c r="O85"/>
  <c r="O84"/>
  <c r="O83"/>
  <c r="O80"/>
  <c r="O79"/>
  <c r="O78"/>
  <c r="O77"/>
  <c r="O75"/>
  <c r="O74"/>
  <c r="O73"/>
  <c r="O72"/>
  <c r="O71"/>
  <c r="O70"/>
  <c r="O69"/>
  <c r="O68"/>
  <c r="O67"/>
  <c r="O66"/>
  <c r="O65"/>
  <c r="O64"/>
  <c r="O63"/>
  <c r="O62"/>
  <c r="O61"/>
  <c r="O60"/>
  <c r="O58"/>
  <c r="O57"/>
  <c r="O56"/>
  <c r="O55"/>
  <c r="O54"/>
  <c r="O53"/>
  <c r="O52"/>
  <c r="O51"/>
  <c r="O50"/>
  <c r="O49"/>
  <c r="O48"/>
  <c r="O47"/>
  <c r="O46"/>
  <c r="O45"/>
  <c r="O44"/>
  <c r="O43"/>
  <c r="O42"/>
  <c r="O41"/>
  <c r="O39"/>
  <c r="O38"/>
  <c r="O37"/>
  <c r="O36"/>
  <c r="O35"/>
  <c r="O34"/>
  <c r="O33"/>
  <c r="O32"/>
  <c r="O31"/>
  <c r="O30"/>
  <c r="O29"/>
  <c r="O28"/>
  <c r="O27"/>
  <c r="O26"/>
  <c r="O25"/>
  <c r="O24"/>
  <c r="O23"/>
  <c r="O21"/>
  <c r="O20"/>
  <c r="O19"/>
  <c r="O18"/>
  <c r="O17"/>
  <c r="O16"/>
  <c r="O15"/>
  <c r="O14"/>
  <c r="O12"/>
  <c r="O11"/>
  <c r="O10"/>
  <c r="O961"/>
  <c r="O222"/>
  <c r="O221"/>
  <c r="O220"/>
  <c r="O219"/>
  <c r="O218"/>
  <c r="O217"/>
  <c r="O216"/>
  <c r="O313"/>
  <c r="O460"/>
  <c r="O450"/>
  <c r="O449"/>
  <c r="O448"/>
  <c r="O444"/>
  <c r="O443"/>
  <c r="O439"/>
  <c r="O385"/>
  <c r="O375"/>
  <c r="O339"/>
  <c r="O328"/>
  <c r="O311"/>
  <c r="O1060"/>
  <c r="O1059"/>
  <c r="O1058"/>
  <c r="O1057"/>
  <c r="O824"/>
  <c r="O823"/>
  <c r="O822"/>
  <c r="O821"/>
  <c r="O820"/>
  <c r="O819"/>
  <c r="O1054"/>
  <c r="O1053"/>
  <c r="O1052"/>
  <c r="O818"/>
  <c r="O817"/>
  <c r="O816"/>
  <c r="O815"/>
  <c r="O814"/>
  <c r="O813"/>
  <c r="O812"/>
  <c r="O811"/>
  <c r="O1051"/>
  <c r="O1050"/>
  <c r="O1049"/>
  <c r="O1048"/>
  <c r="O1047"/>
  <c r="O1046"/>
  <c r="O1045"/>
  <c r="O1044"/>
  <c r="O1043"/>
  <c r="O1042"/>
  <c r="O1041"/>
  <c r="O1040"/>
  <c r="O1039"/>
  <c r="O1038"/>
  <c r="O1037"/>
  <c r="O1036"/>
  <c r="O796"/>
  <c r="O795"/>
  <c r="O794"/>
  <c r="O793"/>
  <c r="O792"/>
  <c r="O791"/>
  <c r="O790"/>
  <c r="O789"/>
  <c r="O788"/>
  <c r="O787"/>
  <c r="O786"/>
  <c r="O1008"/>
  <c r="O766"/>
  <c r="O765"/>
  <c r="O764"/>
  <c r="O763"/>
  <c r="O985"/>
  <c r="O984"/>
  <c r="O983"/>
  <c r="O982"/>
  <c r="O981"/>
  <c r="O711"/>
  <c r="O710"/>
  <c r="O709"/>
  <c r="O708"/>
  <c r="O707"/>
  <c r="O706"/>
  <c r="O705"/>
  <c r="O704"/>
  <c r="O703"/>
  <c r="O702"/>
  <c r="O701"/>
  <c r="O700"/>
  <c r="O699"/>
  <c r="O698"/>
  <c r="O697"/>
  <c r="O696"/>
  <c r="O695"/>
  <c r="O694"/>
  <c r="O693"/>
  <c r="O692"/>
  <c r="O691"/>
  <c r="O690"/>
  <c r="O689"/>
  <c r="O688"/>
  <c r="O687"/>
  <c r="O686"/>
  <c r="O685"/>
  <c r="O684"/>
  <c r="O683"/>
  <c r="O682"/>
  <c r="O681"/>
  <c r="O680"/>
  <c r="O679"/>
  <c r="O678"/>
  <c r="O677"/>
  <c r="O676"/>
  <c r="O785"/>
  <c r="O906"/>
  <c r="O214"/>
  <c r="O213"/>
  <c r="O202"/>
  <c r="O201"/>
  <c r="O200"/>
  <c r="O199"/>
  <c r="O198"/>
  <c r="O197"/>
  <c r="O196"/>
  <c r="O195"/>
  <c r="O194"/>
  <c r="O193"/>
  <c r="O192"/>
  <c r="O191"/>
  <c r="O190"/>
  <c r="O189"/>
  <c r="O188"/>
  <c r="O187"/>
  <c r="O186"/>
  <c r="O185"/>
  <c r="O184"/>
  <c r="O1069"/>
  <c r="O1068"/>
  <c r="O210"/>
  <c r="O209"/>
  <c r="O207"/>
  <c r="O183"/>
  <c r="O182"/>
  <c r="O181"/>
  <c r="O447"/>
  <c r="O367"/>
  <c r="O925"/>
  <c r="O924"/>
  <c r="O923"/>
  <c r="O922"/>
  <c r="O180"/>
  <c r="O960"/>
  <c r="O231"/>
  <c r="O230"/>
  <c r="O229"/>
  <c r="O228"/>
  <c r="O227"/>
  <c r="O226"/>
  <c r="O225"/>
  <c r="O224"/>
  <c r="O223"/>
  <c r="O215"/>
  <c r="O1130"/>
  <c r="O1117"/>
  <c r="O151"/>
  <c r="O150"/>
  <c r="O22"/>
  <c r="O959"/>
  <c r="O920"/>
  <c r="O825"/>
  <c r="O958"/>
  <c r="O957"/>
  <c r="O956"/>
  <c r="O955"/>
  <c r="O954"/>
  <c r="O953"/>
  <c r="O952"/>
  <c r="O951"/>
  <c r="O950"/>
  <c r="O949"/>
  <c r="O948"/>
  <c r="O947"/>
  <c r="O946"/>
  <c r="O919"/>
  <c r="O918"/>
  <c r="O917"/>
  <c r="O916"/>
  <c r="O915"/>
  <c r="O914"/>
  <c r="O913"/>
  <c r="O912"/>
  <c r="O911"/>
  <c r="O910"/>
  <c r="O909"/>
  <c r="O908"/>
  <c r="O907"/>
  <c r="O809"/>
  <c r="O808"/>
  <c r="O807"/>
  <c r="O806"/>
  <c r="O805"/>
  <c r="O804"/>
  <c r="O803"/>
  <c r="O802"/>
  <c r="O801"/>
  <c r="O800"/>
  <c r="O799"/>
  <c r="O798"/>
  <c r="O797"/>
  <c r="O943"/>
  <c r="O942"/>
  <c r="O941"/>
  <c r="O940"/>
  <c r="O939"/>
  <c r="O938"/>
  <c r="O937"/>
  <c r="O936"/>
  <c r="O935"/>
  <c r="O934"/>
  <c r="O933"/>
  <c r="O932"/>
  <c r="O931"/>
  <c r="O930"/>
  <c r="O929"/>
  <c r="O905"/>
  <c r="O904"/>
  <c r="O903"/>
  <c r="O902"/>
  <c r="O901"/>
  <c r="O900"/>
  <c r="O899"/>
  <c r="O898"/>
  <c r="O897"/>
  <c r="O896"/>
  <c r="O895"/>
  <c r="O894"/>
  <c r="O893"/>
  <c r="O892"/>
  <c r="O891"/>
  <c r="O890"/>
  <c r="O889"/>
  <c r="O783"/>
  <c r="O782"/>
  <c r="O781"/>
  <c r="O780"/>
  <c r="O779"/>
  <c r="O778"/>
  <c r="O777"/>
  <c r="O776"/>
  <c r="O775"/>
  <c r="O774"/>
  <c r="O773"/>
  <c r="O772"/>
  <c r="O771"/>
  <c r="O770"/>
  <c r="O769"/>
  <c r="O768"/>
  <c r="O767"/>
  <c r="O715"/>
  <c r="O714"/>
  <c r="O713"/>
  <c r="O712"/>
  <c r="O977"/>
  <c r="O976"/>
  <c r="O975"/>
  <c r="O674"/>
  <c r="O673"/>
  <c r="O672"/>
  <c r="O671"/>
  <c r="O670"/>
  <c r="O669"/>
  <c r="O668"/>
  <c r="O667"/>
  <c r="O660"/>
  <c r="O659"/>
  <c r="O658"/>
  <c r="O657"/>
  <c r="O656"/>
  <c r="O437"/>
  <c r="O421"/>
  <c r="O418"/>
  <c r="O417"/>
  <c r="O416"/>
  <c r="O415"/>
  <c r="O413"/>
  <c r="O412"/>
  <c r="O402"/>
  <c r="O401"/>
  <c r="O400"/>
  <c r="O399"/>
  <c r="O318"/>
  <c r="O310"/>
  <c r="O308"/>
  <c r="O307"/>
  <c r="O304"/>
  <c r="O302"/>
  <c r="O301"/>
  <c r="O300"/>
  <c r="O298"/>
  <c r="O297"/>
  <c r="O290"/>
  <c r="O289"/>
  <c r="O288"/>
  <c r="O287"/>
  <c r="O274"/>
  <c r="O127"/>
  <c r="O76"/>
  <c r="O973"/>
  <c r="O972"/>
  <c r="O971"/>
  <c r="O970"/>
  <c r="O969"/>
  <c r="O968"/>
  <c r="O967"/>
  <c r="O966"/>
  <c r="O965"/>
  <c r="O964"/>
  <c r="O963"/>
  <c r="O962"/>
  <c r="O405"/>
  <c r="O397"/>
  <c r="O382"/>
  <c r="O381"/>
  <c r="O378"/>
  <c r="O317"/>
  <c r="O295"/>
  <c r="O294"/>
  <c r="O293"/>
  <c r="O279"/>
  <c r="O277"/>
  <c r="O362"/>
  <c r="O361"/>
  <c r="O360"/>
  <c r="O945"/>
  <c r="O944"/>
  <c r="O784"/>
  <c r="O928"/>
  <c r="O927"/>
  <c r="O888"/>
  <c r="O887"/>
  <c r="O886"/>
  <c r="O885"/>
  <c r="O884"/>
  <c r="O883"/>
  <c r="O882"/>
  <c r="O881"/>
  <c r="O880"/>
  <c r="O879"/>
  <c r="O878"/>
  <c r="O877"/>
  <c r="O876"/>
  <c r="O875"/>
  <c r="O874"/>
  <c r="O873"/>
  <c r="O872"/>
  <c r="O871"/>
  <c r="O870"/>
  <c r="O869"/>
  <c r="O868"/>
  <c r="O867"/>
  <c r="O866"/>
  <c r="O865"/>
  <c r="O864"/>
  <c r="O863"/>
  <c r="O761"/>
  <c r="O760"/>
  <c r="O759"/>
  <c r="O758"/>
  <c r="O757"/>
  <c r="O756"/>
  <c r="O755"/>
  <c r="O754"/>
  <c r="O753"/>
  <c r="O752"/>
  <c r="O751"/>
  <c r="O750"/>
  <c r="O749"/>
  <c r="O748"/>
  <c r="O747"/>
  <c r="O746"/>
  <c r="O745"/>
  <c r="O744"/>
  <c r="O743"/>
  <c r="O742"/>
  <c r="O741"/>
  <c r="O740"/>
  <c r="O739"/>
  <c r="O738"/>
  <c r="O737"/>
  <c r="O736"/>
  <c r="O735"/>
  <c r="O926"/>
  <c r="O862"/>
  <c r="O861"/>
  <c r="O860"/>
  <c r="O859"/>
  <c r="O858"/>
  <c r="O857"/>
  <c r="O856"/>
  <c r="O855"/>
  <c r="O854"/>
  <c r="O853"/>
  <c r="O852"/>
  <c r="O851"/>
  <c r="O850"/>
  <c r="O849"/>
  <c r="O848"/>
  <c r="O847"/>
  <c r="O846"/>
  <c r="O845"/>
  <c r="O844"/>
  <c r="O734"/>
  <c r="O733"/>
  <c r="O732"/>
  <c r="O731"/>
  <c r="O730"/>
  <c r="O729"/>
  <c r="O728"/>
  <c r="O727"/>
  <c r="O726"/>
  <c r="O725"/>
  <c r="O724"/>
  <c r="O723"/>
  <c r="O722"/>
  <c r="O721"/>
  <c r="O720"/>
  <c r="O719"/>
  <c r="O718"/>
  <c r="O717"/>
  <c r="O716"/>
  <c r="O179"/>
  <c r="O178"/>
  <c r="O177"/>
  <c r="O176"/>
  <c r="O175"/>
  <c r="O168"/>
  <c r="O164"/>
  <c r="O158"/>
  <c r="O154"/>
  <c r="O1152"/>
  <c r="O655"/>
  <c r="O1151"/>
  <c r="O1150"/>
  <c r="O1067"/>
  <c r="O840"/>
  <c r="O835"/>
  <c r="O650"/>
  <c r="O643"/>
  <c r="O642"/>
  <c r="O634"/>
  <c r="O623"/>
  <c r="O619"/>
  <c r="O606"/>
  <c r="O604"/>
  <c r="O596"/>
  <c r="O593"/>
  <c r="O581"/>
  <c r="O579"/>
  <c r="O578"/>
  <c r="O576"/>
  <c r="O574"/>
  <c r="O573"/>
  <c r="O572"/>
  <c r="O531"/>
  <c r="O530"/>
  <c r="O1066"/>
  <c r="O978"/>
  <c r="O839"/>
  <c r="O834"/>
  <c r="O1149"/>
  <c r="O1148"/>
  <c r="O1147"/>
  <c r="O1065"/>
  <c r="O838"/>
  <c r="O833"/>
  <c r="O828"/>
  <c r="O653"/>
  <c r="O637"/>
  <c r="O617"/>
  <c r="O589"/>
  <c r="O537"/>
  <c r="O1120"/>
  <c r="O595"/>
  <c r="O565"/>
  <c r="O563"/>
  <c r="O559"/>
  <c r="O558"/>
  <c r="O1106"/>
  <c r="O1105"/>
  <c r="O1104"/>
  <c r="O1063"/>
  <c r="O836"/>
  <c r="O831"/>
  <c r="O826"/>
  <c r="O645"/>
  <c r="O644"/>
  <c r="O633"/>
  <c r="O603"/>
  <c r="O592"/>
  <c r="O588"/>
  <c r="O587"/>
  <c r="O580"/>
  <c r="O577"/>
  <c r="O575"/>
  <c r="O567"/>
  <c r="O566"/>
  <c r="O564"/>
  <c r="O560"/>
  <c r="O557"/>
  <c r="O554"/>
  <c r="O553"/>
  <c r="O546"/>
  <c r="O545"/>
  <c r="O544"/>
  <c r="O543"/>
  <c r="O538"/>
  <c r="O533"/>
  <c r="O529"/>
  <c r="O528"/>
  <c r="O527"/>
  <c r="O526"/>
  <c r="O525"/>
  <c r="O524"/>
  <c r="O523"/>
  <c r="O675"/>
  <c r="O1146"/>
  <c r="O1145"/>
  <c r="O1144"/>
  <c r="O1143"/>
  <c r="O1142"/>
  <c r="O1141"/>
  <c r="O1140"/>
  <c r="O1139"/>
  <c r="O1138"/>
  <c r="O1137"/>
  <c r="O1136"/>
  <c r="O1135"/>
  <c r="O636"/>
  <c r="O631"/>
  <c r="O611"/>
  <c r="O582"/>
  <c r="O568"/>
  <c r="O516"/>
  <c r="O515"/>
  <c r="O514"/>
  <c r="O211"/>
  <c r="O147"/>
  <c r="O87"/>
  <c r="O82"/>
  <c r="O81"/>
  <c r="O830"/>
  <c r="O829"/>
  <c r="O837"/>
  <c r="O832"/>
  <c r="O827"/>
  <c r="O93"/>
  <c r="O92"/>
  <c r="O174"/>
  <c r="O173"/>
  <c r="O172"/>
  <c r="O171"/>
  <c r="O170"/>
  <c r="O169"/>
  <c r="O167"/>
  <c r="O166"/>
  <c r="O165"/>
  <c r="O163"/>
  <c r="O162"/>
  <c r="O161"/>
  <c r="O160"/>
  <c r="O159"/>
  <c r="O157"/>
  <c r="O156"/>
  <c r="O155"/>
  <c r="O666"/>
  <c r="O665"/>
  <c r="O664"/>
  <c r="O663"/>
  <c r="O662"/>
  <c r="O661"/>
  <c r="O212"/>
  <c r="O455"/>
  <c r="O453"/>
  <c r="O440"/>
  <c r="O276"/>
  <c r="O547"/>
  <c r="O518"/>
  <c r="O517"/>
  <c r="O513"/>
  <c r="O398"/>
  <c r="O386"/>
  <c r="O203"/>
  <c r="O635"/>
  <c r="O600"/>
  <c r="O599"/>
  <c r="O598"/>
  <c r="O597"/>
  <c r="O590"/>
  <c r="O585"/>
  <c r="O584"/>
  <c r="O641"/>
  <c r="O204"/>
  <c r="O152"/>
  <c r="O148"/>
  <c r="O139"/>
  <c r="O135"/>
  <c r="O131"/>
  <c r="O130"/>
  <c r="O129"/>
  <c r="O123"/>
  <c r="O122"/>
  <c r="O121"/>
  <c r="O119"/>
  <c r="O117"/>
  <c r="O114"/>
  <c r="O96"/>
  <c r="O461"/>
  <c r="O459"/>
  <c r="O458"/>
  <c r="O452"/>
  <c r="O446"/>
  <c r="O445"/>
  <c r="O442"/>
  <c r="O438"/>
  <c r="O436"/>
  <c r="O435"/>
  <c r="O434"/>
  <c r="O433"/>
  <c r="O432"/>
  <c r="O431"/>
  <c r="O430"/>
  <c r="O429"/>
  <c r="O428"/>
  <c r="O427"/>
  <c r="O426"/>
  <c r="O425"/>
  <c r="O424"/>
  <c r="O420"/>
  <c r="O414"/>
  <c r="O407"/>
  <c r="O404"/>
  <c r="O403"/>
  <c r="O394"/>
  <c r="O393"/>
  <c r="O392"/>
  <c r="O391"/>
  <c r="O390"/>
  <c r="O389"/>
  <c r="O388"/>
  <c r="O387"/>
  <c r="O384"/>
  <c r="O383"/>
  <c r="O374"/>
  <c r="O373"/>
  <c r="O372"/>
  <c r="O371"/>
  <c r="O370"/>
  <c r="O369"/>
  <c r="O365"/>
  <c r="O364"/>
  <c r="O358"/>
  <c r="O357"/>
  <c r="O356"/>
  <c r="O355"/>
  <c r="O354"/>
  <c r="O353"/>
  <c r="O352"/>
  <c r="O351"/>
  <c r="O350"/>
  <c r="O347"/>
  <c r="O346"/>
  <c r="O345"/>
  <c r="O344"/>
  <c r="O343"/>
  <c r="O342"/>
  <c r="O341"/>
  <c r="O340"/>
  <c r="O322"/>
  <c r="O320"/>
  <c r="O319"/>
  <c r="O316"/>
  <c r="O305"/>
  <c r="O296"/>
  <c r="O286"/>
  <c r="O285"/>
  <c r="O284"/>
  <c r="O283"/>
  <c r="O282"/>
  <c r="O281"/>
  <c r="O280"/>
  <c r="O278"/>
  <c r="O275"/>
  <c r="O272"/>
  <c r="O6"/>
  <c r="O5"/>
  <c r="O4"/>
  <c r="O3"/>
  <c r="O2"/>
  <c r="O1062"/>
  <c r="O1061"/>
  <c r="O141"/>
  <c r="O136"/>
  <c r="O134"/>
  <c r="O133"/>
  <c r="O132"/>
  <c r="O128"/>
  <c r="O113"/>
  <c r="O101"/>
  <c r="O100"/>
  <c r="O98"/>
  <c r="O97"/>
  <c r="O95"/>
  <c r="O94"/>
  <c r="O9"/>
  <c r="O8"/>
  <c r="O7"/>
  <c r="O498"/>
  <c r="O497"/>
  <c r="O496"/>
  <c r="O495"/>
  <c r="O494"/>
  <c r="O493"/>
  <c r="O492"/>
  <c r="O491"/>
  <c r="O490"/>
  <c r="O489"/>
  <c r="O488"/>
  <c r="O487"/>
  <c r="O486"/>
  <c r="O485"/>
  <c r="O484"/>
  <c r="O483"/>
  <c r="O482"/>
  <c r="O481"/>
  <c r="O480"/>
  <c r="O479"/>
  <c r="O478"/>
  <c r="O477"/>
  <c r="O476"/>
  <c r="O475"/>
  <c r="O474"/>
  <c r="O473"/>
  <c r="O472"/>
  <c r="O471"/>
  <c r="O470"/>
  <c r="O469"/>
  <c r="O468"/>
  <c r="O467"/>
  <c r="O466"/>
  <c r="O465"/>
  <c r="O464"/>
  <c r="O463"/>
  <c r="O462"/>
  <c r="O91"/>
  <c r="O979"/>
  <c r="O1160"/>
  <c r="O1159"/>
  <c r="O1158"/>
  <c r="O1157"/>
  <c r="O1156"/>
  <c r="O1155"/>
  <c r="O1154"/>
  <c r="O654"/>
  <c r="O652"/>
  <c r="O651"/>
  <c r="O647"/>
  <c r="O646"/>
  <c r="O569"/>
  <c r="O146"/>
  <c r="O145"/>
  <c r="O144"/>
  <c r="O143"/>
  <c r="O142"/>
  <c r="O140"/>
  <c r="O90"/>
  <c r="O59"/>
  <c r="O40"/>
  <c r="O13"/>
  <c r="O507"/>
  <c r="O506"/>
  <c r="O505"/>
  <c r="O504"/>
  <c r="O503"/>
  <c r="O502"/>
  <c r="O501"/>
  <c r="O500"/>
  <c r="O499"/>
  <c r="O1064"/>
  <c r="B364" i="1"/>
  <c r="B762"/>
  <c r="B1153"/>
  <c r="B535"/>
  <c r="B622"/>
  <c r="B1126"/>
  <c r="B1122"/>
  <c r="B551"/>
  <c r="B608"/>
  <c r="B519"/>
  <c r="B842"/>
  <c r="B629"/>
  <c r="B613"/>
  <c r="B571"/>
  <c r="B540"/>
  <c r="B521"/>
  <c r="B1113"/>
  <c r="B1109"/>
  <c r="B626"/>
  <c r="B602"/>
  <c r="B561"/>
  <c r="B541"/>
  <c r="B510"/>
  <c r="B1102"/>
  <c r="B1098"/>
  <c r="B1094"/>
  <c r="B1090"/>
  <c r="B1086"/>
  <c r="B1082"/>
  <c r="B1078"/>
  <c r="B1074"/>
  <c r="B1070"/>
  <c r="B630"/>
  <c r="B324"/>
  <c r="B205"/>
  <c r="B270"/>
  <c r="B266"/>
  <c r="B262"/>
  <c r="B258"/>
  <c r="B254"/>
  <c r="B250"/>
  <c r="B246"/>
  <c r="B242"/>
  <c r="B238"/>
  <c r="B234"/>
  <c r="B137"/>
  <c r="B120"/>
  <c r="B112"/>
  <c r="B108"/>
  <c r="B104"/>
  <c r="B153"/>
  <c r="B451"/>
  <c r="B406"/>
  <c r="B368"/>
  <c r="B348"/>
  <c r="B334"/>
  <c r="B329"/>
  <c r="B312"/>
  <c r="B273"/>
  <c r="B1034"/>
  <c r="B1030"/>
  <c r="B1026"/>
  <c r="B1022"/>
  <c r="B1018"/>
  <c r="B1014"/>
  <c r="B1010"/>
  <c r="B1005"/>
  <c r="B1001"/>
  <c r="B997"/>
  <c r="B993"/>
  <c r="B989"/>
  <c r="B149"/>
  <c r="B396"/>
  <c r="B331"/>
  <c r="B299"/>
  <c r="B88"/>
  <c r="B83"/>
  <c r="B77"/>
  <c r="B72"/>
  <c r="B68"/>
  <c r="B64"/>
  <c r="B60"/>
  <c r="B55"/>
  <c r="B51"/>
  <c r="B47"/>
  <c r="B43"/>
  <c r="B38"/>
  <c r="B34"/>
  <c r="B30"/>
  <c r="B26"/>
  <c r="B21"/>
  <c r="B17"/>
  <c r="B12"/>
  <c r="B222"/>
  <c r="B218"/>
  <c r="B460"/>
  <c r="B444"/>
  <c r="B375"/>
  <c r="B1060"/>
  <c r="B824"/>
  <c r="B820"/>
  <c r="B1052"/>
  <c r="B815"/>
  <c r="B811"/>
  <c r="B1048"/>
  <c r="B1044"/>
  <c r="B1040"/>
  <c r="B1036"/>
  <c r="B793"/>
  <c r="B789"/>
  <c r="B1008"/>
  <c r="B763"/>
  <c r="B982"/>
  <c r="B709"/>
  <c r="B705"/>
  <c r="B701"/>
  <c r="B697"/>
  <c r="B693"/>
  <c r="B689"/>
  <c r="B685"/>
  <c r="B681"/>
  <c r="B677"/>
  <c r="B214"/>
  <c r="B200"/>
  <c r="B196"/>
  <c r="B192"/>
  <c r="B188"/>
  <c r="B184"/>
  <c r="B209"/>
  <c r="B181"/>
  <c r="B924"/>
  <c r="B960"/>
  <c r="B228"/>
  <c r="B224"/>
  <c r="B1117"/>
  <c r="B959"/>
  <c r="B957"/>
  <c r="B953"/>
  <c r="B949"/>
  <c r="B919"/>
  <c r="B915"/>
  <c r="B911"/>
  <c r="B907"/>
  <c r="B806"/>
  <c r="B802"/>
  <c r="B798"/>
  <c r="B941"/>
  <c r="B937"/>
  <c r="B933"/>
  <c r="B929"/>
  <c r="B902"/>
  <c r="B898"/>
  <c r="B894"/>
  <c r="B890"/>
  <c r="B781"/>
  <c r="B777"/>
  <c r="B773"/>
  <c r="B769"/>
  <c r="B714"/>
  <c r="B976"/>
  <c r="B672"/>
  <c r="B668"/>
  <c r="B658"/>
  <c r="B421"/>
  <c r="B415"/>
  <c r="B401"/>
  <c r="B310"/>
  <c r="B302"/>
  <c r="B297"/>
  <c r="B287"/>
  <c r="B973"/>
  <c r="B969"/>
  <c r="B965"/>
  <c r="B405"/>
  <c r="B378"/>
  <c r="B293"/>
  <c r="B361"/>
  <c r="B784"/>
  <c r="B887"/>
  <c r="B883"/>
  <c r="B879"/>
  <c r="B875"/>
  <c r="B871"/>
  <c r="B867"/>
  <c r="B863"/>
  <c r="B758"/>
  <c r="B754"/>
  <c r="B750"/>
  <c r="B746"/>
  <c r="B742"/>
  <c r="B738"/>
  <c r="B926"/>
  <c r="B859"/>
  <c r="B855"/>
  <c r="B851"/>
  <c r="B847"/>
  <c r="B734"/>
  <c r="B730"/>
  <c r="B726"/>
  <c r="B722"/>
  <c r="B718"/>
  <c r="B178"/>
  <c r="B168"/>
  <c r="B1152"/>
  <c r="B1067"/>
  <c r="B643"/>
  <c r="B619"/>
  <c r="B593"/>
  <c r="B576"/>
  <c r="B531"/>
  <c r="B839"/>
  <c r="B1147"/>
  <c r="B828"/>
  <c r="B589"/>
  <c r="B565"/>
  <c r="B1106"/>
  <c r="B836"/>
  <c r="B644"/>
  <c r="B588"/>
  <c r="B575"/>
  <c r="B560"/>
  <c r="B546"/>
  <c r="B538"/>
  <c r="B527"/>
  <c r="B523"/>
  <c r="B1144"/>
  <c r="B1140"/>
  <c r="B1136"/>
  <c r="B611"/>
  <c r="B515"/>
  <c r="B87"/>
  <c r="B829"/>
  <c r="B93"/>
  <c r="B172"/>
  <c r="B167"/>
  <c r="B162"/>
  <c r="B157"/>
  <c r="B665"/>
  <c r="B661"/>
  <c r="B440"/>
  <c r="B517"/>
  <c r="B203"/>
  <c r="B598"/>
  <c r="B584"/>
  <c r="B148"/>
  <c r="B130"/>
  <c r="B121"/>
  <c r="B96"/>
  <c r="B452"/>
  <c r="B438"/>
  <c r="B433"/>
  <c r="B429"/>
  <c r="B425"/>
  <c r="B407"/>
  <c r="B393"/>
  <c r="B389"/>
  <c r="B383"/>
  <c r="B810"/>
  <c r="B841"/>
  <c r="B607"/>
  <c r="B1131"/>
  <c r="B1127"/>
  <c r="B1123"/>
  <c r="B594"/>
  <c r="B620"/>
  <c r="B532"/>
  <c r="B1121"/>
  <c r="B632"/>
  <c r="B614"/>
  <c r="B583"/>
  <c r="B542"/>
  <c r="B534"/>
  <c r="B1114"/>
  <c r="B1110"/>
  <c r="B627"/>
  <c r="B610"/>
  <c r="B562"/>
  <c r="B548"/>
  <c r="B511"/>
  <c r="B1103"/>
  <c r="B1099"/>
  <c r="B1095"/>
  <c r="B1091"/>
  <c r="B1087"/>
  <c r="B1083"/>
  <c r="B1079"/>
  <c r="B1075"/>
  <c r="B1071"/>
  <c r="B638"/>
  <c r="B363"/>
  <c r="B206"/>
  <c r="B271"/>
  <c r="B267"/>
  <c r="B263"/>
  <c r="B259"/>
  <c r="B255"/>
  <c r="B251"/>
  <c r="B247"/>
  <c r="B243"/>
  <c r="B239"/>
  <c r="B235"/>
  <c r="B138"/>
  <c r="B124"/>
  <c r="B115"/>
  <c r="B109"/>
  <c r="B105"/>
  <c r="B99"/>
  <c r="B454"/>
  <c r="B409"/>
  <c r="B376"/>
  <c r="B349"/>
  <c r="B336"/>
  <c r="B330"/>
  <c r="B325"/>
  <c r="B292"/>
  <c r="B1035"/>
  <c r="B1031"/>
  <c r="B1027"/>
  <c r="B1023"/>
  <c r="B1019"/>
  <c r="B1015"/>
  <c r="B1011"/>
  <c r="B1006"/>
  <c r="B1002"/>
  <c r="B998"/>
  <c r="B994"/>
  <c r="B990"/>
  <c r="B986"/>
  <c r="B419"/>
  <c r="B335"/>
  <c r="B303"/>
  <c r="B89"/>
  <c r="B84"/>
  <c r="B78"/>
  <c r="B73"/>
  <c r="B69"/>
  <c r="B65"/>
  <c r="B61"/>
  <c r="B56"/>
  <c r="B52"/>
  <c r="B48"/>
  <c r="B44"/>
  <c r="B39"/>
  <c r="B35"/>
  <c r="B31"/>
  <c r="B27"/>
  <c r="B23"/>
  <c r="B18"/>
  <c r="B14"/>
  <c r="B961"/>
  <c r="B219"/>
  <c r="B313"/>
  <c r="B448"/>
  <c r="B385"/>
  <c r="B311"/>
  <c r="B1057"/>
  <c r="B821"/>
  <c r="B1053"/>
  <c r="B816"/>
  <c r="B812"/>
  <c r="B1049"/>
  <c r="B1045"/>
  <c r="B1041"/>
  <c r="B1037"/>
  <c r="B794"/>
  <c r="B790"/>
  <c r="B786"/>
  <c r="B764"/>
  <c r="B983"/>
  <c r="B710"/>
  <c r="B706"/>
  <c r="B702"/>
  <c r="B698"/>
  <c r="B694"/>
  <c r="B690"/>
  <c r="B686"/>
  <c r="B682"/>
  <c r="B678"/>
  <c r="B906"/>
  <c r="B201"/>
  <c r="B197"/>
  <c r="B193"/>
  <c r="B189"/>
  <c r="B185"/>
  <c r="B210"/>
  <c r="B182"/>
  <c r="B925"/>
  <c r="B180"/>
  <c r="B229"/>
  <c r="B225"/>
  <c r="B1130"/>
  <c r="B22"/>
  <c r="B958"/>
  <c r="B954"/>
  <c r="B950"/>
  <c r="B946"/>
  <c r="B916"/>
  <c r="B912"/>
  <c r="B908"/>
  <c r="B807"/>
  <c r="B803"/>
  <c r="B799"/>
  <c r="B942"/>
  <c r="B938"/>
  <c r="B934"/>
  <c r="B930"/>
  <c r="B903"/>
  <c r="B899"/>
  <c r="B895"/>
  <c r="B891"/>
  <c r="B782"/>
  <c r="B778"/>
  <c r="B774"/>
  <c r="B770"/>
  <c r="B715"/>
  <c r="B977"/>
  <c r="B673"/>
  <c r="B669"/>
  <c r="B659"/>
  <c r="B437"/>
  <c r="B416"/>
  <c r="B402"/>
  <c r="B318"/>
  <c r="B304"/>
  <c r="B298"/>
  <c r="B288"/>
  <c r="B76"/>
  <c r="B970"/>
  <c r="B966"/>
  <c r="B962"/>
  <c r="B381"/>
  <c r="B294"/>
  <c r="B362"/>
  <c r="B944"/>
  <c r="B888"/>
  <c r="B884"/>
  <c r="B880"/>
  <c r="B876"/>
  <c r="B872"/>
  <c r="B868"/>
  <c r="B864"/>
  <c r="B759"/>
  <c r="B755"/>
  <c r="B751"/>
  <c r="B747"/>
  <c r="B743"/>
  <c r="B739"/>
  <c r="B735"/>
  <c r="B860"/>
  <c r="B856"/>
  <c r="B852"/>
  <c r="B848"/>
  <c r="B844"/>
  <c r="B731"/>
  <c r="B727"/>
  <c r="B723"/>
  <c r="B719"/>
  <c r="B179"/>
  <c r="B175"/>
  <c r="B154"/>
  <c r="B1150"/>
  <c r="B650"/>
  <c r="B623"/>
  <c r="B596"/>
  <c r="B578"/>
  <c r="B572"/>
  <c r="B978"/>
  <c r="B1148"/>
  <c r="B833"/>
  <c r="B617"/>
  <c r="B595"/>
  <c r="B558"/>
  <c r="B1063"/>
  <c r="B645"/>
  <c r="B592"/>
  <c r="B577"/>
  <c r="B564"/>
  <c r="B553"/>
  <c r="B543"/>
  <c r="B528"/>
  <c r="B524"/>
  <c r="B1145"/>
  <c r="B1141"/>
  <c r="B1137"/>
  <c r="B631"/>
  <c r="B516"/>
  <c r="B147"/>
  <c r="B830"/>
  <c r="B827"/>
  <c r="B173"/>
  <c r="B169"/>
  <c r="B163"/>
  <c r="B159"/>
  <c r="B321"/>
  <c r="B843"/>
  <c r="B1134"/>
  <c r="B1132"/>
  <c r="B1128"/>
  <c r="B1124"/>
  <c r="B609"/>
  <c r="B624"/>
  <c r="B552"/>
  <c r="B1118"/>
  <c r="B639"/>
  <c r="B616"/>
  <c r="B586"/>
  <c r="B549"/>
  <c r="B536"/>
  <c r="B1115"/>
  <c r="B1111"/>
  <c r="B1107"/>
  <c r="B615"/>
  <c r="B591"/>
  <c r="B555"/>
  <c r="B520"/>
  <c r="B508"/>
  <c r="B1100"/>
  <c r="B1096"/>
  <c r="B1092"/>
  <c r="B1088"/>
  <c r="B1084"/>
  <c r="B1080"/>
  <c r="B1076"/>
  <c r="B1072"/>
  <c r="B648"/>
  <c r="B605"/>
  <c r="B208"/>
  <c r="B408"/>
  <c r="B268"/>
  <c r="B264"/>
  <c r="B260"/>
  <c r="B256"/>
  <c r="B252"/>
  <c r="B248"/>
  <c r="B244"/>
  <c r="B240"/>
  <c r="B236"/>
  <c r="B232"/>
  <c r="B125"/>
  <c r="B116"/>
  <c r="B110"/>
  <c r="B106"/>
  <c r="B102"/>
  <c r="B456"/>
  <c r="B411"/>
  <c r="B377"/>
  <c r="B359"/>
  <c r="B337"/>
  <c r="B332"/>
  <c r="B326"/>
  <c r="B306"/>
  <c r="B1055"/>
  <c r="B1032"/>
  <c r="B1028"/>
  <c r="B1024"/>
  <c r="B1020"/>
  <c r="B1016"/>
  <c r="B1012"/>
  <c r="B1007"/>
  <c r="B1003"/>
  <c r="B999"/>
  <c r="B995"/>
  <c r="B991"/>
  <c r="B987"/>
  <c r="B423"/>
  <c r="B379"/>
  <c r="B314"/>
  <c r="B921"/>
  <c r="B85"/>
  <c r="B79"/>
  <c r="B74"/>
  <c r="B70"/>
  <c r="B66"/>
  <c r="B62"/>
  <c r="B57"/>
  <c r="B53"/>
  <c r="B49"/>
  <c r="B45"/>
  <c r="B41"/>
  <c r="B36"/>
  <c r="B32"/>
  <c r="B28"/>
  <c r="B24"/>
  <c r="B19"/>
  <c r="B15"/>
  <c r="B10"/>
  <c r="B220"/>
  <c r="B216"/>
  <c r="B449"/>
  <c r="B439"/>
  <c r="B328"/>
  <c r="B1058"/>
  <c r="B822"/>
  <c r="B1054"/>
  <c r="B817"/>
  <c r="B813"/>
  <c r="B1050"/>
  <c r="B1046"/>
  <c r="B1042"/>
  <c r="B1038"/>
  <c r="B795"/>
  <c r="B791"/>
  <c r="B787"/>
  <c r="B765"/>
  <c r="B984"/>
  <c r="B711"/>
  <c r="B707"/>
  <c r="B703"/>
  <c r="B699"/>
  <c r="B695"/>
  <c r="B691"/>
  <c r="B687"/>
  <c r="B683"/>
  <c r="B679"/>
  <c r="B785"/>
  <c r="B202"/>
  <c r="B198"/>
  <c r="B194"/>
  <c r="B190"/>
  <c r="B186"/>
  <c r="B1068"/>
  <c r="B183"/>
  <c r="B367"/>
  <c r="B922"/>
  <c r="B230"/>
  <c r="B226"/>
  <c r="B215"/>
  <c r="B150"/>
  <c r="B825"/>
  <c r="B955"/>
  <c r="B951"/>
  <c r="B947"/>
  <c r="B917"/>
  <c r="B913"/>
  <c r="B909"/>
  <c r="B808"/>
  <c r="B804"/>
  <c r="B800"/>
  <c r="B943"/>
  <c r="B939"/>
  <c r="B935"/>
  <c r="B931"/>
  <c r="B904"/>
  <c r="B900"/>
  <c r="B896"/>
  <c r="B892"/>
  <c r="B783"/>
  <c r="B779"/>
  <c r="B775"/>
  <c r="B771"/>
  <c r="B767"/>
  <c r="B712"/>
  <c r="B674"/>
  <c r="B670"/>
  <c r="B660"/>
  <c r="B656"/>
  <c r="B417"/>
  <c r="B412"/>
  <c r="B399"/>
  <c r="B307"/>
  <c r="B300"/>
  <c r="B289"/>
  <c r="B127"/>
  <c r="B971"/>
  <c r="B967"/>
  <c r="B963"/>
  <c r="B382"/>
  <c r="B295"/>
  <c r="B277"/>
  <c r="B945"/>
  <c r="B927"/>
  <c r="B885"/>
  <c r="B881"/>
  <c r="B877"/>
  <c r="B873"/>
  <c r="B869"/>
  <c r="B865"/>
  <c r="B760"/>
  <c r="B756"/>
  <c r="B752"/>
  <c r="B748"/>
  <c r="B744"/>
  <c r="B740"/>
  <c r="B736"/>
  <c r="B861"/>
  <c r="B857"/>
  <c r="B853"/>
  <c r="B849"/>
  <c r="B845"/>
  <c r="B732"/>
  <c r="B728"/>
  <c r="B724"/>
  <c r="B720"/>
  <c r="B716"/>
  <c r="B176"/>
  <c r="B158"/>
  <c r="B1151"/>
  <c r="B835"/>
  <c r="B634"/>
  <c r="B604"/>
  <c r="B579"/>
  <c r="B573"/>
  <c r="B1066"/>
  <c r="B1149"/>
  <c r="B838"/>
  <c r="B637"/>
  <c r="B1120"/>
  <c r="B559"/>
  <c r="B1104"/>
  <c r="B826"/>
  <c r="B603"/>
  <c r="B580"/>
  <c r="B566"/>
  <c r="B554"/>
  <c r="B544"/>
  <c r="B529"/>
  <c r="B525"/>
  <c r="B1064"/>
  <c r="B974"/>
  <c r="B512"/>
  <c r="B1133"/>
  <c r="B1129"/>
  <c r="B1125"/>
  <c r="B618"/>
  <c r="B980"/>
  <c r="B570"/>
  <c r="B1119"/>
  <c r="B640"/>
  <c r="B621"/>
  <c r="B612"/>
  <c r="B550"/>
  <c r="B539"/>
  <c r="B1116"/>
  <c r="B1112"/>
  <c r="B1108"/>
  <c r="B625"/>
  <c r="B601"/>
  <c r="B556"/>
  <c r="B522"/>
  <c r="B509"/>
  <c r="B1101"/>
  <c r="B1097"/>
  <c r="B1093"/>
  <c r="B1089"/>
  <c r="B1085"/>
  <c r="B1081"/>
  <c r="B1077"/>
  <c r="B1073"/>
  <c r="B649"/>
  <c r="B628"/>
  <c r="B323"/>
  <c r="B410"/>
  <c r="B269"/>
  <c r="B265"/>
  <c r="B261"/>
  <c r="B257"/>
  <c r="B253"/>
  <c r="B249"/>
  <c r="B245"/>
  <c r="B241"/>
  <c r="B237"/>
  <c r="B233"/>
  <c r="B126"/>
  <c r="B118"/>
  <c r="B111"/>
  <c r="B107"/>
  <c r="B103"/>
  <c r="B457"/>
  <c r="B422"/>
  <c r="B395"/>
  <c r="B366"/>
  <c r="B338"/>
  <c r="B333"/>
  <c r="B327"/>
  <c r="B309"/>
  <c r="B1056"/>
  <c r="B1033"/>
  <c r="B1029"/>
  <c r="B1025"/>
  <c r="B1021"/>
  <c r="B1017"/>
  <c r="B1013"/>
  <c r="B1009"/>
  <c r="B1004"/>
  <c r="B1000"/>
  <c r="B996"/>
  <c r="B992"/>
  <c r="B988"/>
  <c r="B441"/>
  <c r="B380"/>
  <c r="B315"/>
  <c r="B291"/>
  <c r="B86"/>
  <c r="B80"/>
  <c r="B75"/>
  <c r="B71"/>
  <c r="B67"/>
  <c r="B63"/>
  <c r="B58"/>
  <c r="B54"/>
  <c r="B50"/>
  <c r="B46"/>
  <c r="B42"/>
  <c r="B37"/>
  <c r="B33"/>
  <c r="B29"/>
  <c r="B25"/>
  <c r="B20"/>
  <c r="B16"/>
  <c r="B11"/>
  <c r="B221"/>
  <c r="B217"/>
  <c r="B450"/>
  <c r="B443"/>
  <c r="B339"/>
  <c r="B1059"/>
  <c r="B823"/>
  <c r="B819"/>
  <c r="B818"/>
  <c r="B814"/>
  <c r="B1051"/>
  <c r="B1047"/>
  <c r="B1043"/>
  <c r="B1039"/>
  <c r="B796"/>
  <c r="B792"/>
  <c r="B788"/>
  <c r="B766"/>
  <c r="B985"/>
  <c r="B981"/>
  <c r="B708"/>
  <c r="B704"/>
  <c r="B700"/>
  <c r="B696"/>
  <c r="B692"/>
  <c r="B688"/>
  <c r="B684"/>
  <c r="B680"/>
  <c r="B676"/>
  <c r="B213"/>
  <c r="B199"/>
  <c r="B195"/>
  <c r="B191"/>
  <c r="B187"/>
  <c r="B1069"/>
  <c r="B207"/>
  <c r="B447"/>
  <c r="B923"/>
  <c r="B231"/>
  <c r="B227"/>
  <c r="B223"/>
  <c r="B151"/>
  <c r="B920"/>
  <c r="B956"/>
  <c r="B952"/>
  <c r="B948"/>
  <c r="B918"/>
  <c r="B914"/>
  <c r="B910"/>
  <c r="B809"/>
  <c r="B805"/>
  <c r="B801"/>
  <c r="B797"/>
  <c r="B940"/>
  <c r="B936"/>
  <c r="B932"/>
  <c r="B905"/>
  <c r="B901"/>
  <c r="B897"/>
  <c r="B893"/>
  <c r="B889"/>
  <c r="B780"/>
  <c r="B776"/>
  <c r="B772"/>
  <c r="B768"/>
  <c r="B713"/>
  <c r="B975"/>
  <c r="B671"/>
  <c r="B667"/>
  <c r="B657"/>
  <c r="B418"/>
  <c r="B413"/>
  <c r="B400"/>
  <c r="B308"/>
  <c r="B301"/>
  <c r="B290"/>
  <c r="B274"/>
  <c r="B972"/>
  <c r="B968"/>
  <c r="B964"/>
  <c r="B397"/>
  <c r="B317"/>
  <c r="B279"/>
  <c r="B360"/>
  <c r="B928"/>
  <c r="B886"/>
  <c r="B882"/>
  <c r="B878"/>
  <c r="B874"/>
  <c r="B870"/>
  <c r="B866"/>
  <c r="B761"/>
  <c r="B757"/>
  <c r="B753"/>
  <c r="B749"/>
  <c r="B745"/>
  <c r="B741"/>
  <c r="B737"/>
  <c r="B862"/>
  <c r="B858"/>
  <c r="B854"/>
  <c r="B850"/>
  <c r="B846"/>
  <c r="B733"/>
  <c r="B729"/>
  <c r="B725"/>
  <c r="B721"/>
  <c r="B717"/>
  <c r="B177"/>
  <c r="B164"/>
  <c r="B655"/>
  <c r="B840"/>
  <c r="B642"/>
  <c r="B606"/>
  <c r="B581"/>
  <c r="B574"/>
  <c r="B530"/>
  <c r="B834"/>
  <c r="B1065"/>
  <c r="B653"/>
  <c r="B537"/>
  <c r="B563"/>
  <c r="B1105"/>
  <c r="B831"/>
  <c r="B557"/>
  <c r="B675"/>
  <c r="B1139"/>
  <c r="B582"/>
  <c r="B82"/>
  <c r="B92"/>
  <c r="B166"/>
  <c r="B156"/>
  <c r="B663"/>
  <c r="B453"/>
  <c r="B513"/>
  <c r="B600"/>
  <c r="B585"/>
  <c r="B139"/>
  <c r="B123"/>
  <c r="B114"/>
  <c r="B446"/>
  <c r="B435"/>
  <c r="B430"/>
  <c r="B424"/>
  <c r="B403"/>
  <c r="B390"/>
  <c r="B374"/>
  <c r="B370"/>
  <c r="B358"/>
  <c r="B354"/>
  <c r="B350"/>
  <c r="B344"/>
  <c r="B340"/>
  <c r="B316"/>
  <c r="B285"/>
  <c r="B281"/>
  <c r="B272"/>
  <c r="B3"/>
  <c r="B141"/>
  <c r="B132"/>
  <c r="B100"/>
  <c r="B94"/>
  <c r="B498"/>
  <c r="B494"/>
  <c r="B490"/>
  <c r="B486"/>
  <c r="B482"/>
  <c r="B478"/>
  <c r="B474"/>
  <c r="B470"/>
  <c r="B466"/>
  <c r="B462"/>
  <c r="B1159"/>
  <c r="B1155"/>
  <c r="B651"/>
  <c r="B146"/>
  <c r="B142"/>
  <c r="B40"/>
  <c r="B505"/>
  <c r="B501"/>
  <c r="B1160"/>
  <c r="B652"/>
  <c r="B569"/>
  <c r="B59"/>
  <c r="B502"/>
  <c r="B646"/>
  <c r="B90"/>
  <c r="B499"/>
  <c r="B567"/>
  <c r="B526"/>
  <c r="B1142"/>
  <c r="B636"/>
  <c r="B211"/>
  <c r="B832"/>
  <c r="B170"/>
  <c r="B160"/>
  <c r="B664"/>
  <c r="B455"/>
  <c r="B518"/>
  <c r="B635"/>
  <c r="B590"/>
  <c r="B152"/>
  <c r="B129"/>
  <c r="B117"/>
  <c r="B458"/>
  <c r="B436"/>
  <c r="B431"/>
  <c r="B426"/>
  <c r="B404"/>
  <c r="B391"/>
  <c r="B384"/>
  <c r="B371"/>
  <c r="B355"/>
  <c r="B351"/>
  <c r="B345"/>
  <c r="B341"/>
  <c r="B319"/>
  <c r="B286"/>
  <c r="B282"/>
  <c r="B275"/>
  <c r="B4"/>
  <c r="B1061"/>
  <c r="B133"/>
  <c r="B101"/>
  <c r="B95"/>
  <c r="B7"/>
  <c r="B495"/>
  <c r="B491"/>
  <c r="B487"/>
  <c r="B483"/>
  <c r="B479"/>
  <c r="B475"/>
  <c r="B471"/>
  <c r="B467"/>
  <c r="B463"/>
  <c r="B1156"/>
  <c r="B143"/>
  <c r="B506"/>
  <c r="B464"/>
  <c r="B654"/>
  <c r="B507"/>
  <c r="B504"/>
  <c r="B587"/>
  <c r="B533"/>
  <c r="B1143"/>
  <c r="B1135"/>
  <c r="B514"/>
  <c r="B837"/>
  <c r="B171"/>
  <c r="B161"/>
  <c r="B666"/>
  <c r="B212"/>
  <c r="B547"/>
  <c r="B386"/>
  <c r="B597"/>
  <c r="B204"/>
  <c r="B131"/>
  <c r="B119"/>
  <c r="B459"/>
  <c r="B442"/>
  <c r="B432"/>
  <c r="B427"/>
  <c r="B414"/>
  <c r="B392"/>
  <c r="B387"/>
  <c r="B372"/>
  <c r="B365"/>
  <c r="B356"/>
  <c r="B352"/>
  <c r="B346"/>
  <c r="B342"/>
  <c r="B320"/>
  <c r="B296"/>
  <c r="B283"/>
  <c r="B278"/>
  <c r="B5"/>
  <c r="B1062"/>
  <c r="B134"/>
  <c r="B113"/>
  <c r="B97"/>
  <c r="B8"/>
  <c r="B496"/>
  <c r="B492"/>
  <c r="B488"/>
  <c r="B484"/>
  <c r="B480"/>
  <c r="B476"/>
  <c r="B472"/>
  <c r="B468"/>
  <c r="B979"/>
  <c r="B1157"/>
  <c r="B144"/>
  <c r="B503"/>
  <c r="B633"/>
  <c r="B545"/>
  <c r="B1146"/>
  <c r="B1138"/>
  <c r="B568"/>
  <c r="B81"/>
  <c r="B174"/>
  <c r="B165"/>
  <c r="B155"/>
  <c r="B662"/>
  <c r="B276"/>
  <c r="B398"/>
  <c r="B599"/>
  <c r="B641"/>
  <c r="B135"/>
  <c r="B122"/>
  <c r="B461"/>
  <c r="B445"/>
  <c r="B434"/>
  <c r="B428"/>
  <c r="B420"/>
  <c r="B394"/>
  <c r="B388"/>
  <c r="B373"/>
  <c r="B369"/>
  <c r="B357"/>
  <c r="B353"/>
  <c r="B347"/>
  <c r="B343"/>
  <c r="B322"/>
  <c r="B305"/>
  <c r="B284"/>
  <c r="B280"/>
  <c r="B6"/>
  <c r="B2"/>
  <c r="B136"/>
  <c r="B128"/>
  <c r="B98"/>
  <c r="B9"/>
  <c r="B497"/>
  <c r="B493"/>
  <c r="B489"/>
  <c r="B485"/>
  <c r="B481"/>
  <c r="B477"/>
  <c r="B473"/>
  <c r="B469"/>
  <c r="B465"/>
  <c r="B91"/>
  <c r="B1158"/>
  <c r="B1154"/>
  <c r="B647"/>
  <c r="B145"/>
  <c r="B140"/>
  <c r="B13"/>
  <c r="B500"/>
  <c r="C145"/>
  <c r="C91"/>
  <c r="C477"/>
  <c r="C493"/>
  <c r="C128"/>
  <c r="C280"/>
  <c r="C343"/>
  <c r="C369"/>
  <c r="C420"/>
  <c r="C461"/>
  <c r="C599"/>
  <c r="C155"/>
  <c r="C568"/>
  <c r="C633"/>
  <c r="C979"/>
  <c r="C480"/>
  <c r="C496"/>
  <c r="C134"/>
  <c r="C283"/>
  <c r="C346"/>
  <c r="C372"/>
  <c r="C427"/>
  <c r="C119"/>
  <c r="C386"/>
  <c r="C161"/>
  <c r="C1135"/>
  <c r="C504"/>
  <c r="C506"/>
  <c r="C467"/>
  <c r="C483"/>
  <c r="C7"/>
  <c r="C1061"/>
  <c r="C286"/>
  <c r="C351"/>
  <c r="C384"/>
  <c r="C431"/>
  <c r="C129"/>
  <c r="C518"/>
  <c r="C170"/>
  <c r="C1142"/>
  <c r="C90"/>
  <c r="C569"/>
  <c r="C505"/>
  <c r="C651"/>
  <c r="C466"/>
  <c r="C482"/>
  <c r="C498"/>
  <c r="C141"/>
  <c r="C285"/>
  <c r="C350"/>
  <c r="C374"/>
  <c r="C430"/>
  <c r="C123"/>
  <c r="C513"/>
  <c r="C166"/>
  <c r="C1139"/>
  <c r="C1105"/>
  <c r="C1065"/>
  <c r="C581"/>
  <c r="C655"/>
  <c r="C721"/>
  <c r="C846"/>
  <c r="C862"/>
  <c r="C749"/>
  <c r="C866"/>
  <c r="C882"/>
  <c r="C279"/>
  <c r="C968"/>
  <c r="C301"/>
  <c r="C418"/>
  <c r="C975"/>
  <c r="C776"/>
  <c r="C897"/>
  <c r="C936"/>
  <c r="C805"/>
  <c r="C918"/>
  <c r="C920"/>
  <c r="C231"/>
  <c r="C1069"/>
  <c r="C199"/>
  <c r="C684"/>
  <c r="C700"/>
  <c r="C985"/>
  <c r="C796"/>
  <c r="C1051"/>
  <c r="C823"/>
  <c r="C450"/>
  <c r="C16"/>
  <c r="C33"/>
  <c r="C50"/>
  <c r="C67"/>
  <c r="C86"/>
  <c r="C441"/>
  <c r="C1000"/>
  <c r="C1017"/>
  <c r="C1033"/>
  <c r="C333"/>
  <c r="C422"/>
  <c r="C111"/>
  <c r="C237"/>
  <c r="C253"/>
  <c r="C269"/>
  <c r="C649"/>
  <c r="C1085"/>
  <c r="C1101"/>
  <c r="C601"/>
  <c r="C1116"/>
  <c r="C621"/>
  <c r="C980"/>
  <c r="C1133"/>
  <c r="C525"/>
  <c r="C566"/>
  <c r="C1104"/>
  <c r="C838"/>
  <c r="C579"/>
  <c r="C1151"/>
  <c r="C720"/>
  <c r="C845"/>
  <c r="C861"/>
  <c r="C748"/>
  <c r="C865"/>
  <c r="C881"/>
  <c r="C277"/>
  <c r="C967"/>
  <c r="C300"/>
  <c r="C417"/>
  <c r="C674"/>
  <c r="C775"/>
  <c r="C896"/>
  <c r="C935"/>
  <c r="C804"/>
  <c r="C917"/>
  <c r="C825"/>
  <c r="C230"/>
  <c r="C1068"/>
  <c r="C198"/>
  <c r="C683"/>
  <c r="C699"/>
  <c r="C984"/>
  <c r="C795"/>
  <c r="C1050"/>
  <c r="C822"/>
  <c r="C449"/>
  <c r="C15"/>
  <c r="C32"/>
  <c r="C49"/>
  <c r="C66"/>
  <c r="C85"/>
  <c r="C423"/>
  <c r="C999"/>
  <c r="C1016"/>
  <c r="C1032"/>
  <c r="C332"/>
  <c r="C411"/>
  <c r="C110"/>
  <c r="C236"/>
  <c r="C252"/>
  <c r="C268"/>
  <c r="C648"/>
  <c r="C1084"/>
  <c r="C1100"/>
  <c r="C591"/>
  <c r="C1115"/>
  <c r="C616"/>
  <c r="C624"/>
  <c r="C1132"/>
  <c r="C159"/>
  <c r="C827"/>
  <c r="C631"/>
  <c r="C524"/>
  <c r="C564"/>
  <c r="C1063"/>
  <c r="C833"/>
  <c r="C578"/>
  <c r="C1150"/>
  <c r="C719"/>
  <c r="C844"/>
  <c r="C860"/>
  <c r="C747"/>
  <c r="C864"/>
  <c r="C880"/>
  <c r="C362"/>
  <c r="C966"/>
  <c r="C298"/>
  <c r="C416"/>
  <c r="C673"/>
  <c r="C774"/>
  <c r="C895"/>
  <c r="C934"/>
  <c r="C803"/>
  <c r="C916"/>
  <c r="C958"/>
  <c r="C229"/>
  <c r="C210"/>
  <c r="C197"/>
  <c r="C682"/>
  <c r="C698"/>
  <c r="C983"/>
  <c r="C794"/>
  <c r="C1049"/>
  <c r="C821"/>
  <c r="C448"/>
  <c r="C14"/>
  <c r="C31"/>
  <c r="C48"/>
  <c r="C65"/>
  <c r="C84"/>
  <c r="C419"/>
  <c r="C998"/>
  <c r="C1015"/>
  <c r="C1031"/>
  <c r="C330"/>
  <c r="C409"/>
  <c r="C109"/>
  <c r="C235"/>
  <c r="C251"/>
  <c r="C267"/>
  <c r="C638"/>
  <c r="C1083"/>
  <c r="C1099"/>
  <c r="C562"/>
  <c r="C1114"/>
  <c r="C614"/>
  <c r="C620"/>
  <c r="C1131"/>
  <c r="C383"/>
  <c r="C425"/>
  <c r="C452"/>
  <c r="C148"/>
  <c r="C517"/>
  <c r="C157"/>
  <c r="C93"/>
  <c r="C611"/>
  <c r="C523"/>
  <c r="C560"/>
  <c r="C836"/>
  <c r="C828"/>
  <c r="C576"/>
  <c r="C1067"/>
  <c r="C718"/>
  <c r="C734"/>
  <c r="C859"/>
  <c r="C746"/>
  <c r="C863"/>
  <c r="C879"/>
  <c r="C361"/>
  <c r="C965"/>
  <c r="C297"/>
  <c r="C415"/>
  <c r="C672"/>
  <c r="C773"/>
  <c r="C894"/>
  <c r="C933"/>
  <c r="C802"/>
  <c r="C915"/>
  <c r="C957"/>
  <c r="C228"/>
  <c r="C209"/>
  <c r="C196"/>
  <c r="C681"/>
  <c r="C697"/>
  <c r="C982"/>
  <c r="C793"/>
  <c r="C1048"/>
  <c r="C820"/>
  <c r="C140"/>
  <c r="C1158"/>
  <c r="C473"/>
  <c r="C489"/>
  <c r="C98"/>
  <c r="C6"/>
  <c r="C322"/>
  <c r="C357"/>
  <c r="C394"/>
  <c r="C445"/>
  <c r="C641"/>
  <c r="C662"/>
  <c r="C81"/>
  <c r="C545"/>
  <c r="C1157"/>
  <c r="C476"/>
  <c r="C492"/>
  <c r="C113"/>
  <c r="C278"/>
  <c r="C342"/>
  <c r="C365"/>
  <c r="C414"/>
  <c r="C459"/>
  <c r="C597"/>
  <c r="C666"/>
  <c r="C514"/>
  <c r="C587"/>
  <c r="C464"/>
  <c r="C463"/>
  <c r="C479"/>
  <c r="C495"/>
  <c r="C133"/>
  <c r="C282"/>
  <c r="C345"/>
  <c r="C371"/>
  <c r="C426"/>
  <c r="C117"/>
  <c r="C635"/>
  <c r="C160"/>
  <c r="C636"/>
  <c r="C499"/>
  <c r="C59"/>
  <c r="C501"/>
  <c r="C146"/>
  <c r="C462"/>
  <c r="C478"/>
  <c r="C494"/>
  <c r="C132"/>
  <c r="C281"/>
  <c r="C344"/>
  <c r="C370"/>
  <c r="C424"/>
  <c r="C114"/>
  <c r="C600"/>
  <c r="C156"/>
  <c r="C582"/>
  <c r="C831"/>
  <c r="C653"/>
  <c r="C574"/>
  <c r="C840"/>
  <c r="C717"/>
  <c r="C733"/>
  <c r="C858"/>
  <c r="C745"/>
  <c r="C761"/>
  <c r="C878"/>
  <c r="C360"/>
  <c r="C964"/>
  <c r="C290"/>
  <c r="C413"/>
  <c r="C671"/>
  <c r="C772"/>
  <c r="C893"/>
  <c r="C932"/>
  <c r="C801"/>
  <c r="C914"/>
  <c r="C956"/>
  <c r="C227"/>
  <c r="C207"/>
  <c r="C195"/>
  <c r="C680"/>
  <c r="C696"/>
  <c r="C981"/>
  <c r="C792"/>
  <c r="C1047"/>
  <c r="C819"/>
  <c r="C443"/>
  <c r="C11"/>
  <c r="C29"/>
  <c r="C46"/>
  <c r="C63"/>
  <c r="C80"/>
  <c r="C380"/>
  <c r="C996"/>
  <c r="C1013"/>
  <c r="C1029"/>
  <c r="C327"/>
  <c r="C395"/>
  <c r="C107"/>
  <c r="C233"/>
  <c r="C249"/>
  <c r="C265"/>
  <c r="C628"/>
  <c r="C1081"/>
  <c r="C1097"/>
  <c r="C556"/>
  <c r="C1112"/>
  <c r="C612"/>
  <c r="C570"/>
  <c r="C1129"/>
  <c r="C1064"/>
  <c r="C554"/>
  <c r="C826"/>
  <c r="C637"/>
  <c r="C573"/>
  <c r="C835"/>
  <c r="C716"/>
  <c r="C732"/>
  <c r="C857"/>
  <c r="C744"/>
  <c r="C760"/>
  <c r="C877"/>
  <c r="C945"/>
  <c r="C963"/>
  <c r="C289"/>
  <c r="C412"/>
  <c r="C670"/>
  <c r="C771"/>
  <c r="C892"/>
  <c r="C931"/>
  <c r="C800"/>
  <c r="C913"/>
  <c r="C955"/>
  <c r="C226"/>
  <c r="C183"/>
  <c r="C194"/>
  <c r="C679"/>
  <c r="C695"/>
  <c r="C711"/>
  <c r="C791"/>
  <c r="C1046"/>
  <c r="C1054"/>
  <c r="C439"/>
  <c r="C10"/>
  <c r="C28"/>
  <c r="C45"/>
  <c r="C62"/>
  <c r="C79"/>
  <c r="C379"/>
  <c r="C995"/>
  <c r="C1012"/>
  <c r="C1028"/>
  <c r="C326"/>
  <c r="C377"/>
  <c r="C106"/>
  <c r="C232"/>
  <c r="C248"/>
  <c r="C264"/>
  <c r="C605"/>
  <c r="C1080"/>
  <c r="C1096"/>
  <c r="C555"/>
  <c r="C1111"/>
  <c r="C586"/>
  <c r="C552"/>
  <c r="C1128"/>
  <c r="C321"/>
  <c r="C173"/>
  <c r="C516"/>
  <c r="C1145"/>
  <c r="C553"/>
  <c r="C645"/>
  <c r="C617"/>
  <c r="C572"/>
  <c r="C650"/>
  <c r="C179"/>
  <c r="C731"/>
  <c r="C856"/>
  <c r="C743"/>
  <c r="C759"/>
  <c r="C876"/>
  <c r="C944"/>
  <c r="C962"/>
  <c r="C288"/>
  <c r="C402"/>
  <c r="C669"/>
  <c r="C770"/>
  <c r="C891"/>
  <c r="C930"/>
  <c r="C799"/>
  <c r="C912"/>
  <c r="C954"/>
  <c r="C225"/>
  <c r="C182"/>
  <c r="C193"/>
  <c r="C678"/>
  <c r="C694"/>
  <c r="C710"/>
  <c r="C790"/>
  <c r="C1045"/>
  <c r="C1053"/>
  <c r="C385"/>
  <c r="C961"/>
  <c r="C27"/>
  <c r="C44"/>
  <c r="C61"/>
  <c r="C78"/>
  <c r="C335"/>
  <c r="C994"/>
  <c r="C1011"/>
  <c r="C1027"/>
  <c r="C325"/>
  <c r="C376"/>
  <c r="C105"/>
  <c r="C138"/>
  <c r="C247"/>
  <c r="C263"/>
  <c r="C363"/>
  <c r="C1079"/>
  <c r="C1095"/>
  <c r="C548"/>
  <c r="C1110"/>
  <c r="C583"/>
  <c r="C532"/>
  <c r="C1127"/>
  <c r="C810"/>
  <c r="C407"/>
  <c r="C438"/>
  <c r="C130"/>
  <c r="C203"/>
  <c r="C665"/>
  <c r="C172"/>
  <c r="C515"/>
  <c r="C1144"/>
  <c r="C546"/>
  <c r="C644"/>
  <c r="C589"/>
  <c r="C531"/>
  <c r="C643"/>
  <c r="C178"/>
  <c r="C730"/>
  <c r="C855"/>
  <c r="C742"/>
  <c r="C758"/>
  <c r="C875"/>
  <c r="C784"/>
  <c r="C405"/>
  <c r="C287"/>
  <c r="C401"/>
  <c r="C668"/>
  <c r="C769"/>
  <c r="C890"/>
  <c r="C929"/>
  <c r="C798"/>
  <c r="C911"/>
  <c r="C953"/>
  <c r="C13"/>
  <c r="C1154"/>
  <c r="C469"/>
  <c r="C485"/>
  <c r="C9"/>
  <c r="C2"/>
  <c r="C305"/>
  <c r="C353"/>
  <c r="C388"/>
  <c r="C434"/>
  <c r="C135"/>
  <c r="C276"/>
  <c r="C174"/>
  <c r="C1146"/>
  <c r="C144"/>
  <c r="C472"/>
  <c r="C488"/>
  <c r="C97"/>
  <c r="C5"/>
  <c r="C320"/>
  <c r="C356"/>
  <c r="C392"/>
  <c r="C442"/>
  <c r="C204"/>
  <c r="C212"/>
  <c r="C837"/>
  <c r="C533"/>
  <c r="C654"/>
  <c r="C1156"/>
  <c r="C475"/>
  <c r="C491"/>
  <c r="C101"/>
  <c r="C275"/>
  <c r="C341"/>
  <c r="C364"/>
  <c r="C404"/>
  <c r="C458"/>
  <c r="C590"/>
  <c r="C664"/>
  <c r="C211"/>
  <c r="C567"/>
  <c r="C502"/>
  <c r="C1160"/>
  <c r="C142"/>
  <c r="C1159"/>
  <c r="C474"/>
  <c r="C490"/>
  <c r="C100"/>
  <c r="C272"/>
  <c r="C340"/>
  <c r="C358"/>
  <c r="C403"/>
  <c r="C446"/>
  <c r="C585"/>
  <c r="C663"/>
  <c r="C82"/>
  <c r="C557"/>
  <c r="C537"/>
  <c r="C530"/>
  <c r="C642"/>
  <c r="C177"/>
  <c r="C729"/>
  <c r="C854"/>
  <c r="C741"/>
  <c r="C757"/>
  <c r="C874"/>
  <c r="C928"/>
  <c r="C397"/>
  <c r="C274"/>
  <c r="C400"/>
  <c r="C667"/>
  <c r="C768"/>
  <c r="C889"/>
  <c r="C905"/>
  <c r="C797"/>
  <c r="C910"/>
  <c r="C952"/>
  <c r="C223"/>
  <c r="C447"/>
  <c r="C191"/>
  <c r="C676"/>
  <c r="C692"/>
  <c r="C708"/>
  <c r="C788"/>
  <c r="C1043"/>
  <c r="C818"/>
  <c r="C339"/>
  <c r="C221"/>
  <c r="C25"/>
  <c r="C42"/>
  <c r="C58"/>
  <c r="C75"/>
  <c r="C315"/>
  <c r="C992"/>
  <c r="C1009"/>
  <c r="C1025"/>
  <c r="C309"/>
  <c r="C366"/>
  <c r="C103"/>
  <c r="C126"/>
  <c r="C245"/>
  <c r="C261"/>
  <c r="C323"/>
  <c r="C1077"/>
  <c r="C1093"/>
  <c r="C522"/>
  <c r="C1108"/>
  <c r="C550"/>
  <c r="C1119"/>
  <c r="C1125"/>
  <c r="C974"/>
  <c r="C544"/>
  <c r="C603"/>
  <c r="C1120"/>
  <c r="C1066"/>
  <c r="C634"/>
  <c r="C176"/>
  <c r="C728"/>
  <c r="C853"/>
  <c r="C740"/>
  <c r="C756"/>
  <c r="C873"/>
  <c r="C927"/>
  <c r="C382"/>
  <c r="C127"/>
  <c r="C399"/>
  <c r="C660"/>
  <c r="C767"/>
  <c r="C783"/>
  <c r="C904"/>
  <c r="C943"/>
  <c r="C909"/>
  <c r="C951"/>
  <c r="C215"/>
  <c r="C367"/>
  <c r="C190"/>
  <c r="C785"/>
  <c r="C691"/>
  <c r="C707"/>
  <c r="C787"/>
  <c r="C1042"/>
  <c r="C817"/>
  <c r="C328"/>
  <c r="C220"/>
  <c r="C24"/>
  <c r="C41"/>
  <c r="C57"/>
  <c r="C74"/>
  <c r="C314"/>
  <c r="C991"/>
  <c r="C1007"/>
  <c r="C1024"/>
  <c r="C306"/>
  <c r="C359"/>
  <c r="C102"/>
  <c r="C125"/>
  <c r="C244"/>
  <c r="C260"/>
  <c r="C208"/>
  <c r="C1076"/>
  <c r="C1092"/>
  <c r="C520"/>
  <c r="C1107"/>
  <c r="C549"/>
  <c r="C1118"/>
  <c r="C1124"/>
  <c r="C843"/>
  <c r="C169"/>
  <c r="C147"/>
  <c r="C1141"/>
  <c r="C543"/>
  <c r="C592"/>
  <c r="C595"/>
  <c r="C978"/>
  <c r="C623"/>
  <c r="C175"/>
  <c r="C727"/>
  <c r="C852"/>
  <c r="C739"/>
  <c r="C755"/>
  <c r="C872"/>
  <c r="C888"/>
  <c r="C381"/>
  <c r="C76"/>
  <c r="C318"/>
  <c r="C659"/>
  <c r="C715"/>
  <c r="C782"/>
  <c r="C903"/>
  <c r="C942"/>
  <c r="C908"/>
  <c r="C950"/>
  <c r="C1130"/>
  <c r="C925"/>
  <c r="C189"/>
  <c r="C906"/>
  <c r="C690"/>
  <c r="C706"/>
  <c r="C786"/>
  <c r="C1041"/>
  <c r="C816"/>
  <c r="C311"/>
  <c r="C219"/>
  <c r="C23"/>
  <c r="C39"/>
  <c r="C56"/>
  <c r="C500"/>
  <c r="C647"/>
  <c r="C465"/>
  <c r="C481"/>
  <c r="C497"/>
  <c r="C136"/>
  <c r="C284"/>
  <c r="C347"/>
  <c r="C373"/>
  <c r="C428"/>
  <c r="C122"/>
  <c r="C398"/>
  <c r="C165"/>
  <c r="C1138"/>
  <c r="C503"/>
  <c r="C468"/>
  <c r="C484"/>
  <c r="C8"/>
  <c r="C1062"/>
  <c r="C296"/>
  <c r="C352"/>
  <c r="C387"/>
  <c r="C432"/>
  <c r="C131"/>
  <c r="C547"/>
  <c r="C171"/>
  <c r="C1143"/>
  <c r="C507"/>
  <c r="C143"/>
  <c r="C471"/>
  <c r="C487"/>
  <c r="C95"/>
  <c r="C4"/>
  <c r="C319"/>
  <c r="C355"/>
  <c r="C391"/>
  <c r="C436"/>
  <c r="C152"/>
  <c r="C455"/>
  <c r="C832"/>
  <c r="C526"/>
  <c r="C646"/>
  <c r="C652"/>
  <c r="C40"/>
  <c r="C1155"/>
  <c r="C470"/>
  <c r="C486"/>
  <c r="C94"/>
  <c r="C3"/>
  <c r="C316"/>
  <c r="C354"/>
  <c r="C390"/>
  <c r="C435"/>
  <c r="C139"/>
  <c r="C453"/>
  <c r="C92"/>
  <c r="C675"/>
  <c r="C563"/>
  <c r="C834"/>
  <c r="C606"/>
  <c r="C164"/>
  <c r="C725"/>
  <c r="C850"/>
  <c r="C737"/>
  <c r="C753"/>
  <c r="C870"/>
  <c r="C886"/>
  <c r="C317"/>
  <c r="C972"/>
  <c r="C308"/>
  <c r="C657"/>
  <c r="C713"/>
  <c r="C780"/>
  <c r="C901"/>
  <c r="C940"/>
  <c r="C809"/>
  <c r="C948"/>
  <c r="C151"/>
  <c r="C923"/>
  <c r="C187"/>
  <c r="C213"/>
  <c r="C688"/>
  <c r="C704"/>
  <c r="C766"/>
  <c r="C1039"/>
  <c r="C814"/>
  <c r="C1059"/>
  <c r="C217"/>
  <c r="C20"/>
  <c r="C37"/>
  <c r="C54"/>
  <c r="C71"/>
  <c r="C291"/>
  <c r="C988"/>
  <c r="C1004"/>
  <c r="C1021"/>
  <c r="C1056"/>
  <c r="C338"/>
  <c r="C457"/>
  <c r="C118"/>
  <c r="C241"/>
  <c r="C257"/>
  <c r="C410"/>
  <c r="C1073"/>
  <c r="C1089"/>
  <c r="C509"/>
  <c r="C625"/>
  <c r="C539"/>
  <c r="C640"/>
  <c r="C618"/>
  <c r="C512"/>
  <c r="C529"/>
  <c r="C580"/>
  <c r="C559"/>
  <c r="C1149"/>
  <c r="C604"/>
  <c r="C158"/>
  <c r="C724"/>
  <c r="C849"/>
  <c r="C736"/>
  <c r="C752"/>
  <c r="C869"/>
  <c r="C885"/>
  <c r="C295"/>
  <c r="C971"/>
  <c r="C307"/>
  <c r="C656"/>
  <c r="C712"/>
  <c r="C779"/>
  <c r="C900"/>
  <c r="C939"/>
  <c r="C808"/>
  <c r="C947"/>
  <c r="C150"/>
  <c r="C922"/>
  <c r="C186"/>
  <c r="C202"/>
  <c r="C687"/>
  <c r="C703"/>
  <c r="C765"/>
  <c r="C1038"/>
  <c r="C813"/>
  <c r="C1058"/>
  <c r="C216"/>
  <c r="C19"/>
  <c r="C36"/>
  <c r="C53"/>
  <c r="C70"/>
  <c r="C921"/>
  <c r="C987"/>
  <c r="C1003"/>
  <c r="C1020"/>
  <c r="C1055"/>
  <c r="C337"/>
  <c r="C456"/>
  <c r="C116"/>
  <c r="C240"/>
  <c r="C256"/>
  <c r="C408"/>
  <c r="C1072"/>
  <c r="C1088"/>
  <c r="C508"/>
  <c r="C615"/>
  <c r="C536"/>
  <c r="C639"/>
  <c r="C609"/>
  <c r="C1134"/>
  <c r="C163"/>
  <c r="C830"/>
  <c r="C1137"/>
  <c r="C528"/>
  <c r="C577"/>
  <c r="C558"/>
  <c r="C1148"/>
  <c r="C596"/>
  <c r="C154"/>
  <c r="C723"/>
  <c r="C848"/>
  <c r="C735"/>
  <c r="C751"/>
  <c r="C868"/>
  <c r="C884"/>
  <c r="C294"/>
  <c r="C970"/>
  <c r="C304"/>
  <c r="C437"/>
  <c r="C977"/>
  <c r="C778"/>
  <c r="C899"/>
  <c r="C938"/>
  <c r="C807"/>
  <c r="C946"/>
  <c r="C22"/>
  <c r="C180"/>
  <c r="C185"/>
  <c r="C201"/>
  <c r="C686"/>
  <c r="C702"/>
  <c r="C764"/>
  <c r="C1037"/>
  <c r="C812"/>
  <c r="C1057"/>
  <c r="C313"/>
  <c r="C18"/>
  <c r="C35"/>
  <c r="C52"/>
  <c r="C69"/>
  <c r="C89"/>
  <c r="C986"/>
  <c r="C1002"/>
  <c r="C1019"/>
  <c r="C1035"/>
  <c r="C336"/>
  <c r="C454"/>
  <c r="C115"/>
  <c r="C239"/>
  <c r="C255"/>
  <c r="C271"/>
  <c r="C1071"/>
  <c r="C1087"/>
  <c r="C1103"/>
  <c r="C610"/>
  <c r="C534"/>
  <c r="C632"/>
  <c r="C594"/>
  <c r="C607"/>
  <c r="C389"/>
  <c r="C429"/>
  <c r="C96"/>
  <c r="C584"/>
  <c r="C440"/>
  <c r="C162"/>
  <c r="C829"/>
  <c r="C1136"/>
  <c r="C527"/>
  <c r="C575"/>
  <c r="C1106"/>
  <c r="C1147"/>
  <c r="C593"/>
  <c r="C1152"/>
  <c r="C722"/>
  <c r="C847"/>
  <c r="C926"/>
  <c r="C750"/>
  <c r="C867"/>
  <c r="C1006"/>
  <c r="C99"/>
  <c r="C206"/>
  <c r="C627"/>
  <c r="C841"/>
  <c r="C598"/>
  <c r="C1140"/>
  <c r="C839"/>
  <c r="C851"/>
  <c r="C883"/>
  <c r="C969"/>
  <c r="C421"/>
  <c r="C777"/>
  <c r="C937"/>
  <c r="C919"/>
  <c r="C224"/>
  <c r="C184"/>
  <c r="C214"/>
  <c r="C693"/>
  <c r="C763"/>
  <c r="C1040"/>
  <c r="C1052"/>
  <c r="C444"/>
  <c r="C12"/>
  <c r="C30"/>
  <c r="C47"/>
  <c r="C64"/>
  <c r="C83"/>
  <c r="C396"/>
  <c r="C997"/>
  <c r="C1014"/>
  <c r="C1030"/>
  <c r="C329"/>
  <c r="C406"/>
  <c r="C108"/>
  <c r="C234"/>
  <c r="C250"/>
  <c r="C266"/>
  <c r="C630"/>
  <c r="C1082"/>
  <c r="C1098"/>
  <c r="C561"/>
  <c r="C613"/>
  <c r="C762"/>
  <c r="C1153"/>
  <c r="C990"/>
  <c r="C349"/>
  <c r="C259"/>
  <c r="C511"/>
  <c r="C1123"/>
  <c r="C121"/>
  <c r="C87"/>
  <c r="C565"/>
  <c r="C726"/>
  <c r="C871"/>
  <c r="C378"/>
  <c r="C310"/>
  <c r="C714"/>
  <c r="C902"/>
  <c r="C907"/>
  <c r="C1117"/>
  <c r="C181"/>
  <c r="C200"/>
  <c r="C689"/>
  <c r="C709"/>
  <c r="C1036"/>
  <c r="C815"/>
  <c r="C375"/>
  <c r="C222"/>
  <c r="C26"/>
  <c r="C43"/>
  <c r="C60"/>
  <c r="C77"/>
  <c r="C331"/>
  <c r="C993"/>
  <c r="C1010"/>
  <c r="C1026"/>
  <c r="C312"/>
  <c r="C368"/>
  <c r="C104"/>
  <c r="C137"/>
  <c r="C246"/>
  <c r="C262"/>
  <c r="C324"/>
  <c r="C1078"/>
  <c r="C1094"/>
  <c r="C541"/>
  <c r="C1109"/>
  <c r="C571"/>
  <c r="C519"/>
  <c r="C303"/>
  <c r="C292"/>
  <c r="C243"/>
  <c r="C1091"/>
  <c r="C1121"/>
  <c r="C433"/>
  <c r="C167"/>
  <c r="C588"/>
  <c r="C168"/>
  <c r="C754"/>
  <c r="C293"/>
  <c r="C302"/>
  <c r="C976"/>
  <c r="C898"/>
  <c r="C806"/>
  <c r="C959"/>
  <c r="C924"/>
  <c r="C192"/>
  <c r="C685"/>
  <c r="C705"/>
  <c r="C789"/>
  <c r="C811"/>
  <c r="C1060"/>
  <c r="C218"/>
  <c r="C21"/>
  <c r="C38"/>
  <c r="C55"/>
  <c r="C72"/>
  <c r="C299"/>
  <c r="C989"/>
  <c r="C1005"/>
  <c r="C1022"/>
  <c r="C273"/>
  <c r="C348"/>
  <c r="C153"/>
  <c r="C120"/>
  <c r="C242"/>
  <c r="C258"/>
  <c r="C205"/>
  <c r="C1074"/>
  <c r="C1090"/>
  <c r="C510"/>
  <c r="C626"/>
  <c r="C540"/>
  <c r="C842"/>
  <c r="C73"/>
  <c r="C1023"/>
  <c r="C124"/>
  <c r="C1075"/>
  <c r="C542"/>
  <c r="C393"/>
  <c r="C661"/>
  <c r="C538"/>
  <c r="C619"/>
  <c r="C738"/>
  <c r="C887"/>
  <c r="C973"/>
  <c r="C658"/>
  <c r="C781"/>
  <c r="C941"/>
  <c r="C949"/>
  <c r="C960"/>
  <c r="C188"/>
  <c r="C677"/>
  <c r="C701"/>
  <c r="C1008"/>
  <c r="C1044"/>
  <c r="C824"/>
  <c r="C460"/>
  <c r="C17"/>
  <c r="C34"/>
  <c r="C51"/>
  <c r="C68"/>
  <c r="C88"/>
  <c r="C149"/>
  <c r="C1001"/>
  <c r="C1018"/>
  <c r="C1034"/>
  <c r="C334"/>
  <c r="C451"/>
  <c r="C112"/>
  <c r="C238"/>
  <c r="C254"/>
  <c r="C270"/>
  <c r="C1070"/>
  <c r="C1086"/>
  <c r="C1102"/>
  <c r="C602"/>
  <c r="C521"/>
  <c r="C629"/>
  <c r="C551"/>
  <c r="C535"/>
  <c r="C1113"/>
  <c r="C608"/>
  <c r="C622"/>
  <c r="C1126"/>
  <c r="C1122"/>
</calcChain>
</file>

<file path=xl/sharedStrings.xml><?xml version="1.0" encoding="utf-8"?>
<sst xmlns="http://schemas.openxmlformats.org/spreadsheetml/2006/main" count="30485" uniqueCount="3953">
  <si>
    <t xml:space="preserve">Numero de documento </t>
  </si>
  <si>
    <t>TypeID</t>
  </si>
  <si>
    <t>Tipo de Documento</t>
  </si>
  <si>
    <t>Departamento</t>
  </si>
  <si>
    <t>DeptCode</t>
  </si>
  <si>
    <t>DeptID</t>
  </si>
  <si>
    <t>AreaC</t>
  </si>
  <si>
    <t>AreaID</t>
  </si>
  <si>
    <t>Celda</t>
  </si>
  <si>
    <t>CeldaID</t>
  </si>
  <si>
    <t>Area</t>
  </si>
  <si>
    <t>Descripcion del Documento</t>
  </si>
  <si>
    <t>Fecha Ultima Rev.</t>
  </si>
  <si>
    <t>Nivel de Revision</t>
  </si>
  <si>
    <t>Num. de Plano</t>
  </si>
  <si>
    <t>Originador de Cambio</t>
  </si>
  <si>
    <t>username</t>
  </si>
  <si>
    <t># copias distribuidas</t>
  </si>
  <si>
    <t>Responsible</t>
  </si>
  <si>
    <t>Comentario</t>
  </si>
  <si>
    <t>Remachado de contactos</t>
  </si>
  <si>
    <t>Especificaciones Genericas</t>
  </si>
  <si>
    <t>Ingeneria</t>
  </si>
  <si>
    <t>PROD</t>
  </si>
  <si>
    <t>MM</t>
  </si>
  <si>
    <t>CHGO</t>
  </si>
  <si>
    <t>Change Out</t>
  </si>
  <si>
    <t>A</t>
  </si>
  <si>
    <t>N/A</t>
  </si>
  <si>
    <t>Abinadab Muñoz</t>
  </si>
  <si>
    <t>1 juego</t>
  </si>
  <si>
    <t>Fernando  Aguilar</t>
  </si>
  <si>
    <t>CNWI-SHIP-0001</t>
  </si>
  <si>
    <t>Instruccion de trabajo</t>
  </si>
  <si>
    <t>Shipping</t>
  </si>
  <si>
    <t>FNCS</t>
  </si>
  <si>
    <t>SHIP</t>
  </si>
  <si>
    <t>Instructivo de envios</t>
  </si>
  <si>
    <t>D</t>
  </si>
  <si>
    <t>Adriana Lopez</t>
  </si>
  <si>
    <t>NAM\MA8870</t>
  </si>
  <si>
    <t>CNWI-SHIP-F001</t>
  </si>
  <si>
    <t xml:space="preserve">Formato </t>
  </si>
  <si>
    <t xml:space="preserve">Master track </t>
  </si>
  <si>
    <t>CNWI-SHIP-F002</t>
  </si>
  <si>
    <t>Lista de verificacion de embarques</t>
  </si>
  <si>
    <t>B</t>
  </si>
  <si>
    <t>CNWI-SHIP-F003</t>
  </si>
  <si>
    <t>Registro para entrada de embarques</t>
  </si>
  <si>
    <t>CNWI-SHIP-F004</t>
  </si>
  <si>
    <t>Control de Embarques</t>
  </si>
  <si>
    <t>CNWI-SHIP-F005</t>
  </si>
  <si>
    <t>Control de embarques de Medidores</t>
  </si>
  <si>
    <t>CNWI-SHIP-F007</t>
  </si>
  <si>
    <t>Grafico de Entregas a tiempo</t>
  </si>
  <si>
    <t>CNWI-SHIP-F008</t>
  </si>
  <si>
    <t>Control de material para embarcar</t>
  </si>
  <si>
    <t>CNWI-SHIP-F009</t>
  </si>
  <si>
    <t>REQUERIMIENTOS ESPECIALES  Logística</t>
  </si>
  <si>
    <t>CNWI-ENGI-0007</t>
  </si>
  <si>
    <t>ENGI</t>
  </si>
  <si>
    <t>Maquina remachadora Solar</t>
  </si>
  <si>
    <t>Angelica Gastelum</t>
  </si>
  <si>
    <t>NAM\D6B1B</t>
  </si>
  <si>
    <t>CNWI-ENGI-0034</t>
  </si>
  <si>
    <t>Elaboracion de Routings</t>
  </si>
  <si>
    <t>CNWI-ENGI-0053</t>
  </si>
  <si>
    <t>Maquina Branson Solar</t>
  </si>
  <si>
    <t>CNWI-ENGI-0086</t>
  </si>
  <si>
    <t xml:space="preserve">Elaboracion de Boms </t>
  </si>
  <si>
    <t>CNWI-ENGI-F060</t>
  </si>
  <si>
    <t>NPI Score Card</t>
  </si>
  <si>
    <t>CNWI-ENGI-F062</t>
  </si>
  <si>
    <t>Especificacion de corte de cable en Solar</t>
  </si>
  <si>
    <t>CNWI-ENGI-F063</t>
  </si>
  <si>
    <t>CHECK LIST EMPAQUE SOLAR</t>
  </si>
  <si>
    <t>CNWI-ENGI-F064</t>
  </si>
  <si>
    <t>Check list de Set up de la celda de Solar</t>
  </si>
  <si>
    <t>CNWI-ENGI-F065</t>
  </si>
  <si>
    <t>Presentación de conectores de Solar</t>
  </si>
  <si>
    <t>CNWI-ENGI-F066</t>
  </si>
  <si>
    <t xml:space="preserve">PARAMETROS PARA LA MAQUINA BRANSON </t>
  </si>
  <si>
    <t>CNWI-VSHP-000066</t>
  </si>
  <si>
    <t>Ayuda Visual</t>
  </si>
  <si>
    <t>GRAL</t>
  </si>
  <si>
    <t>MGRAL</t>
  </si>
  <si>
    <t>General Micromini</t>
  </si>
  <si>
    <t>EXCESO DE CHEMLOCK</t>
  </si>
  <si>
    <t>N/C</t>
  </si>
  <si>
    <t>4 juego</t>
  </si>
  <si>
    <t>F.Aguilar</t>
  </si>
  <si>
    <t>CNWI-VSHP-000190</t>
  </si>
  <si>
    <t>SOLR</t>
  </si>
  <si>
    <t>SOL</t>
  </si>
  <si>
    <t>Solar</t>
  </si>
  <si>
    <t xml:space="preserve">proceso de ensamble del área de solar </t>
  </si>
  <si>
    <t>4 Juego</t>
  </si>
  <si>
    <t>Carlos Plaza</t>
  </si>
  <si>
    <t>CNWI-VSHP-000191</t>
  </si>
  <si>
    <t>Proceso de ensamble del área de solar  IC-B13-P y  IC-B13-N</t>
  </si>
  <si>
    <t xml:space="preserve"> IC-B13-P y  IC-B13-N</t>
  </si>
  <si>
    <t>1 Juego</t>
  </si>
  <si>
    <t>CNWI-VSHP-000203</t>
  </si>
  <si>
    <t xml:space="preserve">Proceso de estación de trabajo de soldadura  del área de solar </t>
  </si>
  <si>
    <t>CNWI-VSHP-000204</t>
  </si>
  <si>
    <t xml:space="preserve">Ilustrar el proceso correcto de aplicación de goma en Solar </t>
  </si>
  <si>
    <t>2 Juego</t>
  </si>
  <si>
    <t>CNWI-VSHP-000218</t>
  </si>
  <si>
    <t xml:space="preserve">proceso de ensamble del área de solar IC-A92-001 </t>
  </si>
  <si>
    <t>VA-SOL-001</t>
  </si>
  <si>
    <t>PROCESO DE ENSAMBLE DEL AREA DE SOLAR</t>
  </si>
  <si>
    <t>IC-A61-N1</t>
  </si>
  <si>
    <t>VA-SOL-002</t>
  </si>
  <si>
    <t>IC-A61-N2</t>
  </si>
  <si>
    <t>VA-SOL-003</t>
  </si>
  <si>
    <t>IC-A61-P2</t>
  </si>
  <si>
    <t>VA-SOL-004</t>
  </si>
  <si>
    <t>IC-A61-P1</t>
  </si>
  <si>
    <t>VA-SOL-005</t>
  </si>
  <si>
    <t>PROYECTO NEDCO DEL AREA DE SOLAR</t>
  </si>
  <si>
    <t>5 Juego</t>
  </si>
  <si>
    <t>VA-SOL-006</t>
  </si>
  <si>
    <t>Ensamble para IC-B46-SF6-XXXX proyecto AMEC</t>
  </si>
  <si>
    <t>IC-B46-SF6-XXXX</t>
  </si>
  <si>
    <t>3 Juego</t>
  </si>
  <si>
    <t>VA-SOL-007</t>
  </si>
  <si>
    <t>CORTE DE CABLE  IC-B46-SF6-B5N2</t>
  </si>
  <si>
    <t>IC-B46-SF6-B5N2</t>
  </si>
  <si>
    <t>Insercion de conductores</t>
  </si>
  <si>
    <t>POTT</t>
  </si>
  <si>
    <t>Potted</t>
  </si>
  <si>
    <t>J</t>
  </si>
  <si>
    <t>Blanca Madera</t>
  </si>
  <si>
    <t>CNWI-ENGI-0087</t>
  </si>
  <si>
    <t>Impresión de Etiquetas de Embarque de la celda Solar</t>
  </si>
  <si>
    <t>NAM\MB0617</t>
  </si>
  <si>
    <t>CNWI-SHAE-0001</t>
  </si>
  <si>
    <t>Segurida, Higuiene y Medio ambiente</t>
  </si>
  <si>
    <t>HMRS</t>
  </si>
  <si>
    <t>SHAE</t>
  </si>
  <si>
    <t xml:space="preserve">Control de accesos </t>
  </si>
  <si>
    <t>Cesar Barboza</t>
  </si>
  <si>
    <t>NAM\MB4290</t>
  </si>
  <si>
    <t>CNWI-SHAE-0002</t>
  </si>
  <si>
    <t xml:space="preserve">Reglamento de seguridad </t>
  </si>
  <si>
    <t>CNWI-SHAE-0003</t>
  </si>
  <si>
    <t>Programa de seguridad Azul</t>
  </si>
  <si>
    <t>CNWI-SHAE-0004</t>
  </si>
  <si>
    <t>Infraestructura y Ambiente de Trabajo</t>
  </si>
  <si>
    <t>CNWI-SHAE-0005</t>
  </si>
  <si>
    <t>Mantenimiento y Limpieza de Rampa 9</t>
  </si>
  <si>
    <t>CNWI-SHAE-0006</t>
  </si>
  <si>
    <t>Plan de contingencia</t>
  </si>
  <si>
    <t>CNWI-SHAE-0007</t>
  </si>
  <si>
    <t>Comunicacion de riesgos</t>
  </si>
  <si>
    <t>CNWI-SHAE-0008</t>
  </si>
  <si>
    <t>Procedimiento FOD Eliminación de objetos extraños</t>
  </si>
  <si>
    <t>CNWI-SHAE-F001</t>
  </si>
  <si>
    <t>Forma de 5's</t>
  </si>
  <si>
    <t>C</t>
  </si>
  <si>
    <t>CNWI-SHAE-F002</t>
  </si>
  <si>
    <t>orden de trabajo planta</t>
  </si>
  <si>
    <t>CNWI-SHAE-F003</t>
  </si>
  <si>
    <t xml:space="preserve">registro de visitantes </t>
  </si>
  <si>
    <t>CNWI-SHAE-F004</t>
  </si>
  <si>
    <t xml:space="preserve">control de entrada y salida de contratistas </t>
  </si>
  <si>
    <t>CNWI-SHAE-F005</t>
  </si>
  <si>
    <t>control de entradas y salidas de herramientas</t>
  </si>
  <si>
    <t>CNWI-SHAE-F006</t>
  </si>
  <si>
    <t>Safety Cross</t>
  </si>
  <si>
    <t>CNWI-SHAE-F007</t>
  </si>
  <si>
    <t>Compras</t>
  </si>
  <si>
    <t>Tarjeta de Hallazgo</t>
  </si>
  <si>
    <t>CNWI-SHAE-F008</t>
  </si>
  <si>
    <t>Formato evaluacion de Quimico</t>
  </si>
  <si>
    <t>CNWI-SHAE-F009</t>
  </si>
  <si>
    <t>Formato AST</t>
  </si>
  <si>
    <t>CNWI-SHAE-F010</t>
  </si>
  <si>
    <t>Finanzas</t>
  </si>
  <si>
    <t>Checklist de montacargas</t>
  </si>
  <si>
    <t>CNWI-SHAE-F011</t>
  </si>
  <si>
    <t>Desviacion al uso del equipo de proteccion personal por cuestiones medicas</t>
  </si>
  <si>
    <t>CNWI-SHAE-F012</t>
  </si>
  <si>
    <t>Planeacion</t>
  </si>
  <si>
    <t>Permiso para efectuar trabajos en alturas</t>
  </si>
  <si>
    <t>CNWI-SHAE-F013</t>
  </si>
  <si>
    <t>Contacto personal</t>
  </si>
  <si>
    <t>CNWI-SHAE-F014</t>
  </si>
  <si>
    <t>Vale de Descuento por Nómina</t>
  </si>
  <si>
    <t>CNWI-SHAE-F015</t>
  </si>
  <si>
    <t>Autorizacion de Acceso para espacios confinados</t>
  </si>
  <si>
    <t>CNWI-SHAE-F016</t>
  </si>
  <si>
    <t>Pase de salida para scrap</t>
  </si>
  <si>
    <t>CNWI-SHAE-F017</t>
  </si>
  <si>
    <t>TARJETA DE OBSERVACIÓN DE SEGURIDAD EN BASE AL COMPORTAMIENTO  BBS</t>
  </si>
  <si>
    <t>CNWI-SHAE-F018</t>
  </si>
  <si>
    <t>Check listo para correr</t>
  </si>
  <si>
    <t>CNWI-SHAE-F019</t>
  </si>
  <si>
    <t xml:space="preserve">CHECK LIST DE GRÚA Y ACCESORIOS DE IZAJE </t>
  </si>
  <si>
    <t>CNWI-SHAE-F020</t>
  </si>
  <si>
    <t>CONTROL DE HERRAMIENTAS, MAQUINARIA  Y EQUIPO</t>
  </si>
  <si>
    <t>CNWI-SHAE-F021</t>
  </si>
  <si>
    <t>CHECK LIST DE LIMPIEZA DE SANITARIOS</t>
  </si>
  <si>
    <t>CNWI-SHAE-F023</t>
  </si>
  <si>
    <t>EVALUACION PARA LA APROBACION DE EPP</t>
  </si>
  <si>
    <t>CNWI-SHAE-F024</t>
  </si>
  <si>
    <t>Lista de verificacion de EHS</t>
  </si>
  <si>
    <t>CNWI-SHAE-F025</t>
  </si>
  <si>
    <t>Listado de Equipo de Protección personal entregado</t>
  </si>
  <si>
    <t>CNWI-SHAE-F026</t>
  </si>
  <si>
    <t>EHS FORMA PARA REVISION ANNUAL</t>
  </si>
  <si>
    <t>CNWI-SHAE-F027</t>
  </si>
  <si>
    <t>REPORTE DE INVESTIGACIÓN DE ACCIDENTES</t>
  </si>
  <si>
    <t>CNWI-SHAE-F028</t>
  </si>
  <si>
    <t>RESGUARDO DE CELULARES</t>
  </si>
  <si>
    <t>CNWI-SHAE-F029</t>
  </si>
  <si>
    <t>Revisión de las Guardas de Seguridad</t>
  </si>
  <si>
    <t>CNWI-SHAE-F030</t>
  </si>
  <si>
    <t>Control de Materiales</t>
  </si>
  <si>
    <t>CNWI-ENGI-0001</t>
  </si>
  <si>
    <t>Control de Documentos y datos</t>
  </si>
  <si>
    <t>Claudia Ruiz</t>
  </si>
  <si>
    <t>NAM\MA9769</t>
  </si>
  <si>
    <t>CNWI-ENGI-0002</t>
  </si>
  <si>
    <t>Recibo y Distribuccion de Dibujos</t>
  </si>
  <si>
    <t>CNWI-ENGI-0003</t>
  </si>
  <si>
    <t>Cambios de Ingeniería ECR-ECN</t>
  </si>
  <si>
    <t>CNWI-ENGI-F004</t>
  </si>
  <si>
    <t>registros control de doc Ingeniería</t>
  </si>
  <si>
    <t>CNWI-ENGI-F005</t>
  </si>
  <si>
    <t xml:space="preserve">Registro de ayudas visuales entregadas a producción </t>
  </si>
  <si>
    <t>22/02/2/11</t>
  </si>
  <si>
    <t>CNWI-ENGI-F007</t>
  </si>
  <si>
    <t xml:space="preserve">registro ayudas visuales físicas </t>
  </si>
  <si>
    <t>CNWI-ENGI-F009</t>
  </si>
  <si>
    <t>Relación de planos externos</t>
  </si>
  <si>
    <t>CNWI-ENGI-F012</t>
  </si>
  <si>
    <t>Relación de planos Interno</t>
  </si>
  <si>
    <t>CNWI-ENGI-F013</t>
  </si>
  <si>
    <t>Relación de Planos Obsoletos</t>
  </si>
  <si>
    <t>CNWI-ENGI-F030</t>
  </si>
  <si>
    <t>Lista de distribuccion de especificaciones de corte</t>
  </si>
  <si>
    <t>CNWI-ENGI-F045</t>
  </si>
  <si>
    <t>Drawing Change Notification</t>
  </si>
  <si>
    <t>CNWI-ENGI-F049</t>
  </si>
  <si>
    <t>Cross reference Itron</t>
  </si>
  <si>
    <t>CNWI-ENGI-F050</t>
  </si>
  <si>
    <t>Cross reference varios customer</t>
  </si>
  <si>
    <t>CNWI-ENGI-F051</t>
  </si>
  <si>
    <t>Cross reference varios Amsafe</t>
  </si>
  <si>
    <t>CNWI-ENGI-F054</t>
  </si>
  <si>
    <t>Cambio de revisiones</t>
  </si>
  <si>
    <t>CNWI-ENGI-F061</t>
  </si>
  <si>
    <t>Check list de Implementacion de ECN</t>
  </si>
  <si>
    <t>QM-01</t>
  </si>
  <si>
    <t>Manual de calidad</t>
  </si>
  <si>
    <t>Calidad</t>
  </si>
  <si>
    <t>ITRON</t>
  </si>
  <si>
    <t>IMA</t>
  </si>
  <si>
    <t>Itron Multicelda A</t>
  </si>
  <si>
    <t xml:space="preserve">Manual de Calidad </t>
  </si>
  <si>
    <t>E</t>
  </si>
  <si>
    <t>QM-03</t>
  </si>
  <si>
    <t>Estandar AS9100 Rev C</t>
  </si>
  <si>
    <t>CNSOP-01</t>
  </si>
  <si>
    <t>Procedimiento</t>
  </si>
  <si>
    <t>QAAS</t>
  </si>
  <si>
    <t>CDOC</t>
  </si>
  <si>
    <t>Control de documentos</t>
  </si>
  <si>
    <t>Control de la Documentacion del Sistema de Calidad</t>
  </si>
  <si>
    <t>CNSOP-02</t>
  </si>
  <si>
    <t>Control de Registros del Sistema de Calidad</t>
  </si>
  <si>
    <t>CNSOP-03</t>
  </si>
  <si>
    <t>Auditorias Internas</t>
  </si>
  <si>
    <t>CNSOP-04</t>
  </si>
  <si>
    <t>Control de Producto No conformante</t>
  </si>
  <si>
    <t>CNSOP-05</t>
  </si>
  <si>
    <t>Acciones Correctivas y Preventivas</t>
  </si>
  <si>
    <t>CNWI-QAAS-0001</t>
  </si>
  <si>
    <t xml:space="preserve">Revisión Gerencial  </t>
  </si>
  <si>
    <t>CNWI-QAAS-0004</t>
  </si>
  <si>
    <t>Protocolo de Validacion</t>
  </si>
  <si>
    <t>CNWI-QAAS-0008</t>
  </si>
  <si>
    <t xml:space="preserve">Diagrama de Tortugas </t>
  </si>
  <si>
    <t>CNWI-QAAS-0010</t>
  </si>
  <si>
    <t>Procedimiento general de inspeccion</t>
  </si>
  <si>
    <t>CNWI-QAAS-0011</t>
  </si>
  <si>
    <t>Propiedad del Cliente</t>
  </si>
  <si>
    <t>CNWI-QAAS-0012</t>
  </si>
  <si>
    <t>Flujo de proceso de inspeccion para Itron, Receptable y Plug</t>
  </si>
  <si>
    <t>CNWI-QAAS-0013</t>
  </si>
  <si>
    <t>Proceso de revision de requerimientos de productos UL</t>
  </si>
  <si>
    <t>CNWI-QAAS-0014</t>
  </si>
  <si>
    <t>Procesos externos</t>
  </si>
  <si>
    <t>CNWI-QAAS-0015</t>
  </si>
  <si>
    <t>Risk Management Process</t>
  </si>
  <si>
    <t>CNWI-QAAS-0016</t>
  </si>
  <si>
    <t xml:space="preserve">Procedimiento captura scrap en SAP </t>
  </si>
  <si>
    <t>CNWI-QAAS-0026</t>
  </si>
  <si>
    <t>Identificacion y rastreabilidad del producto</t>
  </si>
  <si>
    <t>CNWI-QAAS-0035</t>
  </si>
  <si>
    <t xml:space="preserve">Requerimientos Aeroespacial para inspeccion de primer articulo </t>
  </si>
  <si>
    <t>CNWI-QAAS-0047</t>
  </si>
  <si>
    <t>Proceso de Auditoria en capas (LPA)</t>
  </si>
  <si>
    <t>CNWI-QAAS-F002</t>
  </si>
  <si>
    <t xml:space="preserve">formato oficial para ayudas visuales </t>
  </si>
  <si>
    <t>CNWI-QAAS-F003</t>
  </si>
  <si>
    <t xml:space="preserve">formato oficial para control de documentos </t>
  </si>
  <si>
    <t>CNWI-QAAS-F005</t>
  </si>
  <si>
    <t>corrective action Report</t>
  </si>
  <si>
    <t>CNWI-QAAS-F020</t>
  </si>
  <si>
    <t>Inspection Record Card</t>
  </si>
  <si>
    <t>CNWI-QAAS-F022</t>
  </si>
  <si>
    <t>Cross references</t>
  </si>
  <si>
    <t>CNWI-QAAS-F023</t>
  </si>
  <si>
    <t>Process Certification Audit Log</t>
  </si>
  <si>
    <t>CNWI-QAAS-F024</t>
  </si>
  <si>
    <t xml:space="preserve">Certificado bonding </t>
  </si>
  <si>
    <t>CNWI-QAAS-F025</t>
  </si>
  <si>
    <t>Layout Dimencional</t>
  </si>
  <si>
    <t>CNWI-QAAS-F026</t>
  </si>
  <si>
    <t>Pruebas de Remachado</t>
  </si>
  <si>
    <t>CNWI-QAAS-F027</t>
  </si>
  <si>
    <t>Lista de Verificacion de Auditoria Final</t>
  </si>
  <si>
    <t>CNWI-QAAS-F028</t>
  </si>
  <si>
    <t>Histograma</t>
  </si>
  <si>
    <t>CNWI-QAAS-F031</t>
  </si>
  <si>
    <t>certificado de conformidad</t>
  </si>
  <si>
    <t>CNWI-QAAS-F032</t>
  </si>
  <si>
    <t>Programa Anual de Auditorias del sistema AS9100</t>
  </si>
  <si>
    <t>CNWI-QAAS-F033</t>
  </si>
  <si>
    <t>Auditores y procesos que pueden auditar AS9100</t>
  </si>
  <si>
    <t>CNWI-QAAS-F034</t>
  </si>
  <si>
    <t>Memorándum de Junta de Apertura / Cierre Auditoria Interna del AS9100</t>
  </si>
  <si>
    <t>CNWI-QAAS-F035</t>
  </si>
  <si>
    <t>Agenda de Auditoria Interna AS9100</t>
  </si>
  <si>
    <t>CNWI-QAAS-F036</t>
  </si>
  <si>
    <t>Log de Acciones Correctivas</t>
  </si>
  <si>
    <t>CNWI-QAAS-F037</t>
  </si>
  <si>
    <t>Alerta de calidad</t>
  </si>
  <si>
    <t>CNWI-QAAS-F038</t>
  </si>
  <si>
    <t>Reporte de discrepancia (DR) Discrepancia Report</t>
  </si>
  <si>
    <t>CNWI-QAAS-F040</t>
  </si>
  <si>
    <t>Checklist de AS9100 Rev. C</t>
  </si>
  <si>
    <t>CNWI-QAAS-F047</t>
  </si>
  <si>
    <t>BOM</t>
  </si>
  <si>
    <t>CNWI-QAAS-F048</t>
  </si>
  <si>
    <t>Entradas y Salidas</t>
  </si>
  <si>
    <t>CNWI-QAAS-F052</t>
  </si>
  <si>
    <t>Schedule Management Review</t>
  </si>
  <si>
    <t>CNWI-QAAS-F054</t>
  </si>
  <si>
    <t xml:space="preserve">Meeting notice </t>
  </si>
  <si>
    <t>CNWI-QAAS-F055</t>
  </si>
  <si>
    <t>DR reporte de ordenes recibidas fuera de sap</t>
  </si>
  <si>
    <t>CNWI-QAAS-F056</t>
  </si>
  <si>
    <t xml:space="preserve">Dr  reporte de ordenes re trabajo recibidas fuera </t>
  </si>
  <si>
    <t>CNWI-QAAS-F057</t>
  </si>
  <si>
    <t xml:space="preserve">Formato presentación al proveedor </t>
  </si>
  <si>
    <t>CNWI-QAAS-F058</t>
  </si>
  <si>
    <t xml:space="preserve">Reporte DR </t>
  </si>
  <si>
    <t>CNWI-QAAS-F068</t>
  </si>
  <si>
    <t>Relacion de documentos externos</t>
  </si>
  <si>
    <t>CNWI-QAAS-F069</t>
  </si>
  <si>
    <t>Comunicacion de Control de Cambios</t>
  </si>
  <si>
    <t>CNWI-QAAS-F072</t>
  </si>
  <si>
    <t>Part Number Accountability</t>
  </si>
  <si>
    <t>4/21/2011</t>
  </si>
  <si>
    <t>CNWI-QAAS-F073</t>
  </si>
  <si>
    <t>Product accontability</t>
  </si>
  <si>
    <t>CNWI-QAAS-F074</t>
  </si>
  <si>
    <t>Characteristic Accountability, Verification and Compatibility Evaluation</t>
  </si>
  <si>
    <t>CNWI-QAAS-F075</t>
  </si>
  <si>
    <t xml:space="preserve">badger meter registrer  data </t>
  </si>
  <si>
    <t>4/25/2011</t>
  </si>
  <si>
    <t>CNWI-QAAS-F076</t>
  </si>
  <si>
    <t>Formato para Auditoria al Producto UL</t>
  </si>
  <si>
    <t>CNWI-QAAS-F077</t>
  </si>
  <si>
    <t xml:space="preserve">estado de acciones correctivas </t>
  </si>
  <si>
    <t>CNWI-QAAS-F078</t>
  </si>
  <si>
    <t>Ethernet serial number</t>
  </si>
  <si>
    <t>CNWI-QAAS-F079</t>
  </si>
  <si>
    <t>Certificate of compleance</t>
  </si>
  <si>
    <t>CNWI-QAAS-F088</t>
  </si>
  <si>
    <t>check list flujo de proceso routing</t>
  </si>
  <si>
    <t>CNWI-QAAS-F089</t>
  </si>
  <si>
    <t>Formas SQDC</t>
  </si>
  <si>
    <t>CNWI-QAAS-F092</t>
  </si>
  <si>
    <t>Grafico de Scrap</t>
  </si>
  <si>
    <t>CNWI-QAAS-F099</t>
  </si>
  <si>
    <t>Gauge R &amp; R</t>
  </si>
  <si>
    <t>CNWI-QAAS-F105</t>
  </si>
  <si>
    <t>CERTIFICATE OF CONFORMANCE -RoHs</t>
  </si>
  <si>
    <t>CNWI-QAAS-F109</t>
  </si>
  <si>
    <t>Matriz de administracion de riesgos</t>
  </si>
  <si>
    <t>CNWI-QAAS-F110</t>
  </si>
  <si>
    <t xml:space="preserve">Change Request form - Customer Notification </t>
  </si>
  <si>
    <t>CNWI-QAAS-F111</t>
  </si>
  <si>
    <t xml:space="preserve">Change Request form - Supplier Notification </t>
  </si>
  <si>
    <t>CNWI-QAAS-F112</t>
  </si>
  <si>
    <t>Formato para acciones correctiva internas A3</t>
  </si>
  <si>
    <t>CNWI-QAAS-F113</t>
  </si>
  <si>
    <t>First Part Approval</t>
  </si>
  <si>
    <t>CNWI-QAAS-F114</t>
  </si>
  <si>
    <t>First Part Rejection</t>
  </si>
  <si>
    <t>CNWI-QAAS-F115</t>
  </si>
  <si>
    <t xml:space="preserve">CHECK LIST FAI COMPONENT </t>
  </si>
  <si>
    <t>CNWI-QAAS-F116</t>
  </si>
  <si>
    <t>Weekly PPM on FAI</t>
  </si>
  <si>
    <t>CNWI-QAAS-F117</t>
  </si>
  <si>
    <t>Diagrama de tortuga</t>
  </si>
  <si>
    <t>CNWI-QAAS-F118</t>
  </si>
  <si>
    <t>log Boletas de Scrap</t>
  </si>
  <si>
    <t>CNWI-QAAS-F119</t>
  </si>
  <si>
    <t>Diagrama de Interaccion de procesos</t>
  </si>
  <si>
    <t>CNWI-QAAS-F120</t>
  </si>
  <si>
    <t>Control de Scrap</t>
  </si>
  <si>
    <t>CNWI-QAAS-F121</t>
  </si>
  <si>
    <t>Minuta</t>
  </si>
  <si>
    <t>CNWI-QAAS-F123</t>
  </si>
  <si>
    <t xml:space="preserve">Risk management </t>
  </si>
  <si>
    <t>CNWI-QAAS-F127</t>
  </si>
  <si>
    <t>Registro de asistencia a Juntas</t>
  </si>
  <si>
    <t>CNWI-QAAS-F130</t>
  </si>
  <si>
    <t>Action Plan</t>
  </si>
  <si>
    <t>CNWI-QAAS-F131</t>
  </si>
  <si>
    <t>QUALITY ASSESSMENT</t>
  </si>
  <si>
    <t>CNWI-QAAS-F137</t>
  </si>
  <si>
    <t xml:space="preserve"> Diseño Forma de registro </t>
  </si>
  <si>
    <t>CNWI-QAAS-F148</t>
  </si>
  <si>
    <t>Formato de Presentaciones</t>
  </si>
  <si>
    <t>CNWI-QAAS-F149</t>
  </si>
  <si>
    <t>Daily dash board actions record</t>
  </si>
  <si>
    <t>CNWI-QAAS-F153</t>
  </si>
  <si>
    <t>Check list de auditoria en Capas LPA</t>
  </si>
  <si>
    <t>CNWI-ENGI-F006</t>
  </si>
  <si>
    <t>Ajuste de Parámetros moldeo</t>
  </si>
  <si>
    <t>28/02/2/11</t>
  </si>
  <si>
    <t>Daniel Gil</t>
  </si>
  <si>
    <t>NAM\D24B6</t>
  </si>
  <si>
    <t>CNWI-ENGI-F031</t>
  </si>
  <si>
    <t>ARBURG Set-Up Sheet</t>
  </si>
  <si>
    <t>CNWI-ENGI-F034</t>
  </si>
  <si>
    <t>Registro de Tiempos de Purga y Set-Up de Moldeadoras</t>
  </si>
  <si>
    <t>CNWI-ENGI-F036</t>
  </si>
  <si>
    <t>Log de ordenes de Insert</t>
  </si>
  <si>
    <t>CNWI-ENGI-F038</t>
  </si>
  <si>
    <t>Ajustes de Parametros de Moldeo</t>
  </si>
  <si>
    <t>CNWI-ENGI-F039</t>
  </si>
  <si>
    <t>Parametros de Temperaturas y Humedad</t>
  </si>
  <si>
    <t>CNWI-ENGI-F040</t>
  </si>
  <si>
    <t>Reporte de tiempos y temperaturas</t>
  </si>
  <si>
    <t>CNWI-ENGI-F046</t>
  </si>
  <si>
    <t xml:space="preserve">Temperaturas de moldeo </t>
  </si>
  <si>
    <t>CNWI-ENGI-F047</t>
  </si>
  <si>
    <t>Mold set up &amp; shutdown checklist</t>
  </si>
  <si>
    <t>CNWI-ENGI-F048</t>
  </si>
  <si>
    <t xml:space="preserve">PROCESO DE MOLDEO - PARAMETROS DE REFERENCIA </t>
  </si>
  <si>
    <t>CNWI-ENGI-F052</t>
  </si>
  <si>
    <t>Reporte de Inspeccion de Moldeo</t>
  </si>
  <si>
    <t>CNWI-ENGI-F059</t>
  </si>
  <si>
    <t>PARAMETROS DE REFERENCIA PARA MOLDEADORA AHI TOP</t>
  </si>
  <si>
    <t>CNWI-ENGI-F068</t>
  </si>
  <si>
    <t>CHECK LIST DE MOLDEO MOORPARK</t>
  </si>
  <si>
    <t>CNWI-ENGI-F072</t>
  </si>
  <si>
    <t>Ajuste de parámetros para moldeadora autojector</t>
  </si>
  <si>
    <t>CNWI-MTTO-F024</t>
  </si>
  <si>
    <t>MTTO</t>
  </si>
  <si>
    <t xml:space="preserve">SETUP DE MOLDES DE MICRO MINI </t>
  </si>
  <si>
    <t>CNWI-VSHP-000181</t>
  </si>
  <si>
    <t>MLDG</t>
  </si>
  <si>
    <t>MRPK</t>
  </si>
  <si>
    <t>Moldeo Moorpark</t>
  </si>
  <si>
    <t>PRUEBA DE ACOMPLAMIENTO DUST CAP. 009-0537-001</t>
  </si>
  <si>
    <t>CNWI-VSHP-000082</t>
  </si>
  <si>
    <t>TR'S</t>
  </si>
  <si>
    <t>Moldeo TR's</t>
  </si>
  <si>
    <t>GROMMET, WIRE SEALING PLUG, AIRBORNE MINIATURE CIRCULATOR, 3 CONTACTS</t>
  </si>
  <si>
    <t>027-0231-000</t>
  </si>
  <si>
    <t>3 juego</t>
  </si>
  <si>
    <t>T. Serrano</t>
  </si>
  <si>
    <t>CNWI-VSHP-000083</t>
  </si>
  <si>
    <t>GROMENT, WIRE SEALING, RECEPTACLE, AIRBORNE MINIATURE CIRCULATOR, 3 CONT</t>
  </si>
  <si>
    <t>027-0236-000</t>
  </si>
  <si>
    <t>CNWI-VSHP-000089</t>
  </si>
  <si>
    <t>GROMMET, TYPE 80 TRACK MOUNT CONNECTOR</t>
  </si>
  <si>
    <t>027-0230-000</t>
  </si>
  <si>
    <t>CNWI-VSHP-000099</t>
  </si>
  <si>
    <t>Grommet, sealing, relay socket, (8) # 16 contacts, rear entry &amp; release</t>
  </si>
  <si>
    <t>027-0248-000</t>
  </si>
  <si>
    <t>CNWI-VSHP-000100</t>
  </si>
  <si>
    <t>Conpression bellows, rcpt airborne miniature circulator, panel mount</t>
  </si>
  <si>
    <t>024-0317-000</t>
  </si>
  <si>
    <t>CNWI-VSHP-000102</t>
  </si>
  <si>
    <t>Interfacial seal, rctp airborne minitr circ, 3 contacts, red polarizing</t>
  </si>
  <si>
    <t>084-0109-000</t>
  </si>
  <si>
    <t>CNWI-VSHP-000105</t>
  </si>
  <si>
    <t>Grommet receptacle</t>
  </si>
  <si>
    <t>CNWI-VSHP-000172</t>
  </si>
  <si>
    <t>AMC02PA03R</t>
  </si>
  <si>
    <t>CNWI-MTTO-F023</t>
  </si>
  <si>
    <t>Check list de set up de molde</t>
  </si>
  <si>
    <t>CNWI-QAAS-F071</t>
  </si>
  <si>
    <t xml:space="preserve">Molding process parameter set up </t>
  </si>
  <si>
    <t>04/21/2011</t>
  </si>
  <si>
    <t>CNWI-QAAS-F083</t>
  </si>
  <si>
    <t>REPORTE DE INSPECCIÓN DE MOLDEO</t>
  </si>
  <si>
    <t>CNWI-VSHP-000007</t>
  </si>
  <si>
    <t>Mezcla de resina y reactor</t>
  </si>
  <si>
    <t>Daniel Magaña</t>
  </si>
  <si>
    <t>NAM\C67EF</t>
  </si>
  <si>
    <t>CNWI-VSHP-000012</t>
  </si>
  <si>
    <t xml:space="preserve">Prueba de jalon micro-mini </t>
  </si>
  <si>
    <t>CNWI-VSHP-000013</t>
  </si>
  <si>
    <t>Ajuste de dispenser</t>
  </si>
  <si>
    <t>CNWI-VSHP-000044</t>
  </si>
  <si>
    <t>MS</t>
  </si>
  <si>
    <t>Female to male rigth angle jumper assembly # 18awg style 22-19</t>
  </si>
  <si>
    <t>CNWI-QAAS-0005</t>
  </si>
  <si>
    <t>Sistema de Andón y Escalacion de problemas</t>
  </si>
  <si>
    <t>Dina Amavizca</t>
  </si>
  <si>
    <t>NAM\AD508</t>
  </si>
  <si>
    <t>CNWI-QAAS-F125</t>
  </si>
  <si>
    <t>PPAP de salida de equipo</t>
  </si>
  <si>
    <t>CNWI-QAAS-F138</t>
  </si>
  <si>
    <t>3 UP Nogales Form</t>
  </si>
  <si>
    <t>CNWI-QAAS-F143</t>
  </si>
  <si>
    <t>STANDARD WORK</t>
  </si>
  <si>
    <t>CNWI-PLNN-0001</t>
  </si>
  <si>
    <t>MTRL</t>
  </si>
  <si>
    <t>PLNN</t>
  </si>
  <si>
    <t>RUNNING MRP ON SAP</t>
  </si>
  <si>
    <t>Enrique Soltero</t>
  </si>
  <si>
    <t>NAM\MB0615</t>
  </si>
  <si>
    <t>CNWI-WHSE-0001</t>
  </si>
  <si>
    <t>Almacen</t>
  </si>
  <si>
    <t>WRHS</t>
  </si>
  <si>
    <t xml:space="preserve">Procedimiento para recibo almacenamiento y armado en ordenes
</t>
  </si>
  <si>
    <t>CNWI-WHSE-0002</t>
  </si>
  <si>
    <t>utilizacion de basculas para pines y contactos</t>
  </si>
  <si>
    <t>05/23/2011</t>
  </si>
  <si>
    <t>CNWI-WHSE-0003</t>
  </si>
  <si>
    <t>Manejo y preservacion de materiales</t>
  </si>
  <si>
    <t>CNWI-WHSE-0004</t>
  </si>
  <si>
    <t>Recibo de Materiales</t>
  </si>
  <si>
    <t>CNWI-WHSE-0005</t>
  </si>
  <si>
    <t>Surtido de Ordenes</t>
  </si>
  <si>
    <t>CNWI-WHSE-0006</t>
  </si>
  <si>
    <t>Proced.para la confimacion y localizacion de ensambles y subensambles</t>
  </si>
  <si>
    <t>CNWI-HMRS-0002</t>
  </si>
  <si>
    <t>Recursos Humanos</t>
  </si>
  <si>
    <t>Solicitud de capacitacion</t>
  </si>
  <si>
    <t>Enrique Tapia</t>
  </si>
  <si>
    <t>NAM\MA9710</t>
  </si>
  <si>
    <t>CNWI-HMRS-0003</t>
  </si>
  <si>
    <t>Reclutamiento y seleccion</t>
  </si>
  <si>
    <t>CNWI-HMRS-0004</t>
  </si>
  <si>
    <t>Politica De Comunicación</t>
  </si>
  <si>
    <t>CNWI-HMRS-F002</t>
  </si>
  <si>
    <t>Change out</t>
  </si>
  <si>
    <t>Matriz de Flexibilidad</t>
  </si>
  <si>
    <t>CNWI-HMRS-F003</t>
  </si>
  <si>
    <t>Evaluación Práctica del Entrenamiento</t>
  </si>
  <si>
    <t>CNWI-HMRS-F004</t>
  </si>
  <si>
    <t>Descripción de Puesto</t>
  </si>
  <si>
    <t>CNWI-HMRS-F005</t>
  </si>
  <si>
    <t xml:space="preserve">Examen Teórico </t>
  </si>
  <si>
    <t>CNWI-HMRS-F006</t>
  </si>
  <si>
    <t>Ms</t>
  </si>
  <si>
    <t>solicitud de curso</t>
  </si>
  <si>
    <t>CNWI-HMRS-F008</t>
  </si>
  <si>
    <t>Permisos al Personal</t>
  </si>
  <si>
    <t>CNWI-HMRS-F009</t>
  </si>
  <si>
    <t xml:space="preserve">Control de herramienta personal </t>
  </si>
  <si>
    <t>04/25/2011</t>
  </si>
  <si>
    <t>CNWI-HMRS-F010</t>
  </si>
  <si>
    <t>Control de credencial</t>
  </si>
  <si>
    <t>CNWI-HMRS-F012</t>
  </si>
  <si>
    <t>Inventario de capacitacion de procesos</t>
  </si>
  <si>
    <t>CNWI-HMRS-F013</t>
  </si>
  <si>
    <t>Modificacion al Personal</t>
  </si>
  <si>
    <t>CNWI-HMRS-F014</t>
  </si>
  <si>
    <t>Amolestacion Verbal</t>
  </si>
  <si>
    <t>CNWI-HMRS-F015</t>
  </si>
  <si>
    <t>Formato DNC</t>
  </si>
  <si>
    <t>CNWI-HMRS-F016</t>
  </si>
  <si>
    <t>Formato para evaluacion de operadores</t>
  </si>
  <si>
    <t>CNWI-HMRS-F017</t>
  </si>
  <si>
    <t>Constancia de entrenamiento</t>
  </si>
  <si>
    <t>CNWI-ENGI-0088</t>
  </si>
  <si>
    <t xml:space="preserve">Micromini General </t>
  </si>
  <si>
    <t>Maquina de Jalapines</t>
  </si>
  <si>
    <t>Fernando Lopez</t>
  </si>
  <si>
    <t>NAM\MB0616</t>
  </si>
  <si>
    <t>CNWI-ENGI-0090</t>
  </si>
  <si>
    <t xml:space="preserve">EB 1147 </t>
  </si>
  <si>
    <t>Despoje de chaqueta</t>
  </si>
  <si>
    <t>Hector Gonzalez</t>
  </si>
  <si>
    <t>Despoje de conductores</t>
  </si>
  <si>
    <t>Empaque</t>
  </si>
  <si>
    <t>PLEX</t>
  </si>
  <si>
    <t>Plex Box</t>
  </si>
  <si>
    <t>F. Aguilar</t>
  </si>
  <si>
    <t>CNWI-ENGI-0075</t>
  </si>
  <si>
    <t>Documentacion de proceso para Micromini</t>
  </si>
  <si>
    <t>Ivan Ulloa</t>
  </si>
  <si>
    <t>NA/MB1049</t>
  </si>
  <si>
    <t>CNWI-ENGI-0076</t>
  </si>
  <si>
    <t>Procedimeinto de Maquina Komax Kappa 220/225</t>
  </si>
  <si>
    <t>CNWI-ENGI-0081</t>
  </si>
  <si>
    <t>Soldadura de Cautin Hako 937</t>
  </si>
  <si>
    <t>2 juegos</t>
  </si>
  <si>
    <t>Fernando Aguilar</t>
  </si>
  <si>
    <t>CNWI-ENGI-F067</t>
  </si>
  <si>
    <t>Control de impresion de etiquetas</t>
  </si>
  <si>
    <t>CNWI-MTTO-F031</t>
  </si>
  <si>
    <t xml:space="preserve">Entrega y recibos de moldes </t>
  </si>
  <si>
    <t>CNWI-VSHP-000009</t>
  </si>
  <si>
    <t>Impresion de etiqueta micro mini</t>
  </si>
  <si>
    <t>CNWI-VSHP-000010</t>
  </si>
  <si>
    <t>Manejo del crisol</t>
  </si>
  <si>
    <t>CNWI-VSHP-000011</t>
  </si>
  <si>
    <t>Prueba electrica de 2000  v mayor de 12 polos</t>
  </si>
  <si>
    <t>CNWI-VSHP-000065</t>
  </si>
  <si>
    <t>Prueba electrica mayor a 2000 V 2-12 conductores</t>
  </si>
  <si>
    <t>2 juego</t>
  </si>
  <si>
    <t>CNWI-VSHP-000080</t>
  </si>
  <si>
    <t>SET UP BASCULA ULINE</t>
  </si>
  <si>
    <t>CNWI-VSHP-000121</t>
  </si>
  <si>
    <t>PRUEBA DE  INSERCION  y  SEPARACION  DE CONTACTOS</t>
  </si>
  <si>
    <t>CNWI-VSHP-000162</t>
  </si>
  <si>
    <t>Remocion de molde</t>
  </si>
  <si>
    <t>CNWI-VSHP-000173</t>
  </si>
  <si>
    <t>Retiro de pieza de molde</t>
  </si>
  <si>
    <t>VA-MGRAL-001</t>
  </si>
  <si>
    <t xml:space="preserve">COLOCACION DE FACE GASKET. </t>
  </si>
  <si>
    <t xml:space="preserve">VA-MGRAL-002   </t>
  </si>
  <si>
    <t>SOLDADURA DE CONDUCTORES A CONECTOR MICROMINI</t>
  </si>
  <si>
    <t>5 juegos</t>
  </si>
  <si>
    <t>VA-MGRAL-003</t>
  </si>
  <si>
    <t xml:space="preserve">REMACHADO DE CONTACTOS MICROMINI.  </t>
  </si>
  <si>
    <t xml:space="preserve">VA-MGRAL-004 </t>
  </si>
  <si>
    <t xml:space="preserve">DESPOJE DE CONDUCTORES MICROMINI </t>
  </si>
  <si>
    <t>VA-MGRAL-005</t>
  </si>
  <si>
    <t>PEGADO SECUNDARIO DE PIEZAS MOLDEADAS</t>
  </si>
  <si>
    <t>VA-MGRAL-006</t>
  </si>
  <si>
    <t xml:space="preserve">CORTE DE CABLE EN EL AREA DE MICRO MINI </t>
  </si>
  <si>
    <t>5 juego</t>
  </si>
  <si>
    <t>VA-MGRAL-007</t>
  </si>
  <si>
    <t>DESPOJE DE CHAQUETA MICROMINI</t>
  </si>
  <si>
    <t>VA-MGRAL-008</t>
  </si>
  <si>
    <t xml:space="preserve">EMPAQUE GENERICO MICROMINI.   </t>
  </si>
  <si>
    <t>VA-MGRAL-009</t>
  </si>
  <si>
    <t xml:space="preserve">INSERCION DE CONTACTOS A INSERT. </t>
  </si>
  <si>
    <t>VA-MGRAL-010</t>
  </si>
  <si>
    <t>MOLDEO DE PIEZAS MICROMINI.</t>
  </si>
  <si>
    <t>VA-MGRAL-011</t>
  </si>
  <si>
    <t>CALENTADO DE INSERT</t>
  </si>
  <si>
    <t>VA-MGRAL-012</t>
  </si>
  <si>
    <t>Nombre de ayuda vusual: aplicacion de goma</t>
  </si>
  <si>
    <t>N</t>
  </si>
  <si>
    <t>Corte</t>
  </si>
  <si>
    <t>General</t>
  </si>
  <si>
    <t>CNWI-VSHP-000018</t>
  </si>
  <si>
    <t>A&amp;B</t>
  </si>
  <si>
    <t>Celda A y B</t>
  </si>
  <si>
    <t>Thermoplastic mini-line-a body size 3 p fem to male nema plug</t>
  </si>
  <si>
    <t>5000109-JS</t>
  </si>
  <si>
    <t>CNWI-VSHP-000019</t>
  </si>
  <si>
    <t>Thermoplastic mini-line style I b body size 5 pole female</t>
  </si>
  <si>
    <t>CNWI-VSHP-000020</t>
  </si>
  <si>
    <t>Thermoplastic mini-line-a doby size 3 pole female plug</t>
  </si>
  <si>
    <t>CNWI-VSHP-000021</t>
  </si>
  <si>
    <t>Conector-dc din micro-mini, 3p, female, rigth angle,plug.</t>
  </si>
  <si>
    <t>5000117-GP5</t>
  </si>
  <si>
    <t>CNWI-VSHP-000022</t>
  </si>
  <si>
    <t>DR micro-mini female portable</t>
  </si>
  <si>
    <t>CNWI-VSHP-000023</t>
  </si>
  <si>
    <t>DC micro-mini male to DB-9p plug for profibus</t>
  </si>
  <si>
    <t>CNWI-VSHP-000024</t>
  </si>
  <si>
    <t>Female to female jumper all black components</t>
  </si>
  <si>
    <t>CNWI-VSHP-000028</t>
  </si>
  <si>
    <t>4 POLE DC MICRO-MINI EXTENSION MALE-IN-LINE TO FEMALE</t>
  </si>
  <si>
    <t>CNWI-VSHP-000033</t>
  </si>
  <si>
    <t xml:space="preserve">DC micro-mini extension, male to female, 5 pole </t>
  </si>
  <si>
    <t>CNWI-VSHP-000040</t>
  </si>
  <si>
    <t>mini-line female plug style 3 (10 pole)</t>
  </si>
  <si>
    <t>CNWI-VSHP-000041</t>
  </si>
  <si>
    <t>thermoplastic mini-line 3 9 pole female plug</t>
  </si>
  <si>
    <t>CNWI-VSHP-000042</t>
  </si>
  <si>
    <t>THERMOSPLASTIC MINI -LINE STYLE 3 12 POLE FEMALE PLUG</t>
  </si>
  <si>
    <t>CNWI-VSHP-000043</t>
  </si>
  <si>
    <t>Hibrid 5 pole mini line/6 pole micro stryle II tee, male/female to db9, maten-lok, free leads</t>
  </si>
  <si>
    <t>CNWI-VSHP-000050</t>
  </si>
  <si>
    <t>MINI-LINE FEMALE PLUG TO MALE STYLE 3 (9 POLE)</t>
  </si>
  <si>
    <t>A89N-F9AFNU-1</t>
  </si>
  <si>
    <t>CNWI-VSHP-000051</t>
  </si>
  <si>
    <t>THERMOPLASTIC MINI-LINE FEMALE PLUG, 4-POLE, A DOBY</t>
  </si>
  <si>
    <t>5000110-AY</t>
  </si>
  <si>
    <t>CNWI-VSHP-000054</t>
  </si>
  <si>
    <t>THERMOPLASTIC MINI STYLE I-B BODY SIZE 5 POLE FEMALE PLUG</t>
  </si>
  <si>
    <t>5000111-Q</t>
  </si>
  <si>
    <t>CNWI-VSHP-000057</t>
  </si>
  <si>
    <t>DC MICRO-MINI EXTENSION MALE TO FEMALE, 5 POLE</t>
  </si>
  <si>
    <t>PC5RADD-A</t>
  </si>
  <si>
    <t>CNWI-VSHP-000061</t>
  </si>
  <si>
    <t>DC MICRO-MINI EXTENSION , MIL TO FEMALE, 5 POLE</t>
  </si>
  <si>
    <t>PC5QADD-A</t>
  </si>
  <si>
    <t>CNWI-VSHP-000063</t>
  </si>
  <si>
    <t>THERMOPLASTIC MINI-B DOBY SIZE 6 POLE MALE PLUG</t>
  </si>
  <si>
    <t>X8987-CB</t>
  </si>
  <si>
    <t>CNWI-VSHP-000064</t>
  </si>
  <si>
    <t>THERMOPLASTIC MINI LINE STYLE 26 POLE FEMALE TO MALE JUMPER</t>
  </si>
  <si>
    <t>X8987-T</t>
  </si>
  <si>
    <t>CNWI-VSHP-000072</t>
  </si>
  <si>
    <t>FEMALE TO FEMALE JUMPER ALLBLACK COMPONENTS</t>
  </si>
  <si>
    <t>5000118-JC</t>
  </si>
  <si>
    <t>CNWI-VSHP-000074</t>
  </si>
  <si>
    <t xml:space="preserve">8 POLE DC MICRO, EXTENSION, STRANDED WIRE, UNSHILEDED </t>
  </si>
  <si>
    <t>5000135-Z</t>
  </si>
  <si>
    <t>CNWI-VSHP-000077</t>
  </si>
  <si>
    <t>12 POLE R/A FEMALE PLUG THERMOPLASTIC MINI-LINE STYLE 3</t>
  </si>
  <si>
    <t>A89N-R12AF-5</t>
  </si>
  <si>
    <t>CNWI-VSHP-000085</t>
  </si>
  <si>
    <t>12 POLE MIN-LINE STYLE 3 MALE PLUG ASSY</t>
  </si>
  <si>
    <t>X8992-CS</t>
  </si>
  <si>
    <t>CNWI-VSHP-000086</t>
  </si>
  <si>
    <t>12 POLE MINI-LINE STYLE 3 MALE PLUG ASSY</t>
  </si>
  <si>
    <t>X8992-BK</t>
  </si>
  <si>
    <t>CNWI-VSHP-000093</t>
  </si>
  <si>
    <t>Mini to kwiklink module cable assembly</t>
  </si>
  <si>
    <t>ABP-P1E4-B</t>
  </si>
  <si>
    <t>CNWI-VSHP-000109</t>
  </si>
  <si>
    <t>Kwiklink splice module cable assembly</t>
  </si>
  <si>
    <t>ABP-P1H4-S</t>
  </si>
  <si>
    <t>CNWI-VSHP-000167</t>
  </si>
  <si>
    <t>5000109-BE</t>
  </si>
  <si>
    <t>CNWI-VSHP-000188</t>
  </si>
  <si>
    <t>VERIFICAR ALTURA DE CONTACTOS DM4Q2M24E-A</t>
  </si>
  <si>
    <t>CNWI-VSHP-000189</t>
  </si>
  <si>
    <t>ALTURA DE CONTACTOS “TEE”  DIBUJO CHDN-TAER-NG / CHDN-TAER-N  Y    A98N-43PB-N4</t>
  </si>
  <si>
    <t>CHDN-TAER-N  Y    A98N-43PB-N4</t>
  </si>
  <si>
    <t>G</t>
  </si>
  <si>
    <t>F</t>
  </si>
  <si>
    <t>VA-AYB-001</t>
  </si>
  <si>
    <t>ALTURA DE CONTACTOS PARA DIBUJOS A89N-F7AF-2, A89N-F7AF-5 Y A89N-F8AF-2.</t>
  </si>
  <si>
    <t>A89N-F7AF-2 A89N-F7AF-5 Y A89N-F8AF-2</t>
  </si>
  <si>
    <t>VA-AYB-002</t>
  </si>
  <si>
    <t>ALTURA DE CONTACTOS “TEE”   DIBUJO  CHDN-TAER-NG / CHDN-TAER-N,A98N-43PB-N4 y ABT-P1M4-MN5R1</t>
  </si>
  <si>
    <t>CHDN-TAER-NG CHDN-TAER-N A98N-43PB-N4 y ABT-P1M4-MN5R1</t>
  </si>
  <si>
    <t>VA-AYB-003</t>
  </si>
  <si>
    <t>PROCESO DM4Q2M24E-A (DOMINICO)</t>
  </si>
  <si>
    <t>DM4Q2M24E-A</t>
  </si>
  <si>
    <t>CNWI-VSHP-000055</t>
  </si>
  <si>
    <t>TP A CHANGEOUT 4 POLE FEMALE PORTABLE CONNECTOR</t>
  </si>
  <si>
    <t>X8653-GJ</t>
  </si>
  <si>
    <t>CNWI-VSHP-000056</t>
  </si>
  <si>
    <t>TP SERIES CHANGEOUT 4 POLE MALE RECEPTACLE</t>
  </si>
  <si>
    <t>X8653-CX Y CW</t>
  </si>
  <si>
    <t>CNWI-VSHP-000060</t>
  </si>
  <si>
    <t>TP SERIES A CHANGE OUT 4 POLE FEMALE RECEPTACLE</t>
  </si>
  <si>
    <t>X8653-GV</t>
  </si>
  <si>
    <t>CNWI-VSHP-000062</t>
  </si>
  <si>
    <t>TP SERIES A CHANGE OUT MALE PLUG, 4 POLE, POL</t>
  </si>
  <si>
    <t>X8653-KL</t>
  </si>
  <si>
    <t>CNWI-VSHP-000096</t>
  </si>
  <si>
    <t>TP series a change out 4 pole male portable connector</t>
  </si>
  <si>
    <t>X8653-DA</t>
  </si>
  <si>
    <t>VA-CHGO-001</t>
  </si>
  <si>
    <t>ALTURA DE CONTACTOS DE MODELOS HEMBRA (DIBUJO X8652-CS Y DIBUJO REFERENCIA 1326304)</t>
  </si>
  <si>
    <t>X8652-CS</t>
  </si>
  <si>
    <t>CNWI-VSHP-000032</t>
  </si>
  <si>
    <t xml:space="preserve">aplicacion de loctite </t>
  </si>
  <si>
    <t>CNWI-VSHP-000087</t>
  </si>
  <si>
    <t>CONNECTOR, FEMALE, POLE TP SERIES A CHANGE OUT</t>
  </si>
  <si>
    <t>X8653-FJ</t>
  </si>
  <si>
    <t>CNWI-VSHP-000132</t>
  </si>
  <si>
    <t>SOLDADURA DE CONTACTOS A CONDUCTOR</t>
  </si>
  <si>
    <t>CNWI-VSHP-000176</t>
  </si>
  <si>
    <t>COLOCAR O-RING P/N 910660-22 EN INSERT MACHO DE ENSAMBLES QUE LO REQUIERAN.</t>
  </si>
  <si>
    <t>CNWI-VSHP-000217</t>
  </si>
  <si>
    <t>GAP DE DIBUJOS 568055-A, 568055-B  Y    568055-C</t>
  </si>
  <si>
    <t>568055-A, 568055-B  Y    568055-C</t>
  </si>
  <si>
    <t>H</t>
  </si>
  <si>
    <t>VA-MS-001</t>
  </si>
  <si>
    <t>COLOCAR MALLA A TODOS LOS N/P QUE LLEVEN MALLA.</t>
  </si>
  <si>
    <t>VA-MS-002</t>
  </si>
  <si>
    <t>USO DE CHECADOR DE ENGOMADO.</t>
  </si>
  <si>
    <t>VA-MS-003</t>
  </si>
  <si>
    <t>EB1147</t>
  </si>
  <si>
    <t>CNWI-VSHP-000025</t>
  </si>
  <si>
    <t xml:space="preserve">Micro attachable 5 pole straight male </t>
  </si>
  <si>
    <t>CNWI-VSHP-000026</t>
  </si>
  <si>
    <t>Mini female receptacle (5 pole)</t>
  </si>
  <si>
    <t>CNWI-VSHP-000069</t>
  </si>
  <si>
    <t>DC MICRO-MINI MALE RECEPTACLE WITH SPECIAL SHELL</t>
  </si>
  <si>
    <t>5000129-Q</t>
  </si>
  <si>
    <t>CNWI-VSHP-000070</t>
  </si>
  <si>
    <t>THERMOPLASTIC MINI LINE MALE RECEPT 2 POLE A BODY</t>
  </si>
  <si>
    <t>5000108-D</t>
  </si>
  <si>
    <t>CNWI-VSHP-000071</t>
  </si>
  <si>
    <t xml:space="preserve">5 POLE RECEPTACLE DEVICENET TRUNK CABLE </t>
  </si>
  <si>
    <t>5000111-GZ</t>
  </si>
  <si>
    <t>CNWI-VSHP-000073</t>
  </si>
  <si>
    <t>MICRO ATTACHABLE 5 POLE STRAIGHT FEMALE</t>
  </si>
  <si>
    <t>5000129-CD</t>
  </si>
  <si>
    <t>CNWI-VSHP-000075</t>
  </si>
  <si>
    <t>MINI-LINE SPECIAL FEMALE RECEPTACLE, (4POLE)</t>
  </si>
  <si>
    <t>A88-D4AF1-1F</t>
  </si>
  <si>
    <t>CNWI-VSHP-000076</t>
  </si>
  <si>
    <t>PROTECTIVE CAP ASSY STYLE I MIN-LINE RECEPTACLE</t>
  </si>
  <si>
    <t>3316582-1A</t>
  </si>
  <si>
    <t>CNWI-VSHP-000078</t>
  </si>
  <si>
    <t>RIGHT ANGLE THERMOPALSTIC MINI-A BODY SIZE 4 POLE MALE  RECEPTACLE</t>
  </si>
  <si>
    <t>5000110-Y</t>
  </si>
  <si>
    <t>CNWI-VSHP-000094</t>
  </si>
  <si>
    <t>Thermoplastic mini-line male receptacle, 6 pole, a body</t>
  </si>
  <si>
    <t>5000120-D</t>
  </si>
  <si>
    <t>CNWI-VSHP-000098</t>
  </si>
  <si>
    <t>Rj45 industrial plug assy, single</t>
  </si>
  <si>
    <t>CNWI-VSHP-000110</t>
  </si>
  <si>
    <t>Mini adapter style III</t>
  </si>
  <si>
    <t>CNWI-VSHP-000112</t>
  </si>
  <si>
    <t>DC micro-mini female receptacle (5 pole)</t>
  </si>
  <si>
    <t>ABF-P1R5-C</t>
  </si>
  <si>
    <t>CNWI-VSHP-000135</t>
  </si>
  <si>
    <t>ATTACHABLE MICRO MINI CONNECTOR 2 POLE, FEMALE</t>
  </si>
  <si>
    <t>5000113-91</t>
  </si>
  <si>
    <t>CNWI-VSHP-000140</t>
  </si>
  <si>
    <t>ENSAMBLE PROTECTIVE CAP ASS’Y   N/P AB-A-C1</t>
  </si>
  <si>
    <t xml:space="preserve">AB-A-C1 </t>
  </si>
  <si>
    <t>CNWI-VSHP-000169</t>
  </si>
  <si>
    <t>Insecion de contactos 5000109-GR1</t>
  </si>
  <si>
    <t>5000109-GR1</t>
  </si>
  <si>
    <t>CNWI-VSHP-000186</t>
  </si>
  <si>
    <t>VERIFICAR ALTURA DE CONTACTOS DIBUJO 5000111-D.</t>
  </si>
  <si>
    <t>5000111-D</t>
  </si>
  <si>
    <t>CNWI-VSHP-000187</t>
  </si>
  <si>
    <t>ENSAMBLE DE LOCK NUT Y GASKET A ENSAMBLE FINAL SEGUN DIBUJO MR3F4B00C-A</t>
  </si>
  <si>
    <t>MR3F4B00C-A</t>
  </si>
  <si>
    <t>CNWI-VSHP-000202</t>
  </si>
  <si>
    <t>USO DE HORNO GRUENBERG</t>
  </si>
  <si>
    <t>VA-POTT-001</t>
  </si>
  <si>
    <t xml:space="preserve">Pegado de Insert  a Shell </t>
  </si>
  <si>
    <t>VA-POTT-002</t>
  </si>
  <si>
    <t>Encapsulado con Epoxy</t>
  </si>
  <si>
    <t>CNWI-VSHP-000220</t>
  </si>
  <si>
    <t>ROCK</t>
  </si>
  <si>
    <t>Rockwell</t>
  </si>
  <si>
    <t>EMPAQUE DE COMPONENTES SERIES 1786</t>
  </si>
  <si>
    <t>VA-ROCK-001</t>
  </si>
  <si>
    <t>ENGOMADO DE RONDANA ROCKWELL  P/N AI-000-2973</t>
  </si>
  <si>
    <t>AI-000-2973</t>
  </si>
  <si>
    <t>CNWI-HMRS-0001</t>
  </si>
  <si>
    <t xml:space="preserve">Procedimiento de Desarrollo de Habilidades y Competencias </t>
  </si>
  <si>
    <t>Jaqueline Tirado</t>
  </si>
  <si>
    <t>NAM\MB0433</t>
  </si>
  <si>
    <t>CNWI-HMRS-F001</t>
  </si>
  <si>
    <t>Lista de asistencia y entrenamiento</t>
  </si>
  <si>
    <t>CNWI-HMRS-F007</t>
  </si>
  <si>
    <t>Formato de Tiempo Extra</t>
  </si>
  <si>
    <t>CNWI-HMRS-F011</t>
  </si>
  <si>
    <t>Requisicion de personal</t>
  </si>
  <si>
    <t>CNWI-HMRS-F018</t>
  </si>
  <si>
    <t>Matriz de entrenamientos</t>
  </si>
  <si>
    <t>CNWI-HMRS-F019</t>
  </si>
  <si>
    <t>Formato para organigramas</t>
  </si>
  <si>
    <t>CNWI-HMRS-F020</t>
  </si>
  <si>
    <t>Evaluacion de entrevistas</t>
  </si>
  <si>
    <t>CNWI-HMRS-F021</t>
  </si>
  <si>
    <t>Solicitud de aplicación para vacante interna</t>
  </si>
  <si>
    <t>CNWI-HMRS-F022</t>
  </si>
  <si>
    <t>HOJA DE VERIFICACION DEL PERSONAL DE RENUNCIA/TERMINACION</t>
  </si>
  <si>
    <t>CP-AMSA-001</t>
  </si>
  <si>
    <t>Plan de Control</t>
  </si>
  <si>
    <t>AERO</t>
  </si>
  <si>
    <t>AMSA</t>
  </si>
  <si>
    <t>Amsafe</t>
  </si>
  <si>
    <t>KIT ASSEMBLY, LRU/INFLATOR CABLE ASSEMBLY</t>
  </si>
  <si>
    <t>004065-0001, 004065-0002, 004065-0006, 004065-0007 &amp; 004065-008</t>
  </si>
  <si>
    <t>Jorge Del Villar</t>
  </si>
  <si>
    <t>NAM\MB3488</t>
  </si>
  <si>
    <t>CP-AMSA-002</t>
  </si>
  <si>
    <t>CABLE ASSEMBLY, INTERFACE</t>
  </si>
  <si>
    <t>004046-0001 to 004046-0083, 004046-0071 to 004046-0078, 004043-0001, 004044-0001 &amp; 004045-0001</t>
  </si>
  <si>
    <t>CP-AMSA-003</t>
  </si>
  <si>
    <t>CABLE ASSY, EXTENSION</t>
  </si>
  <si>
    <t>004038-0001 to 004038-0007</t>
  </si>
  <si>
    <t>CP-AMSA-004</t>
  </si>
  <si>
    <t>CABLE ASSEMBLY KIT ASSEMBLY. LRU/INFLATOR</t>
  </si>
  <si>
    <t>004035-TAB, 004034-0001, 004014-0001 &amp; 003082-0001</t>
  </si>
  <si>
    <t>CP-AMSA-005</t>
  </si>
  <si>
    <t>CABLE ASSEMBLY PIGTAIL</t>
  </si>
  <si>
    <t>003064-0001</t>
  </si>
  <si>
    <t>CP-AMSA-006</t>
  </si>
  <si>
    <t>PCB ACTIVATION SUB ASSEMBLY</t>
  </si>
  <si>
    <t>000-4005-0001, 004005-0002, 004005-0003 &amp; 004005-0005</t>
  </si>
  <si>
    <t>CP-AMSA-007</t>
  </si>
  <si>
    <t>THRUSTER EMA SIGNAL CABLE</t>
  </si>
  <si>
    <t>004080-0001 al 004080-0012</t>
  </si>
  <si>
    <t>CP-AMSA-008</t>
  </si>
  <si>
    <t>SPLITTER CABLE AMSAFE</t>
  </si>
  <si>
    <t>004070-0001</t>
  </si>
  <si>
    <t>CP-AMSA-009</t>
  </si>
  <si>
    <t>CABLE ASSY, INTERFACE NEXT GENERATION</t>
  </si>
  <si>
    <t>004071-0001</t>
  </si>
  <si>
    <t>CP-AMSA-010</t>
  </si>
  <si>
    <t>004049-0001</t>
  </si>
  <si>
    <t>CP-AMSA-011</t>
  </si>
  <si>
    <t>CABLE ASSEMBLY, RETRACTABLE EXTENSION</t>
  </si>
  <si>
    <t>004041-0001 &amp; 004041-0002</t>
  </si>
  <si>
    <t>CP-AMSA-012</t>
  </si>
  <si>
    <t>CABLE ASSEMBLY INTERFACE</t>
  </si>
  <si>
    <t>004002-0001</t>
  </si>
  <si>
    <t>CP-AMSA-013</t>
  </si>
  <si>
    <t>EMA EXTENSION ASSEMBLY</t>
  </si>
  <si>
    <t>004055-0001</t>
  </si>
  <si>
    <t>CP-AMSA-014</t>
  </si>
  <si>
    <t>KIT ASSEMBLY</t>
  </si>
  <si>
    <t>003075-0001</t>
  </si>
  <si>
    <t>CP-AMSA-015</t>
  </si>
  <si>
    <t>003077-0001</t>
  </si>
  <si>
    <t>CP-AMSA-016</t>
  </si>
  <si>
    <t>003076-0001</t>
  </si>
  <si>
    <t>CP-AMSA-017</t>
  </si>
  <si>
    <t>CABLE ASSEMBLY, INTERFACE PART 23</t>
  </si>
  <si>
    <t>004042-TAB &amp; 004031-TAB</t>
  </si>
  <si>
    <t>CP-AMSA-018</t>
  </si>
  <si>
    <t>004062-0001</t>
  </si>
  <si>
    <t>CP-AMSA-019</t>
  </si>
  <si>
    <t>003084-0001, 003085-0001, 003086-0001, 003087-0001, 003088-0001, 003093-0001, 003095-0001, 004000-0001, 004001-0001, 004003-0001, 004004-0001, 004022-0001, 004023-0001, 004030-0001, 004036-0001, 004037-0001, 004039-0001, 004040-0001, 004040-0003</t>
  </si>
  <si>
    <t>FC-AMSA-001</t>
  </si>
  <si>
    <t>Diagrama de Flujo</t>
  </si>
  <si>
    <t>004080-0001 al 0012</t>
  </si>
  <si>
    <t>FC-AMSA-002</t>
  </si>
  <si>
    <t>SPPLITTER CABLE AMSAFE</t>
  </si>
  <si>
    <t>FC-AMSA-003</t>
  </si>
  <si>
    <t>CABLE ASSY INTERFACE, NEXT GENERATION</t>
  </si>
  <si>
    <t>FC-AMSA-004</t>
  </si>
  <si>
    <t>FC-AMSA-005</t>
  </si>
  <si>
    <t>FC-AMSA-006</t>
  </si>
  <si>
    <t>FC-AMSA-007</t>
  </si>
  <si>
    <t>CABLE ASSY, INTERFACE, PART 23</t>
  </si>
  <si>
    <t>FC-AMSA-008</t>
  </si>
  <si>
    <t>004055-0002</t>
  </si>
  <si>
    <t>FC-AMSA-009</t>
  </si>
  <si>
    <t>004065-TAB</t>
  </si>
  <si>
    <t>FC-AMSA-010</t>
  </si>
  <si>
    <t>CABLE ASSEMBLY KIT ASSEMBLY, LRU/INFLATOR</t>
  </si>
  <si>
    <t>FC-AMSA-011</t>
  </si>
  <si>
    <t>003084-0001, 003085-0001, 003086-0001, 003087-0001, 003088-0001, 003093-0001, 003095-0001, 004000-0001, --4001-0001, 004003-0001, 004004-0001, 004022-0001, 004023-0001, 004030-0001, 004036-0001, 004037-0001, 004039-0001, 004040-0001, 004040-0003</t>
  </si>
  <si>
    <t>FC-AMSA-012</t>
  </si>
  <si>
    <t>CABLE ASSEMBLY, PIGTAIL</t>
  </si>
  <si>
    <t>FC-AMSA-013</t>
  </si>
  <si>
    <t>FC-AMSA-014</t>
  </si>
  <si>
    <t>FC-AMSA-015</t>
  </si>
  <si>
    <t>PCB ACTIVATION SUB-ASSEMBLY</t>
  </si>
  <si>
    <t>004005-TAB</t>
  </si>
  <si>
    <t>FC-AMSA-016</t>
  </si>
  <si>
    <t>004038-0001</t>
  </si>
  <si>
    <t>FC-AMSA-017</t>
  </si>
  <si>
    <t>FC-AMSA-018</t>
  </si>
  <si>
    <t>FC-AMSA-019</t>
  </si>
  <si>
    <t>FMEA-AMSA-001</t>
  </si>
  <si>
    <t>Modos de falla potenciales y Análisis de Efectos</t>
  </si>
  <si>
    <t>TODOS LOS CABLES DE AMSAFE</t>
  </si>
  <si>
    <t xml:space="preserve"> 08/19/2012</t>
  </si>
  <si>
    <t>CP-BOND-001</t>
  </si>
  <si>
    <t>BOND</t>
  </si>
  <si>
    <t>Bonding</t>
  </si>
  <si>
    <t>SNAP LOCK</t>
  </si>
  <si>
    <t xml:space="preserve">000100-0113M, 000100-0179, 000102-TAB, 000103-TAB, 000104-TAB &amp; 000105-TAB. </t>
  </si>
  <si>
    <t>CP-BOND-002</t>
  </si>
  <si>
    <t>Assembly, plug airborne miniature circular, colors red, white &amp; blue</t>
  </si>
  <si>
    <t>002359-TAB, 002360-TAB &amp; 002361-TAB</t>
  </si>
  <si>
    <t>CP-BOND-003</t>
  </si>
  <si>
    <t>Plug assembly, Receptacle assembly &amp; Plug position</t>
  </si>
  <si>
    <t>BACC65XXXXXX (TODOS)</t>
  </si>
  <si>
    <t>CP-BOND-004</t>
  </si>
  <si>
    <t>CP-BOND-005</t>
  </si>
  <si>
    <t>000101-0172</t>
  </si>
  <si>
    <t>CP-BOND-006</t>
  </si>
  <si>
    <t>ASSEMBLY, RECEPTACLE, WIRE SPLICE, SIZE 16 CONTACT</t>
  </si>
  <si>
    <t>002314-0001, 002314-0002, 002314-0003, 002315-0001, 002315-0002 &amp; 002315-0003.</t>
  </si>
  <si>
    <t>CP-BOND-007</t>
  </si>
  <si>
    <t>CONNECTOR S280W557-1XX</t>
  </si>
  <si>
    <t>002367-0121</t>
  </si>
  <si>
    <t>CP-BOND-008</t>
  </si>
  <si>
    <t>CONNECTOR ATM00RA80</t>
  </si>
  <si>
    <t>002368-0002, 002368-0003, 002368-0007 &amp; 002368-0018</t>
  </si>
  <si>
    <t>CP-BOND-009</t>
  </si>
  <si>
    <t>Receptacle assembly 8 position #16 contacts Boeing mood lighting</t>
  </si>
  <si>
    <t>002368-0211A</t>
  </si>
  <si>
    <t>CP-BOND-010</t>
  </si>
  <si>
    <t>RECPT 8 POSN #20 CONT ASSY</t>
  </si>
  <si>
    <t>002368-0221</t>
  </si>
  <si>
    <t>CP-BOND-011</t>
  </si>
  <si>
    <t>RECEPATACLE ASSEMBLY SNAP TRACK II SERIES</t>
  </si>
  <si>
    <t>002368-0221A</t>
  </si>
  <si>
    <t>CP-BOND-012</t>
  </si>
  <si>
    <t>RECEPTACLE ASSEMBLY 6 POSITION CONNECTOR</t>
  </si>
  <si>
    <t>002368-0802</t>
  </si>
  <si>
    <t>CP-BOND-013</t>
  </si>
  <si>
    <t>PLUG CONNECTOR LIGHTING</t>
  </si>
  <si>
    <t>002369-0001</t>
  </si>
  <si>
    <t>CP-BOND-014</t>
  </si>
  <si>
    <t>TRACK STRAIGHT INLINE MOUNT SNAPTRACK II SERIES</t>
  </si>
  <si>
    <t>002371-0002 &amp; 002371-0004</t>
  </si>
  <si>
    <t>CP-BOND-015</t>
  </si>
  <si>
    <t>002371-0003</t>
  </si>
  <si>
    <t>CP-BOND-016</t>
  </si>
  <si>
    <t>ATM12PA00</t>
  </si>
  <si>
    <t>002378-0001</t>
  </si>
  <si>
    <t>CP-BOND-017</t>
  </si>
  <si>
    <t>ATM12RA10</t>
  </si>
  <si>
    <t>002379-0001</t>
  </si>
  <si>
    <t>CP-BOND-018</t>
  </si>
  <si>
    <t>CONNECTOR POSITION PLUG</t>
  </si>
  <si>
    <t>002501-0001 y 002505-0001</t>
  </si>
  <si>
    <t>CP-BOND-019</t>
  </si>
  <si>
    <t>CONNECTOR RSF</t>
  </si>
  <si>
    <t>002600-000X &amp; 002601-000X</t>
  </si>
  <si>
    <t>CP-BOND-020</t>
  </si>
  <si>
    <t>SW SKT .75 SQ</t>
  </si>
  <si>
    <t>002701-0001 al 0010</t>
  </si>
  <si>
    <t>CP-BOND-021</t>
  </si>
  <si>
    <t>Connector LC2R206A0</t>
  </si>
  <si>
    <t>003004-0001</t>
  </si>
  <si>
    <t>CP-BOND-022</t>
  </si>
  <si>
    <t>RLY SKT ASSY 14 #20 D/S CONT 3 MTG STUDS</t>
  </si>
  <si>
    <t>003094-0001</t>
  </si>
  <si>
    <t>CP-BOND-023</t>
  </si>
  <si>
    <t>Connector electrical, Receptacle, Rectangular, latch coupling, track mounting</t>
  </si>
  <si>
    <t>BACC65AJXXXS</t>
  </si>
  <si>
    <t>CP-BOND-024</t>
  </si>
  <si>
    <t>BACC65AKXXXP</t>
  </si>
  <si>
    <t>CP-BOND-025</t>
  </si>
  <si>
    <t>BACC65ALXXXS</t>
  </si>
  <si>
    <t>CP-BOND-026</t>
  </si>
  <si>
    <t>RELAY SOCKET ASSY</t>
  </si>
  <si>
    <t>000300-1638, 000300-1639, 000300-1647, 000300-1539, 000300-1542, 000300-1543, 000300-1545, 000300-1568, 000300-1569, 000300-1570, 000300-1571, 000300-1572, 000300-1538, 000300-1541, 000300-1565, 000300-1566, 000300-1567, 000300-1648, 000300-1649, 000300-1653,  000300-0380, 000300-0381, 000300-1260, 000300-1608 Y 000300-1611.</t>
  </si>
  <si>
    <t>CP-BOND-027</t>
  </si>
  <si>
    <t>BACT44E1S</t>
  </si>
  <si>
    <t>FC-BOND-001</t>
  </si>
  <si>
    <t>000-100-0113M, 000100-0179, 000102-TAB, 000104-TAB &amp; 000105-TAB.</t>
  </si>
  <si>
    <t>FC-BOND-002</t>
  </si>
  <si>
    <t>FC-BOND-003</t>
  </si>
  <si>
    <t>CONECTORES BACC65 (TODOS)</t>
  </si>
  <si>
    <t>FC-BOND-004</t>
  </si>
  <si>
    <t>TRACK STRAIGHT INLINE MOUNT SNAP TRACK II SERIES</t>
  </si>
  <si>
    <t>FC-BOND-005</t>
  </si>
  <si>
    <t>FC-BOND-006</t>
  </si>
  <si>
    <t>ASSEMBLY, RECEPTACLE, WIRE SPLICE, SIZE 16 CONTACT.</t>
  </si>
  <si>
    <t>FC-BOND-007</t>
  </si>
  <si>
    <t>FC-BOND-008</t>
  </si>
  <si>
    <t>FC-BOND-009</t>
  </si>
  <si>
    <t>FC-BOND-010</t>
  </si>
  <si>
    <t>FC-BOND-011</t>
  </si>
  <si>
    <t>RECEPTACLE ASSEMBLY 8 POSITION CONNECTOR</t>
  </si>
  <si>
    <t>FC-BOND-012</t>
  </si>
  <si>
    <t>Receptacle assembly snap-track II series</t>
  </si>
  <si>
    <t>FC-BOND-013</t>
  </si>
  <si>
    <t>FC-BOND-014</t>
  </si>
  <si>
    <t>CONNECTOR</t>
  </si>
  <si>
    <t>002368-0003, 002368-0007 &amp; 002368-0018</t>
  </si>
  <si>
    <t>FC-BOND-015</t>
  </si>
  <si>
    <t>FC-BOND-016</t>
  </si>
  <si>
    <t>FC-BOND-017</t>
  </si>
  <si>
    <t>FC-BOND-018</t>
  </si>
  <si>
    <t>CONN POSN PLUG</t>
  </si>
  <si>
    <t>002501-0001 &amp; 002505-0001</t>
  </si>
  <si>
    <t>FC-BOND-019</t>
  </si>
  <si>
    <t>FC-BOND-020</t>
  </si>
  <si>
    <t>002701-0001 al 002701-0010</t>
  </si>
  <si>
    <t>FC-BOND-021</t>
  </si>
  <si>
    <t>CONNECTOR LC2R206A0</t>
  </si>
  <si>
    <t>FC-BOND-022</t>
  </si>
  <si>
    <t>FC-BOND-023</t>
  </si>
  <si>
    <t>Connector electrical, receptacle, rectangular, latch coupling, track mounting.</t>
  </si>
  <si>
    <t>BACC65AK-XXXP &amp; BACC65AJ-XXXS</t>
  </si>
  <si>
    <t>FC-BOND-024</t>
  </si>
  <si>
    <t>BACC65AL-XXXS</t>
  </si>
  <si>
    <t>FC-BOND-025</t>
  </si>
  <si>
    <t xml:space="preserve">RELAY SOCKET ASSY </t>
  </si>
  <si>
    <t>FC-BOND-026</t>
  </si>
  <si>
    <t>FMEA-BOND-002</t>
  </si>
  <si>
    <t>Assembly, plug airborne miniature circular, colors red, white &amp;
blue.</t>
  </si>
  <si>
    <t>FMEA-BOND-003</t>
  </si>
  <si>
    <t>TODOS LOS CONECTORES BACC65XXXXXX DE BONDING</t>
  </si>
  <si>
    <t>TODOS LOS CONECTORES BACC65 DE BONDING</t>
  </si>
  <si>
    <t>CP-IMB-001</t>
  </si>
  <si>
    <t>IMB</t>
  </si>
  <si>
    <t>Itron Multicelda B</t>
  </si>
  <si>
    <t>INTEGRAL CONNECTOR SINGLE/DUAL PORT W/REMOTE ANTENNA, 100 W</t>
  </si>
  <si>
    <t>28-2304-0001 ,28-2305-0001</t>
  </si>
  <si>
    <t>FMEA-IPLUG-001</t>
  </si>
  <si>
    <t>IPLUG</t>
  </si>
  <si>
    <t>Itron Plug</t>
  </si>
  <si>
    <t>Cable assembly, 900 MHz direct connect antenna</t>
  </si>
  <si>
    <t>28-2302-0001</t>
  </si>
  <si>
    <t>FMEA-IPLUG-002</t>
  </si>
  <si>
    <t>CNWI-QAAS-F043</t>
  </si>
  <si>
    <t>Flow Chart</t>
  </si>
  <si>
    <t>CNWI-QAAS-F044</t>
  </si>
  <si>
    <t>FMEA</t>
  </si>
  <si>
    <t>CNWI-QAAS-F045</t>
  </si>
  <si>
    <t>Control Plan</t>
  </si>
  <si>
    <t>CNWI-QAAS-0006</t>
  </si>
  <si>
    <t xml:space="preserve">Proceso area de MRB </t>
  </si>
  <si>
    <t>Jorge Hernandez</t>
  </si>
  <si>
    <t>NAM\MB2116</t>
  </si>
  <si>
    <t>CNWI-QAAS-0009</t>
  </si>
  <si>
    <t>Inspeccion de entrada</t>
  </si>
  <si>
    <t>CNWI-QAAS-0023</t>
  </si>
  <si>
    <t>Proceso de RMA</t>
  </si>
  <si>
    <t>CNWI-QAAS-0024</t>
  </si>
  <si>
    <t>Procedimiento de Retornos (recall) de productos</t>
  </si>
  <si>
    <t>CNWI-QAAS-0025</t>
  </si>
  <si>
    <t>Validacion de componentes</t>
  </si>
  <si>
    <t>CNWI-QAAS-0048</t>
  </si>
  <si>
    <t xml:space="preserve">Proceso de Supplier Quality </t>
  </si>
  <si>
    <t>CNWI-QAAS-F063</t>
  </si>
  <si>
    <t xml:space="preserve">Material freexer storage log </t>
  </si>
  <si>
    <t>CNWI-QAAS-F066</t>
  </si>
  <si>
    <t>Diagrama de flujo del producto</t>
  </si>
  <si>
    <t xml:space="preserve">CNWI-QAAS-F067 </t>
  </si>
  <si>
    <t xml:space="preserve">registro de goma </t>
  </si>
  <si>
    <t>CNWI-QAAS-F082</t>
  </si>
  <si>
    <t>Control de Retorno de producto</t>
  </si>
  <si>
    <t>CNWI-QAAS-F090</t>
  </si>
  <si>
    <t>Check list de Incoming</t>
  </si>
  <si>
    <t>F-QAAS-06-001</t>
  </si>
  <si>
    <t>MRB Log</t>
  </si>
  <si>
    <t>F-QAAS-09-001</t>
  </si>
  <si>
    <t xml:space="preserve">Carta de registro de inspección de entrada </t>
  </si>
  <si>
    <t>F-QAAS-09-002</t>
  </si>
  <si>
    <r>
      <t>Supplier Non- Conformance Material Notification</t>
    </r>
    <r>
      <rPr>
        <b/>
        <sz val="10"/>
        <rFont val="Calibri"/>
        <family val="2"/>
        <scheme val="minor"/>
      </rPr>
      <t xml:space="preserve"> </t>
    </r>
  </si>
  <si>
    <t>F-QAAS-09-003</t>
  </si>
  <si>
    <t xml:space="preserve">REPORTE DE RECHAZO DE PRODUCCION            </t>
  </si>
  <si>
    <t>F-QAAS-09-004</t>
  </si>
  <si>
    <t>Etiqueta de liberación de material</t>
  </si>
  <si>
    <t>F-QAAS-09-005</t>
  </si>
  <si>
    <t>CONTROL DE ETIQUETAS DE  QUIMICOS</t>
  </si>
  <si>
    <t>F-QAAS-09-006</t>
  </si>
  <si>
    <t>AQL</t>
  </si>
  <si>
    <t>F-QAAS-23-001</t>
  </si>
  <si>
    <t>LOG DE RMAs</t>
  </si>
  <si>
    <t>F-QAAS-25-001</t>
  </si>
  <si>
    <t>CHECK LIST VALIDACION DE COMPONENTE</t>
  </si>
  <si>
    <t>F-QAAS-25-002</t>
  </si>
  <si>
    <t>Log  FAI</t>
  </si>
  <si>
    <t>F-QAAS-48-001</t>
  </si>
  <si>
    <t>SCAR LOG</t>
  </si>
  <si>
    <t>F-QAAS-48-002</t>
  </si>
  <si>
    <t>Supplier score card</t>
  </si>
  <si>
    <t>CNWI-ENGI-0070</t>
  </si>
  <si>
    <t>TEST PLAN FOR SOLAR</t>
  </si>
  <si>
    <t>Jose Simental</t>
  </si>
  <si>
    <t>NAM\F13B6</t>
  </si>
  <si>
    <t>CNWI-ENGI-F044</t>
  </si>
  <si>
    <t>Corrida de muestras</t>
  </si>
  <si>
    <t>CNWI-QAAS-0003</t>
  </si>
  <si>
    <t>Instruccion de Calibracion General</t>
  </si>
  <si>
    <t>CNWI-QAAS-0017</t>
  </si>
  <si>
    <t xml:space="preserve"> Base de datos Calibracion</t>
  </si>
  <si>
    <t>CNWI-QAAS-0018</t>
  </si>
  <si>
    <t>Instruccion de trabajo Calibracion de Basculas</t>
  </si>
  <si>
    <t>CNWI-QAAS-0019</t>
  </si>
  <si>
    <t>Instruccion de calibracion Micrometros</t>
  </si>
  <si>
    <t>CNWI-QAAS-0020</t>
  </si>
  <si>
    <t>Instruccion de Caibracion de Basculas</t>
  </si>
  <si>
    <t>CNWI-QAAS-0027</t>
  </si>
  <si>
    <t xml:space="preserve">FLUJO DE PROCESO DE INSPECCION DE ENGOMADO  BACC65XX 
</t>
  </si>
  <si>
    <t>CNWI-QAAS-0028</t>
  </si>
  <si>
    <t>Flujo del proceso de proceso de inspeccion ensamble</t>
  </si>
  <si>
    <t>CNWI-QAAS-0030</t>
  </si>
  <si>
    <t>Liberacion de equipo</t>
  </si>
  <si>
    <t>CNWI-QAAS-0031</t>
  </si>
  <si>
    <t>Instruccion de calibracion Vernier</t>
  </si>
  <si>
    <t>CNWI-QAAS-0032</t>
  </si>
  <si>
    <t>Instructivo de calibracion de Hornos</t>
  </si>
  <si>
    <t>CNWI-QAAS-0034</t>
  </si>
  <si>
    <t>Inst. Calibracion de Indicadores</t>
  </si>
  <si>
    <t>CNWI-QAAS-0037</t>
  </si>
  <si>
    <t>Instructivo de registro  de boletas de scrap</t>
  </si>
  <si>
    <t>CNWI-QAAS-0038</t>
  </si>
  <si>
    <t xml:space="preserve">Inst. Para generar reporte SAP MB51 </t>
  </si>
  <si>
    <t>CNWI-QAAS-0040</t>
  </si>
  <si>
    <t>Procedimiento de prueba MS</t>
  </si>
  <si>
    <t>CNWI-QAAS-F001</t>
  </si>
  <si>
    <t xml:space="preserve">record de lecturas para calibración de instrumentos </t>
  </si>
  <si>
    <t>CNWI-QAAS-F084</t>
  </si>
  <si>
    <t xml:space="preserve">Registro calibracion de basculas </t>
  </si>
  <si>
    <t>CNWI-QAAS-F085</t>
  </si>
  <si>
    <t>Registros calibracion de Micrometros</t>
  </si>
  <si>
    <t>CNWI-QAAS-F086</t>
  </si>
  <si>
    <t>Registro calibracion de Reglas</t>
  </si>
  <si>
    <t>CNWI-QAAS-F087</t>
  </si>
  <si>
    <t>Registro informacion proceso Base de datos Master Product</t>
  </si>
  <si>
    <t>CNWI-QAAS-F097</t>
  </si>
  <si>
    <t>No calibration required</t>
  </si>
  <si>
    <t>CNWI-QAAS-F098</t>
  </si>
  <si>
    <t>Etiqueta de Instrumento Inactivo</t>
  </si>
  <si>
    <t>CNWI-QAAS-F100</t>
  </si>
  <si>
    <t>Etiqueta de Calibracion</t>
  </si>
  <si>
    <t>CNWI-QAAS-F101</t>
  </si>
  <si>
    <t>Change Request form (for Customer approval</t>
  </si>
  <si>
    <t>CNWI-QAAS-F102</t>
  </si>
  <si>
    <t>Registro de calibracion para calipers</t>
  </si>
  <si>
    <t>CNWI-QAAS-F103</t>
  </si>
  <si>
    <t>REGISTRO DE DATOS DE CALIBRACION PARA HORNOS</t>
  </si>
  <si>
    <t>CNWI-QAAS-F106</t>
  </si>
  <si>
    <t>Registro calibracion de indicadores</t>
  </si>
  <si>
    <t>CNWI-QAAS-F122</t>
  </si>
  <si>
    <t>Check list de revision de equipo de prueba</t>
  </si>
  <si>
    <t>CNWI-WHRS-F001</t>
  </si>
  <si>
    <t>Lean Manufacturing</t>
  </si>
  <si>
    <t>WHRS</t>
  </si>
  <si>
    <t xml:space="preserve">Identificacion de ordenes </t>
  </si>
  <si>
    <t>05/17/2011</t>
  </si>
  <si>
    <t>Juan Zepeda</t>
  </si>
  <si>
    <t>NAM\MA6898</t>
  </si>
  <si>
    <t>CNWI-WHRS-F002</t>
  </si>
  <si>
    <t>Mantenimiento</t>
  </si>
  <si>
    <t xml:space="preserve">Requisicion de material almacen </t>
  </si>
  <si>
    <t>CNWI-WHRS-F003</t>
  </si>
  <si>
    <t>Forma ciclocuento</t>
  </si>
  <si>
    <t>CNWI-WHRS-F004</t>
  </si>
  <si>
    <t xml:space="preserve">Firma acceso almacen </t>
  </si>
  <si>
    <t>CNWI-WHRS-F005</t>
  </si>
  <si>
    <t>Control recibo de medidores</t>
  </si>
  <si>
    <t>CNWI-WRHS-F006</t>
  </si>
  <si>
    <t>Etiqueta identificacion de material almacen para orden de produccion</t>
  </si>
  <si>
    <t>CNWI-WRHS-F007</t>
  </si>
  <si>
    <t>Cheklist almacen</t>
  </si>
  <si>
    <t>CNWI-WRHS-F008</t>
  </si>
  <si>
    <t>CONTROL  DE CONTACTOS EN ALMACEN.</t>
  </si>
  <si>
    <t>CNWI-WRHS-F009</t>
  </si>
  <si>
    <t>REPORTE DE RECIBO Y DISCREPANCIAS</t>
  </si>
  <si>
    <t>CNWI-WRHS-F010</t>
  </si>
  <si>
    <t>LEADER STANDARD WORK (LSW)</t>
  </si>
  <si>
    <t>CNWI-WRHS-F011</t>
  </si>
  <si>
    <t>CONTROL DE ORDENES SURTIDAS A SOLAR</t>
  </si>
  <si>
    <t>CNWI-WRHS-F012</t>
  </si>
  <si>
    <t>Control de material a embarcar</t>
  </si>
  <si>
    <t>CNWI-WRHS-F013</t>
  </si>
  <si>
    <t>Material entregado a puntos de uso</t>
  </si>
  <si>
    <t>P</t>
  </si>
  <si>
    <t>Karina Rodriguez</t>
  </si>
  <si>
    <t>O</t>
  </si>
  <si>
    <t>CP-A&amp;B-040</t>
  </si>
  <si>
    <t xml:space="preserve">Micro-Mini AC, Female In-Line straight </t>
  </si>
  <si>
    <t>AM2C2MG030F, AM3C2MG030F, AM4C2MG030F, AM5C2MG030F</t>
  </si>
  <si>
    <t>Karla Roman</t>
  </si>
  <si>
    <t>NAM\MB3505</t>
  </si>
  <si>
    <t>CP-A&amp;B-041</t>
  </si>
  <si>
    <t>Micro mini extension DC, Male Stright to female Straight</t>
  </si>
  <si>
    <t>DM2B3JE010M, DM3B3JE010M,DM4B3JE010M,DM5B3JE010M,DM6B3JE010M, DM4B2ME010M, DM5B2ME010M,.</t>
  </si>
  <si>
    <t>CP-A&amp;B-042</t>
  </si>
  <si>
    <t>MM DC, Female Inline Straight</t>
  </si>
  <si>
    <t>DM2C2ME010M, DM3C2ME010M, DM4C2ME010M, DM5C2ME010M, DM6C2ME010M, DM3C3JE010M, DM4C3JE010M, DM5C3JE010M</t>
  </si>
  <si>
    <t>CP-A&amp;B-043</t>
  </si>
  <si>
    <t>MM DC, Male Right Angle</t>
  </si>
  <si>
    <t>CP-CHGO-006</t>
  </si>
  <si>
    <t>FEMALE PORTABLE CHANGEOUT CONNECTOR 3 POLE</t>
  </si>
  <si>
    <t>CX865237AN</t>
  </si>
  <si>
    <t>CP-CHGO-007</t>
  </si>
  <si>
    <t>TP SERIES A CHENGEOUT 4 POLE FEMALE PORTABLE CONNECTOR</t>
  </si>
  <si>
    <t>CX8653312P</t>
  </si>
  <si>
    <t>CP-CHGO-008</t>
  </si>
  <si>
    <t>CX8653316P</t>
  </si>
  <si>
    <t>CP-CHGO-009</t>
  </si>
  <si>
    <t>CX8653312P, CX8653313P, CX8653315P, CX8653330P</t>
  </si>
  <si>
    <t>CP-CHGO-010</t>
  </si>
  <si>
    <t>FEMALE PORTABLE CHANGEOUT CONNECTOR 4 POLE</t>
  </si>
  <si>
    <t>CX8653343P, CX8653346P</t>
  </si>
  <si>
    <t>CP-CHGO-011</t>
  </si>
  <si>
    <t>TP SERIES A CHENGEOUT 3 POLE FEMALE PORTABLE CONNECTOR</t>
  </si>
  <si>
    <t>X865248P, X865249P, X865250P, X865292P, X865294P, X865296P, X8652210P, X8652220P, X8652238P, X8652239P, X86521527P, X86521528P, X8652528P, X8652529P, X86521524P, X8652524P, X86521P, X6521PSP</t>
  </si>
  <si>
    <t>CP-CHGO-012</t>
  </si>
  <si>
    <t>TP SERIES A CHANGEOUT 3 POLE MALE PORTABLE CONNECTOR</t>
  </si>
  <si>
    <t>X865251P</t>
  </si>
  <si>
    <t>CP-CHGO-013</t>
  </si>
  <si>
    <t>TP SERIES A CHANGE OUT  POLE FEMALE RECEPTACLE</t>
  </si>
  <si>
    <t>X865214P, X865215P, X865290P, X865298P, X8652214P, X8652221P, X8652230P, X865289P, X865273, X8652290P, X8652285P, X8652118P, X8652117P.</t>
  </si>
  <si>
    <t>CP-CHGO-014</t>
  </si>
  <si>
    <t>TP SERIES A CHANGEOUT 4 POLE FEMALE PORTABLE CONNECTOR</t>
  </si>
  <si>
    <t>X865344P, X865345P, X865346P, X865392P, X865394P, X865396P, X86531703, X8653222P, X8653524P, X8653264P, X8653527P, X8653252P, X8653528P, X8653267, X8653529P, X8653644P, X8653577P.</t>
  </si>
  <si>
    <t>CP-CHGO-015</t>
  </si>
  <si>
    <t>TP SERIES A CHANGEOUT 4 POLE MALE PORTABLE CONNECTOR</t>
  </si>
  <si>
    <t>X865347P, X865348P, X865349P, X865393P, X865395P, X865397P, X86531512P, X8653512P, X86531515P, X8653515P, X8653140P, X8653152P, X8653517P, X8653615P</t>
  </si>
  <si>
    <t>CP-CHGO-016</t>
  </si>
  <si>
    <t>TP SERIES A CHANGE OUT  POLE MALE RECEPTACLE</t>
  </si>
  <si>
    <t>X8651648P, X865313P, X865314P, X865391P, X865399P, X8653323, X8653323, X8653334, X865212P, X865213P, X865291P, X865299P, X8652255P, X86522P, X8652703, X86522P, X86521649P, X8653660</t>
  </si>
  <si>
    <t>CP-CHGO-017</t>
  </si>
  <si>
    <t>X8653325</t>
  </si>
  <si>
    <t>CP-CHGO-018</t>
  </si>
  <si>
    <t>TP SERIES A CHANGEOUT FEMALE RECEPTACLE 4 POLE, POL WITH INSULATED TERMINALS</t>
  </si>
  <si>
    <t>X8653382P</t>
  </si>
  <si>
    <t>CP-CHGO-019</t>
  </si>
  <si>
    <t>TP SERIES A CHANGEOUT 4 POLE FEMALE PORTABLE CONNECTOR SANTOPRENE</t>
  </si>
  <si>
    <t>X8653567P, X8653568P, X8653573P, X8653434P, X8653435P, X8653222A, X8653475P</t>
  </si>
  <si>
    <t>CP-CHGO-020</t>
  </si>
  <si>
    <t>TP SERIES A CHANGEOUT MALE PLUG 4 POLE, POL</t>
  </si>
  <si>
    <t>X8653511P, X86531516P, X8653342P, X86531509P, X86531510P, X86531511P, X86531517P, X8653687P, X8653349P, X86531532P, X86531641P, X86531640P</t>
  </si>
  <si>
    <t>CP-CHGO-021</t>
  </si>
  <si>
    <t>X86521624P, X8652279P, X86521627P, X8652250P, X86521626P</t>
  </si>
  <si>
    <t>CP-CHGO-022</t>
  </si>
  <si>
    <t>MALE PLUG ASSEMBLY, SPECIAL SKINNING 4 POLE POLARIZED, PORTA-CHANGE, STYLE II SPECIAL FOR MILWAUKEE ELECTRIC</t>
  </si>
  <si>
    <t>X86531621P &amp; X86531692P</t>
  </si>
  <si>
    <t>FC-CHGO-001</t>
  </si>
  <si>
    <t>FC-CHGO-002</t>
  </si>
  <si>
    <t>TP SERIES CHANGE OUT 4 POLE FEMALE PORTABLE CONNECTOR</t>
  </si>
  <si>
    <t>FC-CHGO-003</t>
  </si>
  <si>
    <t>FC-CHGO-004</t>
  </si>
  <si>
    <t>FC-CHGO-005</t>
  </si>
  <si>
    <t>FC-CHGO-006</t>
  </si>
  <si>
    <t>TP SERIES CHANGE OUT 3 POLE FEMALE PORTABLE CONNECTOR</t>
  </si>
  <si>
    <t>X865248P, X865249P, X865250P, X865292P, X865294P,X865296P, X865210P, X8652220P, X8652238P, X8652239P, X86521527P, X8652527P, X86521528P, X8652528P, X86529P,X86521524P, X8652524P, X86521P, X86521P</t>
  </si>
  <si>
    <t>FC-CHGO-007</t>
  </si>
  <si>
    <t>FC-CHGO-008</t>
  </si>
  <si>
    <t>X865315P, X865316P, X865390P, X865398P, X865381P, X8653270P, X8653371P, X865214P, X865215P, X865290P, X865298P, X8652214P, X8652221P, X8652230P ,X865289P, X8652273P, X8652285P, X8652290P, X8652118P, X8652117P.</t>
  </si>
  <si>
    <t>FC-CHGO-009</t>
  </si>
  <si>
    <t>X865344P, X865345P, X865346P, X865392P, X865394P, X865396P, X86531703P, X8653222P, X8653524P, X8653264P, X8653527P, X8653252P, X8653528P, X8653267P, X8653529P, X8653644P, X8653577P</t>
  </si>
  <si>
    <t>FC-CHGO-010</t>
  </si>
  <si>
    <t>TP SERIES A CHANGEOUT 4 POLE MALE PORTA BLE CONNECTOR</t>
  </si>
  <si>
    <t>FC-CHGO-011</t>
  </si>
  <si>
    <t>X8651648P, X865313P, X865314P, X865391P, X865399P, X8653323,  X8653334, X865212P, X865213P, X8652914P, X865299P, X8652255P, X8652277P, X86522P, X8652703, X86522P, X86521649P, X8653660</t>
  </si>
  <si>
    <t>FC-CHGO-012</t>
  </si>
  <si>
    <t>X8653322, X8653324, X8653325</t>
  </si>
  <si>
    <t>FC-CHGO-013</t>
  </si>
  <si>
    <t>TP SERIES A CHANGEOUT FEMALE RECEPTACLE, 4 POLE, POL, WITH INSULATED TERMINALS</t>
  </si>
  <si>
    <t>FC-CHGO-014</t>
  </si>
  <si>
    <t>FC-CHGO-015</t>
  </si>
  <si>
    <t>FC-CHGO-016</t>
  </si>
  <si>
    <t>X8652279P, X86521624P, X86521627P, X8652250P, X86521626P</t>
  </si>
  <si>
    <t>FC-CHGO-017</t>
  </si>
  <si>
    <t>MALE PLUG ASSEMBLY, SPECIAL SKINNING 4 POLE POLARIZED, PORTA -CHANGE STYLE II SPECIAL FOR MILWAUKEE  ELECTRIC</t>
  </si>
  <si>
    <t>X86531621P, X86531692P</t>
  </si>
  <si>
    <t>FMEA-CHGO-002</t>
  </si>
  <si>
    <t>4P CO F P CUST SUPP FESTOON 18/4C 30'</t>
  </si>
  <si>
    <t>FMEA-CHGO-003</t>
  </si>
  <si>
    <t>TP Series a Changeout 4 pole Female portable connector</t>
  </si>
  <si>
    <t>FMEA-CHGO-005</t>
  </si>
  <si>
    <t>FMEA-CHGO-006</t>
  </si>
  <si>
    <t>TP Series a Changeout 3 pole Female portable connector</t>
  </si>
  <si>
    <t>FMEA-CHGO-007</t>
  </si>
  <si>
    <t>FMEA-CHGO-008</t>
  </si>
  <si>
    <t>TP SERIES A CHANGEOUT  POLE FEMALE RECEPTACLE</t>
  </si>
  <si>
    <t xml:space="preserve"> X865315P, X865316P, X865390P, X865398P, X865381P, X8653270P, X8653371P, X865214P, X865215P, X865290P, X865298P, X8652214P, X8652230P, 865289P, 8652273P, 8652285P, 8652290P, 8652118P, 8652117P</t>
  </si>
  <si>
    <t>FMEA-CHGO-009</t>
  </si>
  <si>
    <t>X865344P, X865345P, X865346P, X865392P, X865394P, X865396P, X86531703P, X8653222P, X8653524P, X8653264P, X8653527P, X8653252P, X8653528P, X8653267P, X8653529P, X8653644P, X8653577P.</t>
  </si>
  <si>
    <t>FMEA-CHGO-010</t>
  </si>
  <si>
    <t>X865347P, X865348P, X865349P, X865393P, X865395P, X865397P, X86531512P, X8653512P, X86531515P, X8653515, X8653140P, X8653152P, X8653517P, X8653615P</t>
  </si>
  <si>
    <t>FMEA-CHGO-011</t>
  </si>
  <si>
    <t>TP SERIES A CHANGEOUT  POLE MALE RECEPTACLE</t>
  </si>
  <si>
    <t>X8651648P, X865313P, X865314P, X865391P, X865399P, X8653323, X8653334, X865212P, X865213P, X8652914P, X865299P, X8652255P, X8652277P, X86522P, X86521649P, X8653660</t>
  </si>
  <si>
    <t>FMEA-CHGO-012</t>
  </si>
  <si>
    <t>TP SERIES A CHANGEOUT 4 POLE FEMALE PORTABLE CONEECTOR</t>
  </si>
  <si>
    <t>FMEA-CHGO-013</t>
  </si>
  <si>
    <t>TP SERIES A CHANGEOUT FEMALE RECEPTACLE 4 POLE, POL WITH INSULATED TERMINALS.</t>
  </si>
  <si>
    <t>FMEA-CHGO-014</t>
  </si>
  <si>
    <t>FMEA-CHGO-015</t>
  </si>
  <si>
    <t>TP SERIES A CHANGE OUT MALE PLUG 4 POLE POL</t>
  </si>
  <si>
    <t>FMEA-CHGO-016</t>
  </si>
  <si>
    <t>FMEA-CHGO-017</t>
  </si>
  <si>
    <t>MALE PLUG ASSEMBLY, SPECIAL SKINNING 4 POLE POLARIZED, PORTA-CHANGE, STYLE II SPECIAL FOR MILWAUKEE</t>
  </si>
  <si>
    <t>X86531621P &amp; X86531621P</t>
  </si>
  <si>
    <t>CP-MS-013</t>
  </si>
  <si>
    <t>MOLDED 5015 CABLE ASSEMBLY</t>
  </si>
  <si>
    <t>203205A</t>
  </si>
  <si>
    <t>CP-MS-014</t>
  </si>
  <si>
    <t>FEMALE MS MALEW/POLES MINI LINE JUMPER ASSY</t>
  </si>
  <si>
    <t>5680551 &amp; 5680552, 5680553, 11962174, 11629619, 56805516, 56805520, 5680553, 56805514, 5680554, 56805511, 56805513, 56805518</t>
  </si>
  <si>
    <t>CP-MS-015</t>
  </si>
  <si>
    <t>MALE TO FEMALE PANEL MOUNT JUMPER ASSEMBLY STYLE 20-27</t>
  </si>
  <si>
    <t xml:space="preserve">11536313, 11613668, CH5041489B0480, CH5041489B0600, CH5041489B0019, CH5041489B0027, CH5041489B0054, CH5041489B0360, </t>
  </si>
  <si>
    <t>CP-MS-016</t>
  </si>
  <si>
    <t>FEMALE PLUG ASSEMBLY 5 POLE MS STYLE 18-11</t>
  </si>
  <si>
    <t>11547793 , 11672395, CHCCR005P6, P2, P3, P4, P5, P6, P7, P8, P9, P10, P12, P14, P16, P18, P20, P22, P24, P26, P28, P35,  CHCCR005P8.</t>
  </si>
  <si>
    <t>CP-MS-017</t>
  </si>
  <si>
    <t>CH5041495B0360, 5041495B0480, 5041495B0120, CH5041495B0360FM</t>
  </si>
  <si>
    <t>CP-MS-018</t>
  </si>
  <si>
    <t>CHCCR005P-2, 3, 4, 5, 6, 7, 8, 9, 10, 12, 14, 16, 18, 20, 22, 24, 26, 28, 35</t>
  </si>
  <si>
    <t>CP-MS-019</t>
  </si>
  <si>
    <t>M5E1811A230MH</t>
  </si>
  <si>
    <t>CP-MS-020</t>
  </si>
  <si>
    <t>MALE TO FEMALE JUMPER ASSY STYLE 22-19</t>
  </si>
  <si>
    <t>P1529042B130, P1532302C21, P1532302C27</t>
  </si>
  <si>
    <t>CP-MS-021</t>
  </si>
  <si>
    <t>SMEA0092010, SMEA0092025, SMEA0092030, SMEA0092040. SMEA0092045, SMEA0092050, SMEA0092401</t>
  </si>
  <si>
    <t>CP-MS-022</t>
  </si>
  <si>
    <t>FEMALE TO MALE ASSY STYLE 22-19</t>
  </si>
  <si>
    <t>SMEA0094007, SMEA0094030</t>
  </si>
  <si>
    <t>CP-MS-023</t>
  </si>
  <si>
    <t>FEMALE TO  MALE RIGHT ANGLE ASSY STYLE 22-19</t>
  </si>
  <si>
    <t>SMEA0114007, SMEA0114010, SMEA00114015, SMEA01104030</t>
  </si>
  <si>
    <t>CP-MS-024</t>
  </si>
  <si>
    <t xml:space="preserve">MALE TO FEMALE JUMPER ASSY ASSEMBLY #18 AWG </t>
  </si>
  <si>
    <t>SMEA0115010, SMEA0115015, SMEA1105020, SMEA0115030, SMEA0115035, SMEA0115060</t>
  </si>
  <si>
    <t>CP-MS-025</t>
  </si>
  <si>
    <t>MALE TO FEMALE JUMPER ASSY SHELL SIZE 22-8</t>
  </si>
  <si>
    <t>SMEA0120010, SMEA00120030, SMEA00120040, SMEA0012045</t>
  </si>
  <si>
    <t>FC-MS-001</t>
  </si>
  <si>
    <t xml:space="preserve">MOLDED 5015 CABLE ASSEMBLY </t>
  </si>
  <si>
    <t>FC-MS-002</t>
  </si>
  <si>
    <t>Subassemblies female to male</t>
  </si>
  <si>
    <t>5680551, 5680552, 5680553, 11962174, 11629619</t>
  </si>
  <si>
    <t>FC-MS-003</t>
  </si>
  <si>
    <t>11536313, 11613668, CH5041489B0480, B0600, B0019, B0027, B0054, B0360, B0072, B0420, B0240, B0034, B0300, B0400, B0120, B0720</t>
  </si>
  <si>
    <t>FC-MS-004</t>
  </si>
  <si>
    <t>FEMALE PLUG ASSEMBLY 5 POLE MS STYLE</t>
  </si>
  <si>
    <t>11547793, 11672395, CHCCR005P6, P8</t>
  </si>
  <si>
    <t>FC-MS-005</t>
  </si>
  <si>
    <t>CH5041495B0360</t>
  </si>
  <si>
    <t>FC-MS-006</t>
  </si>
  <si>
    <t>CHCCR003P2, P3, 34, P5, P6, P10, P14, P16, P18, P20, P22, P24, P26, P28</t>
  </si>
  <si>
    <t>FC-MS-007</t>
  </si>
  <si>
    <t>MALE-FEMALE JUMPER ASSEMBLY 5 POLE MS 18-11 STYLE</t>
  </si>
  <si>
    <t>FC-MS-008</t>
  </si>
  <si>
    <t>MALE TO FEMALE  JUMPER ASSY STYLE 22-19</t>
  </si>
  <si>
    <t>FC-MS-009</t>
  </si>
  <si>
    <t>SMEA0092010, SMEA0092025, SMEA0092030, SMEA0092040, SMEA0092045, SMEA0092050, SMEA0092401</t>
  </si>
  <si>
    <t>FC-MS-010</t>
  </si>
  <si>
    <t>SMEA0094007 &amp; SMEA0094030</t>
  </si>
  <si>
    <t>FC-MS-011</t>
  </si>
  <si>
    <t>FEMALE TO MALE RIGHT ANGLE ASSY STYLE</t>
  </si>
  <si>
    <t>FC-MS-012</t>
  </si>
  <si>
    <t>MALE TO FEMALE JUMPER ASSEMBLY #18AWG</t>
  </si>
  <si>
    <t>SMEA0115010, SMEA0115015, SMEA0115020, SMEA0115030, SMEA0115035, SMEA0115060</t>
  </si>
  <si>
    <t>FC-MS-013</t>
  </si>
  <si>
    <t>SMEA0120010, SMEA0120030, SMEA0120040, SMEA012045</t>
  </si>
  <si>
    <t>FMEA-MS-001</t>
  </si>
  <si>
    <t>FMEA-MS-002</t>
  </si>
  <si>
    <t>FEMALE MS TO MALE 3 POLE  MINI LINE  JUMPER ASSY</t>
  </si>
  <si>
    <t>5680551, 5680552, 5680553, 11962174 &amp; 11629619</t>
  </si>
  <si>
    <t>FMEA-MS-003</t>
  </si>
  <si>
    <t>11536313, 11613668, CH5041489B0480, B0600, B0019,  B0027, B0054, B0360, B072, B0420, B0240, B0034, B0300, B0400, B0120, B0720</t>
  </si>
  <si>
    <t>FMEA-MS-004</t>
  </si>
  <si>
    <t>FEMALE PLUG ASSY MS STYLE</t>
  </si>
  <si>
    <t>FMEA-MS-005</t>
  </si>
  <si>
    <t>FMEA-MS-006</t>
  </si>
  <si>
    <t>FEMALE PLUG ASSEMBLY STYLE 18-11</t>
  </si>
  <si>
    <t>CHCCR003P2, P3, P4, P5, P6, P7, P8, P9, P10, P12, P14, P16, P18, P20, P22, P24, P26, P28.</t>
  </si>
  <si>
    <t>FMEA-MS-007</t>
  </si>
  <si>
    <t>FMEA-MS-008</t>
  </si>
  <si>
    <t>FMEA-MS-009</t>
  </si>
  <si>
    <t>FMEA-MS-010</t>
  </si>
  <si>
    <t>FMEA-MS-011</t>
  </si>
  <si>
    <t>FEMALE TO MALE RIGHT ANGLE ASSY STYLE 22-19</t>
  </si>
  <si>
    <t>FMEA-MS-012</t>
  </si>
  <si>
    <t xml:space="preserve">MALE TO FEMALE JUMPER ASSEMBLY #18 AWG </t>
  </si>
  <si>
    <t>FMEA-MS-013</t>
  </si>
  <si>
    <t>CP-SOL-008</t>
  </si>
  <si>
    <t>HOMERUNS HARNESS - COHALAN WEST LOT</t>
  </si>
  <si>
    <t>FC-SOL-001</t>
  </si>
  <si>
    <t>HR &amp; WHIP SETS BS BLOCK</t>
  </si>
  <si>
    <t>Generico</t>
  </si>
  <si>
    <t>FMEA-SOL-001</t>
  </si>
  <si>
    <t>CNWI-ENGI-0016</t>
  </si>
  <si>
    <t>Introduccion de Nuevos Productos NPI</t>
  </si>
  <si>
    <t>Lizett Soto</t>
  </si>
  <si>
    <t>NAM\MB1297</t>
  </si>
  <si>
    <t>CNWI-ENGI-F070</t>
  </si>
  <si>
    <t>Check list de nuevos productos</t>
  </si>
  <si>
    <t>CNWI-ENGI-F071</t>
  </si>
  <si>
    <t>REGISTRO DE PRODUCTOS TERMINADOS NPI</t>
  </si>
  <si>
    <t>VA-CGRAL-001</t>
  </si>
  <si>
    <t>CGRAL</t>
  </si>
  <si>
    <t>General Camarillo</t>
  </si>
  <si>
    <t>Prueba de O-ring</t>
  </si>
  <si>
    <t xml:space="preserve">VA-IMB-009 </t>
  </si>
  <si>
    <t xml:space="preserve">Ensamble de 28-2290-0001, 28-2290-0002 RCPT CA ASY 5CONT C-66528-0002 NON UL ASY </t>
  </si>
  <si>
    <t>C-66528</t>
  </si>
  <si>
    <t>T.Serrano</t>
  </si>
  <si>
    <t>CNWI-PRCS-0001</t>
  </si>
  <si>
    <t>PRCS</t>
  </si>
  <si>
    <t>Compras MRO Nogales</t>
  </si>
  <si>
    <t>Lluvia Duarte</t>
  </si>
  <si>
    <t>NAM\DEB51</t>
  </si>
  <si>
    <t>CNWI-PRCS-F002</t>
  </si>
  <si>
    <t>Formato de orden de compra</t>
  </si>
  <si>
    <t>CNWI-PRCS-F003</t>
  </si>
  <si>
    <t>SOLICITUD DE PAGO</t>
  </si>
  <si>
    <t>CNWI-PRCS-F004</t>
  </si>
  <si>
    <t>Alta proveedores</t>
  </si>
  <si>
    <t>CNWI-PRCS-F005</t>
  </si>
  <si>
    <t>clausulas de calidad</t>
  </si>
  <si>
    <t>CNWI-PRCS-F006</t>
  </si>
  <si>
    <t>Formato de vendedores autorizados</t>
  </si>
  <si>
    <t>CNWI-PRCS-F007</t>
  </si>
  <si>
    <t>proveedores aprobados MRO</t>
  </si>
  <si>
    <t>CNWI-PRCS-F008</t>
  </si>
  <si>
    <t>Formato para  evaluacion a proveedores MRO</t>
  </si>
  <si>
    <t>CNWI-PRCS-F009</t>
  </si>
  <si>
    <t>Listado de aprovacion de proveedores MRO</t>
  </si>
  <si>
    <t>CNWI-PRCS-F010</t>
  </si>
  <si>
    <t>Request For Purchase Order In Excess of Demand</t>
  </si>
  <si>
    <t>F-PRCS-01-001</t>
  </si>
  <si>
    <t xml:space="preserve">Requisición de compra </t>
  </si>
  <si>
    <t>CNWI-LEAN-0001</t>
  </si>
  <si>
    <t>LEAN</t>
  </si>
  <si>
    <t>Lean</t>
  </si>
  <si>
    <t>Proceso de mejora continua</t>
  </si>
  <si>
    <t>Luis Garcia</t>
  </si>
  <si>
    <t>NAM\MB5781</t>
  </si>
  <si>
    <t>F-LEAN-01-001</t>
  </si>
  <si>
    <t>Lista de Maestra de IMC</t>
  </si>
  <si>
    <t>F-LEAN-01-002</t>
  </si>
  <si>
    <t>Plan de Eventos Kaizen</t>
  </si>
  <si>
    <t>F-LEAN-01-003</t>
  </si>
  <si>
    <t>Project Deck</t>
  </si>
  <si>
    <t>F-LEAN-01-004</t>
  </si>
  <si>
    <t>Formato IMC</t>
  </si>
  <si>
    <t>CNWI-QAAS-F050</t>
  </si>
  <si>
    <t>Forma de Mejora Continua</t>
  </si>
  <si>
    <t>CNWI-QAAS-F132</t>
  </si>
  <si>
    <t>Operación y Control de Dispositivos  PokaYoke</t>
  </si>
  <si>
    <t>CNWI-MTTO-0001</t>
  </si>
  <si>
    <t xml:space="preserve">Instruccion general de mantenimiento </t>
  </si>
  <si>
    <t>Manuel Arvizu</t>
  </si>
  <si>
    <t>NAM\A09DF</t>
  </si>
  <si>
    <t>CNWI-MTTO-0002</t>
  </si>
  <si>
    <t>Almacen de suplementos y refacciones</t>
  </si>
  <si>
    <t>CNWI-MTTO-0003</t>
  </si>
  <si>
    <t>Mantenimiento autónomo de moldeadoras</t>
  </si>
  <si>
    <t>CNWI-MTTO-F027</t>
  </si>
  <si>
    <t>PARAMETROS DE REFERENCIA PARA MOLDEADORA AHI TOP #3 Y #4</t>
  </si>
  <si>
    <t>CNWI-MTTO-F029</t>
  </si>
  <si>
    <t>Revision de Despojadoras Schleuniger</t>
  </si>
  <si>
    <t>CNWI-MTTO-F030</t>
  </si>
  <si>
    <t>LISTA DE ENTREGAS DE TOOL CRIP</t>
  </si>
  <si>
    <t>TPM-MRPK-001</t>
  </si>
  <si>
    <t>Mantenimiento Productivo Total</t>
  </si>
  <si>
    <t>Rutina de Limpieza para TP18 Operador</t>
  </si>
  <si>
    <t>TPM-MRPK-002</t>
  </si>
  <si>
    <t>Rutina de Limpieza para TP18 Tecnico de Mantto</t>
  </si>
  <si>
    <t>CNWI-MTTO-F001</t>
  </si>
  <si>
    <t>Boleta de control de quipo</t>
  </si>
  <si>
    <t>CNWI-MTTO-F002</t>
  </si>
  <si>
    <t xml:space="preserve">inventarios de moldes </t>
  </si>
  <si>
    <t>CNWI-MTTO-F003</t>
  </si>
  <si>
    <t xml:space="preserve">listado de maquinas </t>
  </si>
  <si>
    <t>CNWI-MTTO-F004</t>
  </si>
  <si>
    <t xml:space="preserve">calendario anual de mantenimiento preventivo en equipos e instalaciones </t>
  </si>
  <si>
    <t>CNWI-MTTO-F006</t>
  </si>
  <si>
    <t>Inventario de suplementos</t>
  </si>
  <si>
    <t>22/2/2011</t>
  </si>
  <si>
    <t>CNWI-MTTO-F008</t>
  </si>
  <si>
    <t>orden de trabajo para mantenimiento</t>
  </si>
  <si>
    <t>CNWI-MTTO-F010</t>
  </si>
  <si>
    <t>etiqueta de mantenimiento preventivo</t>
  </si>
  <si>
    <t>CNWI-MTTO-F011</t>
  </si>
  <si>
    <t>Registro mantenimiento preventivo</t>
  </si>
  <si>
    <t>CNWI-MTTO-F012</t>
  </si>
  <si>
    <t xml:space="preserve">suplementos y partes </t>
  </si>
  <si>
    <t>CNWI-MTTO-F013</t>
  </si>
  <si>
    <t>Boleta control de material</t>
  </si>
  <si>
    <t>CNWI-MTTO-F014</t>
  </si>
  <si>
    <t>Inventarios de quimicos</t>
  </si>
  <si>
    <t>CNWI-MTTO-F015</t>
  </si>
  <si>
    <t>Revicion diaria de temperaturas de quimicos</t>
  </si>
  <si>
    <t>CNWI-MTTO-F016</t>
  </si>
  <si>
    <t>Registro mantenimiento preventivo a Moldes</t>
  </si>
  <si>
    <t>CNWI-MTTO-F017</t>
  </si>
  <si>
    <t>Inventario Mensual de suplementos</t>
  </si>
  <si>
    <t>CNWI-MTTO-F018</t>
  </si>
  <si>
    <t>Checklist de montacargas electrico</t>
  </si>
  <si>
    <t>CNWI-MTTO-F019</t>
  </si>
  <si>
    <t xml:space="preserve">REGISTRO DE TEMPERATURA DE ALMACENAMIENTO DE QUIMICOS  </t>
  </si>
  <si>
    <t>CNWI-MTTO-F020</t>
  </si>
  <si>
    <t>Checklist de plataforma de elevadora</t>
  </si>
  <si>
    <t>CNWI-MTTO-F021</t>
  </si>
  <si>
    <t xml:space="preserve">PLAN DE ACTIVIDADES MECANICOS </t>
  </si>
  <si>
    <t>CNWI-MTTO-F022</t>
  </si>
  <si>
    <t>ETIQUETA DE IDENTIFICACION PARA  EQUIPO EN REPARACION</t>
  </si>
  <si>
    <t>CNWI-PLNN-F001</t>
  </si>
  <si>
    <t xml:space="preserve">Customer Requirement PGI </t>
  </si>
  <si>
    <t>Marco Villegas</t>
  </si>
  <si>
    <t>NAM\C7NEP</t>
  </si>
  <si>
    <t>CNWI-PLNN-F002</t>
  </si>
  <si>
    <t>Master Schedule</t>
  </si>
  <si>
    <t>FC-IMB-001</t>
  </si>
  <si>
    <t>Cable assembly, 900 Mhz direct connect antenna</t>
  </si>
  <si>
    <t>Mario Armenta</t>
  </si>
  <si>
    <t>NAM\A8070</t>
  </si>
  <si>
    <t>CP-MRPK-001</t>
  </si>
  <si>
    <t>NUT COUPLING, PL RED 900 MHz (CBA -1300-006)</t>
  </si>
  <si>
    <t>096-0278-000</t>
  </si>
  <si>
    <t>CP-A&amp;B-002</t>
  </si>
  <si>
    <t>THERMOPLASTIC MINI-LINE, STYLE 2, 8 POLE, FEMALE PLUG</t>
  </si>
  <si>
    <t xml:space="preserve">A89N-F8AF-2 </t>
  </si>
  <si>
    <t>CP-A&amp;B-005</t>
  </si>
  <si>
    <t>AC MICRO-MINI TEE</t>
  </si>
  <si>
    <t xml:space="preserve">AT3RC3R </t>
  </si>
  <si>
    <t>CP-A&amp;B-006</t>
  </si>
  <si>
    <t>FEMALE TO FEMALE JUMPER ALL BLACK COMPONENTS</t>
  </si>
  <si>
    <t xml:space="preserve">DM4R2ME030MX </t>
  </si>
  <si>
    <t>CP-A&amp;B-007</t>
  </si>
  <si>
    <t>ASSEMBLY- TEE RIGHT MINI-LINE, STYLE I  4 POLE.</t>
  </si>
  <si>
    <t xml:space="preserve">A98N-43PB-N4 </t>
  </si>
  <si>
    <t>CP-A&amp;B-008</t>
  </si>
  <si>
    <t>ASSEMBLY- TEE RIGHT MINI-LINE, STYLE I  5 POLE.</t>
  </si>
  <si>
    <t>CHDN-TAER-N</t>
  </si>
  <si>
    <t>CP-A&amp;B-009</t>
  </si>
  <si>
    <t xml:space="preserve">CHDN-TAER-NG  </t>
  </si>
  <si>
    <t>CP-A&amp;B-010</t>
  </si>
  <si>
    <t>FEMALE TO FEMALE JUMPER ALL BLACK COMPONENTS DM4Q2M224E-A</t>
  </si>
  <si>
    <t>DM4Q2M24E</t>
  </si>
  <si>
    <t>CP-A&amp;B-011</t>
  </si>
  <si>
    <t>AT3RC3R</t>
  </si>
  <si>
    <t>CP-A&amp;B-012</t>
  </si>
  <si>
    <t>3 POLE A/C MICRO FEMALE PLUG</t>
  </si>
  <si>
    <t>PDR1 -18</t>
  </si>
  <si>
    <t>CP-A&amp;B-013</t>
  </si>
  <si>
    <t>TP SERIES A CHANGEOUT DETAILS FEMALE PORTABLE AND MALE INSERT</t>
  </si>
  <si>
    <t>CP-A&amp;B-014</t>
  </si>
  <si>
    <t>THERMOPLASTIC MINI-LINE, STYLE 2, 7 POLE, FEMALE PLUG</t>
  </si>
  <si>
    <t>A89N-F7AF-5,-10, -20</t>
  </si>
  <si>
    <t>CP-A&amp;B-015</t>
  </si>
  <si>
    <t>MINI-LINE, MALE 90 DEG TO FEMALE 90 DEG, STYLE I</t>
  </si>
  <si>
    <t xml:space="preserve">LPXP-XC-J-I </t>
  </si>
  <si>
    <t>CP-A&amp;B-016</t>
  </si>
  <si>
    <t>4 POLE MINI LINE FEMALE PLUG ASSY "A" BODY SIZE</t>
  </si>
  <si>
    <t xml:space="preserve">ML4C4TC </t>
  </si>
  <si>
    <t>CP-A&amp;B-017</t>
  </si>
  <si>
    <t>4P DC MM MIL-F SS AWM 22/4C 3M</t>
  </si>
  <si>
    <t>DM4R2ME030MX</t>
  </si>
  <si>
    <t>CP-A&amp;B-018</t>
  </si>
  <si>
    <t xml:space="preserve">DM4Q2M24E </t>
  </si>
  <si>
    <t>CP-A&amp;B-019</t>
  </si>
  <si>
    <t>DC MICRO-MINI FEMALE PORTABLE (4 POLE)</t>
  </si>
  <si>
    <t>DM4F2TE</t>
  </si>
  <si>
    <t>CP-A&amp;B-020</t>
  </si>
  <si>
    <t>MICRO-MINI DC, MALE STRAIGHT</t>
  </si>
  <si>
    <t>DMXB2ME010M</t>
  </si>
  <si>
    <t>CP-A&amp;B-021</t>
  </si>
  <si>
    <t>SEMBLY- TEE RIGHT MINI-LINE, STYLE I  5 POLE</t>
  </si>
  <si>
    <t xml:space="preserve">CHDN-TAER-NG </t>
  </si>
  <si>
    <t>CP-A&amp;B-022</t>
  </si>
  <si>
    <t>MALE TO FEMALE EXTENSION CHANGEOUT (4 POLE)</t>
  </si>
  <si>
    <t>CA4P7C09C -040MY</t>
  </si>
  <si>
    <t>CP-A&amp;B-023</t>
  </si>
  <si>
    <t>CP-A&amp;B-024</t>
  </si>
  <si>
    <t>MICRO-MINI FEMALE PORTABLE</t>
  </si>
  <si>
    <t xml:space="preserve">AM3F2MG200FS </t>
  </si>
  <si>
    <t>CP-A&amp;B-025</t>
  </si>
  <si>
    <t>DC MICRO-MINI FEMALE</t>
  </si>
  <si>
    <t>ABSP4R5C</t>
  </si>
  <si>
    <t>CP-A&amp;B-026</t>
  </si>
  <si>
    <t>ASSEMBLY- TEE RIGHT MINI-LINE, STYLE I 4 POLE.</t>
  </si>
  <si>
    <t>A98N-43PB-N4</t>
  </si>
  <si>
    <t>CP-A&amp;B-027</t>
  </si>
  <si>
    <t>FEMALE DC MICRO ASSY (4 POLE)</t>
  </si>
  <si>
    <t>A89DR4HC-2, -5, -10, -20</t>
  </si>
  <si>
    <t>CP-A&amp;B-028</t>
  </si>
  <si>
    <t>A79DM3AERF50F5</t>
  </si>
  <si>
    <t>AC TO DC MICRO Y; FEMALE TO MALE IN-LINE</t>
  </si>
  <si>
    <t>CP-A&amp;B-029</t>
  </si>
  <si>
    <t>CP-A&amp;B-030</t>
  </si>
  <si>
    <t>MICRO-MINI EXTENSION DC, MALE 90 DEG. TO FEMALE 90 DEG</t>
  </si>
  <si>
    <t xml:space="preserve">LPXP-ZC-K </t>
  </si>
  <si>
    <t>CP-A&amp;B-031</t>
  </si>
  <si>
    <t>MICRO MINI DC RCPT, F, 1/2-14 NPT</t>
  </si>
  <si>
    <t xml:space="preserve">LPXP-ZR-D </t>
  </si>
  <si>
    <t>CP-A&amp;B-032</t>
  </si>
  <si>
    <t>MINI-LINE, MALE STRAIGHT TO FEMALE STRAIGHT, STYLE I</t>
  </si>
  <si>
    <t>LPXP-XC-P-1</t>
  </si>
  <si>
    <t>CP-A&amp;B-033</t>
  </si>
  <si>
    <t>DC MICRO-MINI EXTENSION, MALE TO FEMALE.</t>
  </si>
  <si>
    <t>A89DF4HEDM1, 2, 3, 4, 5, 6</t>
  </si>
  <si>
    <t>CP-A&amp;B-034</t>
  </si>
  <si>
    <t>ASSEMBLY-TEE RIGHT MINI-LINE, STYLE I 5 POLE WITH 4 POLE DROP</t>
  </si>
  <si>
    <t>ABT-P1M4-MN5R1</t>
  </si>
  <si>
    <t>CP-A&amp;B-035</t>
  </si>
  <si>
    <t>MICRO TEE HARNESS ASSEMBLY  FOR  SQUARE D</t>
  </si>
  <si>
    <t xml:space="preserve">5000129-295 </t>
  </si>
  <si>
    <t>CP-A&amp;B-036</t>
  </si>
  <si>
    <t>DC MICRO MINI EXTENSION, MIL TO FEMALE, 5 POLE</t>
  </si>
  <si>
    <t xml:space="preserve">PC5QADD-A </t>
  </si>
  <si>
    <t>CP-A&amp;B-037</t>
  </si>
  <si>
    <t>MINI STYLE I, MALE IN-LINE TO FEMALE TRUNK ASS'Y, 5P, B BODY (PVC)</t>
  </si>
  <si>
    <t>ABCP6N5M5</t>
  </si>
  <si>
    <t>CP-A&amp;B-038</t>
  </si>
  <si>
    <t>DC MICRO-MINI FEMALE PORTABLE  4 POLE</t>
  </si>
  <si>
    <t>5000118-JY</t>
  </si>
  <si>
    <t>CP-A&amp;B-039</t>
  </si>
  <si>
    <t>DC MICRO Y-SPLITTER MALE IN-LINE TO FEMALE</t>
  </si>
  <si>
    <t>5000118-DM</t>
  </si>
  <si>
    <t>QA-A&amp;B-001</t>
  </si>
  <si>
    <t>Alerta de Calidad</t>
  </si>
  <si>
    <t>Multicelda A y B</t>
  </si>
  <si>
    <t xml:space="preserve"> Pieza  con color de couplers diferentes </t>
  </si>
  <si>
    <t>QA-A&amp;B-002</t>
  </si>
  <si>
    <t>Piezas expuesta / Exceso de Goma</t>
  </si>
  <si>
    <t>Varios</t>
  </si>
  <si>
    <t>QA-A&amp;B-003</t>
  </si>
  <si>
    <t xml:space="preserve">Piezas con problemas / sin goma, exceso de goma </t>
  </si>
  <si>
    <t>DM4C3HO2S360A1</t>
  </si>
  <si>
    <t>QA-A&amp;B-004</t>
  </si>
  <si>
    <t>Contacto Bajo /Contacto desentrado</t>
  </si>
  <si>
    <t>DM4Q2M24E024FS</t>
  </si>
  <si>
    <t>QA-A&amp;B-005</t>
  </si>
  <si>
    <t>Componente faltante/ Dust Cap</t>
  </si>
  <si>
    <t>1786-TCT2BD1</t>
  </si>
  <si>
    <t>CP-CHGO-001</t>
  </si>
  <si>
    <t>4P CO F P MTL SOOW 14/4C 6M</t>
  </si>
  <si>
    <t>CA4C5SC060M</t>
  </si>
  <si>
    <t>CP-CHGO-002</t>
  </si>
  <si>
    <t>CX852-37AN</t>
  </si>
  <si>
    <t>CP-CHGO-003</t>
  </si>
  <si>
    <t>TP SERIES A CHANGEOUT 3 POLES FEMALE PORTABLE CONNECTOR</t>
  </si>
  <si>
    <t>X8652-CS, 279P, -1624P, -1627P, -250P, -1626P</t>
  </si>
  <si>
    <t>CP-CHGO-004</t>
  </si>
  <si>
    <t>TP SERIES A CHANGEOUT 4 POLE FEMALE PORTABLE CONNECTOR.</t>
  </si>
  <si>
    <t>X8653-FN</t>
  </si>
  <si>
    <t>QA-CHGO-001</t>
  </si>
  <si>
    <t>Pieza expuesta /Exceso de goma</t>
  </si>
  <si>
    <t>CH5041597D0360</t>
  </si>
  <si>
    <t>CP-MS-001</t>
  </si>
  <si>
    <t>QUALITROL LIQUID TIGHT 6 POLE FEMALE CONNECTOR</t>
  </si>
  <si>
    <t xml:space="preserve">568055-J  </t>
  </si>
  <si>
    <t>CP-MS-002</t>
  </si>
  <si>
    <t>QUALITROL LIQUID TIGHT 9 POLE FEMALE CONNECTOR</t>
  </si>
  <si>
    <t>CP-MS-003</t>
  </si>
  <si>
    <t xml:space="preserve">CHK08022110X </t>
  </si>
  <si>
    <t>CP-MS-004</t>
  </si>
  <si>
    <t xml:space="preserve">568055-E </t>
  </si>
  <si>
    <t>CP-MS-005</t>
  </si>
  <si>
    <t>MALE PLUG WITH END WORK</t>
  </si>
  <si>
    <t xml:space="preserve">P1532302C2X </t>
  </si>
  <si>
    <t>CP-MS-007</t>
  </si>
  <si>
    <t>QUALITROL LIQUID TIGHT 3 POLE FEMALE CONNECTOR</t>
  </si>
  <si>
    <t>568055-H</t>
  </si>
  <si>
    <t>CP-MS-008</t>
  </si>
  <si>
    <t>MALE TO FEMALE PANEL MOUNT JUMPER ASSEMBLY</t>
  </si>
  <si>
    <t xml:space="preserve">CH5041489B </t>
  </si>
  <si>
    <t>CP-MS-009</t>
  </si>
  <si>
    <t xml:space="preserve">CH5041490B </t>
  </si>
  <si>
    <t>CP-MS-010</t>
  </si>
  <si>
    <t>MALE PLUG WITH PIGTAIL LEADS</t>
  </si>
  <si>
    <t>CH5041497</t>
  </si>
  <si>
    <t>CP-MS-011</t>
  </si>
  <si>
    <t>FEMALE MS TO MALE 3 POLE MINI LINE JUMPER ASSY</t>
  </si>
  <si>
    <t>568055-A</t>
  </si>
  <si>
    <t>CP-MS-012</t>
  </si>
  <si>
    <t>MALE PLUG WITH AND WORK STYLE 22-19</t>
  </si>
  <si>
    <t>SP15-32302C</t>
  </si>
  <si>
    <t>QA-MS-001</t>
  </si>
  <si>
    <t>Contactos hembra desalineados /Deformados</t>
  </si>
  <si>
    <t>MEA0092025</t>
  </si>
  <si>
    <t>QA-MS-002</t>
  </si>
  <si>
    <t>Pieza dañada</t>
  </si>
  <si>
    <t>MEA0114010</t>
  </si>
  <si>
    <t>QA-MS-003</t>
  </si>
  <si>
    <t>Cable no adherido /Falta de goma</t>
  </si>
  <si>
    <t>QA-MS-004</t>
  </si>
  <si>
    <t>Cable / sin presencia de Mek</t>
  </si>
  <si>
    <t>QA-MS-005</t>
  </si>
  <si>
    <t>Utilizacion de Pin Gage / Medir profundidad</t>
  </si>
  <si>
    <t>QA-MS-006</t>
  </si>
  <si>
    <t>Pieza dañada /Quemada</t>
  </si>
  <si>
    <t>CHMEA0115040</t>
  </si>
  <si>
    <t>QA-MS-007</t>
  </si>
  <si>
    <t>Insert desalineado</t>
  </si>
  <si>
    <t>CCR006P8</t>
  </si>
  <si>
    <t>QA-MS-008</t>
  </si>
  <si>
    <t>Contacto bajo</t>
  </si>
  <si>
    <t>QA-MS-009</t>
  </si>
  <si>
    <t>Pieza dañada / insulación con corte</t>
  </si>
  <si>
    <t>QA-MS-010</t>
  </si>
  <si>
    <t>Conector /Manufacturador Equivocado</t>
  </si>
  <si>
    <t xml:space="preserve">SMEA PRODUCTS </t>
  </si>
  <si>
    <t>QA-MS-011</t>
  </si>
  <si>
    <t>Identificar la etiqueta/Punto verde</t>
  </si>
  <si>
    <t>QA-MS-012</t>
  </si>
  <si>
    <t>Usar compound 3460500-16 en vez de 3460500-15</t>
  </si>
  <si>
    <t>3460500-xx</t>
  </si>
  <si>
    <t>QA-PLEX-001</t>
  </si>
  <si>
    <t>Coupler / Falta Anodizado</t>
  </si>
  <si>
    <t>QA-PLEX-002</t>
  </si>
  <si>
    <t>Coupler / Rayado</t>
  </si>
  <si>
    <t>ABPP4R5D5</t>
  </si>
  <si>
    <t>QA-PLEX-003</t>
  </si>
  <si>
    <t>Falta de Oring / Exeso de Epoxy</t>
  </si>
  <si>
    <t>A98DP56PTA5</t>
  </si>
  <si>
    <t>QA-PLEX-004</t>
  </si>
  <si>
    <t>Utilización de etiquetas</t>
  </si>
  <si>
    <t>CP-POTT-001</t>
  </si>
  <si>
    <t>Termoplastic mini line fem. recep. 2 polos a body</t>
  </si>
  <si>
    <t>CP-POTT-002</t>
  </si>
  <si>
    <t xml:space="preserve">CX8653 -343P, -346P </t>
  </si>
  <si>
    <t>CP-POTT-003</t>
  </si>
  <si>
    <t>MINI FEMALE TO MICRO MALE ADAPTER</t>
  </si>
  <si>
    <t xml:space="preserve">5000110-1 </t>
  </si>
  <si>
    <t>CP-POTT-004</t>
  </si>
  <si>
    <t>DC MICRO JUMPER ASSY, STRAIGHT MALE IN-LINE TO FEMALE</t>
  </si>
  <si>
    <t xml:space="preserve">5000117 -4053R &amp; -4054R </t>
  </si>
  <si>
    <t>CP-POTT-005</t>
  </si>
  <si>
    <t xml:space="preserve">CH5041494B </t>
  </si>
  <si>
    <t>CP-POTT-006</t>
  </si>
  <si>
    <t>CH5041493B</t>
  </si>
  <si>
    <t>CP-POTT-008</t>
  </si>
  <si>
    <t>DC MICRO-MINI FEMALE (5 POLE)</t>
  </si>
  <si>
    <t>CP-POTT-009</t>
  </si>
  <si>
    <t xml:space="preserve">DC MICRO-MINI MALE RECEPTACLE. </t>
  </si>
  <si>
    <t>5000117-EN</t>
  </si>
  <si>
    <t>QA-POTT-001</t>
  </si>
  <si>
    <t>Pieza faltante</t>
  </si>
  <si>
    <t>QA-POTT-002</t>
  </si>
  <si>
    <t xml:space="preserve">Inepeccion de entrada </t>
  </si>
  <si>
    <t>QA-POTT-003</t>
  </si>
  <si>
    <t>Doble coopler</t>
  </si>
  <si>
    <t>MP1819D60050F</t>
  </si>
  <si>
    <t>CP-SOL-001</t>
  </si>
  <si>
    <t>First solar</t>
  </si>
  <si>
    <t>CP-SOL-002</t>
  </si>
  <si>
    <t xml:space="preserve">Whip Harness </t>
  </si>
  <si>
    <t xml:space="preserve">HR010WH4005CCH001, HR026WH4005CCH002 , HR028WH4005CCH003, HR032WH4005CCH004 </t>
  </si>
  <si>
    <t>CP-SOL-003</t>
  </si>
  <si>
    <t>JUMPER-SCHUCO</t>
  </si>
  <si>
    <t>CIU600524SCH16</t>
  </si>
  <si>
    <t>CP-SOL-004</t>
  </si>
  <si>
    <t>IC-FALL RIVER 01 to 05</t>
  </si>
  <si>
    <t>CP-SOL-005</t>
  </si>
  <si>
    <t xml:space="preserve">Crambury Building Assembly </t>
  </si>
  <si>
    <t>IC-CRANBLD06-JMP</t>
  </si>
  <si>
    <t>CP-SOL-006</t>
  </si>
  <si>
    <t>WHIPS / HOMERUNS - RIDEAU  LAKES</t>
  </si>
  <si>
    <t xml:space="preserve">IC-B29-RL-BLK1 </t>
  </si>
  <si>
    <t>QA-SOL-001</t>
  </si>
  <si>
    <t>IDENTIFICACION DE COLOR NEDCO</t>
  </si>
  <si>
    <t>Cables de Solar</t>
  </si>
  <si>
    <t>Cristian Lerma</t>
  </si>
  <si>
    <t>QA-SOL-002</t>
  </si>
  <si>
    <t>Estandarización del proceso de colocación de Tubing</t>
  </si>
  <si>
    <t>QA-SOL-003</t>
  </si>
  <si>
    <t>Todos que utilicen Tubing.</t>
  </si>
  <si>
    <t>QA-SOL-004</t>
  </si>
  <si>
    <t>Carretes mal enroyados</t>
  </si>
  <si>
    <t>CNWI-QAAS-0041</t>
  </si>
  <si>
    <t>Proceso para auditoria de Out Of Box</t>
  </si>
  <si>
    <t>CNWI-QAAS-F008 E</t>
  </si>
  <si>
    <t>Liberación de primera pieza Micromini</t>
  </si>
  <si>
    <t>CNWI-QAAS-F019</t>
  </si>
  <si>
    <t>reporte de prueba de jalón</t>
  </si>
  <si>
    <t>CNWI-QAAS-F059</t>
  </si>
  <si>
    <t xml:space="preserve">Re trabajo micro mini </t>
  </si>
  <si>
    <t>CNWI-QAAS-F070</t>
  </si>
  <si>
    <t xml:space="preserve">Matriz pull test micro mini </t>
  </si>
  <si>
    <t>CNWI-QAAS-F124</t>
  </si>
  <si>
    <t>PPAP formato</t>
  </si>
  <si>
    <t>CNWI-QAAS-F128</t>
  </si>
  <si>
    <t>Out Of Box Itron y generales</t>
  </si>
  <si>
    <t>CNWI-QAAS-F129</t>
  </si>
  <si>
    <t>Out Of Box AMSAFE - ENGOMADO</t>
  </si>
  <si>
    <t>CNWI-QAAS-F133</t>
  </si>
  <si>
    <t>Out of the Box para Moldeo</t>
  </si>
  <si>
    <t>CNWI-QAAS-F134</t>
  </si>
  <si>
    <t>Out of the Box para Solar- First solar</t>
  </si>
  <si>
    <t>CNWI-QAAS-F135</t>
  </si>
  <si>
    <t>Calendario de auditorias al producto</t>
  </si>
  <si>
    <t>CNWI-QAAS-F152</t>
  </si>
  <si>
    <t xml:space="preserve">ESPECIFICACION DE CORTE DE MAQUINA DE SOLAR   </t>
  </si>
  <si>
    <t>CNWI-QAAS-0043</t>
  </si>
  <si>
    <t>Uso de base de datos de etiquetas</t>
  </si>
  <si>
    <t>Mayra Garcia</t>
  </si>
  <si>
    <t>NAM\MB0982</t>
  </si>
  <si>
    <t>CNWI-PRCS-0002</t>
  </si>
  <si>
    <t>Fabricacion de Orden de Cliente</t>
  </si>
  <si>
    <t>Myrna Martinez</t>
  </si>
  <si>
    <t>NAM\BD5C8</t>
  </si>
  <si>
    <t>CNWI-PRCS-0003</t>
  </si>
  <si>
    <t>Compras de materia prima</t>
  </si>
  <si>
    <t>CNWI-PRCS-0004</t>
  </si>
  <si>
    <t>Liberación de Facturas Pendientes de Pago</t>
  </si>
  <si>
    <t>CNWI-PRCS-0005</t>
  </si>
  <si>
    <t>Extender números de parte a 1016</t>
  </si>
  <si>
    <t>CNWI-PRCS-0006</t>
  </si>
  <si>
    <t xml:space="preserve"> Mantenimiento de Numeros de Parte</t>
  </si>
  <si>
    <t>CNWI-PRCS-0007</t>
  </si>
  <si>
    <t>Generar orden de compra Materia Prima</t>
  </si>
  <si>
    <t>CNWI-PRCS-0008</t>
  </si>
  <si>
    <t>Nogales Inbound Routing Guide</t>
  </si>
  <si>
    <t>F-PRCS-08-001</t>
  </si>
  <si>
    <t>Routing Guide for Inbound Shipments</t>
  </si>
  <si>
    <t>CNWI-ENGI-0004</t>
  </si>
  <si>
    <t>Elaboración de Instrucciones de Trabajo INGENIERIA</t>
  </si>
  <si>
    <t>Patricia Garcia</t>
  </si>
  <si>
    <t>NAM\MA7784</t>
  </si>
  <si>
    <t>CNWI-ENGI-0005</t>
  </si>
  <si>
    <t xml:space="preserve">Molderadora Auto-Jerctors modelo HS35-S </t>
  </si>
  <si>
    <t>CNWI-ENGI-0006</t>
  </si>
  <si>
    <t xml:space="preserve">Preparacion y aplicacion de la goma Chemlok </t>
  </si>
  <si>
    <t>CNWI-ENGI-0008</t>
  </si>
  <si>
    <t>Operación inserción manual de Contactos</t>
  </si>
  <si>
    <t>CNWI-ENGI-0009</t>
  </si>
  <si>
    <t>Operación de cortadora schleuniger 9500</t>
  </si>
  <si>
    <t>CNWI-ENGI-0010</t>
  </si>
  <si>
    <t>prueba electrica de la maquina Horizon 1500 volts</t>
  </si>
  <si>
    <t>CNWI-ENGI-0011</t>
  </si>
  <si>
    <t xml:space="preserve"> Despoje y Remachado de conductores de cables</t>
  </si>
  <si>
    <t>CNWI-ENGI-0012</t>
  </si>
  <si>
    <t>Operacion general de empaque</t>
  </si>
  <si>
    <t>CNWI-ENGI-0013</t>
  </si>
  <si>
    <t>Moldeadora Auto-Jectors Modelo AHT</t>
  </si>
  <si>
    <t>CNWI-ENGI-0014</t>
  </si>
  <si>
    <t>Prueba Eléctrica de 2000 Volts en Máquina Sotcher</t>
  </si>
  <si>
    <t>CNWI-ENGI-0015</t>
  </si>
  <si>
    <t>Maquina Moldeadora TR-13 TR-14 TR-15</t>
  </si>
  <si>
    <t>CNWI-ENGI-0017</t>
  </si>
  <si>
    <t>Inserción Automática de Contactos en Remachadoras</t>
  </si>
  <si>
    <t>CNWI-ENGI-0018</t>
  </si>
  <si>
    <t xml:space="preserve">Perforacion de riel y lifter con taladros modelos </t>
  </si>
  <si>
    <t>CNWI-ENGI-0019</t>
  </si>
  <si>
    <t>Despoje de insulacion de cable maquina schleuniger2600 y 5400</t>
  </si>
  <si>
    <t>CNWI-ENGI-0020</t>
  </si>
  <si>
    <t>Despoje de insulación de cable en Máquina schleunigerUS2500</t>
  </si>
  <si>
    <t>CNWI-ENGI-0021</t>
  </si>
  <si>
    <t>Despoje de insulacion de cable en maquina Komax Delta 50</t>
  </si>
  <si>
    <t>CNWI-ENGI-0022</t>
  </si>
  <si>
    <t>Remachado de cables en maquina AMP</t>
  </si>
  <si>
    <t>CNWI-ENGI-0023</t>
  </si>
  <si>
    <t>Estampado en maquina JAN-TECH</t>
  </si>
  <si>
    <t>CNWI-ENGI-0024</t>
  </si>
  <si>
    <t>Prueba electrica de maquina cable eye</t>
  </si>
  <si>
    <t>CNWI-ENGI-0025</t>
  </si>
  <si>
    <t>Prueba de fuga de aire</t>
  </si>
  <si>
    <t>CNWI-ENGI-0026</t>
  </si>
  <si>
    <t>Estampado en maquina Pad Printer</t>
  </si>
  <si>
    <t>CNWI-ENGI-0027</t>
  </si>
  <si>
    <t>Curado de partes en Hornos Num 21 25 24 25 27 22</t>
  </si>
  <si>
    <t>CNWI-ENGI-0028</t>
  </si>
  <si>
    <t>Grabado de Placas  Máquina HERMES VANGUARD XM</t>
  </si>
  <si>
    <t>CNWI-ENGI-0029</t>
  </si>
  <si>
    <t>Preparación de Pintura para Máquina de estampado Pad Printer</t>
  </si>
  <si>
    <t>CNWI-ENGI-0030</t>
  </si>
  <si>
    <t>Maquina trituradora de material</t>
  </si>
  <si>
    <t>CNWI-ENGI-0031</t>
  </si>
  <si>
    <t>Maquina Moldeadora Arburg</t>
  </si>
  <si>
    <t>CNWI-ENGI-0032</t>
  </si>
  <si>
    <t>Maquina moldeadora Autojector 908-13</t>
  </si>
  <si>
    <t>CNWI-ENGI-0033</t>
  </si>
  <si>
    <t>Maquina dispersadora de epoxi Shut gun</t>
  </si>
  <si>
    <t>CNWI-ENGI-0035</t>
  </si>
  <si>
    <t>Maquina Shoulinger 9300</t>
  </si>
  <si>
    <t>CNWI-ENGI-0036</t>
  </si>
  <si>
    <t>Maquina Dispensadora  Mezcladara de Epoxy DTIC</t>
  </si>
  <si>
    <t>CNWI-ENGI-0037</t>
  </si>
  <si>
    <t>Dispensadora EFD 1000XL</t>
  </si>
  <si>
    <t>CNWI-ENGI-0038</t>
  </si>
  <si>
    <t xml:space="preserve">Llenado de cartuchos de Epoxi </t>
  </si>
  <si>
    <t>CNWI-ENGI-0039</t>
  </si>
  <si>
    <t>Lavado de cartuchos de Epoxi</t>
  </si>
  <si>
    <t>CNWI-ENGI-0040</t>
  </si>
  <si>
    <t>Alimentador de cables Schleuniger Pre-Feeder 2200</t>
  </si>
  <si>
    <t>CNWI-ENGI-0041</t>
  </si>
  <si>
    <t>Alimentador de cables ARTOS PF</t>
  </si>
  <si>
    <t>CNWI-ENGI-0042</t>
  </si>
  <si>
    <t>Maquina SCHLEUNIGER OmiStrip 9400</t>
  </si>
  <si>
    <t>CNWI-ENGI-0043</t>
  </si>
  <si>
    <t>Horno con conveyor Gruenberg</t>
  </si>
  <si>
    <t>CNWI-ENGI-0044</t>
  </si>
  <si>
    <t xml:space="preserve"> Maquina SCHLEUNIGER CS-9100</t>
  </si>
  <si>
    <t>CNWI-ENGI-0045</t>
  </si>
  <si>
    <t>Maquina RIDGID cortadora de conduit</t>
  </si>
  <si>
    <t>CNWI-ENGI-0046</t>
  </si>
  <si>
    <t>Maquina cortadora CR-100</t>
  </si>
  <si>
    <t>CNWI-ENGI-0047</t>
  </si>
  <si>
    <t>Hold Formato de temperatura del horno</t>
  </si>
  <si>
    <t>CNWI-ENGI-0048</t>
  </si>
  <si>
    <t>Máquina Remachadora Cambrige</t>
  </si>
  <si>
    <t>CNWI-ENGI-0049</t>
  </si>
  <si>
    <t>Alimentador de cables RTT</t>
  </si>
  <si>
    <t>CNWI-ENGI-0050</t>
  </si>
  <si>
    <t>Maquina ALPHATRON Modelo MPT-200A</t>
  </si>
  <si>
    <t>CNWI-ENGI-0051</t>
  </si>
  <si>
    <t>Maquina Branson</t>
  </si>
  <si>
    <t>CNWI-ENGI-0052</t>
  </si>
  <si>
    <t>Maquina PULL HOME</t>
  </si>
  <si>
    <t>CNWI-ENGI-0054</t>
  </si>
  <si>
    <t>Maquina Viking modelo 260-4199</t>
  </si>
  <si>
    <t>CNWI-ENGI-0055</t>
  </si>
  <si>
    <t>Remachado de Contactos en Maquina Astron</t>
  </si>
  <si>
    <t>CNWI-ENGI-0056</t>
  </si>
  <si>
    <t xml:space="preserve"> Estañado de Conductores en plato Crisol</t>
  </si>
  <si>
    <t>4 juegos</t>
  </si>
  <si>
    <t>CNWI-ENGI-0057</t>
  </si>
  <si>
    <t xml:space="preserve"> Prueba Electrica en Maquina VITREK V53 ACDC</t>
  </si>
  <si>
    <t>CNWI-ENGI-0058</t>
  </si>
  <si>
    <t>Prueba de continuidad y presencia  O-Ring</t>
  </si>
  <si>
    <t>CNWI-ENGI-0059</t>
  </si>
  <si>
    <t xml:space="preserve">Prueba Electrica en Maquina CIRRIS </t>
  </si>
  <si>
    <t>CNWI-ENGI-0060</t>
  </si>
  <si>
    <t xml:space="preserve"> Despojado de Jacket en Maquina Schleuniger Modelo JS-8300</t>
  </si>
  <si>
    <t>CNWI-ENGI-0061</t>
  </si>
  <si>
    <t>Secar Humedad a Resina en el Sistema de filtros Conair</t>
  </si>
  <si>
    <t>CNWI-ENGI-0062</t>
  </si>
  <si>
    <t xml:space="preserve">Remachado de cables en maquina </t>
  </si>
  <si>
    <t>CNWI-ENGI-0063</t>
  </si>
  <si>
    <t>Maquina Cable Coiler 500</t>
  </si>
  <si>
    <t>CNWI-ENGI-0064</t>
  </si>
  <si>
    <t>Despoje de cables en máquina Shleuniger Modelo 2015</t>
  </si>
  <si>
    <t>CNWI-ENGI-0065</t>
  </si>
  <si>
    <t>Maquina remachadora Automatica IFS</t>
  </si>
  <si>
    <t>CNWI-ENGI-0066</t>
  </si>
  <si>
    <t>Secar Humedad a material en el Sistema de filtros Novatec</t>
  </si>
  <si>
    <t>CNWI-ENGI-0067</t>
  </si>
  <si>
    <t>Enfriador de material  Movin-Coo</t>
  </si>
  <si>
    <t>CNWI-ENGI-0068</t>
  </si>
  <si>
    <t>SECADOR ARID-X</t>
  </si>
  <si>
    <t>CNWI-ENGI-0069</t>
  </si>
  <si>
    <t>Remachado de contactos en Maquina Salem</t>
  </si>
  <si>
    <t>CNWI-ENGI-0071</t>
  </si>
  <si>
    <t>Maquina para sellar banda a snapplock</t>
  </si>
  <si>
    <t>CNWI-ENGI-0072</t>
  </si>
  <si>
    <t xml:space="preserve"> Maquina para Emparejar cables</t>
  </si>
  <si>
    <t>CNWI-ENGI-0073</t>
  </si>
  <si>
    <t xml:space="preserve">Prueba Electrica en Megohmeter </t>
  </si>
  <si>
    <t>CNWI-ENGI-0074</t>
  </si>
  <si>
    <t>Prueba de Resistencia Num de part  129-0029-001 -002-003</t>
  </si>
  <si>
    <t>CNWI-ENGI-0077</t>
  </si>
  <si>
    <t>Maquina Remachadora para aplastar cable</t>
  </si>
  <si>
    <t>CNWI-ENGI-0078</t>
  </si>
  <si>
    <t>Máquina para pintar Shell</t>
  </si>
  <si>
    <t>CNWI-ENGI-0079</t>
  </si>
  <si>
    <t>Soldar contactos con Cautín de pinza HOTIP-H10A</t>
  </si>
  <si>
    <t>CNWI-ENGI-0080</t>
  </si>
  <si>
    <t xml:space="preserve"> Remachadora de Banda a Shell</t>
  </si>
  <si>
    <t>CNWI-ENGI-0083</t>
  </si>
  <si>
    <t>Impresoras  Zebra Z4MPLUS ZM600</t>
  </si>
  <si>
    <t>CNWI-ENGI-0084</t>
  </si>
  <si>
    <t>Sistema ANDON itron</t>
  </si>
  <si>
    <t>F-ENGI-03-001</t>
  </si>
  <si>
    <t>Production Feasibility Agreement (PFA)</t>
  </si>
  <si>
    <t>CNWI-QAAS-0021</t>
  </si>
  <si>
    <t>Procedimiento de scrap</t>
  </si>
  <si>
    <t>CNWI-QAAS-0029</t>
  </si>
  <si>
    <t>Cierre de notificaciones de Customer Complaints in SAP</t>
  </si>
  <si>
    <t>CNWI-QAAS-0033</t>
  </si>
  <si>
    <t>Customer satisfaccion</t>
  </si>
  <si>
    <t>CNWI-QAAS-0045</t>
  </si>
  <si>
    <t>Cerrar acción correctiva con notificación en SAP</t>
  </si>
  <si>
    <t>CNWI-QAAS-0046</t>
  </si>
  <si>
    <t>Reporte de PPM's Externos y RMAs</t>
  </si>
  <si>
    <t>CNWI-QAAS-F010</t>
  </si>
  <si>
    <t xml:space="preserve">Código de scrap </t>
  </si>
  <si>
    <t>CNWI-QAAS-F015</t>
  </si>
  <si>
    <t>Codigo de defectos de proceso</t>
  </si>
  <si>
    <t>CNWI-QAAS-F064</t>
  </si>
  <si>
    <t>Boleta de scrap</t>
  </si>
  <si>
    <t>CNWI-QAAS-F065</t>
  </si>
  <si>
    <t>Certificate of Conformance de Engomado</t>
  </si>
  <si>
    <t>CNWI-QAAS-F081</t>
  </si>
  <si>
    <t>Grafica de scrap por area piezas</t>
  </si>
  <si>
    <t>CNWI-QAAS-F104</t>
  </si>
  <si>
    <t>Codigo de defectos</t>
  </si>
  <si>
    <t>CNWI-QAAS-F108</t>
  </si>
  <si>
    <t>Formato de PPM</t>
  </si>
  <si>
    <t>CNWI-QAAS-F126</t>
  </si>
  <si>
    <t>Out Of Box Micromini</t>
  </si>
  <si>
    <t>CNWI-ENGI-F069</t>
  </si>
  <si>
    <t>Packaging Data Form</t>
  </si>
  <si>
    <t>Ramses Tapia</t>
  </si>
  <si>
    <t>NAM\MB2117</t>
  </si>
  <si>
    <t>QA-AMSA-001</t>
  </si>
  <si>
    <t>Orificios del GROMMET fuera de dimensión</t>
  </si>
  <si>
    <t>Teresa Serrano</t>
  </si>
  <si>
    <t>QA-AMSA-002</t>
  </si>
  <si>
    <t>Conectores mal empacados</t>
  </si>
  <si>
    <t xml:space="preserve"> CONECTORES BACC</t>
  </si>
  <si>
    <t>QA-AMSA-003</t>
  </si>
  <si>
    <t>Material incorrecto</t>
  </si>
  <si>
    <t xml:space="preserve">004046-0030 </t>
  </si>
  <si>
    <t>QA-AMSA-004</t>
  </si>
  <si>
    <t>cables cruzados por cambio de revisión.</t>
  </si>
  <si>
    <t xml:space="preserve">003082-0001 </t>
  </si>
  <si>
    <t>QA-AMSA-005</t>
  </si>
  <si>
    <t>Componentes mal ensamblasados</t>
  </si>
  <si>
    <t xml:space="preserve">004065-0001 </t>
  </si>
  <si>
    <t>QA-BOND-001</t>
  </si>
  <si>
    <t>Coupling NUT Quebrado</t>
  </si>
  <si>
    <t>002359-0001 0002 -0003 002360-0001 -0002 -0003  002361-0001 -0002  -0003</t>
  </si>
  <si>
    <t xml:space="preserve">Housing incorrecto </t>
  </si>
  <si>
    <t>BACC65AK211P</t>
  </si>
  <si>
    <t>QA-BOND-002</t>
  </si>
  <si>
    <t>Posicion incorrecta del conector P1</t>
  </si>
  <si>
    <t xml:space="preserve">004046-0036 </t>
  </si>
  <si>
    <t>Empaque en cantidad de 50 piezas</t>
  </si>
  <si>
    <t>002359-000X</t>
  </si>
  <si>
    <t>QA-BOND-003</t>
  </si>
  <si>
    <t>Rebaba en el punto de inyección</t>
  </si>
  <si>
    <t>QA-BOND-004</t>
  </si>
  <si>
    <t>Pieza dañada / Pellizcos en el grommet</t>
  </si>
  <si>
    <t>027-0252-221</t>
  </si>
  <si>
    <t>QA-BOND-005</t>
  </si>
  <si>
    <t>027-0212-001</t>
  </si>
  <si>
    <t>QA-BOND-006</t>
  </si>
  <si>
    <t>Grommet despegado</t>
  </si>
  <si>
    <t>QA-BOND-007</t>
  </si>
  <si>
    <t>Grommet dañado / cortado rasgado</t>
  </si>
  <si>
    <t>027-0231-001</t>
  </si>
  <si>
    <t>QA-BOND-008</t>
  </si>
  <si>
    <t>Pieza fuera de spec.</t>
  </si>
  <si>
    <t>BACC65AK261P</t>
  </si>
  <si>
    <t>QA-BOND-009</t>
  </si>
  <si>
    <t>Grommet invertido</t>
  </si>
  <si>
    <t>BACC65AK251P</t>
  </si>
  <si>
    <t>QA-BOND-010</t>
  </si>
  <si>
    <t>Insulador dañado</t>
  </si>
  <si>
    <t xml:space="preserve">002359-0002 </t>
  </si>
  <si>
    <t>QA-BOND-011</t>
  </si>
  <si>
    <t>Conectores sin contactos</t>
  </si>
  <si>
    <t>000300-0596</t>
  </si>
  <si>
    <t>QA-BOND-012</t>
  </si>
  <si>
    <t>Problemas de retención</t>
  </si>
  <si>
    <t>BACC65AJ121S</t>
  </si>
  <si>
    <t>QA-BOND-013</t>
  </si>
  <si>
    <t>Problemas de empaque</t>
  </si>
  <si>
    <t>BACC65AL801SH</t>
  </si>
  <si>
    <t>QA-BOND-014</t>
  </si>
  <si>
    <t>Estampado ilegible</t>
  </si>
  <si>
    <t>AMC02PA03W</t>
  </si>
  <si>
    <t>QA-BOND-016</t>
  </si>
  <si>
    <t>Consilidación en sus envios</t>
  </si>
  <si>
    <t>varios</t>
  </si>
  <si>
    <t>QA-EGRAL-001</t>
  </si>
  <si>
    <t>EGRAL</t>
  </si>
  <si>
    <t>Ensamble General</t>
  </si>
  <si>
    <t>Agregar no.de catalago a etiqueta</t>
  </si>
  <si>
    <t>Todos no.Thorkom</t>
  </si>
  <si>
    <t>QA-EGRAL-002</t>
  </si>
  <si>
    <t>Contactos sin pintura</t>
  </si>
  <si>
    <t>019-0039-002</t>
  </si>
  <si>
    <t>QA-EGRAL-003</t>
  </si>
  <si>
    <t>Piezas con problemas / fuera de especificación</t>
  </si>
  <si>
    <t>000267-0062</t>
  </si>
  <si>
    <t>QA-EGRAL-004</t>
  </si>
  <si>
    <t>Mal estampado /Falta de caracter</t>
  </si>
  <si>
    <t>000201-2551</t>
  </si>
  <si>
    <t>QA-IMA-001</t>
  </si>
  <si>
    <t>Pines mal sentados en el insulador</t>
  </si>
  <si>
    <t>CBA &amp; CON</t>
  </si>
  <si>
    <t>QA-IMA-002</t>
  </si>
  <si>
    <t>Contacto Dañado</t>
  </si>
  <si>
    <t>CON</t>
  </si>
  <si>
    <t>QA-IMA-003</t>
  </si>
  <si>
    <t>CBA-1300-008</t>
  </si>
  <si>
    <t>QA-IMA-004</t>
  </si>
  <si>
    <t>Contactos doblados</t>
  </si>
  <si>
    <t xml:space="preserve">CBA-1300 </t>
  </si>
  <si>
    <t>QA-IMA-005</t>
  </si>
  <si>
    <t xml:space="preserve">Contactos dañados </t>
  </si>
  <si>
    <t>CBA</t>
  </si>
  <si>
    <t>QA-IMA-006</t>
  </si>
  <si>
    <t xml:space="preserve">Componente equivocado /Contactos dorados </t>
  </si>
  <si>
    <t>QA-IMA-007</t>
  </si>
  <si>
    <t xml:space="preserve">Contactos faltantes </t>
  </si>
  <si>
    <t>QA-IMB-001</t>
  </si>
  <si>
    <t>Pieza moldeada /Color diferente de Compound</t>
  </si>
  <si>
    <t>QA-IMB-002</t>
  </si>
  <si>
    <t>Pieza incorrecta / longitud total  corta</t>
  </si>
  <si>
    <t>28-2266-0001</t>
  </si>
  <si>
    <t>QA-IMB-003</t>
  </si>
  <si>
    <t>Pieza en posición incorrecta</t>
  </si>
  <si>
    <t>MSC-0019-008</t>
  </si>
  <si>
    <t>QA-IMB-004</t>
  </si>
  <si>
    <t>Legenda Ilegible</t>
  </si>
  <si>
    <t>127-0461-001</t>
  </si>
  <si>
    <t>QA-IMB-005</t>
  </si>
  <si>
    <t xml:space="preserve">coupling nuts en lugar del ensamble completo </t>
  </si>
  <si>
    <t>010-0121-001</t>
  </si>
  <si>
    <t>QA-IMB-006</t>
  </si>
  <si>
    <t xml:space="preserve">Material con PVC de moldeo dentro de la Resina </t>
  </si>
  <si>
    <t>28-3309-0001</t>
  </si>
  <si>
    <t>QA-IPLUG-001</t>
  </si>
  <si>
    <t>Material Incompleto / Bota deforme</t>
  </si>
  <si>
    <t>035- 0532-00X</t>
  </si>
  <si>
    <t>QA-IPLUG-002</t>
  </si>
  <si>
    <t>Tapon faltante</t>
  </si>
  <si>
    <t>28-2259-0022</t>
  </si>
  <si>
    <t>QA-IPLUG-003</t>
  </si>
  <si>
    <t xml:space="preserve"> Filamentos cortados </t>
  </si>
  <si>
    <t>QA-IRCPT-001</t>
  </si>
  <si>
    <t>IRCPT</t>
  </si>
  <si>
    <t>Itron Receptacle</t>
  </si>
  <si>
    <t xml:space="preserve">Cables / Disparejos </t>
  </si>
  <si>
    <t>QA-MRPK-001</t>
  </si>
  <si>
    <t>Rosca Interna /Falta de Material</t>
  </si>
  <si>
    <t>096-0257-001</t>
  </si>
  <si>
    <t>Servando Rosas</t>
  </si>
  <si>
    <t>QA-MRPK-002</t>
  </si>
  <si>
    <t>Clamp con configuracion incorrecta</t>
  </si>
  <si>
    <t>RF22-2852-5</t>
  </si>
  <si>
    <t>QA-MRPK-003</t>
  </si>
  <si>
    <t xml:space="preserve">Pieza con marcas </t>
  </si>
  <si>
    <t>128-0074-001</t>
  </si>
  <si>
    <t>QA-MRPK-004</t>
  </si>
  <si>
    <t xml:space="preserve">Pieza mal moldeada/ Hundimientos </t>
  </si>
  <si>
    <t>QA-MRPK-005</t>
  </si>
  <si>
    <t>material con los orificios tapados</t>
  </si>
  <si>
    <t>035-0130-001</t>
  </si>
  <si>
    <t>QA-MRPK-006</t>
  </si>
  <si>
    <t>flash en el diámetro del canal del O-ring</t>
  </si>
  <si>
    <t>009-0538-001</t>
  </si>
  <si>
    <t>QA-SALM-001</t>
  </si>
  <si>
    <t>SALM</t>
  </si>
  <si>
    <t>Salem</t>
  </si>
  <si>
    <t>Alambre expuesto / Exceso de epoxy</t>
  </si>
  <si>
    <t>AI-329-0000-080</t>
  </si>
  <si>
    <t>QA-SALM-002</t>
  </si>
  <si>
    <t>Cont. hembra sin acomplamiento / Exceso de epoxy</t>
  </si>
  <si>
    <t>3/12/212</t>
  </si>
  <si>
    <t>Al-329-0000-080</t>
  </si>
  <si>
    <t>CNWI-QAAS-0002</t>
  </si>
  <si>
    <t>Control de sellos de los auditores de calidad</t>
  </si>
  <si>
    <t>CNWI-QAAS-0022</t>
  </si>
  <si>
    <t xml:space="preserve">Llenado de certificados </t>
  </si>
  <si>
    <t>CNWI-QAAS-0036</t>
  </si>
  <si>
    <t>Procedimiento Control Plan</t>
  </si>
  <si>
    <t>CNWI-QAAS-0039</t>
  </si>
  <si>
    <t>Protocolo de liberación de moldeo</t>
  </si>
  <si>
    <t>CNWI-QAAS-0042</t>
  </si>
  <si>
    <t>Procedimiento para Prueba de Impacto</t>
  </si>
  <si>
    <t>CNWI-QAAS-F008 B</t>
  </si>
  <si>
    <t>Liberación de primera pieza Corte</t>
  </si>
  <si>
    <t>CNWI-QAAS-F008 C</t>
  </si>
  <si>
    <t>Liberación de primera pieza Engomado</t>
  </si>
  <si>
    <t>CNWI-QAAS-F008 D</t>
  </si>
  <si>
    <t>Liberación de primera pieza Itron</t>
  </si>
  <si>
    <t>CNWI-QAAS-F008 F</t>
  </si>
  <si>
    <t>Liberación de primera pieza Moldeo</t>
  </si>
  <si>
    <t>CNWI-QAAS-F009</t>
  </si>
  <si>
    <t xml:space="preserve">Lista de Verificación de Proceso               </t>
  </si>
  <si>
    <t>CNWI-QAAS-F011</t>
  </si>
  <si>
    <t>Dimensiones criticas</t>
  </si>
  <si>
    <t>CNWI-QAAS-F012</t>
  </si>
  <si>
    <t xml:space="preserve">Contact insertion force </t>
  </si>
  <si>
    <t>CNWI-QAAS-F014</t>
  </si>
  <si>
    <t>Reporte de inspección final</t>
  </si>
  <si>
    <t>CNWI-QAAS-F016</t>
  </si>
  <si>
    <t>Reporte de Inspección en Proceso Itron</t>
  </si>
  <si>
    <t>CNWI-QAAS-F017</t>
  </si>
  <si>
    <t>Insulation Resistence Test Data Sheet</t>
  </si>
  <si>
    <t>CNWI-QAAS-F018</t>
  </si>
  <si>
    <t>Reporte de lectura de prensa</t>
  </si>
  <si>
    <t>CNWI-QAAS-F029</t>
  </si>
  <si>
    <t>prueba de conectores</t>
  </si>
  <si>
    <t>CNWI-QAAS-F030</t>
  </si>
  <si>
    <t xml:space="preserve">reporte prueba de fuga </t>
  </si>
  <si>
    <t>CNWI-QAAS-F042</t>
  </si>
  <si>
    <t>FAI ( First Article Inspection )</t>
  </si>
  <si>
    <t>CNWI-QAAS-F049</t>
  </si>
  <si>
    <t>Formato de CPK's</t>
  </si>
  <si>
    <t>CNWI-QAAS-F051</t>
  </si>
  <si>
    <t>Resumen de Lotes Rechazados Q A FINAL</t>
  </si>
  <si>
    <t>CNWI-QAAS-F060</t>
  </si>
  <si>
    <t xml:space="preserve">Re trabajo Itron y mas </t>
  </si>
  <si>
    <t>CNWI-QAAS-F061</t>
  </si>
  <si>
    <t xml:space="preserve">Stock purgue Report </t>
  </si>
  <si>
    <t>CNWI-QAAS-F080</t>
  </si>
  <si>
    <t>Lista para sellos</t>
  </si>
  <si>
    <t>CNWI-QAAS-F091</t>
  </si>
  <si>
    <t>Formato de CPK's para maquinas</t>
  </si>
  <si>
    <t>CNWI-QAAS-F094</t>
  </si>
  <si>
    <t>Analisis de piezas rechazadas por el cliente</t>
  </si>
  <si>
    <t>CNWI-QAAS-F096</t>
  </si>
  <si>
    <t>Grafica  para PPM's</t>
  </si>
  <si>
    <t>CNWI-QAAS-F107</t>
  </si>
  <si>
    <t>Production Process Verification Checklist</t>
  </si>
  <si>
    <t>CNWI-QAAS-F136</t>
  </si>
  <si>
    <t>Ensamble AMC Resultados de Prueba de Fuerza</t>
  </si>
  <si>
    <t>CNWI-QAAS-F139</t>
  </si>
  <si>
    <t>Formato para prueba funcional</t>
  </si>
  <si>
    <t>CNWI-QAAS-F145</t>
  </si>
  <si>
    <t>Bitacora de Moldeo</t>
  </si>
  <si>
    <t>CNWI-QAAS-F146</t>
  </si>
  <si>
    <t>Control de Temperaturas de Hornos</t>
  </si>
  <si>
    <t xml:space="preserve">CNWI-FNCS-0001 </t>
  </si>
  <si>
    <t>Conteo Ciclico</t>
  </si>
  <si>
    <t>Roberto Arriaga</t>
  </si>
  <si>
    <t>NAM\ma8489</t>
  </si>
  <si>
    <t>CNWI-ENGI-F011</t>
  </si>
  <si>
    <t>Lista de empaque</t>
  </si>
  <si>
    <t>Rodolfo Aguilera</t>
  </si>
  <si>
    <t>NAM\MA6689</t>
  </si>
  <si>
    <t>CNWI-ENGI-F014</t>
  </si>
  <si>
    <t>Identificación de Material en Proceso</t>
  </si>
  <si>
    <t>CNWI-ENGI-F015</t>
  </si>
  <si>
    <t>Reporte de caducidad de la goma  Chemlok</t>
  </si>
  <si>
    <t>CNWI-ENGI-F016</t>
  </si>
  <si>
    <t>Tabla de Colores de los medidores</t>
  </si>
  <si>
    <t>CNWI-ENGI-F017</t>
  </si>
  <si>
    <t>Lista de Posicionadores</t>
  </si>
  <si>
    <t>CNWI-ENGI-F018</t>
  </si>
  <si>
    <t>Copia controlada a Incoming Inspection</t>
  </si>
  <si>
    <t>CNWI-ENGI-F019</t>
  </si>
  <si>
    <t>Especificaciones de Empaque</t>
  </si>
  <si>
    <t>CNWI-ENGI-F020</t>
  </si>
  <si>
    <t>QRB grande</t>
  </si>
  <si>
    <t>CNWI-ENGI-F021</t>
  </si>
  <si>
    <t>Graficas SQDC grande</t>
  </si>
  <si>
    <t>CNWI-ENGI-F024</t>
  </si>
  <si>
    <t>grafica SQDC pequena</t>
  </si>
  <si>
    <t>CNWI-ENGI-F028</t>
  </si>
  <si>
    <t>Control 15</t>
  </si>
  <si>
    <t>CNWI-ENGI-F029</t>
  </si>
  <si>
    <t>Tranferents  Check-list</t>
  </si>
  <si>
    <t>CNWI-ENGI-F032</t>
  </si>
  <si>
    <t>instruccion de retrabajo forma autorizacion</t>
  </si>
  <si>
    <t>CNWI-ENGI-F033</t>
  </si>
  <si>
    <t>Estudios de Tiempo</t>
  </si>
  <si>
    <t>CNWI-ENGI-F035</t>
  </si>
  <si>
    <t>Equipment Transfer Sheet</t>
  </si>
  <si>
    <t>CNWI-ENGI-F037</t>
  </si>
  <si>
    <t>Etiqueta de Ing</t>
  </si>
  <si>
    <t>CNWI-ENGI-F041</t>
  </si>
  <si>
    <t>CNWI-ENGI-F042</t>
  </si>
  <si>
    <t>Especificaciones de despoje</t>
  </si>
  <si>
    <t>CNWI-ENGI-F043</t>
  </si>
  <si>
    <t>Especificaciones de Conductores</t>
  </si>
  <si>
    <t>CNWI-ENGI-F055</t>
  </si>
  <si>
    <t xml:space="preserve"> MATRIZ DE EMPAQUE</t>
  </si>
  <si>
    <t>CNWI-ENGI-F056</t>
  </si>
  <si>
    <t>Resumen de cambios</t>
  </si>
  <si>
    <t>CNWI-PROD-F001</t>
  </si>
  <si>
    <t>Producción</t>
  </si>
  <si>
    <t>Curado de Partes de Horneado</t>
  </si>
  <si>
    <t>CNWI-PROD-F002</t>
  </si>
  <si>
    <t>Etiqueta de ITRON</t>
  </si>
  <si>
    <t>CNWI-PROD-F003</t>
  </si>
  <si>
    <t>Etiqueta de AMSAFE</t>
  </si>
  <si>
    <t>CNWI-PROD-F004</t>
  </si>
  <si>
    <t>Lot control traveler</t>
  </si>
  <si>
    <t>CNWI-PROD-F005</t>
  </si>
  <si>
    <t xml:space="preserve">Etiqueta  Wire pro Viking Division </t>
  </si>
  <si>
    <t>CNWI-PROD-F006</t>
  </si>
  <si>
    <t>Temperatura y tiempos de curado</t>
  </si>
  <si>
    <t>CNWI-PROD-F007</t>
  </si>
  <si>
    <t>Temperatura de moldeado</t>
  </si>
  <si>
    <t>CNWI-PROD-F008</t>
  </si>
  <si>
    <t>etiqueta Baccs</t>
  </si>
  <si>
    <t>CNWI-PROD-F009</t>
  </si>
  <si>
    <t xml:space="preserve"> Etiqueta BACCSs 1</t>
  </si>
  <si>
    <t>CNWI-PROD-F010</t>
  </si>
  <si>
    <t>ETIQUETA CONTACTO</t>
  </si>
  <si>
    <t>CNWI-PROD-F011</t>
  </si>
  <si>
    <t>Etiqueta lighting 2370</t>
  </si>
  <si>
    <t>CNWI-PROD-F012</t>
  </si>
  <si>
    <t>Etiqueta lighting 3004</t>
  </si>
  <si>
    <t>CNWI-PROD-F013</t>
  </si>
  <si>
    <t>Etiqueta macdonalds</t>
  </si>
  <si>
    <t>CNWI-PROD-F014</t>
  </si>
  <si>
    <t>Etiqueta relays</t>
  </si>
  <si>
    <t>CNWI-PROD-F015</t>
  </si>
  <si>
    <t>Etiqueta relays1</t>
  </si>
  <si>
    <t>CNWI-PROD-F016</t>
  </si>
  <si>
    <t>Etiqueta relays2</t>
  </si>
  <si>
    <t>CNWI-PROD-F017</t>
  </si>
  <si>
    <t>Etiqueta relays3</t>
  </si>
  <si>
    <t>CNWI-PROD-F018</t>
  </si>
  <si>
    <t>Etiqueta relays4</t>
  </si>
  <si>
    <t>CNWI-PROD-F019</t>
  </si>
  <si>
    <t>Etiqueta relays5</t>
  </si>
  <si>
    <t>CNWI-PROD-F020</t>
  </si>
  <si>
    <t>Etiqueta relays6</t>
  </si>
  <si>
    <t>CNWI-PROD-F021</t>
  </si>
  <si>
    <t>Etiqueta relays7</t>
  </si>
  <si>
    <t>CNWI-PROD-F022</t>
  </si>
  <si>
    <t>Etiqueta relays8</t>
  </si>
  <si>
    <t>CNWI-PROD-F023</t>
  </si>
  <si>
    <t>Etiqueta relays9</t>
  </si>
  <si>
    <t>CNWI-PROD-F024</t>
  </si>
  <si>
    <t>Etiqueta salem</t>
  </si>
  <si>
    <t>CNWI-PROD-F025</t>
  </si>
  <si>
    <t>Etiqueta single wire</t>
  </si>
  <si>
    <t>CNWI-PROD-F026</t>
  </si>
  <si>
    <t>Etiqueta snaplock</t>
  </si>
  <si>
    <t>CNWI-PROD-F027</t>
  </si>
  <si>
    <t>Etiqueta snap lock y three wire splice</t>
  </si>
  <si>
    <t>CNWI-PROD-F028</t>
  </si>
  <si>
    <t>Etiqueta thorkom</t>
  </si>
  <si>
    <t>CNWI-PROD-F029</t>
  </si>
  <si>
    <t>Etiqueta tracks</t>
  </si>
  <si>
    <t>CNWI-PROD-F030</t>
  </si>
  <si>
    <t>Etiqueta tracks 1</t>
  </si>
  <si>
    <t>CNWI-PROD-F031</t>
  </si>
  <si>
    <t>Etiqueta variado lifters rieles</t>
  </si>
  <si>
    <t>CNWI-PROD-F032</t>
  </si>
  <si>
    <t>ETIQUETAS 557s</t>
  </si>
  <si>
    <t>CNWI-PROD-F033</t>
  </si>
  <si>
    <t>Move Tiket</t>
  </si>
  <si>
    <t>CNWI-PROD-F034</t>
  </si>
  <si>
    <t xml:space="preserve">hoja tiempo de retrabajo </t>
  </si>
  <si>
    <t>05/16/2011</t>
  </si>
  <si>
    <t>CNWI-PROD-F035</t>
  </si>
  <si>
    <t>Pareto de informacion diaria</t>
  </si>
  <si>
    <t>CNWI-PROD-F036</t>
  </si>
  <si>
    <t>Reporte de micromini problemas diario</t>
  </si>
  <si>
    <t>CNWI-PROD-F037</t>
  </si>
  <si>
    <t>Gemba Walk</t>
  </si>
  <si>
    <t>CNWI-PROD-F038</t>
  </si>
  <si>
    <t>Reporte Hora x Hora</t>
  </si>
  <si>
    <t>CNWI-PROD-F039</t>
  </si>
  <si>
    <t>Grafico de Productividad</t>
  </si>
  <si>
    <t>CNWI-PROD-F040</t>
  </si>
  <si>
    <t>Past Due</t>
  </si>
  <si>
    <t>CNWI-QAAS-F093</t>
  </si>
  <si>
    <t xml:space="preserve">Etiqueta " Customer Owned Material </t>
  </si>
  <si>
    <t>CNWI-QAAS-F095</t>
  </si>
  <si>
    <t>Formato de liberacion de Maquinas</t>
  </si>
  <si>
    <t>CNWI-MTTO-F025</t>
  </si>
  <si>
    <t>Tarjeta verde para moldes</t>
  </si>
  <si>
    <t>NAM\MB4451</t>
  </si>
  <si>
    <t>CNWI-MTTO-F026</t>
  </si>
  <si>
    <t>Tarjeta Roja para moldes</t>
  </si>
  <si>
    <t>CNWI-MTTO-F028</t>
  </si>
  <si>
    <t xml:space="preserve">Mantenimiento Autónomo </t>
  </si>
  <si>
    <t>CNWI-QAAS-F007</t>
  </si>
  <si>
    <t xml:space="preserve">Material no conformante </t>
  </si>
  <si>
    <t>Tapia Ramses</t>
  </si>
  <si>
    <t>CNWI-QAAS-F008 A</t>
  </si>
  <si>
    <t>Liberación de primera pieza Amsafe-Salem</t>
  </si>
  <si>
    <t>CNWI-QAAS-F046</t>
  </si>
  <si>
    <t>Dimensional Data Sheet</t>
  </si>
  <si>
    <t>CNWI-VSHP-000111</t>
  </si>
  <si>
    <t>PCB ACTIVATION SUB-ASSEMBLY DRAWING 507735 PART 004005-0001, 004005-0002, 004005-0003, 004005-0005</t>
  </si>
  <si>
    <t>Zuila Cabral</t>
  </si>
  <si>
    <t>NAM\MB1911</t>
  </si>
  <si>
    <t>CNWI-VSHP-000159</t>
  </si>
  <si>
    <t xml:space="preserve">508978-C: partes  003082-0001, 004014-0001, 004034-0001, 004035-0001, 004035-0002, 004035-0007
</t>
  </si>
  <si>
    <t>2 juego( 1 pag 15 extra)</t>
  </si>
  <si>
    <t>CNWI-VSHP-000161</t>
  </si>
  <si>
    <t xml:space="preserve">509976-C DESPOJE DE CONDUCTORES EN PIERNA P2, P3 Y P4
</t>
  </si>
  <si>
    <t>AN</t>
  </si>
  <si>
    <t>CNWI-VSHP-000177</t>
  </si>
  <si>
    <t xml:space="preserve">508978:  partes  003082-0001, 004014-0001, 004034-0001, 004035-0001, 004035-0002, 004035-0007
</t>
  </si>
  <si>
    <t>1 juego( 1 pag 15 extra)</t>
  </si>
  <si>
    <t>CNWI-VSHP-000200</t>
  </si>
  <si>
    <t>CABLE ASSEMBLY INTERFACE 004003-0001</t>
  </si>
  <si>
    <t>004003-0001</t>
  </si>
  <si>
    <t>CNWI-VSHP-000201</t>
  </si>
  <si>
    <t xml:space="preserve">CABLE ASSEMBLY INTERFACE 508976 partes 004022-0001 , 004036-0001 </t>
  </si>
  <si>
    <t>VA-AMSA-001</t>
  </si>
  <si>
    <t>ASSEMBLY  CABLE  INTERFACE DRAWING 508418  PART   003064-0001</t>
  </si>
  <si>
    <t>Doc. E / Drawing N</t>
  </si>
  <si>
    <t>VA-AMSA-002</t>
  </si>
  <si>
    <t>CABLE ASSEMBLY EXTENTION DRAWING 509800  PART 004038-0001</t>
  </si>
  <si>
    <t>VA-AMSA-003</t>
  </si>
  <si>
    <t>CABLE ASSEMBLY INTERFACE 509976-Pag. 5. partes  004044-0001, 004046-0001, 004046-0013, 004046-0014, 004046-0015, 004046-0025, 004046-0027, 004046-0028, 004046-0031, 004046-0033, 004046-0035, 004046-0036, 004046-0038, 004046-0042, 004046-0052, 004046-0058, 004046-0060, 004046-0062, 004046-0070, 004046-0071, 004046-0086, 004046-0087, 004046-0088</t>
  </si>
  <si>
    <t>Doc FG Drawing BM</t>
  </si>
  <si>
    <t>VA-AMSA-004</t>
  </si>
  <si>
    <t xml:space="preserve">CABLE ASSEMBLY INTERFACE 509976 C1 partes  004043-0001 004045-0001 004046-0004 004046-0009 004046-0022 004046-0024 004046-0030 004046-0034 004046-0039 004046-0040 004046-0043 004046-0046 004046-0050 004046-0051 004046-0061 004046-0063 004046-0067 004046-0072 004046-0073 004046-0076
004046-0084
</t>
  </si>
  <si>
    <t>Doc E/ Drawing BM</t>
  </si>
  <si>
    <t>VA-AMSA-005</t>
  </si>
  <si>
    <t>CABLE ASSEMBLY INTERFACE  509976 Pag. 12 Rev. BL PARTE 004046-0080</t>
  </si>
  <si>
    <t>Doc  D/ Drawing BM</t>
  </si>
  <si>
    <t>VA-AMSA-006</t>
  </si>
  <si>
    <t xml:space="preserve">CABLE  ASSEMBLY 508328 PART 003076-0001 </t>
  </si>
  <si>
    <t>Doc  C/ Drawing L</t>
  </si>
  <si>
    <t>VA-AMSA-007</t>
  </si>
  <si>
    <t>CABLE ASSEMBLY INTERFACE 508976: partes 003087-0001 004001-0001 004004-0001 004040-0001  004040-0002 004040-0003 Pag. 2</t>
  </si>
  <si>
    <t>Doc. C / Drawing AN</t>
  </si>
  <si>
    <t>VA-AMSA-008</t>
  </si>
  <si>
    <t>508976: partes 003086-0001  003088-0001 003095-0001 004000-0001</t>
  </si>
  <si>
    <t>VA-AMSA-009</t>
  </si>
  <si>
    <t>CABLE  INTERFACE 511324</t>
  </si>
  <si>
    <t>2 juego( 1 pag 15 y 17 extra)</t>
  </si>
  <si>
    <t>VA-AMSA-010</t>
  </si>
  <si>
    <t>CABLE  ASSEMBLY  004049-0001</t>
  </si>
  <si>
    <t>Doc. C / Drawing G</t>
  </si>
  <si>
    <t>VA-AMSA-011</t>
  </si>
  <si>
    <t xml:space="preserve">CABLE ASSEMBLY INTERFACE  004042-0006 </t>
  </si>
  <si>
    <t>T</t>
  </si>
  <si>
    <t>VA-AMSA-012</t>
  </si>
  <si>
    <t>CABLE ASSEMBLY INTERFACE  004042-0001 y terminacion 2,3 004046-0004</t>
  </si>
  <si>
    <t>VA-AMSA-013</t>
  </si>
  <si>
    <t xml:space="preserve">KIT ASSEMBLY, LRU / INFLATOR CABLE INTERFACE Dibuejo 508978: partes  003089-0001, 004035-0003, 004035-0005, 004035-0006, 004035-0008, 004035-0009, 004035-0010 
</t>
  </si>
  <si>
    <t>Doc. AI / Drawing AG</t>
  </si>
  <si>
    <t>1 juego( 1 pag 16 extra)</t>
  </si>
  <si>
    <t>VA-AMSA-014</t>
  </si>
  <si>
    <t xml:space="preserve">SPLITTER CABLE  004070-0001  511434 Pag. 1 </t>
  </si>
  <si>
    <t>VA-AMSA-015</t>
  </si>
  <si>
    <t>KIT ASSEMBLY, LRU/INFLATOR CABLE INTERFACE PART 003075-0001  DRAWING 508348 Pag. 1</t>
  </si>
  <si>
    <t>Doc. A / Drawing L</t>
  </si>
  <si>
    <t>VA-AMSA-016</t>
  </si>
  <si>
    <t>CABLE ASSEMBLY INTERFACE 509976 Pag. 7 partes 004046-0006, 004046-0011, 004046-0012, 004046-0017, 004046-0037, 004046-0045,  004046-0054, 004046-0055 004046-0059, 004046-0064, 004046-0065, 004046-0074, 004046-0075, 004046-0077, 004046-0078, 004046-0091</t>
  </si>
  <si>
    <t>Doc H/ Drawing BN</t>
  </si>
  <si>
    <t>1 juego( 1 pag 17 extra)</t>
  </si>
  <si>
    <t>VA-AMSA-017</t>
  </si>
  <si>
    <t>CABLE ASSEMBLY INTERFACE 508976 Pag.4  003093-0001</t>
  </si>
  <si>
    <t>Doc B/ Drawing BL</t>
  </si>
  <si>
    <t>VA-AMSA-018</t>
  </si>
  <si>
    <t>CABLE ASSEMBLY INTERFACE 508976 Pag 7 004030-0001</t>
  </si>
  <si>
    <t>Doc B/ Drawing AN</t>
  </si>
  <si>
    <t>VA-AMSA-019</t>
  </si>
  <si>
    <t xml:space="preserve">CABLE INTERFACE 508978 Pag. 3  003098-0001,  003099-0001, 004035-0004   </t>
  </si>
  <si>
    <t>Doc D/ Drawing AG</t>
  </si>
  <si>
    <t>VA-AMSA-020</t>
  </si>
  <si>
    <t>509701  CABLE ASSEMBLY INTERFACE 509701 Pag.4  004042-0007 Rev. T</t>
  </si>
  <si>
    <t>Doc. D/ Drawing T</t>
  </si>
  <si>
    <t>1 juego( 1 pag 7, 11, 21 extra)</t>
  </si>
  <si>
    <t>VA-AMSA-021</t>
  </si>
  <si>
    <t xml:space="preserve">CABLE ASSEMBLY DRAWING 509828-201 Pag. 1 PART 004041-0001 </t>
  </si>
  <si>
    <t>Doc. B/ Drawing E</t>
  </si>
  <si>
    <t>VA-AMSA-022</t>
  </si>
  <si>
    <t>CABLE ASSEMBLY INTERFACE  DIBUJO 509976 Pag. 13  PARTE 004046-0081 Rev. BL</t>
  </si>
  <si>
    <t>Doc. B/ Drawing BM</t>
  </si>
  <si>
    <t xml:space="preserve">VA-AMSA-023  </t>
  </si>
  <si>
    <t>CABLE ASSEMBLY INTERFACE 509976 Pag. 10  004046-0020, 004046-0066  REV. BL</t>
  </si>
  <si>
    <t>Doc. E/ Drawing BN</t>
  </si>
  <si>
    <t>VA-AMSA-024</t>
  </si>
  <si>
    <t xml:space="preserve">CABLE ASSEMBLY INTERFACE 509976 Rev. BL Pag. 6 partes 004046-0002, 004046-0003, 004046-0008, 004046-0016, 004046-0018, 004046-0048, 004046-0049, 004046-0079, 004046-0092. </t>
  </si>
  <si>
    <t>Doc. AN/ Drawing BN</t>
  </si>
  <si>
    <t xml:space="preserve">VA-AMSA-025 </t>
  </si>
  <si>
    <t>CA ASSY DRAWNG 509320 PART 004002-0001  (509320-201).</t>
  </si>
  <si>
    <t>Doc. C/ Drawing K</t>
  </si>
  <si>
    <t xml:space="preserve">VA-AMSA-026 </t>
  </si>
  <si>
    <t>ESTAMPADO PARA EL  508976</t>
  </si>
  <si>
    <t>Doc. B/ Drawing AN</t>
  </si>
  <si>
    <t xml:space="preserve">VA-AMSA-027  </t>
  </si>
  <si>
    <t xml:space="preserve">CABLE ASSEMBLY PIGTAIL 508340. 003077-001 REV. H   </t>
  </si>
  <si>
    <t>Doc. D/ Drawing H</t>
  </si>
  <si>
    <t xml:space="preserve">VA-AMSA-028 </t>
  </si>
  <si>
    <t xml:space="preserve">SPLITTER CABLE T511890 Pag.  1  Part  004080-0001 </t>
  </si>
  <si>
    <t>Doc. C/ Drawing C</t>
  </si>
  <si>
    <t>T511890</t>
  </si>
  <si>
    <t xml:space="preserve">VA-AMSA-029 </t>
  </si>
  <si>
    <t xml:space="preserve">ESTAMPADO 508978  </t>
  </si>
  <si>
    <t>Doc. A/ Drawing AG</t>
  </si>
  <si>
    <t xml:space="preserve">VA-AMSA-030 </t>
  </si>
  <si>
    <t>ESTAMPADO 509976  REV BL</t>
  </si>
  <si>
    <t xml:space="preserve">VA-AMSA-031 </t>
  </si>
  <si>
    <t xml:space="preserve">ESTAMPADO PARA EL  T511890 </t>
  </si>
  <si>
    <t>Doc. A/ Drawing C</t>
  </si>
  <si>
    <t xml:space="preserve">VA-AMSA-032 </t>
  </si>
  <si>
    <t>Doc. D/ Drawing AG</t>
  </si>
  <si>
    <t xml:space="preserve">VA-AMSA-033 </t>
  </si>
  <si>
    <t>CABLE ASSEMBLY INTERFACE 511125 Pag. 1 004062-0001</t>
  </si>
  <si>
    <t>Doc. B/ Drawing D</t>
  </si>
  <si>
    <t xml:space="preserve">VA-AMSA-034 </t>
  </si>
  <si>
    <t>EMPAQUE GENERAL DE AMSAFE</t>
  </si>
  <si>
    <t>CNWI-VSHP-000001</t>
  </si>
  <si>
    <t>assembly, plug, wire slice, size 16 contact</t>
  </si>
  <si>
    <t>14/01/11</t>
  </si>
  <si>
    <t>002314-0000</t>
  </si>
  <si>
    <t>2 de pagina 2 y 8  de  pagina 3</t>
  </si>
  <si>
    <t>CNWI-VSHP-000002</t>
  </si>
  <si>
    <t>Rceptalce assembly series 4A, snap e-lock-rereversed, model 25, master</t>
  </si>
  <si>
    <t>000103-0419</t>
  </si>
  <si>
    <t>CNWI-VSHP-000003</t>
  </si>
  <si>
    <t>Plug assembly, series 4A, snap-e-lock model 15, master</t>
  </si>
  <si>
    <t>000102-0145</t>
  </si>
  <si>
    <t>CNWI-VSHP-000004</t>
  </si>
  <si>
    <t>Assembly, rcpt airborne miniature circulator, colors red, with and blue</t>
  </si>
  <si>
    <t>002360-0000</t>
  </si>
  <si>
    <t>CNWI-VSHP-000015</t>
  </si>
  <si>
    <t>relay socket assy (8) no. contact with mtg. hole insert</t>
  </si>
  <si>
    <t>000300-1561</t>
  </si>
  <si>
    <t>8 de paginas 3 y 4</t>
  </si>
  <si>
    <t>CNWI-VSHP-000017</t>
  </si>
  <si>
    <t>RCPT 8POSN #20 CANT ASSY SPL</t>
  </si>
  <si>
    <t>8 de paginas 3,4,5,7</t>
  </si>
  <si>
    <t>CNWI-VSHP-000038</t>
  </si>
  <si>
    <t>relay socet assy (14 &amp; 16) no. contacts with mtg. hole insert</t>
  </si>
  <si>
    <t>000300-1562</t>
  </si>
  <si>
    <t>8 de pagina 3 y 4  y 2 de pagina 2</t>
  </si>
  <si>
    <t>CNWI-VSHP-000045</t>
  </si>
  <si>
    <t>Receptacle assy, snaplock model 27 series 4-A master</t>
  </si>
  <si>
    <t>000103-0399</t>
  </si>
  <si>
    <t>8 de pagina 4</t>
  </si>
  <si>
    <t>CNWI-VSHP-000052</t>
  </si>
  <si>
    <t>Asembly, rcpt airborne minir circ, panel mount, color red white &amp; blue</t>
  </si>
  <si>
    <t>002361-0000</t>
  </si>
  <si>
    <t>2 de paginas 2 , 7 y  8 de paginas 3,4,5</t>
  </si>
  <si>
    <t>CNWI-VSHP-000053</t>
  </si>
  <si>
    <t>002315-0000</t>
  </si>
  <si>
    <t>2 de pagina 2 y 8 de pagina 3</t>
  </si>
  <si>
    <t>CNWI-VSHP-000058</t>
  </si>
  <si>
    <t>TRACK, STRAIGHT, IN LINE MOUNT, SNAP-TRACK II SERIES</t>
  </si>
  <si>
    <t>002371-0004M</t>
  </si>
  <si>
    <t>CNWI-VSHP-000059</t>
  </si>
  <si>
    <t>TRACK, ASSEMBLY, STRIGHT, INLINE MOUNT, SNAP-TRACK II SERIES</t>
  </si>
  <si>
    <t>BACT44E-001M</t>
  </si>
  <si>
    <t>CNWI-VSHP-000090</t>
  </si>
  <si>
    <t>PLUG ASSEMBLY, SERIES 4A, SNAPLOCK MODEL 6, MASTER</t>
  </si>
  <si>
    <t>000102-0159</t>
  </si>
  <si>
    <t>CNWI-VSHP-000107</t>
  </si>
  <si>
    <t>Plug assembly, series 4, 4 socket contact, keyed flange shell</t>
  </si>
  <si>
    <t>000100-0179M</t>
  </si>
  <si>
    <t>CNWI-VSHP-000108</t>
  </si>
  <si>
    <t>Plug, 6 position, lighting connector, assy, boeing</t>
  </si>
  <si>
    <t>BACC65AL-800M</t>
  </si>
  <si>
    <t>2 de paginas 2 y 4  de pagina 8 y 6</t>
  </si>
  <si>
    <t>CNWI-VSHP-000120</t>
  </si>
  <si>
    <t>Instrucción de empacado para ensambles de la familia BACC65XXXXX</t>
  </si>
  <si>
    <t>CNWI-VSHP-000129</t>
  </si>
  <si>
    <t>ASSEMBLY, PLUG AIRBORNEMINIATURE CIRCULAR, COLORS RED, WHITE &amp; BLUE</t>
  </si>
  <si>
    <t>002359-0004</t>
  </si>
  <si>
    <t>CNWI-VSHP-000153</t>
  </si>
  <si>
    <t>002360-0006 y 002360-0004</t>
  </si>
  <si>
    <t>002360-0006P</t>
  </si>
  <si>
    <t>CNWI-VSHP-000155</t>
  </si>
  <si>
    <t>ASSEMBLY, PLUG AIRBORNE MINIATURE CIRCULAR, COLORS RED, WHITE, Y BLUE</t>
  </si>
  <si>
    <t>002359-0006</t>
  </si>
  <si>
    <t>CNWI-VSHP-000158</t>
  </si>
  <si>
    <t>000101-0172M</t>
  </si>
  <si>
    <t>VA-BOND-002</t>
  </si>
  <si>
    <t>002359-0000 (AMC02PA03R, AMC02PS03W, AMC02PA03B)</t>
  </si>
  <si>
    <t>002359-0000</t>
  </si>
  <si>
    <t xml:space="preserve">1 juego (2 pag 3 extras) </t>
  </si>
  <si>
    <t>VA-BOND-003</t>
  </si>
  <si>
    <t>CONNECTOR, ELECTRICAL, RECEPTACLE, RECTANGULAR, LATCH COUPLING, TRACK MOUNTING BACC65AKXXXP</t>
  </si>
  <si>
    <t>VA-BOND-004</t>
  </si>
  <si>
    <t>Empaque de Conectores BACC</t>
  </si>
  <si>
    <t xml:space="preserve">VA-BOND-005 </t>
  </si>
  <si>
    <t>ASSEMBLY, PLUG AIRBORNEMINIATURE CIRCULAR, COLORS RED, WHAITE &amp; BLUE  002359-0000 (AMC02PA03R, AMC02PS03W, AMC02PA03B</t>
  </si>
  <si>
    <t xml:space="preserve"> 002359-0000 (AMC02PA03R, AMC02PS03W, AMC02PA03B</t>
  </si>
  <si>
    <t xml:space="preserve">VA-BOND-006 </t>
  </si>
  <si>
    <t>CONECTOR 000100-0113</t>
  </si>
  <si>
    <t>000100-0113M</t>
  </si>
  <si>
    <t xml:space="preserve">VA-BOND-007 </t>
  </si>
  <si>
    <t>Se realizo ayuda visual generica para los N/P 002359-0000, 002360-0000, 002361-0000</t>
  </si>
  <si>
    <t>002359-0000, 002360-0000, 002361-0000</t>
  </si>
  <si>
    <t xml:space="preserve">VA-BOND-008 </t>
  </si>
  <si>
    <t>ASSEMBLY  PLUG BACCAJXXXS</t>
  </si>
  <si>
    <t>BACCAJXXXS</t>
  </si>
  <si>
    <t xml:space="preserve">VA-BOND-009 </t>
  </si>
  <si>
    <t xml:space="preserve">LAVADO EN MEK </t>
  </si>
  <si>
    <t xml:space="preserve">VA-BOND-010 </t>
  </si>
  <si>
    <t>INSULATOR ASSEMBLY RELAY SOCKET MASTER Draw Num 000300-0596 000300-0597 000300-0598</t>
  </si>
  <si>
    <t>000300-0596 000300-0597 000300-0598</t>
  </si>
  <si>
    <t xml:space="preserve">VA-BOND-011 </t>
  </si>
  <si>
    <t>000102-0381, PLUG ASSEMBLY, SERIES 4A, SNAP LOCK, MODEL 15, VACUUM BAKED</t>
  </si>
  <si>
    <t>000102-0381</t>
  </si>
  <si>
    <t>CNWI-VSHP-000016</t>
  </si>
  <si>
    <t>Connector receptacle p.c.b d/r bellows contact on .156 ctrs center barrier 28/56 2*28*/*a**master</t>
  </si>
  <si>
    <t>000210-4239</t>
  </si>
  <si>
    <t>2 copias de pagina 3</t>
  </si>
  <si>
    <t>CNWI-VSHP-000029</t>
  </si>
  <si>
    <t xml:space="preserve">cinnector assy receptacle relay socket series </t>
  </si>
  <si>
    <t xml:space="preserve">paginas 3 y 4 dos copias de cada una </t>
  </si>
  <si>
    <t>CNWI-VSHP-000031</t>
  </si>
  <si>
    <t>VSBX CONNECTOR SERIES Iplig 18 pos/36 cont. 100row. 100 ctrs</t>
  </si>
  <si>
    <t xml:space="preserve">2 copias de la pagina 3 </t>
  </si>
  <si>
    <t>CNWI-VSHP-000035</t>
  </si>
  <si>
    <t xml:space="preserve">Connector, receptacle p.c.b d/r .025 sq terminals </t>
  </si>
  <si>
    <t>000231-3854</t>
  </si>
  <si>
    <t>CNWI-VSHP-000036</t>
  </si>
  <si>
    <t>vsbx series II receptacle assembly .100 row .100</t>
  </si>
  <si>
    <t>004006-0000</t>
  </si>
  <si>
    <t>CNWI-VSHP-000039</t>
  </si>
  <si>
    <t xml:space="preserve">vsbx1-recp-conn assy, 18 pole po/36 cont. .100 x .100 ctrs, tin silver </t>
  </si>
  <si>
    <t>004008-0000</t>
  </si>
  <si>
    <t>CNWI-VSHP-000046</t>
  </si>
  <si>
    <t>Insulador assy, ptd. Ckt-dbl, row 7/14, /125 c/c, pierced tab, spcl mouting slot</t>
  </si>
  <si>
    <t>002104-0000</t>
  </si>
  <si>
    <t>CNWI-VSHP-000047</t>
  </si>
  <si>
    <t>Connector assembly, p.c board, .025 sq post, .156 centers</t>
  </si>
  <si>
    <t>00267-00000</t>
  </si>
  <si>
    <t>CNWI-VSHP-000068</t>
  </si>
  <si>
    <t>RECEPTACLE ASEMBLY ALL PLASTIC VERTICAL D-SUB WITH DIP SOLDER</t>
  </si>
  <si>
    <t>002284-0000</t>
  </si>
  <si>
    <t>2 COPIA DE PAGINA 3</t>
  </si>
  <si>
    <t>CNWI-VSHP-000081</t>
  </si>
  <si>
    <t>CONNECTOR RECEPT, ASSY 12 CONTACS, V-LOCK</t>
  </si>
  <si>
    <t>28-7002-0000M</t>
  </si>
  <si>
    <t>2 copias de pagina 2</t>
  </si>
  <si>
    <t>CNWI-VSHP-000084</t>
  </si>
  <si>
    <t>VSBX SERIES II PLUG ASSEMBLY .100 ROW X .100 CENTERS</t>
  </si>
  <si>
    <t>002144-0000</t>
  </si>
  <si>
    <t>CNWI-VSHP-000126</t>
  </si>
  <si>
    <t>RECEPTACLE, JAMNUT, THORKOM II SPECIAL, 24-PIN, PC MOUNT</t>
  </si>
  <si>
    <t>28-7603-0000</t>
  </si>
  <si>
    <t>CNWI-VSHP-000127</t>
  </si>
  <si>
    <t>TKP24-100 GRY</t>
  </si>
  <si>
    <t xml:space="preserve">28-2241-0000 </t>
  </si>
  <si>
    <t>CNWI-VSHP-000128</t>
  </si>
  <si>
    <t>CNWI-VSHP-000130</t>
  </si>
  <si>
    <t>PLUG CONNECTOR ASSEMBLY, 111 PIN CONTACTS, RIGHT ANGLE TERMINATION</t>
  </si>
  <si>
    <t>003068-0001</t>
  </si>
  <si>
    <t>CNWI-VSHP-000137</t>
  </si>
  <si>
    <t>RECEPTACLE ASSEMBLY SERIES 4, 4 PIN, FLANGED, HERMETIC</t>
  </si>
  <si>
    <t>CNWI-VSHP-000160</t>
  </si>
  <si>
    <t>28-7502-0002</t>
  </si>
  <si>
    <t>28-7502-0002M</t>
  </si>
  <si>
    <t>CNWI-VSHP-000166</t>
  </si>
  <si>
    <t>001-0130-001</t>
  </si>
  <si>
    <t>001-0130-000</t>
  </si>
  <si>
    <t>CNWI-VSHP-000179</t>
  </si>
  <si>
    <t>Verificacion de cumplimiento de especs.28-3256-0001</t>
  </si>
  <si>
    <t>CNWI-VSHP-000180</t>
  </si>
  <si>
    <t>Verificacion de cumplimiento de especs.28-3257-0001</t>
  </si>
  <si>
    <t>Especificaciones de empaque</t>
  </si>
  <si>
    <t>Tere Serrano</t>
  </si>
  <si>
    <t>VA-EGRAL-001</t>
  </si>
  <si>
    <t xml:space="preserve">vsbx connector , series I receptacle 22 pos/ 44 cont. 100 row. 100 ctr </t>
  </si>
  <si>
    <t>000294-0000</t>
  </si>
  <si>
    <t>VA-CGRAL-002</t>
  </si>
  <si>
    <t>ESPECIFICACIONES GENERALES DE CORTE Y PREPARACION (Itron)</t>
  </si>
  <si>
    <t xml:space="preserve">VA-CGRAL-003 </t>
  </si>
  <si>
    <t xml:space="preserve">LAVADO DE TUBO PARA LLENADO DE  EPOXY  </t>
  </si>
  <si>
    <t>CNWI-VSHP-000014</t>
  </si>
  <si>
    <t>Retrabajo para convertir 28-3265-0001 a 28-3264-0001</t>
  </si>
  <si>
    <t>CBA-0771-003</t>
  </si>
  <si>
    <t>CNWI-VSHP-000027</t>
  </si>
  <si>
    <t>100G actris remote disconnect, meters cables -s</t>
  </si>
  <si>
    <t>CNWI-VSHP-000049</t>
  </si>
  <si>
    <t>Receptacle protective cap assembly special 1TD7 contacts, CLR gray badger</t>
  </si>
  <si>
    <t>009-0542-300M</t>
  </si>
  <si>
    <t>CNWI-VSHP-000067</t>
  </si>
  <si>
    <t>SET UP MAQUINA THE SHOT GUN</t>
  </si>
  <si>
    <t>CNWI-VSHP-000114</t>
  </si>
  <si>
    <t>CBA-0349-104</t>
  </si>
  <si>
    <t>CNWI-VSHP-000136</t>
  </si>
  <si>
    <t>100W TEST CABLE, HIGH FLEX BLACK RECEPTACLE TO FLYING LEAD</t>
  </si>
  <si>
    <t>28-2307-0001</t>
  </si>
  <si>
    <t>CNWI-VSHP-000150</t>
  </si>
  <si>
    <t>CABLE ASSEMBLY, SPECIAL OEM-NO STRAIN RELIEF-8”</t>
  </si>
  <si>
    <t>CBA-0217-315</t>
  </si>
  <si>
    <t xml:space="preserve">CONECTOR- WATHERPROOF 28-3292-0005 DRAWING C-66233 </t>
  </si>
  <si>
    <t>C-66233</t>
  </si>
  <si>
    <t>CNWI-VSHP-000048</t>
  </si>
  <si>
    <t>Waterproof electrical cable assy, 3 coductors, color white, black &amp; green</t>
  </si>
  <si>
    <t>003053-0000</t>
  </si>
  <si>
    <t>CNWI-VSHP-000095</t>
  </si>
  <si>
    <t>100G, Actaris remote disconnect, end point cable</t>
  </si>
  <si>
    <t>CBA-0200-011</t>
  </si>
  <si>
    <t>CNWI-VSHP-000115</t>
  </si>
  <si>
    <t>Cable assembly y, inline connector, lds</t>
  </si>
  <si>
    <t>cba-0349-105</t>
  </si>
  <si>
    <t>CNWI-VSHP-000133</t>
  </si>
  <si>
    <t>Environmental Cap,Direct Connect Remote Antenna</t>
  </si>
  <si>
    <t>VA-IMB-001</t>
  </si>
  <si>
    <t>CABLE ASSEMBLY, 100G REMOTE MERCURY CORRECTOR 5‘ CBA-5000-002 (28-3278-0001)</t>
  </si>
  <si>
    <t>CBA-5000-002</t>
  </si>
  <si>
    <t>VA-IMB-002</t>
  </si>
  <si>
    <t xml:space="preserve">CABLE ASSEMBLY PARA LOS N/P 28-3295-0001, 28-3296-0001, 28-3297-0001, 28-3298-0001,   28-3310-0001, 28-3308-0001, 28-3309-0001, 28-331-0001, 28-3312-0001, 28-3313-0001 </t>
  </si>
  <si>
    <t>CBA-1300-001, CBA-1300-005  , CBA-1300-002, CBA-1300-003, CBA-1300-004, CBA-1300-001,</t>
  </si>
  <si>
    <t>VA-IMB-003</t>
  </si>
  <si>
    <t xml:space="preserve">MSC,100W ENVIRONMENTAL CAP, UNIVERSAL  MSC-0019-008 (N/P 010-0121-001) </t>
  </si>
  <si>
    <t>VA-IMB-004</t>
  </si>
  <si>
    <t>Ensamble de 28-2304-005, 28-2305-0001</t>
  </si>
  <si>
    <t>28-230X-000X</t>
  </si>
  <si>
    <t xml:space="preserve">VA-IMB-005 </t>
  </si>
  <si>
    <t>CABLE ASSY 1.5, 6, 25, 75 FT, 4 CONTACTS, THORKOM PLUG CONN, SPL, W/STRAIN RELIEF 28-2266-0000</t>
  </si>
  <si>
    <t>28-2266-0000</t>
  </si>
  <si>
    <t xml:space="preserve">VA-IMB-006 </t>
  </si>
  <si>
    <t>28-2304-005, 28-2305-0001</t>
  </si>
  <si>
    <t>VA-IMB-007</t>
  </si>
  <si>
    <t xml:space="preserve"> Cable assy, 9 inch, 4 cont, thorkom spl rcpt conn w/strain relief, badger 28-3273-0000</t>
  </si>
  <si>
    <t>28-3273-0000</t>
  </si>
  <si>
    <t xml:space="preserve">VA-IMB-008 </t>
  </si>
  <si>
    <t>Ensamble  28-2306-0001 cable test double ended</t>
  </si>
  <si>
    <t>CBA-1300-903</t>
  </si>
  <si>
    <t>CNWI-VSHP-000138</t>
  </si>
  <si>
    <t>CABLE ASSEMBLY, 5mm EJECTOR</t>
  </si>
  <si>
    <t>28-7502-0007M</t>
  </si>
  <si>
    <t>VA-IPLUG-001</t>
  </si>
  <si>
    <t>CABLE ASSEMBLY 200WPD 28-3272-0001 (CBA-0217-307)</t>
  </si>
  <si>
    <t>CBA-0217-307</t>
  </si>
  <si>
    <t xml:space="preserve">VA-IPLUG-002 </t>
  </si>
  <si>
    <t xml:space="preserve">CABLE ASSEMBLY Y, INLINE CONNECTOR, LDS CBA-0349-105 PARTE 28-2297-0001 </t>
  </si>
  <si>
    <t>CBA-0349-105</t>
  </si>
  <si>
    <t>VA-IPLUG-003</t>
  </si>
  <si>
    <t xml:space="preserve">CFG-0151-001/CFG-0151-002/CFG-0151-003/CFG-0151-004 Y CBA-1300-006 partes     28-2259-0001, 28-2259-0002, 28-2260-0001, 28-2260-0002, 28-2259-0021, 28-2259-0022, 28-2260-0021, 28-2260-0022 , 28-2302-0001 </t>
  </si>
  <si>
    <t>CFG-0151-002/CFG-0151-003/CFG-0151-004 Y CBA-1300-006</t>
  </si>
  <si>
    <t>3 juegos</t>
  </si>
  <si>
    <t>CNWI-VSHP-000030</t>
  </si>
  <si>
    <t>Retrabajo para convertir 28-3267-001 a 28-3264-0001</t>
  </si>
  <si>
    <t>CNWI-VSHP-000113</t>
  </si>
  <si>
    <t xml:space="preserve">Cable assembly, 200WP leak sensor port </t>
  </si>
  <si>
    <t>CBA-0217-314</t>
  </si>
  <si>
    <t>VA-IRCPT-001</t>
  </si>
  <si>
    <t>CABLE RECEPTACLE 28-3264-0001 y 28-3272-0502   ( CBA-0771-003)</t>
  </si>
  <si>
    <t>2 juego (1 Pag. 10 y 11 extra)</t>
  </si>
  <si>
    <t>CNWI-VSHP-000005</t>
  </si>
  <si>
    <t>Contac and spring</t>
  </si>
  <si>
    <t>102-117G1</t>
  </si>
  <si>
    <t>3 Copias de la pagina 2</t>
  </si>
  <si>
    <t>VA-SALM-001</t>
  </si>
  <si>
    <t>CABLE ASSY A1-330-0000  PART A1-330-0080</t>
  </si>
  <si>
    <t>A1-330-0000</t>
  </si>
  <si>
    <t xml:space="preserve">Especificaciones de corte </t>
  </si>
  <si>
    <t>Zuilma Cabral</t>
  </si>
  <si>
    <t>Itron</t>
  </si>
  <si>
    <t>4  juego</t>
  </si>
  <si>
    <t>CP-BOND-028</t>
  </si>
  <si>
    <t>CP-MS-026</t>
  </si>
  <si>
    <t>CNWI-QAAS-F004</t>
  </si>
  <si>
    <t>Lista de verificación de auditoria interna AS9100 (OBSOLETO)</t>
  </si>
  <si>
    <t>xlsx</t>
  </si>
  <si>
    <t>pdf</t>
  </si>
  <si>
    <t>xls</t>
  </si>
  <si>
    <t>pptx</t>
  </si>
  <si>
    <t>doc</t>
  </si>
  <si>
    <t>pub</t>
  </si>
  <si>
    <t>ppt</t>
  </si>
  <si>
    <t>docx</t>
  </si>
  <si>
    <t>XLS</t>
  </si>
  <si>
    <t>xlsm</t>
  </si>
  <si>
    <t xml:space="preserve">Supplier Non- Conformance Material Notification </t>
  </si>
  <si>
    <t>PUB</t>
  </si>
  <si>
    <t>AuthLevel</t>
  </si>
  <si>
    <t>release</t>
  </si>
  <si>
    <t>releaseDate</t>
  </si>
  <si>
    <t>finalFileName</t>
  </si>
  <si>
    <t>~/cdd/olddocs/Control Plans/MICROMINI/MS/CP-MS-024  SMEA0115010, 5015, 5020, 5030, 5035, 5060.pdf</t>
  </si>
  <si>
    <t>~/cdd/olddocs/Control Plans/MICROMINI/MS/CP-MS-025  SMEA0120010, 0030, 0040, 0040, 0045.pdf</t>
  </si>
  <si>
    <t>~/cdd/olddocs/Control Plans/MICROMINI/POTTED/CP-POTT-001 Rev.A 5000108.pdf</t>
  </si>
  <si>
    <t>~/cdd/olddocs/Control Plans/MICROMINI/POTTED/CP-POTT-002 Rev.A  CX8653 PART CX8653 -343P Y -346P.pdf</t>
  </si>
  <si>
    <t>~/cdd/olddocs/Control Plans/MICROMINI/POTTED/CP-POTT-003 Rev.A  50001101 -  5000110-Z.pdf</t>
  </si>
  <si>
    <t>~/cdd/olddocs/Control Plans/MICROMINI/POTTED/CP-POTT-004 Rev.A  5000117- 4053R y 4054R.pdf</t>
  </si>
  <si>
    <t>~/cdd/olddocs/Control Plans/MICROMINI/POTTED/CP-POTT-005 Rev.A  CH5041494B.pdf</t>
  </si>
  <si>
    <t>~/cdd/olddocs/Control Plans/MICROMINI/POTTED/CP-POTT-006 Rev.A  CH5041493B.pdf</t>
  </si>
  <si>
    <t>~/cdd/olddocs/Control Plans/MICROMINI/POTTED/CP-POTT-008 Rev.A  5000129.pdf</t>
  </si>
  <si>
    <t>~/cdd/olddocs/Control Plans/MICROMINI/POTTED/CP-POTT-009 Rev. A 5000117-EN.pdf</t>
  </si>
  <si>
    <t>~/cdd/olddocs/Control Plans/MOLDEO/MOLDEO MOORPARK/CP-MRPK-001 Rev. A   096-0278-001.pdf</t>
  </si>
  <si>
    <t>~/cdd/olddocs/Control Plans/SOLAR/CP-SOL-001 Rev.A Plan First Solar.pdf</t>
  </si>
  <si>
    <t>~/cdd/olddocs/Control Plans/SOLAR/CP-SOL-002 Rev.A  ZACHRY.pdf</t>
  </si>
  <si>
    <t>~/cdd/olddocs/Control Plans/SOLAR/CP-SOL-003 Rev.A  SCHUCO.pdf</t>
  </si>
  <si>
    <t>~/cdd/olddocs/Control Plans/SOLAR/CP-SOL-004 Rev.A FALL RIVER.pdf</t>
  </si>
  <si>
    <t>~/cdd/olddocs/Control Plans/SOLAR/CP-SOL-005 Rev.A CRAMBURY.pdf</t>
  </si>
  <si>
    <t>~/cdd/olddocs/Control Plans/SOLAR/CP-SOL-006 Rev.A   IC-B29-RL-BLK1 Secuencia 2-3-4-5-6-7.pdf</t>
  </si>
  <si>
    <t>~/cdd/olddocs/Control Plans/SOLAR/CP-SOL-007 Rev A Control Plan IC-B72    SOLAR.pdf</t>
  </si>
  <si>
    <t>~/cdd/olddocs/Especificaciones genericas/Camarillo/Itron/CNWI-ENGI-F019   Rev  A  Especificaciones de insercion de conductores  ITRON.xlsx</t>
  </si>
  <si>
    <t>~/cdd/olddocs/Especificaciones genericas/Micromini/A Y B/CNWI-ENGI-F019 Rev  F Especificaciones de empaque Celda A Y B Rev  B.xls</t>
  </si>
  <si>
    <t>~/cdd/olddocs/Especificaciones genericas/Micromini/A Y B/CNWI-ENGI-F019 Rev  F Especificaciones dedespoje de conductores celda A y B Rev  B.xlsx</t>
  </si>
  <si>
    <t>~/cdd/olddocs/Especificaciones genericas/Micromini/A Y B/CNWI-ENGI-F019 Rev  F Especificaciones remachado Celda A y B Rev  B.xlsx</t>
  </si>
  <si>
    <t>~/cdd/olddocs/Especificaciones genericas/Micromini/A Y B/CNWI-ENGI-F019 Rev  G Especificaciones dedespoje de chaqueta Celda A y B Rev  C.xlsx</t>
  </si>
  <si>
    <t>~/cdd/olddocs/Especificaciones genericas/Micromini/A Y B/CNWI-ENGI-F019 Rev P Especificaciones de insercion de conductores Celda A y B.xlsx</t>
  </si>
  <si>
    <t>~/cdd/olddocs/Especificaciones genericas/Micromini/CHANGE OUT/CNWI-ENGI-F019 Rev N Especificaciones de insercion de conductores area Change Out.xlsx</t>
  </si>
  <si>
    <t>~/cdd/olddocs/Especificaciones genericas/Micromini/CHANGE OUT/CNWI-ENGI-F019 Rev. A Especificaciones de empaque Change Out Rev. A.xls</t>
  </si>
  <si>
    <t>~/cdd/olddocs/Especificaciones genericas/Micromini/CHANGE OUT/CNWI-ENGI-F019 Rev. A Especificaciones dedespoje de chaqueta Change Out Rev. A.xlsx</t>
  </si>
  <si>
    <t>~/cdd/olddocs/Especificaciones genericas/Micromini/CHANGE OUT/CNWI-ENGI-F019 Rev. A Especificaciones dedespoje de conductores change out Rev. A.xlsx</t>
  </si>
  <si>
    <t>~/cdd/olddocs/Especificaciones genericas/Micromini/CHANGE OUT/CNWI-ENGI-F019 Rev. A Especificaciones remachado area Change out Rev. A.xlsx</t>
  </si>
  <si>
    <t>~/cdd/olddocs/Especificaciones genericas/Micromini/General/CNWI-ENGI-F019 Rev. J Especificaciones de Corte Micro-Mini.xlsx</t>
  </si>
  <si>
    <t>~/cdd/olddocs/Especificaciones genericas/Micromini/MS/CNWI-ENGI-F019 Rev  O Especificaciones de insercion de conductores area MS.xlsx</t>
  </si>
  <si>
    <t>~/cdd/olddocs/Especificaciones genericas/Micromini/MS/CNWI-ENGI-F019 Rev. E Especificaciones remachado area MS.xlsx</t>
  </si>
  <si>
    <t>~/cdd/olddocs/Especificaciones genericas/Micromini/MS/CNWI-ENGI-F019 Rev. H Especificaciones de empaque MS.xls</t>
  </si>
  <si>
    <t>~/cdd/olddocs/Especificaciones genericas/Micromini/MS/CNWI-ENGI-F019 Rev. H Especificaciones dedespoje de chaqueta MS.xlsx</t>
  </si>
  <si>
    <t>~/cdd/olddocs/Especificaciones genericas/Micromini/MS/CNWI-ENGI-F019 Rev. H Especificaciones dedespoje de conductores MS.xlsx</t>
  </si>
  <si>
    <t>~/cdd/olddocs/Especificaciones genericas/Micromini/PLEX/CNWI-ENGI-F019 Rev  B  Especificaciones de insercion de conductores area Plex (4).xls</t>
  </si>
  <si>
    <t>~/cdd/olddocs/Especificaciones genericas/Micromini/PLEX/CNWI-ENGI-F019 Rev. A Especificaciones de empaque Plex.xls</t>
  </si>
  <si>
    <t>~/cdd/olddocs/Especificaciones genericas/Micromini/PLEX/CNWI-ENGI-F019 Rev. A Especificaciones dedespoje de chaqueta Plex.xlsx</t>
  </si>
  <si>
    <t>~/cdd/olddocs/Especificaciones genericas/Micromini/PLEX/CNWI-ENGI-F019 Rev. A Especificaciones remachado area Plex.xlsx</t>
  </si>
  <si>
    <t>~/cdd/olddocs/Especificaciones genericas/Micromini/PLEX/CNWI-ENGI-F019 Rev. C Especificaciones dedespoje de conductores plex.xlsx</t>
  </si>
  <si>
    <t>~/cdd/olddocs/Especificaciones genericas/Micromini/POTTED/CNWI-ENGI-F019  Rev F Especificaciones dedespoje de conductores potted.xlsx</t>
  </si>
  <si>
    <t>~/cdd/olddocs/Especificaciones genericas/Micromini/POTTED/CNWI-ENGI-F019 Rev  F  Especificaciones de empaque Potted.xls</t>
  </si>
  <si>
    <t>~/cdd/olddocs/Especificaciones genericas/Micromini/POTTED/CNWI-ENGI-F019 Rev  F Especificaciones remachado area Potted.xlsx</t>
  </si>
  <si>
    <t>~/cdd/olddocs/Especificaciones genericas/Micromini/POTTED/CNWI-ENGI-F019 Rev  J  Especificaciones de insercion de conductores area Potted.xls</t>
  </si>
  <si>
    <t>~/cdd/olddocs/Especificaciones genericas/Micromini/POTTED/CNWI-ENGI-F019 Rev. A Especificaciones dedespoje de chaqueta Potted.xlsx</t>
  </si>
  <si>
    <t>~/cdd/olddocs/Estandares/Estandar AS9100/QM-03 Estandard AS9100 Rev, C pdf.pdf</t>
  </si>
  <si>
    <t>~/cdd/olddocs/Flow Chart/ITRON/AMSAFE/FC-AMSA -002  004070-0001.pdf</t>
  </si>
  <si>
    <t>~/cdd/olddocs/Flow Chart/ITRON/AMSAFE/FC-AMSA-001  004080-0001 al 0012.pdf</t>
  </si>
  <si>
    <t>~/cdd/olddocs/Flow Chart/ITRON/BONDING/FC-BOND-001 000-100-0113M, 000100-0179, 000102-TAB, 000104-TAB &amp; 000105-TAB. Snap lock.pdf</t>
  </si>
  <si>
    <t>~/cdd/olddocs/Flow Chart/ITRON/BONDING/FC-BOND-003  BACC65- TODOS.pdf</t>
  </si>
  <si>
    <t>~/cdd/olddocs/Flow Chart/ITRON/BONDING/FC-BOND-004   002371-0002 &amp; 002371-0004.pdf</t>
  </si>
  <si>
    <t>~/cdd/olddocs/Flow Chart/ITRON/BONDING/FC-BOND-005    002371-0003.pdf</t>
  </si>
  <si>
    <t>~/cdd/olddocs/Flow Chart/ITRON/BONDING/FC-BOND-006   002314 &amp; 002315.pdf</t>
  </si>
  <si>
    <t>~/cdd/olddocs/Flow Chart/ITRON/BONDING/FC-BOND-008   002367-0121.pdf</t>
  </si>
  <si>
    <t>~/cdd/olddocs/Flow Chart/ITRON/BONDING/FC-BOND-009  002368-0002, 002368-0003, 002368-0007 &amp; 002368-0018.pdf</t>
  </si>
  <si>
    <t>~/cdd/olddocs/Flow Chart/ITRON/BONDING/FC-BOND-010    002368-0211A.pdf</t>
  </si>
  <si>
    <t>~/cdd/olddocs/Flow Chart/ITRON/BONDING/FC-BOND-011   002368-0221.pdf</t>
  </si>
  <si>
    <t>~/cdd/olddocs/Flow Chart/ITRON/BONDING/FC-BOND-012     002368-0221A.pdf</t>
  </si>
  <si>
    <t>~/cdd/olddocs/Flow Chart/ITRON/BONDING/FC-BOND-013    002368-0802.pdf</t>
  </si>
  <si>
    <t>~/cdd/olddocs/Flow Chart/ITRON/BONDING/FC-BOND-014   002368-XXXX.pdf</t>
  </si>
  <si>
    <t>~/cdd/olddocs/Flow Chart/ITRON/BONDING/FC-BOND-015   002369-0001.pdf</t>
  </si>
  <si>
    <t>~/cdd/olddocs/Flow Chart/ITRON/BONDING/FC-BOND-016    002378-0001.pdf</t>
  </si>
  <si>
    <t>~/cdd/olddocs/Flow Chart/ITRON/BONDING/FC-BOND-017    T002379-0001.pdf</t>
  </si>
  <si>
    <t>~/cdd/olddocs/Flow Chart/ITRON/BONDING/FC-BOND-018    002501-0001 y 002505-0001.pdf</t>
  </si>
  <si>
    <t>~/cdd/olddocs/Flow Chart/ITRON/BONDING/FC-BOND-019    002600-000X &amp; 002601-000X.pdf</t>
  </si>
  <si>
    <t>~/cdd/olddocs/Flow Chart/ITRON/BONDING/FC-BOND-020     002701-0001 al 0010.pdf</t>
  </si>
  <si>
    <t>~/cdd/olddocs/Flow Chart/ITRON/BONDING/FC-BOND-021      003004-0001.pdf</t>
  </si>
  <si>
    <t>~/cdd/olddocs/Flow Chart/ITRON/BONDING/FC-BOND-022    003094-0001.pdf</t>
  </si>
  <si>
    <t>~/cdd/olddocs/Flow Chart/ITRON/BONDING/FC-BOND-023  Rev. A   BACC65AKXXXP &amp; BACC65AJXXXS.pdf</t>
  </si>
  <si>
    <t>~/cdd/olddocs/Flow Chart/ITRON/BONDING/FC-BOND-024  BACC65ALXXXS.pdf</t>
  </si>
  <si>
    <t>~/cdd/olddocs/Flow Chart/ITRON/BONDING/FC-BOND-025   BACS16W, BACS16X, VB10-1UWC11 &amp; VB10-1PWC11.pdf</t>
  </si>
  <si>
    <t>~/cdd/olddocs/Flow Chart/MICROMINI/CHANGE-OUT/FC-CHGO-002  CX8653312P.pdf</t>
  </si>
  <si>
    <t>~/cdd/olddocs/Flow Chart/MICROMINI/CHANGE-OUT/FC-CHGO-003  CX8653316P.pdf</t>
  </si>
  <si>
    <t>~/cdd/olddocs/Flow Chart/MICROMINI/CHANGE-OUT/FC-CHGO-004  CX8653330P.pdf</t>
  </si>
  <si>
    <t>~/cdd/olddocs/Flow Chart/MICROMINI/CHANGE-OUT/FC-CHGO-005  CX8653346P.pdf</t>
  </si>
  <si>
    <t>~/cdd/olddocs/Flow Chart/MICROMINI/CHANGE-OUT/FC-CHGO-006   X865248P.pdf</t>
  </si>
  <si>
    <t>~/cdd/olddocs/Flow Chart/MICROMINI/CHANGE-OUT/FC-CHGO-008  X865316P, X865398P.pdf</t>
  </si>
  <si>
    <t>~/cdd/olddocs/Flow Chart/MICROMINI/CHANGE-OUT/FC-CHGO-009  X865344P.pdf</t>
  </si>
  <si>
    <t>~/cdd/olddocs/Flow Chart/MICROMINI/CHANGE-OUT/FC-CHGO-010   X865393P.pdf</t>
  </si>
  <si>
    <t>~/cdd/olddocs/Flow Chart/MICROMINI/CHANGE-OUT/FC-CHGO-011  X8651648P.pdf</t>
  </si>
  <si>
    <t>~/cdd/olddocs/Flow Chart/MICROMINI/CHANGE-OUT/FC-CHGO-012  X8653325.pdf</t>
  </si>
  <si>
    <t>~/cdd/olddocs/Flow Chart/MICROMINI/CHANGE-OUT/FC-CHGO-015    X8653687P.pdf</t>
  </si>
  <si>
    <t>~/cdd/olddocs/Flow Chart/MICROMINI/CHANGE-OUT/FC-CHGO-016   X86521624P.pdf</t>
  </si>
  <si>
    <t>~/cdd/olddocs/Flow Chart/MICROMINI/CHANGE-OUT/FC-CHGO-017   X86531621P.pdf</t>
  </si>
  <si>
    <t>~/cdd/olddocs/Flow Chart/MICROMINI/MS/FC-MS-001  203205A.pdf</t>
  </si>
  <si>
    <t>~/cdd/olddocs/Flow Chart/MICROMINI/MS/FC-MS-002  5680551.pdf</t>
  </si>
  <si>
    <t>~/cdd/olddocs/Flow Chart/MICROMINI/MS/FC-MS-003   11536313.pdf</t>
  </si>
  <si>
    <t>~/cdd/olddocs/Flow Chart/MICROMINI/MS/FC-MS-004  11547793.pdf</t>
  </si>
  <si>
    <t>~/cdd/olddocs/Flow Chart/MICROMINI/MS/FC-MS-006 CHCCR003P.pdf</t>
  </si>
  <si>
    <t>~/cdd/olddocs/Flow Chart/MICROMINI/MS/FC-MS-007 M5E1811A230MH.pdf</t>
  </si>
  <si>
    <t>~/cdd/olddocs/Flow Chart/MICROMINI/MS/FC-MS-008 P1529042B130, P1532302C21, P1532302C27.pdf</t>
  </si>
  <si>
    <t>~/cdd/olddocs/Flow Chart/MICROMINI/MS/FC-MS-009  SMEA0092010, SMEA0092025, SMEA0092030, SMEA0092040, SMEA0092045, SMEA0092050.pdf</t>
  </si>
  <si>
    <t>~/cdd/olddocs/Flow Chart/MICROMINI/MS/FC-MS-010  SMEA0094007, SMEA0094030.pdf</t>
  </si>
  <si>
    <t>~/cdd/olddocs/Flow Chart/MICROMINI/MS/FC-MS-011  SMEA0114007, 4010, 4015, 4030.pdf</t>
  </si>
  <si>
    <t>~/cdd/olddocs/Flow Chart/MICROMINI/MS/FC-MS-012  SMEA0115010, 5015, 5020, 5030, 5035, 5060.pdf</t>
  </si>
  <si>
    <t>~/cdd/olddocs/Flow Chart/MICROMINI/MS/FC-MS-013  SMEA0120010, 0030, 0040, 0045.pdf</t>
  </si>
  <si>
    <t>~/cdd/olddocs/FMEA/FMEA-AMSA-001  (cables AMSAFE).pdf</t>
  </si>
  <si>
    <t>~/cdd/olddocs/FMEA/ITRON/BONDING/FMEA -BOND-002  002359-TAB 002360-TAB  002361-TAB.pdf</t>
  </si>
  <si>
    <t>~/cdd/olddocs/FMEA/ITRON/BONDING/FMEA-BOND-003  BACC65 TODOS.pdf</t>
  </si>
  <si>
    <t>~/cdd/olddocs/FMEA/ITRON/PLUG/FMEA- IPLUG-001 Rev. A  CBA-1300-00628-2302-0001.pdf</t>
  </si>
  <si>
    <t>~/cdd/olddocs/FMEA/ITRON/PLUG/FMEA-IPLUG-002  Rev. A 0002359-TAB 002360-TAB  002361-TAB.pdf</t>
  </si>
  <si>
    <t>~/cdd/olddocs/FMEA/MICROMINI/CHANGE-OUT/FMEA-CHGO-003  CX8653316P.pdf</t>
  </si>
  <si>
    <t>~/cdd/olddocs/FMEA/MICROMINI/CHANGE-OUT/FMEA-CHGO-005  CX8653346P.pdf</t>
  </si>
  <si>
    <t>~/cdd/olddocs/FMEA/MICROMINI/CHANGE-OUT/FMEA-CHGO-006  X865248P.pdf</t>
  </si>
  <si>
    <t>~/cdd/olddocs/FMEA/MICROMINI/CHANGE-OUT/FMEA-CHGO-007  AX865251P.pdf</t>
  </si>
  <si>
    <t>~/cdd/olddocs/FMEA/MICROMINI/CHANGE-OUT/FMEA-CHGO-009   X865344P.pdf</t>
  </si>
  <si>
    <t>~/cdd/olddocs/FMEA/MICROMINI/CHANGE-OUT/FMEA-CHGO-010 .pdf</t>
  </si>
  <si>
    <t>~/cdd/olddocs/FMEA/MICROMINI/CHANGE-OUT/FMEA-CHGO-011  X8651648P.pdf</t>
  </si>
  <si>
    <t>~/cdd/olddocs/FMEA/MICROMINI/CHANGE-OUT/FMEA-CHGO-012  X8653325.pdf</t>
  </si>
  <si>
    <t>~/cdd/olddocs/FMEA/MICROMINI/CHANGE-OUT/FMEA-CHGO-013  X8653382P.pdf</t>
  </si>
  <si>
    <t>~/cdd/olddocs/FMEA/MICROMINI/CHANGE-OUT/FMEA-CHGO-014     X8653568P.pdf</t>
  </si>
  <si>
    <t>~/cdd/olddocs/FMEA/MICROMINI/CHANGE-OUT/FMEA-CHGO-016  X86521624p.pdf</t>
  </si>
  <si>
    <t>~/cdd/olddocs/FMEA/MICROMINI/CHANGE-OUT/FMEA-CHGO-017   X86531621P.pdf</t>
  </si>
  <si>
    <t>~/cdd/olddocs/FMEA/MICROMINI/MS/FMEA-MS-001  203205A.pdf</t>
  </si>
  <si>
    <t>~/cdd/olddocs/FMEA/MICROMINI/MS/FMEA-MS-002  5680551.pdf</t>
  </si>
  <si>
    <t>~/cdd/olddocs/FMEA/MICROMINI/MS/FMEA-MS-003  11613668 &amp; 11536313.pdf</t>
  </si>
  <si>
    <t>~/cdd/olddocs/FMEA/MICROMINI/MS/FMEA-MS-004   11547793.pdf</t>
  </si>
  <si>
    <t>~/cdd/olddocs/FMEA/MICROMINI/MS/FMEA-MS-005 CH5041495B0360.pdf</t>
  </si>
  <si>
    <t>~/cdd/olddocs/FMEA/MICROMINI/MS/FMEA-MS-006 CHCCR003P.pdf</t>
  </si>
  <si>
    <t>~/cdd/olddocs/FMEA/MICROMINI/MS/FMEA-MS-008  P1526042B130, P1529042B130, P1532302C21, P1532302C27.pdf</t>
  </si>
  <si>
    <t>~/cdd/olddocs/FMEA/MICROMINI/MS/FMEA-MS-009 Rev. A  SMEA0092010, SMEA0092025, SMEA0092030, SMEA0092040, SMEA0092045, SMEA0092050.pdf</t>
  </si>
  <si>
    <t>~/cdd/olddocs/FMEA/MICROMINI/MS/FMEA-MS-010  SMEA0094007, SMEA0094030.pdf</t>
  </si>
  <si>
    <t>~/cdd/olddocs/FMEA/MICROMINI/MS/FMEA-MS-011  SMEA0114007, 4010, 4015, 4030.pdf</t>
  </si>
  <si>
    <t>~/cdd/olddocs/FMEA/MICROMINI/MS/FMEA-MS-012  SMEA0115010,5010, 5020, 5030, 5035, 5060.pdf</t>
  </si>
  <si>
    <t>~/cdd/olddocs/FMEA/MICROMINI/MS/FMEA-MS-013 SMEA01200010, 0030, 0040, 0045.pdf</t>
  </si>
  <si>
    <t>~/cdd/olddocs/Formas/CN-LEAN/Formatos/F-LEAN-01-001  Rev A Lista Maestra de IMC.xlsx</t>
  </si>
  <si>
    <t>~/cdd/olddocs/Formas/CN-LEAN/Formatos/F-LEAN-01-002 Rev  A Plan de Eventos Kaizen.xlsx</t>
  </si>
  <si>
    <t>~/cdd/olddocs/Formas/CN-LEAN/Formatos/F-LEAN-01-003 Rev  A Project Deck.xlsx</t>
  </si>
  <si>
    <t>~/cdd/olddocs/Formas/CN-LEAN/Formatos/F-LEAN-01-004 Rev. A  Formato de IMC.xlsx</t>
  </si>
  <si>
    <t>~/cdd/olddocs/Formas/CNWI-ENGI (Ingenieria)/CNWI-ENGI-F004 Registros control doc. Engi.xls</t>
  </si>
  <si>
    <t>~/cdd/olddocs/Formas/CNWI-ENGI (Ingenieria)/CNWI-ENGI-F005 Registro de ayudas visuales entregadas a produccion.xlsx</t>
  </si>
  <si>
    <t>~/cdd/olddocs/Formas/CNWI-ENGI (Ingenieria)/CNWI-ENGI-F006 Ajuste de Parametros.xlsx</t>
  </si>
  <si>
    <t>~/cdd/olddocs/Formas/CNWI-ENGI (Ingenieria)/CNWI-ENGI-F007 estatus ayudas visuales.xlsx</t>
  </si>
  <si>
    <t>~/cdd/olddocs/Formas/CNWI-ENGI (Ingenieria)/CNWI-ENGI-F009 Relacion de Planos controlados Externos- Internos.xls</t>
  </si>
  <si>
    <t>~/cdd/olddocs/Formas/CNWI-ENGI (Ingenieria)/CNWI-ENGI-F011 Lista de empaques.xlsx</t>
  </si>
  <si>
    <t>~/cdd/olddocs/Formas/CNWI-ENGI (Ingenieria)/CNWI-ENGI-F012 Relacion de Planos controlados Internos.xls</t>
  </si>
  <si>
    <t>~/cdd/olddocs/Formas/CNWI-ENGI (Ingenieria)/CNWI-ENGI-F013 Relacion de Planos Obsoletos.xls</t>
  </si>
  <si>
    <t>~/cdd/olddocs/Formas/CNWI-ENGI (Ingenieria)/CNWI-ENGI-F014 Identificacion de material en proceso .doc</t>
  </si>
  <si>
    <t>~/cdd/olddocs/Formas/CNWI-ENGI (Ingenieria)/CNWI-ENGI-F015 forma para caducidad de la goma (chemlok).xls</t>
  </si>
  <si>
    <t>~/cdd/olddocs/Formas/CNWI-ENGI (Ingenieria)/CNWI-ENGI-F016 Tabla de codigo de los medidores.xls</t>
  </si>
  <si>
    <t>~/cdd/olddocs/Formas/CNWI-ENGI (Ingenieria)/CNWI-ENGI-F017 Lista de posicionadores.xls</t>
  </si>
  <si>
    <t>~/cdd/olddocs/Formas/CNWI-ENGI (Ingenieria)/CNWI-ENGI-F018 Copia controlada a incoming inspection.xls</t>
  </si>
  <si>
    <t>~/cdd/olddocs/Formas/CNWI-ENGI (Ingenieria)/CNWI-ENGI-F019 Especificaciones de empaque.xlsx</t>
  </si>
  <si>
    <t>~/cdd/olddocs/Formas/CNWI-ENGI (Ingenieria)/CNWI-ENGI-F020 QRB PRINTABLE.PUB</t>
  </si>
  <si>
    <t>~/cdd/olddocs/Formas/CNWI-ENGI (Ingenieria)/CNWI-ENGI-F021 SQDC CHARTS (PLANT) PRINTABLE.pub</t>
  </si>
  <si>
    <t>~/cdd/olddocs/Formas/CNWI-ENGI (Ingenieria)/CNWI-ENGI-F024 SQDC CHARTS PRINTABLE.pub</t>
  </si>
  <si>
    <t>~/cdd/olddocs/Formas/CNWI-ENGI (Ingenieria)/CNWI-ENGI-F028 Control 15 Hoja 1.xls</t>
  </si>
  <si>
    <t>~/cdd/olddocs/Formas/CNWI-ENGI (Ingenieria)/CNWI-ENGI-F029 Transference check list.xls</t>
  </si>
  <si>
    <t>~/cdd/olddocs/Formas/CNWI-ENGI (Ingenieria)/CNWI-ENGI-F030 Lista de distribuccion de especificaciones de corte.xls</t>
  </si>
  <si>
    <t>~/cdd/olddocs/Formas/CNWI-ENGI (Ingenieria)/CNWI-ENGI-F031 Arburg set-up sheet.xls</t>
  </si>
  <si>
    <t>~/cdd/olddocs/Formas/CNWI-ENGI (Ingenieria)/CNWI-ENGI-F032 INSTRUCCION DE RETRABAJO.xls</t>
  </si>
  <si>
    <t>~/cdd/olddocs/Formas/CNWI-ENGI (Ingenieria)/CNWI-ENGI-F033 Estudios de Tiempo.xls</t>
  </si>
  <si>
    <t>~/cdd/olddocs/Formas/CNWI-ENGI (Ingenieria)/CNWI-ENGI-F034 Registro de Tiempos de Purga y Set-Up de Moldeadoras.xls</t>
  </si>
  <si>
    <t>~/cdd/olddocs/Formas/CNWI-ENGI (Ingenieria)/CNWI-ENGI-F035 Equipment Transfer Sheet.xls</t>
  </si>
  <si>
    <t>~/cdd/olddocs/Formas/CNWI-ENGI (Ingenieria)/CNWI-ENGI-F036 Log de ordenes de insert.xls</t>
  </si>
  <si>
    <t>~/cdd/olddocs/Formas/CNWI-ENGI (Ingenieria)/CNWI-ENGI-F037 Id de Ingenieria.doc</t>
  </si>
  <si>
    <t>~/cdd/olddocs/Formas/CNWI-ENGI (Ingenieria)/CNWI-ENGI-F038 Ajustes de parametros.pdf</t>
  </si>
  <si>
    <t>~/cdd/olddocs/Formas/CNWI-ENGI (Ingenieria)/CNWI-ENGI-F039 Parametros de termperatura y humedad.xls</t>
  </si>
  <si>
    <t>~/cdd/olddocs/Formas/CNWI-ENGI (Ingenieria)/CNWI-ENGI-F040 Reporte de tiempos y temperaturas.xls</t>
  </si>
  <si>
    <t>~/cdd/olddocs/Formas/CNWI-ENGI (Ingenieria)/CNWI-ENGI-F041 Especificaciones de insercion.xlsx</t>
  </si>
  <si>
    <t>~/cdd/olddocs/Formas/CNWI-ENGI (Ingenieria)/CNWI-ENGI-F042 Especificaciones de despoje de chaqueta.xlsx</t>
  </si>
  <si>
    <t>~/cdd/olddocs/Formas/CNWI-ENGI (Ingenieria)/CNWI-ENGI-F043 Especificaciones de despoje de conductores.xlsx</t>
  </si>
  <si>
    <t>~/cdd/olddocs/Formas/CNWI-ENGI (Ingenieria)/CNWI-ENGI-F044 Corrida Muestra.xlsx</t>
  </si>
  <si>
    <t>~/cdd/olddocs/Formas/CNWI-ENGI (Ingenieria)/CNWI-ENGI-F045 Drawing Change Notification.xls</t>
  </si>
  <si>
    <t>~/cdd/olddocs/Formas/CNWI-ENGI (Ingenieria)/CNWI-ENGI-F046 Temperaturas de moldeado.xls</t>
  </si>
  <si>
    <t>~/cdd/olddocs/Formas/CNWI-ENGI (Ingenieria)/CNWI-ENGI-F047 Check list de montaje y desmontaje.doc</t>
  </si>
  <si>
    <t>~/cdd/olddocs/Formas/CNWI-ENGI (Ingenieria)/CNWI-ENGI-F048 HOJA_DE_PARAMETROS MOORPARK.xlsx</t>
  </si>
  <si>
    <t>~/cdd/olddocs/Formas/CNWI-ENGI (Ingenieria)/CNWI-ENGI-F049 Itron Part Number Cross Reference.xls</t>
  </si>
  <si>
    <t>~/cdd/olddocs/Formas/CNWI-ENGI (Ingenieria)/CNWI-ENGI-F050 Varios PART NUMBERS CROSS REFERENCE..xlsm</t>
  </si>
  <si>
    <t>~/cdd/olddocs/Formas/CNWI-ENGI (Ingenieria)/CNWI-ENGI-F051 Cross Reference Amsafe.xls</t>
  </si>
  <si>
    <t>~/cdd/olddocs/Formas/CNWI-ENGI (Ingenieria)/CNWI-ENGI-F052 Inspection report.xls</t>
  </si>
  <si>
    <t>~/cdd/olddocs/Formas/CNWI-ENGI (Ingenieria)/CNWI-ENGI-F054 Cambios de reviciones.xls</t>
  </si>
  <si>
    <t>~/cdd/olddocs/Formas/CNWI-ENGI (Ingenieria)/CNWI-ENGI-F055 MATRIZ DE EMPAQUE.xlsx</t>
  </si>
  <si>
    <t>~/cdd/olddocs/Formas/CNWI-ENGI (Ingenieria)/CNWI-ENGI-F056 RESUMEN CAMBIOS COOPER NOGALES.xls</t>
  </si>
  <si>
    <t>~/cdd/olddocs/Formas/CNWI-ENGI (Ingenieria)/CNWI-ENGI-F059 Hoja de parametros prueba AHI-Top.xlsx</t>
  </si>
  <si>
    <t>~/cdd/olddocs/Formas/CNWI-ENGI (Ingenieria)/CNWI-ENGI-F060 NPI Scorecard.xls</t>
  </si>
  <si>
    <t>~/cdd/olddocs/Formas/CNWI-ENGI (Ingenieria)/CNWI-ENGI-F062 Especificacion de corte de cable en Solar.xls</t>
  </si>
  <si>
    <t>~/cdd/olddocs/Formas/CNWI-ENGI (Ingenieria)/CNWI-ENGI-F063 Check list empaque solar.xls</t>
  </si>
  <si>
    <t>~/cdd/olddocs/Formas/CNWI-HMRS (Recursos Humanos)/CNWI-HMRS-F001 Lista de Asistencia y Entrenamiento .pdf</t>
  </si>
  <si>
    <t>~/cdd/olddocs/Formas/CNWI-HMRS (Recursos Humanos)/CNWI-HMRS-F002 Matriz de Flexibilidad.xlsx</t>
  </si>
  <si>
    <t>~/cdd/olddocs/Formas/CNWI-HMRS (Recursos Humanos)/CNWI-HMRS-F003 Evaluación Práctica del Entrenamiento.xlsx</t>
  </si>
  <si>
    <t>~/cdd/olddocs/Formas/CNWI-HMRS (Recursos Humanos)/CNWI-HMRS-F004 Descripcion de PuestoDoc..doc</t>
  </si>
  <si>
    <t>~/cdd/olddocs/Formas/CNWI-HMRS (Recursos Humanos)/CNWI-HMRS-F005 Examen Teorico.xls</t>
  </si>
  <si>
    <t>~/cdd/olddocs/Formas/CNWI-HMRS (Recursos Humanos)/CNWI-HMRS-F006 Solicitud de capacitacion.xls</t>
  </si>
  <si>
    <t>~/cdd/olddocs/Formas/CNWI-HMRS (Recursos Humanos)/CNWI-HMRS-F007 Rev  C FORMATO TIEMPO EXTRA.xlsx</t>
  </si>
  <si>
    <t>~/cdd/olddocs/Formas/CNWI-HMRS (Recursos Humanos)/CNWI-HMRS-F008 Permiso al personal .xls</t>
  </si>
  <si>
    <t>~/cdd/olddocs/Formas/CNWI-HMRS (Recursos Humanos)/CNWI-HMRS-F009 Control de Herramienta.doc</t>
  </si>
  <si>
    <t>~/cdd/olddocs/Formas/CNWI-HMRS (Recursos Humanos)/CNWI-HMRS-F010 Control Credencial.doc</t>
  </si>
  <si>
    <t>~/cdd/olddocs/Formas/CNWI-HMRS (Recursos Humanos)/CNWI-HMRS-F012 Inventario de Capacitacion de proceso.xlsx</t>
  </si>
  <si>
    <t>~/cdd/olddocs/Formas/CNWI-HMRS (Recursos Humanos)/CNWI-HMRS-F013 Formato de MODIFICACION AL PERSONAL.xls</t>
  </si>
  <si>
    <t>~/cdd/olddocs/Formas/CNWI-HMRS (Recursos Humanos)/CNWI-HMRS-F014 REGISTRO DE AMONESTACION VERBAL.docx</t>
  </si>
  <si>
    <t>~/cdd/olddocs/Formas/CNWI-HMRS (Recursos Humanos)/CNWI-HMRS-F015 Formato  DNC.xlsx</t>
  </si>
  <si>
    <t>~/cdd/olddocs/Formas/CNWI-HMRS (Recursos Humanos)/CNWI-HMRS-F016 Formato  Evaluación Operadores.xlsx</t>
  </si>
  <si>
    <t>~/cdd/olddocs/Formas/CNWI-HMRS (Recursos Humanos)/CNWI-HMRS-F017 Constancia de entrenamiento.xlsx</t>
  </si>
  <si>
    <t>~/cdd/olddocs/Formas/CNWI-HMRS (Recursos Humanos)/CNWI-HMRS-F018 Matriz de entrenamiento.xlsx</t>
  </si>
  <si>
    <t>~/cdd/olddocs/Formas/CNWI-MTTO (Mantenimiento)/CNWI-MTTO-F001 Boleta de Control de equipo.doc</t>
  </si>
  <si>
    <t>~/cdd/olddocs/Formas/CNWI-MTTO (Mantenimiento)/CNWI-MTTO-F002 inventario de moldes.xls</t>
  </si>
  <si>
    <t>~/cdd/olddocs/Formas/CNWI-MTTO (Mantenimiento)/CNWI-MTTO-F003 LISTADO DE MAQUINAS.xls</t>
  </si>
  <si>
    <t>~/cdd/olddocs/Formas/CNWI-MTTO (Mantenimiento)/CNWI-MTTO-F004  Calendario Anual de Mantenimiento Preventivo.xls</t>
  </si>
  <si>
    <t>~/cdd/olddocs/Formas/CNWI-MTTO (Mantenimiento)/CNWI-MTTO-F006 LISTADO DE SUPLEM Y PARTES.xls</t>
  </si>
  <si>
    <t>~/cdd/olddocs/Formas/CNWI-MTTO (Mantenimiento)/CNWI-MTTO-F008 Orden de Trabajo para Mantenimineto.xls</t>
  </si>
  <si>
    <t>~/cdd/olddocs/Formas/CNWI-MTTO (Mantenimiento)/CNWI-MTTO-F010 Etiqueta de Mantenimiento.doc</t>
  </si>
  <si>
    <t>~/cdd/olddocs/Formas/CNWI-MTTO (Mantenimiento)/CNWI-MTTO-F011 Registro de Mantenimiento Preventivo.xls</t>
  </si>
  <si>
    <t>~/cdd/olddocs/Formas/CNWI-MTTO (Mantenimiento)/CNWI-MTTO-F012 suplementos y partes.xls</t>
  </si>
  <si>
    <t>~/cdd/olddocs/Formas/CNWI-MTTO (Mantenimiento)/CNWI-MTTO-F013 Boleta de Control de Materiales.doc</t>
  </si>
  <si>
    <t>~/cdd/olddocs/Formas/CNWI-MTTO (Mantenimiento)/CNWI-MTTO-F014 Inventario de Quimicos.xls</t>
  </si>
  <si>
    <t>~/cdd/olddocs/Formas/CNWI-MTTO (Mantenimiento)/CNWI-MTTO-F015 Revicion de temperatura Quimicos.xls</t>
  </si>
  <si>
    <t>~/cdd/olddocs/Formas/CNWI-MTTO (Mantenimiento)/CNWI-MTTO-F016 Mantenimiento Preventivo a Moldes.xls</t>
  </si>
  <si>
    <t>~/cdd/olddocs/Formas/CNWI-MTTO (Mantenimiento)/CNWI-MTTO-F017 Inventario Mensual de Suplementos y Partes.xls</t>
  </si>
  <si>
    <t>~/cdd/olddocs/Formas/CNWI-MTTO (Mantenimiento)/CNWI-MTTO-F018 Inspeccion de Montacargas Electrico.xls</t>
  </si>
  <si>
    <t>~/cdd/olddocs/Formas/CNWI-MTTO (Mantenimiento)/CNWI-MTTO-F019 REGISTRO DE TEMPERATURA DE ALMACENAMIENTO DE QUIMICOS.xls</t>
  </si>
  <si>
    <t>~/cdd/olddocs/Formas/CNWI-MTTO (Mantenimiento)/CNWI-MTTO-F020 Inspeccion de Plataforma elevadora.xls</t>
  </si>
  <si>
    <t>~/cdd/olddocs/Formas/CNWI-MTTO (Mantenimiento)/CNWI-MTTO-F021 Plan de actividades Mecanicos.xls</t>
  </si>
  <si>
    <t>~/cdd/olddocs/Formas/CNWI-MTTO (Mantenimiento)/CNWI-MTTO-F022 Rev. A ETIQUETA DE IDENTIFICACION PARA  EQUIPO EN REPARACION.pptx</t>
  </si>
  <si>
    <t>~/cdd/olddocs/Formas/CNWI-MTTO (Mantenimiento)/CNWI-MTTO-F025 Tarjetas rojas y verdes.xlsx</t>
  </si>
  <si>
    <t>~/cdd/olddocs/Formas/CNWI-MTTO (Mantenimiento)/CNWI-MTTO-F029 Revisión de despojadoras Schleuniger.pdf</t>
  </si>
  <si>
    <t>~/cdd/olddocs/Formas/CNWI-MTTO (Mantenimiento)/CNWI-MTTO-F031 Entrega y recibo de moldes.pdf</t>
  </si>
  <si>
    <t>~/cdd/olddocs/Formas/CNWI-PLNN (Planeacion )/CNWI-PLNN-F001 CUST REQ  PGI REPORT .xls</t>
  </si>
  <si>
    <t>~/cdd/olddocs/Formas/CNWI-PLNN (Planeacion )/CNWI-PLNN-F002 MasterSchedule.xlsx</t>
  </si>
  <si>
    <t>~/cdd/olddocs/Formas/CNWI-PRCS (compras)/CNWI-PRCS-F002 Formato de orden de compra .xls</t>
  </si>
  <si>
    <t>~/cdd/olddocs/Formas/CNWI-PRCS (compras)/CNWI-PRCS-F003 Formato de Sol  de pago.xls</t>
  </si>
  <si>
    <t>~/cdd/olddocs/Formas/CNWI-PRCS (compras)/CNWI-PRCS-F004 Alta Proveedores .XLS</t>
  </si>
  <si>
    <t>~/cdd/olddocs/Formas/CNWI-PRCS (compras)/CNWI-PRCS-F005 QUALITY CLAUSES.docx</t>
  </si>
  <si>
    <t>~/cdd/olddocs/Formas/CNWI-PRCS (compras)/CNWI-PRCS-F006 Vendors autorizados.xls</t>
  </si>
  <si>
    <t>~/cdd/olddocs/Formas/CNWI-PRCS (compras)/CNWI-PRCS-F007 Proveedores Aprovados MRO.pdf</t>
  </si>
  <si>
    <t>~/cdd/olddocs/Formas/CNWI-PRCS (compras)/CNWI-PRCS-F008 Evaluacion de Proveedores MRO.xls</t>
  </si>
  <si>
    <t>~/cdd/olddocs/Formas/CNWI-PRCS (compras)/CNWI-PRCS-F009 Listado de evaluacion de proveedores MRO.xls</t>
  </si>
  <si>
    <t>~/cdd/olddocs/Formas/CNWI-PRCS (compras)/CNWI-PRCS-F010  Inventory Approval Process.xls</t>
  </si>
  <si>
    <t>~/cdd/olddocs/Formas/CNWI-PROD ( Produccion )/CNWI-PROD-F001 Curado de partes de Horneado.xls</t>
  </si>
  <si>
    <t>~/cdd/olddocs/Formas/CNWI-PROD ( Produccion )/CNWI-PROD-F0015 Etiqueta relays1.xls</t>
  </si>
  <si>
    <t>~/cdd/olddocs/Formas/CNWI-PROD ( Produccion )/CNWI-PROD-F002 ETIQUETA ITRON .xls</t>
  </si>
  <si>
    <t>~/cdd/olddocs/Formas/CNWI-PROD ( Produccion )/CNWI-PROD-F003 ETIQUETAS AMSAFE.xls</t>
  </si>
  <si>
    <t>~/cdd/olddocs/Formas/CNWI-PROD ( Produccion )/CNWI-PROD-F004 lot control traveler.doc</t>
  </si>
  <si>
    <t>~/cdd/olddocs/Formas/CNWI-PROD ( Produccion )/CNWI-PROD-F005 Wire pro viking division.xls</t>
  </si>
  <si>
    <t>~/cdd/olddocs/Formas/CNWI-PROD ( Produccion )/CNWI-PROD-F006 Temperatura y tiempos de curado.xls</t>
  </si>
  <si>
    <t>~/cdd/olddocs/Formas/CNWI-PROD ( Produccion )/CNWI-PROD-F007 Temperaturas de moldeado.xls</t>
  </si>
  <si>
    <t>~/cdd/olddocs/Formas/CNWI-PROD ( Produccion )/CNWI-PROD-F008 ETIQUETA bacc`s.xls</t>
  </si>
  <si>
    <t>~/cdd/olddocs/Formas/CNWI-PROD ( Produccion )/CNWI-PROD-F009 Etiqueta bacc´s 1.xls</t>
  </si>
  <si>
    <t>~/cdd/olddocs/Formas/CNWI-PROD ( Produccion )/CNWI-PROD-F010 ETIQUETA CONTACTO.xls</t>
  </si>
  <si>
    <t>~/cdd/olddocs/Formas/CNWI-PROD ( Produccion )/CNWI-PROD-F011 Etiqueta lighting 2370.xls</t>
  </si>
  <si>
    <t>~/cdd/olddocs/Formas/CNWI-PROD ( Produccion )/CNWI-PROD-F012 Etiqueta lighting 3004.xlsx</t>
  </si>
  <si>
    <t>~/cdd/olddocs/Formas/CNWI-PROD ( Produccion )/CNWI-PROD-F013 Etiqueta macdonalds.xls</t>
  </si>
  <si>
    <t>~/cdd/olddocs/Formas/CNWI-PROD ( Produccion )/CNWI-PROD-F014 Etiqueta relays.xls</t>
  </si>
  <si>
    <t>~/cdd/olddocs/Formas/CNWI-PROD ( Produccion )/CNWI-PROD-F016 Etiqueta relays 2.xls</t>
  </si>
  <si>
    <t>~/cdd/olddocs/Formas/CNWI-PROD ( Produccion )/CNWI-PROD-F017 Etiqueta relays 3.xls</t>
  </si>
  <si>
    <t>~/cdd/olddocs/Formas/CNWI-PROD ( Produccion )/CNWI-PROD-F018 Etiqueta relays 4.xls</t>
  </si>
  <si>
    <t>~/cdd/olddocs/Formas/CNWI-PROD ( Produccion )/CNWI-PROD-F019 Etiqueta relays 5.xls</t>
  </si>
  <si>
    <t>~/cdd/olddocs/Formas/CNWI-PROD ( Produccion )/CNWI-PROD-F020 Etiqueta relays 6.xls</t>
  </si>
  <si>
    <t>~/cdd/olddocs/Formas/CNWI-PROD ( Produccion )/CNWI-PROD-F021 Etiqueta relays 7.xls</t>
  </si>
  <si>
    <t>~/cdd/olddocs/Formas/CNWI-PROD ( Produccion )/CNWI-PROD-F022 Etiqueta relays 8.xls</t>
  </si>
  <si>
    <t>~/cdd/olddocs/Formas/CNWI-PROD ( Produccion )/CNWI-PROD-F023 Etiqueta relays 9.xls</t>
  </si>
  <si>
    <t>~/cdd/olddocs/Formas/CNWI-PROD ( Produccion )/CNWI-PROD-F024 Etiqueta salem.xls</t>
  </si>
  <si>
    <t>~/cdd/olddocs/Formas/CNWI-PROD ( Produccion )/CNWI-PROD-F025 Etiqueta single wire.xls</t>
  </si>
  <si>
    <t>~/cdd/olddocs/Formas/CNWI-PROD ( Produccion )/CNWI-PROD-F026 Etiqueta snap lock.xls</t>
  </si>
  <si>
    <t>~/cdd/olddocs/Formas/CNWI-PROD ( Produccion )/CNWI-PROD-F027 Etiqueta snap lock &amp; three wire splice.xls</t>
  </si>
  <si>
    <t>~/cdd/olddocs/Formas/CNWI-PROD ( Produccion )/CNWI-PROD-F028 Etiqueta thorkom.xls</t>
  </si>
  <si>
    <t>~/cdd/olddocs/Formas/CNWI-PROD ( Produccion )/CNWI-PROD-F029  Etiqueta tracks.xls</t>
  </si>
  <si>
    <t>~/cdd/olddocs/Formas/CNWI-PROD ( Produccion )/CNWI-PROD-F030  Etiqueta tracks 1.xls</t>
  </si>
  <si>
    <t>~/cdd/olddocs/Formas/CNWI-PROD ( Produccion )/CNWI-PROD-F031 Etiqueta variado lifters,rieles.xls</t>
  </si>
  <si>
    <t>~/cdd/olddocs/Formas/CNWI-PROD ( Produccion )/CNWI-PROD-F032 ETIQUETAS 557`s.xls</t>
  </si>
  <si>
    <t>~/cdd/olddocs/Formas/CNWI-PROD ( Produccion )/CNWI-PROD-F033 Move Ticket.xls</t>
  </si>
  <si>
    <t>~/cdd/olddocs/Formas/CNWI-PROD ( Produccion )/CNWI-PROD-F034 tiempo retrabajo.xls</t>
  </si>
  <si>
    <t>~/cdd/olddocs/Formas/CNWI-PROD ( Produccion )/CNWI-PROD-F035 Pareto de informacion diaria.xls</t>
  </si>
  <si>
    <t>~/cdd/olddocs/Formas/CNWI-PROD ( Produccion )/CNWI-PROD-F036 REPORTE DE MICROMINI PROBLEMAS DIARIOS.xls</t>
  </si>
  <si>
    <t>~/cdd/olddocs/Formas/CNWI-PROD ( Produccion )/CNWI-PROD-F037 Gemba walk.xls</t>
  </si>
  <si>
    <t>~/cdd/olddocs/Formas/CNWI-PROD ( Produccion )/CNWI-PROD-F038 HORA X HORA Off .xlsx</t>
  </si>
  <si>
    <t>~/cdd/olddocs/Formas/CNWI-PROD ( Produccion )/CNWI-PROD-F039 FORMATO PRODUCTIVIDAD.pptx</t>
  </si>
  <si>
    <t>~/cdd/olddocs/Formas/CNWI-PROD ( Produccion )/CNWI-PROD-F040 Past Due.xls</t>
  </si>
  <si>
    <t>~/cdd/olddocs/Formas/CNWI-QAAS (aseguranza de calidad)/CNWI-QAAS-F001 Record de Calibracion.xls</t>
  </si>
  <si>
    <t>~/cdd/olddocs/Formas/CNWI-QAAS (aseguranza de calidad)/CNWI-QAAS-F003-C Formato oficial para control de documentos.doc</t>
  </si>
  <si>
    <t>~/cdd/olddocs/Formas/CNWI-QAAS (aseguranza de calidad)/CNWI-QAAS-F004 Lista de Verificacion de AS9100.xls</t>
  </si>
  <si>
    <t>~/cdd/olddocs/Formas/CNWI-QAAS (aseguranza de calidad)/CNWI-QAAS-F005 Corrective and Preventive Action Request.xlsx</t>
  </si>
  <si>
    <t>~/cdd/olddocs/Formas/CNWI-QAAS (aseguranza de calidad)/CNWI-QAAS-F007 Material no conformante .ppt</t>
  </si>
  <si>
    <t>~/cdd/olddocs/Formas/CNWI-QAAS (aseguranza de calidad)/CNWI-QAAS-F008-A Liberacion primera pieza AMSAFE-SALEM-ENS.GRAL.pptx</t>
  </si>
  <si>
    <t>~/cdd/olddocs/Formas/CNWI-QAAS (aseguranza de calidad)/CNWI-QAAS-F008-B Liberacion primera pieza CORTE.pptx</t>
  </si>
  <si>
    <t>~/cdd/olddocs/Formas/CNWI-QAAS (aseguranza de calidad)/CNWI-QAAS-F008-C Liberacion primera pieza ENGOMADO.pptx</t>
  </si>
  <si>
    <t>~/cdd/olddocs/Formas/CNWI-QAAS (aseguranza de calidad)/CNWI-QAAS-F008-D Liberacion primera pieza ITRON.pptx</t>
  </si>
  <si>
    <t>~/cdd/olddocs/Formas/CNWI-QAAS (aseguranza de calidad)/CNWI-QAAS-F008-E Liberacion primera pieza MICROMINI.pptx</t>
  </si>
  <si>
    <t>~/cdd/olddocs/Formas/CNWI-QAAS (aseguranza de calidad)/CNWI-QAAS-F008-F Liberacion primera pieza MOLDEO.pptx</t>
  </si>
  <si>
    <t>~/cdd/olddocs/Formas/CNWI-QAAS (aseguranza de calidad)/CNWI-QAAS-F009 Lista de verificacion Español.doc</t>
  </si>
  <si>
    <t>~/cdd/olddocs/Formas/CNWI-QAAS (aseguranza de calidad)/CNWI-QAAS-F010 Codigos de Scrap.xls</t>
  </si>
  <si>
    <t>~/cdd/olddocs/Formas/CNWI-QAAS (aseguranza de calidad)/CNWI-QAAS-F011 critical dimension sheet.xls</t>
  </si>
  <si>
    <t>~/cdd/olddocs/Formas/CNWI-QAAS (aseguranza de calidad)/CNWI-QAAS-F012 contact insertion force.xls</t>
  </si>
  <si>
    <t>~/cdd/olddocs/Formas/CNWI-QAAS (aseguranza de calidad)/CNWI-QAAS-F014 Reporte de Inspección Final.doc</t>
  </si>
  <si>
    <t>~/cdd/olddocs/Formas/CNWI-QAAS (aseguranza de calidad)/CNWI-QAAS-F015  Codigos de Defectos de Proceso.pdf</t>
  </si>
  <si>
    <t>~/cdd/olddocs/Formas/CNWI-QAAS (aseguranza de calidad)/CNWI-QAAS-F016 Reporte de Inspección en Proceso Itron.xls</t>
  </si>
  <si>
    <t>~/cdd/olddocs/Formas/CNWI-QAAS (aseguranza de calidad)/CNWI-QAAS-F017  Insulation Resistence Test Data Sheet.doc</t>
  </si>
  <si>
    <t>~/cdd/olddocs/Formas/CNWI-QAAS (aseguranza de calidad)/CNWI-QAAS-F018 Reporte de Lectura de Prensas.xls</t>
  </si>
  <si>
    <t>~/cdd/olddocs/Formas/CNWI-QAAS (aseguranza de calidad)/CNWI-QAAS-F019  reporte de prueba de jalon.xls</t>
  </si>
  <si>
    <t>~/cdd/olddocs/Formas/CNWI-QAAS (aseguranza de calidad)/CNWI-QAAS-F020 Inspection Record Card.doc</t>
  </si>
  <si>
    <t>~/cdd/olddocs/Formas/CNWI-QAAS (aseguranza de calidad)/CNWI-QAAS-F022 Lista Maestra de Documentos controlados (Cross reference).xlsx</t>
  </si>
  <si>
    <t>~/cdd/olddocs/Formas/CNWI-QAAS (aseguranza de calidad)/CNWI-QAAS-F023 Bonding Process Certification Audit Log.xls</t>
  </si>
  <si>
    <t>~/cdd/olddocs/Formas/CNWI-QAAS (aseguranza de calidad)/CNWI-QAAS-F024 Bonding Process Certification Audit Log .xls</t>
  </si>
  <si>
    <t>~/cdd/olddocs/Formas/CNWI-QAAS (aseguranza de calidad)/CNWI-QAAS-F025 Layout Dimencional.xlsx</t>
  </si>
  <si>
    <t>~/cdd/olddocs/Formas/CNWI-QAAS (aseguranza de calidad)/CNWI-QAAS-F026 Prueba Remachado.doc</t>
  </si>
  <si>
    <t>~/cdd/olddocs/Formas/CNWI-QAAS (aseguranza de calidad)/CNWI-QAAS-F027 Lista de Verificacion Final.doc</t>
  </si>
  <si>
    <t>~/cdd/olddocs/Formas/CNWI-QAAS (aseguranza de calidad)/CNWI-QAAS-F028 Histograma.xls</t>
  </si>
  <si>
    <t>~/cdd/olddocs/Formas/CNWI-QAAS (aseguranza de calidad)/CNWI-QAAS-F029 prue ba de conectores (AMC) .xls</t>
  </si>
  <si>
    <t>~/cdd/olddocs/Formas/CNWI-QAAS (aseguranza de calidad)/CNWI-QAAS-F030 Reporte de prueba de fuga)Mantener en ingles.doc</t>
  </si>
  <si>
    <t>~/cdd/olddocs/Formas/CNWI-QAAS (aseguranza de calidad)/CNWI-QAAS-F031 C of C Nogales.doc</t>
  </si>
  <si>
    <t>~/cdd/olddocs/Formas/CNWI-QAAS (aseguranza de calidad)/CNWI-QAAS-F032 Plan Anual de Auditoria.xls</t>
  </si>
  <si>
    <t>~/cdd/olddocs/Formas/CNWI-QAAS (aseguranza de calidad)/CNWI-QAAS-F033 Auditores Internos y Procesos que pueden Auditar .xls</t>
  </si>
  <si>
    <t>~/cdd/olddocs/Formas/CNWI-QAAS (aseguranza de calidad)/CNWI-QAAS-F034 Junta de Apertura- Cierre de Auditoria Interna.docx</t>
  </si>
  <si>
    <t>~/cdd/olddocs/Formas/CNWI-QAAS (aseguranza de calidad)/CNWI-QAAS-F035 Agenda de Auditoria.xlsx</t>
  </si>
  <si>
    <t>~/cdd/olddocs/Formas/CNWI-QAAS (aseguranza de calidad)/CNWI-QAAS-F036 CAR Log.xls</t>
  </si>
  <si>
    <t>~/cdd/olddocs/Formas/CNWI-QAAS (aseguranza de calidad)/CNWI-QAAS-F037 Alerta de Calidad.pdf</t>
  </si>
  <si>
    <t>~/cdd/olddocs/Formas/CNWI-QAAS (aseguranza de calidad)/CNWI-QAAS-F038 reporte de discrepancia  (DR).doc</t>
  </si>
  <si>
    <t>~/cdd/olddocs/Formas/CNWI-QAAS (aseguranza de calidad)/CNWI-QAAS-F040 AS9101_D Checklist.xlsx</t>
  </si>
  <si>
    <t>~/cdd/olddocs/Formas/CNWI-QAAS (aseguranza de calidad)/CNWI-QAAS-F042 FAI Forms.xlsx</t>
  </si>
  <si>
    <t>~/cdd/olddocs/Formas/CNWI-QAAS (aseguranza de calidad)/CNWI-QAAS-F043  Flow Chart.xlsx</t>
  </si>
  <si>
    <t>~/cdd/olddocs/Formas/CNWI-QAAS (aseguranza de calidad)/CNWI-QAAS-F044 Rev. C FMEA.xlsx</t>
  </si>
  <si>
    <t>~/cdd/olddocs/Formas/CNWI-QAAS (aseguranza de calidad)/CNWI-QAAS-F046 Dimensional Data Sheet .xlsx</t>
  </si>
  <si>
    <t>~/cdd/olddocs/Formas/CNWI-QAAS (aseguranza de calidad)/CNWI-QAAS-F047 BOM.xlsx</t>
  </si>
  <si>
    <t>~/cdd/olddocs/Formas/CNWI-QAAS (aseguranza de calidad)/CNWI-QAAS-F048 formato de entradas y salidas.xls</t>
  </si>
  <si>
    <t>~/cdd/olddocs/Formas/CNWI-QAAS (aseguranza de calidad)/CNWI-QAAS-F049 Forma para CPK's xlsx.xlsx</t>
  </si>
  <si>
    <t>~/cdd/olddocs/Formas/CNWI-QAAS (aseguranza de calidad)/CNWI-QAAS-F050 Formato de IMC.xlsx</t>
  </si>
  <si>
    <t>~/cdd/olddocs/Formas/CNWI-QAAS (aseguranza de calidad)/CNWI-QAAS-F051 formato de resumen de lotes rechazados.xls</t>
  </si>
  <si>
    <t>~/cdd/olddocs/Formas/CNWI-QAAS (aseguranza de calidad)/CNWI-QAAS-F052 Schedule Management Review.xls</t>
  </si>
  <si>
    <t>~/cdd/olddocs/Formas/CNWI-QAAS (aseguranza de calidad)/CNWI-QAAS-F054 Meeting Notice.docx</t>
  </si>
  <si>
    <t>~/cdd/olddocs/Formas/CNWI-QAAS (aseguranza de calidad)/CNWI-QAAS-F055 DR Report ordenes de retrabajo  Recibidas Fuera Del SAP 2011.xlsx</t>
  </si>
  <si>
    <t>~/cdd/olddocs/Formas/CNWI-QAAS (aseguranza de calidad)/CNWI-QAAS-F056 DR Reporte de retrabajo ordenes  Recibidas Dentro Del SAP 2011.xlsx</t>
  </si>
  <si>
    <t>~/cdd/olddocs/Formas/CNWI-QAAS (aseguranza de calidad)/CNWI-QAAS-F057 Formato de presentacion al proveedor.pptx</t>
  </si>
  <si>
    <t>~/cdd/olddocs/Formas/CNWI-QAAS (aseguranza de calidad)/CNWI-QAAS-F058 Reporte DR2011.xlsx</t>
  </si>
  <si>
    <t>~/cdd/olddocs/Formas/CNWI-QAAS (aseguranza de calidad)/CNWI-QAAS-F059 retrabajos micromini.xlsx</t>
  </si>
  <si>
    <t>~/cdd/olddocs/Formas/CNWI-QAAS (aseguranza de calidad)/CNWI-QAAS-F060 Retrabajos Itron y Mas.xlsx</t>
  </si>
  <si>
    <t>~/cdd/olddocs/Formas/CNWI-QAAS (aseguranza de calidad)/CNWI-QAAS-F061 Stock Purge Report.docx</t>
  </si>
  <si>
    <t>~/cdd/olddocs/Formas/CNWI-QAAS (aseguranza de calidad)/CNWI-QAAS-F063 Material Freezer storage.xls</t>
  </si>
  <si>
    <t>~/cdd/olddocs/Formas/CNWI-QAAS (aseguranza de calidad)/CNWI-QAAS-F064 Boleta de scrap.xls</t>
  </si>
  <si>
    <t>~/cdd/olddocs/Formas/CNWI-QAAS (aseguranza de calidad)/CNWI-QAAS-F065 Certificate  of Conformance .pdf</t>
  </si>
  <si>
    <t>~/cdd/olddocs/Formas/CNWI-QAAS (aseguranza de calidad)/CNWI-QAAS-F066 Diagrama de flujo del producto.xls</t>
  </si>
  <si>
    <t>~/cdd/olddocs/Formas/CNWI-QAAS (aseguranza de calidad)/CNWI-QAAS-F067 Registro de Goma.xls</t>
  </si>
  <si>
    <t>~/cdd/olddocs/Formas/CNWI-QAAS (aseguranza de calidad)/CNWI-QAAS-F068 Relacion de documentos externos.xls</t>
  </si>
  <si>
    <t>~/cdd/olddocs/Formas/CNWI-QAAS (aseguranza de calidad)/CNWI-QAAS-F070 Matriz de PULL TEST(MICRO-MINI).xls</t>
  </si>
  <si>
    <t>~/cdd/olddocs/Formas/CNWI-QAAS (aseguranza de calidad)/CNWI-QAAS-F071 molding process.xls</t>
  </si>
  <si>
    <t>~/cdd/olddocs/Formas/CNWI-QAAS (aseguranza de calidad)/CNWI-QAAS-F074 Characteristics Accountability, Verification and Compatibility Evaluation.xls</t>
  </si>
  <si>
    <t>~/cdd/olddocs/Formas/CNWI-QAAS (aseguranza de calidad)/CNWI-QAAS-F075 formato Registro de Medidores.xls</t>
  </si>
  <si>
    <t>~/cdd/olddocs/Formas/CNWI-QAAS (aseguranza de calidad)/CNWI-QAAS-F076 Auditoria al producto UL.xls</t>
  </si>
  <si>
    <t>~/cdd/olddocs/Formas/CNWI-QAAS (aseguranza de calidad)/CNWI-QAAS-F077 Estado de Acciones Correctivas.xls</t>
  </si>
  <si>
    <t>~/cdd/olddocs/Formas/CNWI-QAAS (aseguranza de calidad)/CNWI-QAAS-F078 forma Ethernet Serial Number.xls</t>
  </si>
  <si>
    <t>~/cdd/olddocs/Formas/CNWI-QAAS (aseguranza de calidad)/CNWI-QAAS-F079 Certificate of Compliance (LABINAL).xls</t>
  </si>
  <si>
    <t>~/cdd/olddocs/Formas/CNWI-QAAS (aseguranza de calidad)/CNWI-QAAS-F080 Lista para Sellos.xls</t>
  </si>
  <si>
    <t>~/cdd/olddocs/Formas/CNWI-QAAS (aseguranza de calidad)/CNWI-QAAS-F081 Grafica de scrap por dia piezas.xls</t>
  </si>
  <si>
    <t>~/cdd/olddocs/Formas/CNWI-QAAS (aseguranza de calidad)/CNWI-QAAS-F082 Rev. A  Retorno de producto.doc</t>
  </si>
  <si>
    <t>~/cdd/olddocs/Formas/CNWI-QAAS (aseguranza de calidad)/CNWI-QAAS-F083 Registro de inspeccion de moldeo.xlsx</t>
  </si>
  <si>
    <t>~/cdd/olddocs/Formas/CNWI-QAAS (aseguranza de calidad)/CNWI-QAAS-F087 Formato proceso master Product.xls</t>
  </si>
  <si>
    <t>~/cdd/olddocs/Formas/CNWI-QAAS (aseguranza de calidad)/CNWI-QAAS-F088 Check list Flujo de proceso.xls</t>
  </si>
  <si>
    <t>~/cdd/olddocs/Formas/CNWI-QAAS (aseguranza de calidad)/CNWI-QAAS-F089 SQD.pptx</t>
  </si>
  <si>
    <t>~/cdd/olddocs/Formas/CNWI-QAAS (aseguranza de calidad)/CNWI-QAAS-F090 Incoming Check list.xls</t>
  </si>
  <si>
    <t>~/cdd/olddocs/Formas/CNWI-QAAS (aseguranza de calidad)/CNWI-QAAS-F091 Formato cpk para equipos.xls</t>
  </si>
  <si>
    <t>~/cdd/olddocs/Formas/CNWI-QAAS (aseguranza de calidad)/CNWI-QAAS-F092 Grafico de Scrap.pptx</t>
  </si>
  <si>
    <t>~/cdd/olddocs/Formas/CNWI-QAAS (aseguranza de calidad)/CNWI-QAAS-F093  ID Customer Owned Material.xlsx</t>
  </si>
  <si>
    <t>~/cdd/olddocs/Formas/CNWI-QAAS (aseguranza de calidad)/CNWI-QAAS-F094 Analisis de piezas Rechazadas por cliente.xls</t>
  </si>
  <si>
    <t>~/cdd/olddocs/Formas/CNWI-QAAS (aseguranza de calidad)/CNWI-QAAS-F095 liberacion de equipo.docx</t>
  </si>
  <si>
    <t>~/cdd/olddocs/Formas/CNWI-QAAS (aseguranza de calidad)/CNWI-QAAS-F096 FORMATO DE CALIDAD PPM`S.pdf</t>
  </si>
  <si>
    <t>~/cdd/olddocs/Formas/CNWI-QAAS (aseguranza de calidad)/CNWI-QAAS-F097 No Calibration required.doc</t>
  </si>
  <si>
    <t>~/cdd/olddocs/Formas/CNWI-QAAS (aseguranza de calidad)/CNWI-QAAS-F098 ID Instrumento Inactivo.xlsx</t>
  </si>
  <si>
    <t>~/cdd/olddocs/Formas/CNWI-QAAS (aseguranza de calidad)/CNWI-QAAS-F099 Gage-R&amp;R.xls</t>
  </si>
  <si>
    <t>~/cdd/olddocs/Formas/CNWI-QAAS (aseguranza de calidad)/CNWI-QAAS-F100 Etiqueta de Calibracion.xls</t>
  </si>
  <si>
    <t>~/cdd/olddocs/Formas/CNWI-QAAS (aseguranza de calidad)/CNWI-QAAS-F101 Change Request form (for Customer approval.pdf</t>
  </si>
  <si>
    <t>~/cdd/olddocs/Formas/CNWI-QAAS (aseguranza de calidad)/CNWI-QAAS-F104 Codigo de defectos.doc</t>
  </si>
  <si>
    <t>~/cdd/olddocs/Formas/CNWI-QAAS (aseguranza de calidad)/CNWI-QAAS-F105 CERTIFICATE OF CONFORMANCE -RoHs.doc</t>
  </si>
  <si>
    <t>~/cdd/olddocs/Formas/CNWI-QAAS (aseguranza de calidad)/CNWI-QAAS-F106 Formato de Calibracion de indicadores.xlsx</t>
  </si>
  <si>
    <t>~/cdd/olddocs/Formas/CNWI-QAAS (aseguranza de calidad)/CNWI-QAAS-F107 Production Process Verification Checklist.doc</t>
  </si>
  <si>
    <t>~/cdd/olddocs/Formas/CNWI-QAAS (aseguranza de calidad)/CNWI-QAAS-F108 Formato de PPM.xlsx</t>
  </si>
  <si>
    <t>~/cdd/olddocs/Formas/CNWI-QAAS (aseguranza de calidad)/CNWI-QAAS-F109 Risk Management Matrix.xlsx</t>
  </si>
  <si>
    <t>~/cdd/olddocs/Formas/CNWI-QAAS (aseguranza de calidad)/CNWI-QAAS-F110 Change Request form -Customer Notification.doc</t>
  </si>
  <si>
    <t>~/cdd/olddocs/Formas/CNWI-QAAS (aseguranza de calidad)/CNWI-QAAS-F111 Change Request form (for cooper approval).doc</t>
  </si>
  <si>
    <t>~/cdd/olddocs/Formas/CNWI-QAAS (aseguranza de calidad)/CNWI-QAAS-F112 A3  Format .pptx</t>
  </si>
  <si>
    <t>~/cdd/olddocs/Formas/CNWI-QAAS (aseguranza de calidad)/CNWI-QAAS-F113 First Part Approval.doc</t>
  </si>
  <si>
    <t>~/cdd/olddocs/Formas/CNWI-QAAS (aseguranza de calidad)/CNWI-QAAS-F114 First Part Rejection.docx</t>
  </si>
  <si>
    <t>~/cdd/olddocs/Formas/CNWI-QAAS (aseguranza de calidad)/CNWI-QAAS-F115 Check list FAI Component .xls</t>
  </si>
  <si>
    <t>~/cdd/olddocs/Formas/CNWI-QAAS (aseguranza de calidad)/CNWI-QAAS-F116 Weekly PPM on FAI.xls</t>
  </si>
  <si>
    <t>~/cdd/olddocs/Formas/CNWI-QAAS (aseguranza de calidad)/CNWI-QAAS-F117 Diagrama de Tortuga.xls</t>
  </si>
  <si>
    <t>~/cdd/olddocs/Formas/CNWI-QAAS (aseguranza de calidad)/CNWI-QAAS-F119 Diagrama de interaccion de procesos.pdf</t>
  </si>
  <si>
    <t>~/cdd/olddocs/Formas/CNWI-QAAS (aseguranza de calidad)/CNWI-QAAS-F120 Control de scrap.xls</t>
  </si>
  <si>
    <t>~/cdd/olddocs/Formas/CNWI-QAAS (aseguranza de calidad)/CNWI-QAAS-F121 Minuta.doc</t>
  </si>
  <si>
    <t>~/cdd/olddocs/Formas/CNWI-QAAS (aseguranza de calidad)/CNWI-QAAS-F122 Check list de revision de euqipo de pruebas.doc</t>
  </si>
  <si>
    <t>~/cdd/olddocs/Formas/CNWI-QAAS (aseguranza de calidad)/CNWI-QAAS-F126 Rev. C OOB Micromini.pdf</t>
  </si>
  <si>
    <t>~/cdd/olddocs/Formas/CNWI-QAAS (aseguranza de calidad)/CNWI-QAAS-F127 Registro de asistencia a juntas.xlsx</t>
  </si>
  <si>
    <t>~/cdd/olddocs/Formas/CNWI-QAAS (aseguranza de calidad)/CNWI-QAAS-F128 OOB Itron-generales.xlsx</t>
  </si>
  <si>
    <t>~/cdd/olddocs/Formas/CNWI-QAAS (aseguranza de calidad)/CNWI-QAAS-F129 OOB Amsafe-bonding.xlsx</t>
  </si>
  <si>
    <t>~/cdd/olddocs/Formas/CNWI-QAAS (aseguranza de calidad)/CNWI-QAAS-F134 OOB Solar  First solar .xlsx</t>
  </si>
  <si>
    <t>~/cdd/olddocs/Formas/CNWI-QAAS (aseguranza de calidad)/CNWI-QAAS-F135 Calendario out of box.xls</t>
  </si>
  <si>
    <t>~/cdd/olddocs/Formas/CNWI-QAAS (aseguranza de calidad)/CNWI-QAAS-F139   Formato Functional Test.pdf</t>
  </si>
  <si>
    <t>~/cdd/olddocs/Formas/CNWI-QAAS (aseguranza de calidad)/CNWI-QAAS-F143 Rev. A Standard Work Form.xlsx</t>
  </si>
  <si>
    <t>~/cdd/olddocs/Formas/CNWI-QAAS (aseguranza de calidad)/CNWI-QAAS-F145 BITACORA DE MOLDEO.xls</t>
  </si>
  <si>
    <t>~/cdd/olddocs/Formas/CNWI-QAAS (aseguranza de calidad)/CNWI-QAAS-F146  Control de Temperaturas de hornos.pdf</t>
  </si>
  <si>
    <t>~/cdd/olddocs/Formas/CNWI-QAAS (aseguranza de calidad)/F-QAAS-06-001 Rev. A MRB LOG .xlsx</t>
  </si>
  <si>
    <t>~/cdd/olddocs/Formas/CNWI-QAAS (aseguranza de calidad)/F-QAAS-09-001 Rev. A Carta de registros de inspeccion de entrada.xlsx</t>
  </si>
  <si>
    <t>~/cdd/olddocs/Formas/CNWI-QAAS (aseguranza de calidad)/F-QAAS-09-002 Rev. A Supplier Non-Conformace Material Notification .pptx</t>
  </si>
  <si>
    <t>~/cdd/olddocs/Formas/CNWI-QAAS (aseguranza de calidad)/F-QAAS-09-004 Rev. A Liberacion de producto.docx</t>
  </si>
  <si>
    <t>~/cdd/olddocs/Formas/CNWI-QAAS (aseguranza de calidad)/F-QAAS-09-005 Rev. A Control de Etiquetas de Quimicos .xlsx</t>
  </si>
  <si>
    <t>~/cdd/olddocs/Formas/CNWI-QAAS (aseguranza de calidad)/F-QAAS-48-001  Rev.A Scar Log.xlsx</t>
  </si>
  <si>
    <t>~/cdd/olddocs/Formas/CNWI-SHAE (Seguridad e higiene y medio ambiente)/CNWI-SHAE-F001 Formato de Evaluacion 5s.xls</t>
  </si>
  <si>
    <t>~/cdd/olddocs/Formas/CNWI-SHAE (Seguridad e higiene y medio ambiente)/CNWI-SHAE-F002 orden de trabajo planta .xls</t>
  </si>
  <si>
    <t>~/cdd/olddocs/Formas/CNWI-SHAE (Seguridad e higiene y medio ambiente)/CNWI-SHAE-F003 Registro de visitantes .xls</t>
  </si>
  <si>
    <t>~/cdd/olddocs/Formas/CNWI-SHAE (Seguridad e higiene y medio ambiente)/CNWI-SHAE-F004 control de entradas y salidas contratistas .xls</t>
  </si>
  <si>
    <t>~/cdd/olddocs/Formas/CNWI-SHAE (Seguridad e higiene y medio ambiente)/CNWI-SHAE-F005 control de entra y salida de herramienta .xls</t>
  </si>
  <si>
    <t>~/cdd/olddocs/Formas/CNWI-SHAE (Seguridad e higiene y medio ambiente)/CNWI-SHAE-F006 Safety Cross.xls</t>
  </si>
  <si>
    <t>~/cdd/olddocs/Formas/CNWI-SHAE (Seguridad e higiene y medio ambiente)/CNWI-SHAE-F007 Tarjeta de hallazgo.xls</t>
  </si>
  <si>
    <t>~/cdd/olddocs/Formas/CNWI-SHAE (Seguridad e higiene y medio ambiente)/CNWI-SHAE-F008 Formato de aprobación de quimico nuevo.doc</t>
  </si>
  <si>
    <t>~/cdd/olddocs/Formas/CNWI-SHAE (Seguridad e higiene y medio ambiente)/CNWI-SHAE-F009 Formato AST.doc</t>
  </si>
  <si>
    <t>~/cdd/olddocs/Formas/CNWI-SHAE (Seguridad e higiene y medio ambiente)/CNWI-SHAE-F010 Checklist de Montacarga.XLS</t>
  </si>
  <si>
    <t>~/cdd/olddocs/Formas/CNWI-SHAE (Seguridad e higiene y medio ambiente)/CNWI-SHAE-F011 Desviación EPP.xls</t>
  </si>
  <si>
    <t>~/cdd/olddocs/Formas/CNWI-SHAE (Seguridad e higiene y medio ambiente)/CNWI-SHAE-F012 Permiso para trabajos en alturas.xls</t>
  </si>
  <si>
    <t>~/cdd/olddocs/Formas/CNWI-SHAE (Seguridad e higiene y medio ambiente)/CNWI-SHAE-F013 CONTACTO PERSONAL.xls</t>
  </si>
  <si>
    <t>~/cdd/olddocs/Formas/CNWI-SHAE (Seguridad e higiene y medio ambiente)/CNWI-SHAE-F014 VALE DE DESCUENTO POR NÓMINA.xls</t>
  </si>
  <si>
    <t>~/cdd/olddocs/Formas/CNWI-SHAE (Seguridad e higiene y medio ambiente)/CNWI-SHAE-F015 Permiso de Acceso a Espacios Confinados.doc</t>
  </si>
  <si>
    <t>~/cdd/olddocs/Formas/CNWI-SHAE (Seguridad e higiene y medio ambiente)/CNWI-SHAE-F016 Pase de salida Scrap.xls</t>
  </si>
  <si>
    <t>~/cdd/olddocs/Formas/CNWI-SHAE (Seguridad e higiene y medio ambiente)/CNWI-SHAE-F018 LISTO PARA CORRER.xls</t>
  </si>
  <si>
    <t>~/cdd/olddocs/Formas/CNWI-SHAE (Seguridad e higiene y medio ambiente)/CNWI-SHAE-F019 Checklist de Grua y Accesorios de Izaje.xls</t>
  </si>
  <si>
    <t>~/cdd/olddocs/Formas/CNWI-SHAE (Seguridad e higiene y medio ambiente)/CNWI-SHAE-F020 Formato de Control de Herramientas y Equipo.xls</t>
  </si>
  <si>
    <t>~/cdd/olddocs/Formas/CNWI-SHAE (Seguridad e higiene y medio ambiente)/CNWI-SHAE-F021 Check list baños.pdf</t>
  </si>
  <si>
    <t>~/cdd/olddocs/Formas/CNWI-SHAE (Seguridad e higiene y medio ambiente)/CNWI-SHAE-F023 Evaluacion para aprobar EPP.doc</t>
  </si>
  <si>
    <t>~/cdd/olddocs/Formas/CNWI-SHAE (Seguridad e higiene y medio ambiente)/CNWI-SHAE-F024 Lista de verificación EHS.xls</t>
  </si>
  <si>
    <t>~/cdd/olddocs/Formas/CNWI-SHAE (Seguridad e higiene y medio ambiente)/CNWI-SHAE-F025 Listado de epp entregado.xls</t>
  </si>
  <si>
    <t>~/cdd/olddocs/Formas/CNWI-SHAE (Seguridad e higiene y medio ambiente)/CNWI-SHAE-F026 OSHME FORMATO DE REVISION ANUAL.xls</t>
  </si>
  <si>
    <t>~/cdd/olddocs/Formas/CNWI-SHAE (Seguridad e higiene y medio ambiente)/CNWI-SHAE-F027 Reporte de investigacion de accidente.xls</t>
  </si>
  <si>
    <t>~/cdd/olddocs/Formas/CNWI-SHAE (Seguridad e higiene y medio ambiente)/CNWI-SHAE-F028  RESGUARDO CELULARES.xls</t>
  </si>
  <si>
    <t>~/cdd/olddocs/Formas/CNWI-SHAE (Seguridad e higiene y medio ambiente)/CNWI-SHAE-F029 Revision de guardas.doc</t>
  </si>
  <si>
    <t>~/cdd/olddocs/Formas/CNWI-SHIP ( Embarques )/CNWI-SHIP-F001 Master Track.xls</t>
  </si>
  <si>
    <t>~/cdd/olddocs/Formas/CNWI-SHIP ( Embarques )/CNWI-SHIP-F002 LISTA DE VERIFICACION.xlsx</t>
  </si>
  <si>
    <t>~/cdd/olddocs/Formas/CNWI-SHIP ( Embarques )/CNWI-SHIP-F003 REGISTRO PARA ENTRADA A EMBARQUES.xlsx</t>
  </si>
  <si>
    <t>~/cdd/olddocs/Formas/CNWI-SHIP ( Embarques )/CNWI-SHIP-F004  Control de embarques - formato de verificación.pdf</t>
  </si>
  <si>
    <t>~/cdd/olddocs/Formas/CNWI-SHIP ( Embarques )/CNWI-SHIP-F007 FORMATO ENTREGAS.pptx</t>
  </si>
  <si>
    <t>~/cdd/olddocs/Formas/CNWI-SHIP ( Embarques )/CNWI-SHIP-F009 Rev. A SPECIAL REQ LOGISTICS.xlsx</t>
  </si>
  <si>
    <t>~/cdd/olddocs/Formas/CNWI-WRHS (Almacen)/CNWI-WRHS-F001 Identificacion de ordenes.xls</t>
  </si>
  <si>
    <t>~/cdd/olddocs/Formas/CNWI-WRHS (Almacen)/CNWI-WRHS-F002 Requisicion de Matarial.xls</t>
  </si>
  <si>
    <t>~/cdd/olddocs/Formas/CNWI-WRHS (Almacen)/CNWI-WRHS-F003 FORMA CICLOCUENTO.xls</t>
  </si>
  <si>
    <t>~/cdd/olddocs/Formas/CNWI-WRHS (Almacen)/CNWI-WRHS-F004 FIRMA ACCESO ALMACEN.xls</t>
  </si>
  <si>
    <t>~/cdd/olddocs/Formas/CNWI-WRHS (Almacen)/CNWI-WRHS-F005 Control recibo de Medidores.xls</t>
  </si>
  <si>
    <t>~/cdd/olddocs/Formas/CNWI-WRHS (Almacen)/CNWI-WRHS-F006 Etiqueta identificacion de material almacen para orden de produccion.xls</t>
  </si>
  <si>
    <t>~/cdd/olddocs/Formas/CNWI-WRHS (Almacen)/CNWI-WRHS-F007 Checklist de almacen.pdf</t>
  </si>
  <si>
    <t>~/cdd/olddocs/Formas/CNWI-WRHS (Almacen)/CNWI-WRHS-F008 Control de contactos en almacen.xls</t>
  </si>
  <si>
    <t>~/cdd/olddocs/Formas/CNWI-WRHS (Almacen)/CNWI-WRHS-F009 Reporte de Recibo y Discrepancia diaria.xlsx</t>
  </si>
  <si>
    <t>~/cdd/olddocs/Formas/CNWI-WRHS (Almacen)/CNWI-WRHS-F010 LSW.xls</t>
  </si>
  <si>
    <t>~/cdd/olddocs/Formas/CNWI-WRHS (Almacen)/CNWI-WRHS-F011 CONTROL DE ORDENES PARA SOLAR.xls</t>
  </si>
  <si>
    <t>~/cdd/olddocs/Instructivos/CNWI-ENGI/CNWI-ENGI-0001 Control de Documentos y Datos.pdf</t>
  </si>
  <si>
    <t>~/cdd/olddocs/Instructivos/CNWI-ENGI/CNWI-ENGI-0002 Recibo y Distribuccion de dibujos.pdf</t>
  </si>
  <si>
    <t>~/cdd/olddocs/Instructivos/CNWI-ENGI/CNWI-ENGI-0004 Elaboración de Instrucciones de Trabajo INGENIERIA (WI).pdf</t>
  </si>
  <si>
    <t>~/cdd/olddocs/Instructivos/CNWI-ENGI/CNWI-ENGI-0005 Maquina Moldeadora Auto-Jectors Modelo HS35-S.pdf</t>
  </si>
  <si>
    <t>~/cdd/olddocs/Instructivos/CNWI-ENGI/CNWI-ENGI-0006 Preparación y Aplicación de la goma  (Chemlok).pdf</t>
  </si>
  <si>
    <t>~/cdd/olddocs/Instructivos/CNWI-ENGI/CNWI-ENGI-0007 Maquina remachado de solar.pdf</t>
  </si>
  <si>
    <t>~/cdd/olddocs/Instructivos/CNWI-ENGI/CNWI-ENGI-0008 Operación inserción manual de Contactos.pdf</t>
  </si>
  <si>
    <t>~/cdd/olddocs/Instructivos/CNWI-ENGI/CNWI-ENGI-0009 Operación de cortadora Schleuniger 9500 A.pdf</t>
  </si>
  <si>
    <t>~/cdd/olddocs/Instructivos/CNWI-ENGI/CNWI-ENGI-0010 Prueba Eléctrica de la Maquina Horizón 1500 volts.pdf</t>
  </si>
  <si>
    <t>~/cdd/olddocs/Instructivos/CNWI-ENGI/CNWI-ENGI-0011 Remachado de cables en  máquina Daniels Modelos WA27F, WA22, WA27-309-2C, WA27-300BT-EP..pdf</t>
  </si>
  <si>
    <t>~/cdd/olddocs/Instructivos/CNWI-ENGI/CNWI-ENGI-0012 Operación General de Empaque .pdf</t>
  </si>
  <si>
    <t>~/cdd/olddocs/Instructivos/CNWI-ENGI/CNWI-ENGI-0013 Maquina Moldeadora Ahi-Top Modelo AHT.pdf</t>
  </si>
  <si>
    <t>~/cdd/olddocs/Instructivos/CNWI-ENGI/CNWI-ENGI-0014 Prueba Eléctrica de 2000 Volts en Máquina Sotcher .pdf</t>
  </si>
  <si>
    <t>~/cdd/olddocs/Instructivos/CNWI-ENGI/CNWI-ENGI-0015 Maquina Moldeadora TR-13, TR-14, TR-15..pdf</t>
  </si>
  <si>
    <t>~/cdd/olddocs/Instructivos/CNWI-ENGI/CNWI-ENGI-0017 Inserción Automática de Contactos en Remachadoras.pdf</t>
  </si>
  <si>
    <t>~/cdd/olddocs/Instructivos/CNWI-ENGI/CNWI-ENGI-0018 Perforación de Riel y Lifter con Taladros Modelos   8716- 97908-36640-86498-36632.pdf</t>
  </si>
  <si>
    <t>~/cdd/olddocs/Instructivos/CNWI-ENGI/CNWI-ENGI-0019 Despoje de insulación de cable en Máquina Schleuniger 2600 y5400.pdf</t>
  </si>
  <si>
    <t>~/cdd/olddocs/Instructivos/CNWI-ENGI/CNWI-ENGI-0020 Despoje de insulación de cable en Máquina SCHLEUNIGER US2500.pdf</t>
  </si>
  <si>
    <t>~/cdd/olddocs/Instructivos/CNWI-ENGI/CNWI-ENGI-0021 Despoje de insulacion de cable en maquina Komax delta 50.pdf</t>
  </si>
  <si>
    <t>~/cdd/olddocs/Instructivos/CNWI-ENGI/CNWI-ENGI-0022 Remache de terminales en maquina remachadora AMP.pdf</t>
  </si>
  <si>
    <t>~/cdd/olddocs/Instructivos/CNWI-ENGI/CNWI-ENGI-0023 Estampado en maquina Jan-Tech.pdf</t>
  </si>
  <si>
    <t>~/cdd/olddocs/Instructivos/CNWI-ENGI/CNWI-ENGI-0024 Prueba Eléctrica  CABLE EYE.pdf</t>
  </si>
  <si>
    <t>~/cdd/olddocs/Instructivos/CNWI-ENGI/CNWI-ENGI-0025 Prueba de Fuga de Aire  en Máquina QT-11179-A.pdf</t>
  </si>
  <si>
    <t>~/cdd/olddocs/Instructivos/CNWI-ENGI/CNWI-ENGI-0026 Estampado en Máquina Pad Printer.pdf</t>
  </si>
  <si>
    <t>~/cdd/olddocs/Instructivos/CNWI-ENGI/CNWI-ENGI-0028 Grabado de Placas  Máquina HERMES VANGUARD XM.pdf</t>
  </si>
  <si>
    <t>~/cdd/olddocs/Instructivos/CNWI-ENGI/CNWI-ENGI-0029 Preparación de Pintura para Máquina de estampado Pad Printer.pdf</t>
  </si>
  <si>
    <t>~/cdd/olddocs/Instructivos/CNWI-ENGI/CNWI-ENGI-0030 Máquina Trituradora de Material.pdf</t>
  </si>
  <si>
    <t>~/cdd/olddocs/Instructivos/CNWI-ENGI/CNWI-ENGI-0031 Maquina Moldeadora ARBURK.pdf</t>
  </si>
  <si>
    <t>~/cdd/olddocs/Instructivos/CNWI-ENGI/CNWI-ENGI-0032 Maquina Moldeadora AUTO-JECTORS 908-13.pdf</t>
  </si>
  <si>
    <t>~/cdd/olddocs/Instructivos/CNWI-ENGI/CNWI-ENGI-0033 Maquina Dispensadora de Epoxy SHOT GUN.pdf</t>
  </si>
  <si>
    <t>~/cdd/olddocs/Instructivos/CNWI-ENGI/CNWI-ENGI-0034 Elaboracion de routing.pdf</t>
  </si>
  <si>
    <t>~/cdd/olddocs/Instructivos/CNWI-ENGI/CNWI-ENGI-0035 Maquina SCHLEUNIGER EcoStrip 9300.pdf</t>
  </si>
  <si>
    <t>~/cdd/olddocs/Instructivos/CNWI-ENGI/CNWI-ENGI-0036 Maquina Dispensadora Mezcladara de Epoxy DTIC.pdf</t>
  </si>
  <si>
    <t>~/cdd/olddocs/Instructivos/CNWI-ENGI/CNWI-ENGI-0037 Dispensadora de Epoxy EFD 1000 XL.pdf</t>
  </si>
  <si>
    <t>~/cdd/olddocs/Instructivos/CNWI-ENGI/CNWI-ENGI-0038 Llenado de cartuchos de epoxy.pdf</t>
  </si>
  <si>
    <t>~/cdd/olddocs/Instructivos/CNWI-ENGI/CNWI-ENGI-0039 Lavado de Cartuchos de Epoxy en acetona.pdf</t>
  </si>
  <si>
    <t>~/cdd/olddocs/Instructivos/CNWI-ENGI/CNWI-ENGI-0040 Alimentador de cables Schleuniger Pre-Feeder 2200.pdf</t>
  </si>
  <si>
    <t>~/cdd/olddocs/Instructivos/CNWI-ENGI/CNWI-ENGI-0041 Alimentador de cables ARTOS PF-.pdf</t>
  </si>
  <si>
    <t>~/cdd/olddocs/Instructivos/CNWI-ENGI/CNWI-ENGI-0042 Maquina SCHLEUNIGER OmiStrip 9400.pdf</t>
  </si>
  <si>
    <t>~/cdd/olddocs/Instructivos/CNWI-ENGI/CNWI-ENGI-0043 Horno con conveyor Gruenberg.pdf</t>
  </si>
  <si>
    <t>~/cdd/olddocs/Instructivos/CNWI-ENGI/CNWI-ENGI-0044 Maquina SCHLEUNIGER CS-9100.pdf</t>
  </si>
  <si>
    <t>~/cdd/olddocs/Instructivos/CNWI-ENGI/CNWI-ENGI-0045 Maquina RIDGID cortadora de conduit.pdf</t>
  </si>
  <si>
    <t>~/cdd/olddocs/Instructivos/CNWI-ENGI/CNWI-ENGI-0046 Maquina cortadora CR-100.pdf</t>
  </si>
  <si>
    <t>~/cdd/olddocs/Instructivos/CNWI-ENGI/CNWI-ENGI-0047 Horno Blue M.pdf</t>
  </si>
  <si>
    <t>~/cdd/olddocs/Instructivos/CNWI-ENGI/CNWI-ENGI-0048 Máquina Remachadora Cambrige.pdf</t>
  </si>
  <si>
    <t>~/cdd/olddocs/Instructivos/CNWI-ENGI/CNWI-ENGI-0049 Alimentador de cables RTT.pdf</t>
  </si>
  <si>
    <t>~/cdd/olddocs/Instructivos/CNWI-ENGI/CNWI-ENGI-0050 Maquina ALPHATRON Modelo MPT-200A.pdf</t>
  </si>
  <si>
    <t>~/cdd/olddocs/Instructivos/CNWI-ENGI/CNWI-ENGI-0051 Maquina Branson.pdf</t>
  </si>
  <si>
    <t>~/cdd/olddocs/Instructivos/CNWI-ENGI/CNWI-ENGI-0052 Maquina PULL HOME.pdf</t>
  </si>
  <si>
    <t>~/cdd/olddocs/Instructivos/CNWI-ENGI/CNWI-ENGI-0053 Maquina Branson Solar.pdf</t>
  </si>
  <si>
    <t>~/cdd/olddocs/Instructivos/CNWI-ENGI/CNWI-ENGI-0054 Maquina Viking modelo 260-4199.pdf</t>
  </si>
  <si>
    <t>~/cdd/olddocs/Instructivos/CNWI-ENGI/CNWI-ENGI-0055 Remachado de Contactos en Maquina Astron.pdf</t>
  </si>
  <si>
    <t>~/cdd/olddocs/Instructivos/CNWI-ENGI/CNWI-ENGI-0056 Estañado de Conductores en plato Crisol.pdf</t>
  </si>
  <si>
    <t>~/cdd/olddocs/Instructivos/CNWI-ENGI/CNWI-ENGI-0057 Prueba Electrica en Maquina VITREK V53 ACDC.pdf</t>
  </si>
  <si>
    <t>~/cdd/olddocs/Instructivos/CNWI-ENGI/CNWI-ENGI-0058 Prueba de continuidad y presencia  O-Ring.pdf</t>
  </si>
  <si>
    <t>~/cdd/olddocs/Instructivos/CNWI-ENGI/CNWI-ENGI-0059 Prueba Electrica en Maquina CIRRIS.pdf</t>
  </si>
  <si>
    <t>~/cdd/olddocs/Instructivos/CNWI-ENGI/CNWI-ENGI-0060 Despojado de Jacket en Maquina Schleuniger Modelo JS-8300.pdf</t>
  </si>
  <si>
    <t>~/cdd/olddocs/Instructivos/CNWI-ENGI/CNWI-ENGI-0061 Secar Humedad a Resina en el Sistema de filtros Conair.pdf</t>
  </si>
  <si>
    <t>~/cdd/olddocs/Instructivos/CNWI-ENGI/CNWI-ENGI-0062 Remachado de cables en maquina.pdf</t>
  </si>
  <si>
    <t>~/cdd/olddocs/Instructivos/CNWI-ENGI/CNWI-ENGI-0063  Maquina Cable Coiler 500.pdf</t>
  </si>
  <si>
    <t>~/cdd/olddocs/Instructivos/CNWI-ENGI/CNWI-ENGI-0064 Despoje de cables en máquina Shleuniger Modelo 2015.pdf</t>
  </si>
  <si>
    <t>~/cdd/olddocs/Instructivos/CNWI-ENGI/CNWI-ENGI-0065 Máquina Automática IFS.pdf</t>
  </si>
  <si>
    <t>~/cdd/olddocs/Instructivos/CNWI-ENGI/CNWI-ENGI-0066 Secar Humedad a material en el Sistema de filtros Novatec.pdf</t>
  </si>
  <si>
    <t>~/cdd/olddocs/Instructivos/CNWI-ENGI/CNWI-ENGI-0067 Enfriador de material  Movin-Cool.pdf</t>
  </si>
  <si>
    <t>~/cdd/olddocs/Instructivos/CNWI-ENGI/CNWI-ENGI-0068 SECADOR ARID-X  .pdf</t>
  </si>
  <si>
    <t>~/cdd/olddocs/Instructivos/CNWI-ENGI/CNWI-ENGI-0069 Remachado de contactos en Maquina Salem.pdf</t>
  </si>
  <si>
    <t>~/cdd/olddocs/Instructivos/CNWI-ENGI/CNWI-ENGI-0070 Test plan for solar.pdf</t>
  </si>
  <si>
    <t>~/cdd/olddocs/Instructivos/CNWI-ENGI/CNWI-ENGI-0071 Maquina para sellar Banda a Snaplock.pdf</t>
  </si>
  <si>
    <t>~/cdd/olddocs/Instructivos/CNWI-ENGI/CNWI-ENGI-0072 Maquina para Emparejar cables.pdf</t>
  </si>
  <si>
    <t>~/cdd/olddocs/Instructivos/CNWI-ENGI/CNWI-ENGI-0073 Prueba Eléctrica en Equipo Megohmmeter.pdf</t>
  </si>
  <si>
    <t>~/cdd/olddocs/Instructivos/CNWI-ENGI/CNWI-ENGI-0076  Procedimiento Maquina Komax Kappa 220225.pdf</t>
  </si>
  <si>
    <t>~/cdd/olddocs/Instructivos/CNWI-ENGI/CNWI-ENGI-0077 Maquina remachadora para aplastar cable .pdf</t>
  </si>
  <si>
    <t>~/cdd/olddocs/Instructivos/CNWI-ENGI/CNWI-ENGI-0078 Máquina para pintar Shell.pdf</t>
  </si>
  <si>
    <t>~/cdd/olddocs/Instructivos/CNWI-ENGI/CNWI-ENGI-0079 Soldar contactos con Cautín de pinza HOTIP-H10A.pdf</t>
  </si>
  <si>
    <t>~/cdd/olddocs/Instructivos/CNWI-ENGI/CNWI-ENGI-0080 Remachadora de Banda a Shell.pdf</t>
  </si>
  <si>
    <t>~/cdd/olddocs/Instructivos/CNWI-ENGI/CNWI-ENGI-0083 Impresoras  Zebra Z4MPLUS ZM600.pdf</t>
  </si>
  <si>
    <t>~/cdd/olddocs/Instructivos/CNWI-ENGI/CNWI-ENGI-0084 Sistema Andón área ITRON.pdf</t>
  </si>
  <si>
    <t>~/cdd/olddocs/Instructivos/CNWI-ENGI/CNWI-ENGI-0086 Elaboracion de BOM.pdf</t>
  </si>
  <si>
    <t>~/cdd/olddocs/Instructivos/CNWI-ENGI/CNWI-ENGI-0087 Instruccion de Impresión de etiquetas de embarque de Solar.pdf</t>
  </si>
  <si>
    <t>~/cdd/olddocs/Instructivos/CNWI-ENGI/CNWI-ENGI-0088 Maquina Jalapines.pdf</t>
  </si>
  <si>
    <t>~/cdd/olddocs/Instructivos/CNWI-ENGI/CNWI-ENGI-0090 EB 1147.pdf</t>
  </si>
  <si>
    <t>~/cdd/olddocs/Instructivos/CNWI-FNCS/CNWI-FNCS-0001 Rev. A Conteo Ciclico.pdf</t>
  </si>
  <si>
    <t>~/cdd/olddocs/Instructivos/CNWI-HMRS/CNWI-HMRS-0002 Procediminento de solicitud de capacitacion.pdf</t>
  </si>
  <si>
    <t>~/cdd/olddocs/Instructivos/CNWI-LEAN/CNWI-LEAN-0001 Proceso de mejora continua.pdf</t>
  </si>
  <si>
    <t>~/cdd/olddocs/Instructivos/CNWI-PRCS/CNWI-PRCS-0001 Compras MRO nogales.pdf</t>
  </si>
  <si>
    <t>~/cdd/olddocs/Instructivos/CNWI-PRCS/CNWI-PRCS-0002 Fabricacion de orden del cliente.pdf</t>
  </si>
  <si>
    <t>~/cdd/olddocs/Instructivos/CNWI-PRCS/CNWI-PRCS-0003 Instructivo de compras.pdf</t>
  </si>
  <si>
    <t>~/cdd/olddocs/Instructivos/CNWI-PRCS/CNWI-PRCS-0005  Extender numeros de parte a 1016.pdf</t>
  </si>
  <si>
    <t>~/cdd/olddocs/Instructivos/CNWI-QAAS/CNWI-QAAS-0001 Responsabilidad Gerencial.pdf</t>
  </si>
  <si>
    <t>~/cdd/olddocs/Instructivos/CNWI-QAAS/CNWI-QAAS-0002 Control de sellos auditores.pdf</t>
  </si>
  <si>
    <t>~/cdd/olddocs/Instructivos/CNWI-QAAS/CNWI-QAAS-0003 Calibracion.pdf</t>
  </si>
  <si>
    <t>~/cdd/olddocs/Instructivos/CNWI-QAAS/CNWI-QAAS-0004 Protocolo de Validacion.pdf</t>
  </si>
  <si>
    <t>~/cdd/olddocs/Instructivos/CNWI-QAAS/CNWI-QAAS-0005 Sistema Escalacion de problemas.pdf</t>
  </si>
  <si>
    <t>~/cdd/olddocs/Instructivos/CNWI-QAAS/CNWI-QAAS-0006  Proceso de area de MRB.pdf</t>
  </si>
  <si>
    <t>~/cdd/olddocs/Instructivos/CNWI-QAAS/CNWI-QAAS-0008 Diagrama de tortugas.pdf</t>
  </si>
  <si>
    <t>~/cdd/olddocs/Instructivos/CNWI-QAAS/CNWI-QAAS-0009  Inspeccion de Entrada.pdf</t>
  </si>
  <si>
    <t>~/cdd/olddocs/Instructivos/CNWI-QAAS/CNWI-QAAS-0010 Proc. gral de inspeccion.pdf</t>
  </si>
  <si>
    <t>~/cdd/olddocs/Instructivos/CNWI-QAAS/CNWI-QAAS-0011 Propiedad del cliente.pdf</t>
  </si>
  <si>
    <t>~/cdd/olddocs/Instructivos/CNWI-QAAS/CNWI-QAAS-0012 Flujo de Proceso de Inspeccion P-Itron RCPT  y PLUG.pdf</t>
  </si>
  <si>
    <t>~/cdd/olddocs/Instructivos/CNWI-QAAS/CNWI-QAAS-0013 Proceso de auditoria de productos UL.pdf</t>
  </si>
  <si>
    <t>~/cdd/olddocs/Instructivos/CNWI-QAAS/CNWI-QAAS-0014 Proceso outsourcing.pdf</t>
  </si>
  <si>
    <t>~/cdd/olddocs/Instructivos/CNWI-QAAS/CNWI-QAAS-0016 Captura de boletas Sistema SAP.pdf</t>
  </si>
  <si>
    <t>~/cdd/olddocs/Instructivos/CNWI-QAAS/CNWI-QAAS-0017 Base de datos Calibracion.pdf</t>
  </si>
  <si>
    <t>~/cdd/olddocs/Instructivos/CNWI-QAAS/CNWI-QAAS-0018 calibracion de basculas.pdf</t>
  </si>
  <si>
    <t>~/cdd/olddocs/Instructivos/CNWI-QAAS/CNWI-QAAS-0019 Calibracion micrometros.pdf</t>
  </si>
  <si>
    <t>~/cdd/olddocs/Instructivos/CNWI-QAAS/CNWI-QAAS-0020 calibracion Basculas.pdf</t>
  </si>
  <si>
    <t>~/cdd/olddocs/Instructivos/CNWI-QAAS/CNWI-QAAS-0021  Procedimiento Scrap.pdf</t>
  </si>
  <si>
    <t>~/cdd/olddocs/Instructivos/CNWI-QAAS/CNWI-QAAS-0023  Instruccion de RMA's  _ Spanish _.pdf</t>
  </si>
  <si>
    <t>~/cdd/olddocs/Instructivos/CNWI-QAAS/CNWI-QAAS-0024 Procedimiento para recall de productos.pdf</t>
  </si>
  <si>
    <t>~/cdd/olddocs/Instructivos/CNWI-QAAS/CNWI-QAAS-0025  Validacion de componentes.pdf</t>
  </si>
  <si>
    <t>~/cdd/olddocs/Instructivos/CNWI-QAAS/CNWI-QAAS-0026 Identificacion y Rastreabilidad del producto.pdf</t>
  </si>
  <si>
    <t>~/cdd/olddocs/Instructivos/CNWI-QAAS/CNWI-QAAS-0027 Rev. A Flujo de proceso de inspeccion de engomado bacc65xx.doc</t>
  </si>
  <si>
    <t>~/cdd/olddocs/Instructivos/CNWI-QAAS/CNWI-QAAS-0028 Flujo de Inspeccion en Ensamble.pdf</t>
  </si>
  <si>
    <t>~/cdd/olddocs/Instructivos/CNWI-QAAS/CNWI-QAAS-0030 liberacion de equipo.pdf</t>
  </si>
  <si>
    <t>~/cdd/olddocs/Instructivos/CNWI-QAAS/CNWI-QAAS-0031 Calibracion de Verniers.pdf</t>
  </si>
  <si>
    <t>~/cdd/olddocs/Instructivos/CNWI-QAAS/CNWI-QAAS-0032 Instructivo de calibracion de  hornos.pdf</t>
  </si>
  <si>
    <t>~/cdd/olddocs/Instructivos/CNWI-QAAS/CNWI-QAAS-0034 Calibracion de Indicadores.pdf</t>
  </si>
  <si>
    <t>~/cdd/olddocs/Instructivos/CNWI-QAAS/CNWI-QAAS-0035 Requerimientos Aeroespacial para ins. FIA.pdf</t>
  </si>
  <si>
    <t>~/cdd/olddocs/Instructivos/CNWI-QAAS/CNWI-QAAS-0037 registro y reastrabilidad de boletas de scrap.pdf</t>
  </si>
  <si>
    <t>~/cdd/olddocs/Instructivos/CNWI-QAAS/CNWI-QAAS-0039 Protocolo de liberacion de moldeo.pdf</t>
  </si>
  <si>
    <t>~/cdd/olddocs/Instructivos/CNWI-QAAS/CNWI-QAAS-0040 Procedimiento de prueba MS.pdf</t>
  </si>
  <si>
    <t>~/cdd/olddocs/Instructivos/CNWI-QAAS/CNWI-QAAS-0042 Procedimiento para Prueba de Impacto.pdf</t>
  </si>
  <si>
    <t>~/cdd/olddocs/Instructivos/CNWI-QAAS/CNWI-QAAS-0043 Uso de base de datos de etiquetas (GMLabels).pdf</t>
  </si>
  <si>
    <t>~/cdd/olddocs/Instructivos/CNWI-QAAS/CNWI-QAAS-041 Rev. A Proceso de auditoria out of box.pdf</t>
  </si>
  <si>
    <t>~/cdd/olddocs/Instructivos/CNWI-SHAE/CNWI-SHAE-0001 Control de Accesos.pdf</t>
  </si>
  <si>
    <t>~/cdd/olddocs/Instructivos/CNWI-SHAE/CNWI-SHAE-0002 Reglas de seguridad.pdf</t>
  </si>
  <si>
    <t>~/cdd/olddocs/Instructivos/CNWI-SHAE/CNWI-SHAE-0003 Programa de Seguridad Azul.pdf</t>
  </si>
  <si>
    <t>~/cdd/olddocs/Instructivos/CNWI-SHAE/CNWI-SHAE-0004 Infraestructura y Ambiente de Trabajo.pdf</t>
  </si>
  <si>
    <t>~/cdd/olddocs/Instructivos/CNWI-SHAE/CNWI-SHAE-0006 Plan de contingencia.pdf</t>
  </si>
  <si>
    <t>~/cdd/olddocs/Instructivos/CNWI-SHAE/CNWI-SHAE-0007 Comunicacion de riesgos.pdf</t>
  </si>
  <si>
    <t>~/cdd/olddocs/Instructivos/CNWI-SHAE/CNWI-SHAE-0008 Procedimiento FOD (eliminación de objetos extraños).pdf</t>
  </si>
  <si>
    <t>~/cdd/olddocs/Instructivos/CNWI-WRHS/CNWI-WHSE-0003 Manejo y Preservacion de Materiales.pdf</t>
  </si>
  <si>
    <t>~/cdd/olddocs/Instructivos/CNWI-WRHS/CNWI-WHSE-0004 Recibo de Materiales.pdf</t>
  </si>
  <si>
    <t>~/cdd/olddocs/Instructivos/CNWI-WRHS/CNWI-WHSE-0005 Procedimiento para surtir ordenes de trabajo.pdf</t>
  </si>
  <si>
    <t>~/cdd/olddocs/Instructivos/CNWI-WRHS/CNWI-WHSE-0006 Procedimiento para confirmacion y localizacion de ensambles y subensambles.pdf</t>
  </si>
  <si>
    <t>~/cdd/olddocs/Instructivos/CNWI-WRHS/CNWI-WRHS-0001 Instruccion de Almacen.pdf</t>
  </si>
  <si>
    <t>~/cdd/olddocs/Instructivos/CNWI-WRHS/CNWI-WRHS-F002 Utilizacion de basculas para pines y contactos.pdf</t>
  </si>
  <si>
    <t>~/cdd/olddocs/Manual de Calidad/QM-01 Quality Manual.pdf</t>
  </si>
  <si>
    <t>~/cdd/olddocs/Procedimientos/CNSOP-01 Control de Documentos del sistema de Calidad.pdf</t>
  </si>
  <si>
    <t>~/cdd/olddocs/Procedimientos/CNSOP-02 Control de Registros de Calidad.pdf</t>
  </si>
  <si>
    <t>~/cdd/olddocs/Procedimientos/CNSOP-03 Auditorias Internas.pdf</t>
  </si>
  <si>
    <t>~/cdd/olddocs/Procedimientos/CNSOP-04 Manejo de material no conformante.pdf</t>
  </si>
  <si>
    <t>~/cdd/olddocs/Procedimientos/CNSOP-05 Acciones Correctivas y Preventivas.pdf</t>
  </si>
  <si>
    <t>~/cdd/olddocs/Quality Alerts/ITRON/AMSAFE/QA-AMSA-003 .pdf</t>
  </si>
  <si>
    <t>~/cdd/olddocs/Quality Alerts/ITRON/BONDING/QA-BOND-001 BACC65AK211P Housing-Incorrecto.pdf</t>
  </si>
  <si>
    <t>~/cdd/olddocs/Quality Alerts/ITRON/BONDING/QA-BOND-002 002359-000X-002360-000X- 002361-000X Empaque en catidad 50 piezas.pdf</t>
  </si>
  <si>
    <t>~/cdd/olddocs/Quality Alerts/ITRON/BONDING/QA-BOND-003 002359-000X Rebaba en el punto de inyeccion.pdf</t>
  </si>
  <si>
    <t>~/cdd/olddocs/Quality Alerts/ITRON/BONDING/QA-BOND-004 027-0252-221 Grommet con pellizcos.pdf</t>
  </si>
  <si>
    <t>~/cdd/olddocs/Quality Alerts/ITRON/BONDING/QA-BOND-005 027-0212-001 Grommet con pellizcos.pdf</t>
  </si>
  <si>
    <t>~/cdd/olddocs/Quality Alerts/ITRON/BONDING/QA-BOND-006 002359-000X Grommet despegado.pdf</t>
  </si>
  <si>
    <t>~/cdd/olddocs/Quality Alerts/ITRON/BONDING/QA-BOND-007 027-0231-001 Grommet dañado-Cortado rasgado.pdf</t>
  </si>
  <si>
    <t>~/cdd/olddocs/Quality Alerts/ITRON/BONDING/QA-BOND-008 BACC65AK261P Pieza fuera de spec.pdf</t>
  </si>
  <si>
    <t>~/cdd/olddocs/Quality Alerts/ITRON/BONDING/QA-BOND-009 BACC65AK251P Grommet Invertido.pdf</t>
  </si>
  <si>
    <t>~/cdd/olddocs/Quality Alerts/ITRON/BONDING/QA-BOND-010 ENGOMADO 002359-0002 (129-0029-002).pdf</t>
  </si>
  <si>
    <t>~/cdd/olddocs/Quality Alerts/ITRON/BONDING/QA-BOND-011 conectores sin contactos  000300-0596.pdf</t>
  </si>
  <si>
    <t>~/cdd/olddocs/Quality Alerts/ITRON/BONDING/QA-BOND-012 BACC65AJ121S Problemas de retencion.pdf</t>
  </si>
  <si>
    <t>~/cdd/olddocs/Quality Alerts/ITRON/BONDING/QA-BOND-013 BACC65AL801SH Prob de Empaque [Read-Only].pdf</t>
  </si>
  <si>
    <t>~/cdd/olddocs/Quality Alerts/ITRON/BONDING/QA-BOND-014 AMC02PA03W  Estampado Ilegible.pdf</t>
  </si>
  <si>
    <t>~/cdd/olddocs/Quality Alerts/ITRON/BONDING/QA-BOND-016 Consolidación.pdf</t>
  </si>
  <si>
    <t>~/cdd/olddocs/Quality Alerts/ITRON/ENSAMBLE GENERAL/QA-EGRAL-001 Rev. A  Agregar no. catalago a Etiqueta [Compatibility Mode].pdf</t>
  </si>
  <si>
    <t>~/cdd/olddocs/Quality Alerts/ITRON/ENSAMBLE GENERAL/QA-EGRAL-002 Rev. A 019-0039-002 Contactos sin pintura.pdf</t>
  </si>
  <si>
    <t>~/cdd/olddocs/Quality Alerts/ITRON/ENSAMBLE GENERAL/QA-EGRAL-003 Rev. A 000267-0062 Piezas fuera de especificacion.pdf</t>
  </si>
  <si>
    <t>~/cdd/olddocs/Quality Alerts/ITRON/ENSAMBLE GENERAL/QA-EGRAL-004 Rev. A 000201-2551 Mal estampado -Falta de caracter.pdf</t>
  </si>
  <si>
    <t>~/cdd/olddocs/Quality Alerts/ITRON/MULTICELL A&amp;B/QA-IMA-004 Rev. A CBA-1300- Contactos doblados.pdf</t>
  </si>
  <si>
    <t>~/cdd/olddocs/Quality Alerts/ITRON/MULTICELL A&amp;B/QA-IMA-005 Rev. A CBA Contactos dañados.pdf</t>
  </si>
  <si>
    <t>~/cdd/olddocs/Quality Alerts/ITRON/MULTICELL A&amp;B/QA-IMA-006 Rev. A CON Contactados dorados.pdf</t>
  </si>
  <si>
    <t>~/cdd/olddocs/Quality Alerts/ITRON/MULTICELL A&amp;B/QA-IMA-007 Rev. A CBA &amp; CON Contactos faltantes.pdf</t>
  </si>
  <si>
    <t>~/cdd/olddocs/Quality Alerts/ITRON/MULTICELL A&amp;B/QA-IMB-001 Rev.A Pieza Moldeada-Color diferente Compound 12-002 [Compatibility Mode].pdf</t>
  </si>
  <si>
    <t>~/cdd/olddocs/Quality Alerts/ITRON/MULTICELL A&amp;B/QA-IMB-002 Rev. A 28-2266-0001 Pieza incorrecta  longitud total  corta.pdf</t>
  </si>
  <si>
    <t>~/cdd/olddocs/Quality Alerts/ITRON/MULTICELL A&amp;B/QA-IMB-003 Rev. A MSC-0019-008 Posicion incorrecta.pdf</t>
  </si>
  <si>
    <t>~/cdd/olddocs/Quality Alerts/ITRON/MULTICELL A&amp;B/QA-IMB-004 Rev. A  127-0461-001 Legenda Ilegible.pdf</t>
  </si>
  <si>
    <t>~/cdd/olddocs/Quality Alerts/ITRON/PLUG/QA-IPLUG-001 Rev. A  035- 0532-00 Bota deforme.pdf</t>
  </si>
  <si>
    <t>~/cdd/olddocs/Quality Alerts/ITRON/PLUG/QA-IPLUG-002 Rev. A 28-2259-0022 Tapon faltante.pdf</t>
  </si>
  <si>
    <t>~/cdd/olddocs/Quality Alerts/ITRON/RECEPTACLE/QA-IRCPT-001 Rev. A Cables disparejos.pdf</t>
  </si>
  <si>
    <t>~/cdd/olddocs/Quality Alerts/ITRON/SALEM/QA-SALM-002 Al-329-000-080 Cont. hembra sin acomplamiento - Exceso de epoxy.pdf</t>
  </si>
  <si>
    <t>~/cdd/olddocs/Quality Alerts/MICROMINI/Celda A&amp; B/QA-A&amp;B-001 5000117394-14634911 -Couplers diferente color.pdf</t>
  </si>
  <si>
    <t>~/cdd/olddocs/Quality Alerts/MICROMINI/Celda A&amp; B/QA-A&amp;B-002 Varios numeros -Exceso de Goma.pdf</t>
  </si>
  <si>
    <t>~/cdd/olddocs/Quality Alerts/MICROMINI/Celda A&amp; B/QA-A&amp;B-003 DM4C3HO2S360A1 Pieza sin goma-exceso-problemas con insert.pdf</t>
  </si>
  <si>
    <t>~/cdd/olddocs/Quality Alerts/MICROMINI/Celda A&amp; B/QA-A&amp;B-004 DM4Q2M24E024FS Contacto Bajo- Contacto desalineado.pdf</t>
  </si>
  <si>
    <t>~/cdd/olddocs/Quality Alerts/MICROMINI/Celda A&amp; B/QA-A&amp;B-005 1786-TCT2BD1 Componente faltante -Dust Cap.pdf</t>
  </si>
  <si>
    <t>~/cdd/olddocs/Quality Alerts/MICROMINI/Change Out/QA-CHGO-001 CH5041597D0360 Exceso de goma-burbujas.pdf</t>
  </si>
  <si>
    <t>~/cdd/olddocs/Quality Alerts/MICROMINI/MS/QA-MS-001 MEA0092025 Contactos desalineados -Deformados.pdf</t>
  </si>
  <si>
    <t>~/cdd/olddocs/Quality Alerts/MICROMINI/MS/QA-MS-002 MEA0114010 Pieza dañada.pdf</t>
  </si>
  <si>
    <t>~/cdd/olddocs/Quality Alerts/MICROMINI/MS/QA-MS-003 MEA114010 Cables no adheridos - Falta de goma.pdf</t>
  </si>
  <si>
    <t>~/cdd/olddocs/Quality Alerts/MICROMINI/MS/QA-MS-004 Varios Cable sin presencia de Mek.pdf</t>
  </si>
  <si>
    <t>~/cdd/olddocs/Quality Alerts/MICROMINI/MS/QA-MS-005 Vario Ping Gage-Medircion profundidad.pdf</t>
  </si>
  <si>
    <t>~/cdd/olddocs/Quality Alerts/MICROMINI/MS/QA-MS-006  CHMEA0115040 Pieza dañada- Quemada.pdf</t>
  </si>
  <si>
    <t>~/cdd/olddocs/Quality Alerts/MICROMINI/MS/QA-MS-007 CCR006P8 Insert desalineado.pdf</t>
  </si>
  <si>
    <t>~/cdd/olddocs/Quality Alerts/MICROMINI/MS/QA-MS-008  11667277 Contacto bajo.pdf</t>
  </si>
  <si>
    <t>~/cdd/olddocs/Quality Alerts/MICROMINI/MS/QA-MS-009 CCR006P8 Pieza dañada  insulacion con corte.pdf</t>
  </si>
  <si>
    <t>~/cdd/olddocs/Quality Alerts/MICROMINI/MS/QA-MS-010 SMEA PRODUCTS  Conector Manufacturador Equivocado.pdf</t>
  </si>
  <si>
    <t>~/cdd/olddocs/Quality Alerts/MICROMINI/MS/QA-MS-011 Varios Identificar etiqueta-Punto verde.pdf</t>
  </si>
  <si>
    <t>~/cdd/olddocs/Quality Alerts/MICROMINI/MS/QA-MS-012 Compound  3460500-xx.pdf</t>
  </si>
  <si>
    <t>~/cdd/olddocs/Quality Alerts/MICROMINI/Potted- Plex/QA-PLEX-001 REV. A 14633392 Coupler -falta anodizado [Compatibility Mode].pdf</t>
  </si>
  <si>
    <t>~/cdd/olddocs/Quality Alerts/MICROMINI/Potted- Plex/QA-PLEX-002 Rev. A ABPP4R5D5 Coupler Rayado [Compatibility Mode].pdf</t>
  </si>
  <si>
    <t>~/cdd/olddocs/Quality Alerts/MICROMINI/Potted- Plex/QA-PLEX-003 Rev. A A98DP56PTA5 Falta de Oring- Exceso de Epoxy.pdf</t>
  </si>
  <si>
    <t>~/cdd/olddocs/Quality Alerts/MICROMINI/Potted- Plex/QA-PLEX-004 Rev. A Utilizacion de etiquetas.pdf</t>
  </si>
  <si>
    <t>~/cdd/olddocs/Quality Alerts/MICROMINI/Potted- Plex/QA-POTT-001 Rev. A 11695251 Pieza- Faltante.pdf</t>
  </si>
  <si>
    <t>~/cdd/olddocs/Quality Alerts/MICROMINI/Potted- Plex/QA-POTT-002 Rev. A . 1463659 Inspeccion de Entrada.pdf</t>
  </si>
  <si>
    <t>~/cdd/olddocs/Quality Alerts/MOLDEO/Moldeo Moorpark/QA-MRPK-001 Rev. A 096-0257-001 Rosca Interna -Falta de Material [Compatibility Mode].pdf</t>
  </si>
  <si>
    <t>~/cdd/olddocs/Quality Alerts/MOLDEO/Moldeo Moorpark/QA-MRPK-002 Rev. A RF22-2852-5 Clamp -Configaracion incorrecta.pdf</t>
  </si>
  <si>
    <t>~/cdd/olddocs/Quality Alerts/MOLDEO/Moldeo Moorpark/QA-MRPK-003  Rev. A  128-0074-001 Pieza con marcas.pdf</t>
  </si>
  <si>
    <t>~/cdd/olddocs/Quality Alerts/MOLDEO/Moldeo Moorpark/QA-MRPK-004 Rev. A Pieza mal moldeada-Hundimientos.pdf</t>
  </si>
  <si>
    <t>~/cdd/olddocs/Quality Alerts/MOLDEO/Moldeo Moorpark/QA-MRPK-005  Moldeo Orificios sin perforar.pdf</t>
  </si>
  <si>
    <t>~/cdd/olddocs/Quality Alerts/SOLAR/QA-SOL-001 Nedco.pdf</t>
  </si>
  <si>
    <t>~/cdd/olddocs/Quality Alerts/SOLAR/QA-SOL-003 Orientacion del tubing.pdf</t>
  </si>
  <si>
    <t>~/cdd/olddocs/Quality Alerts/SOLAR/QA-SOL-004  Carretes Solar.pdf</t>
  </si>
  <si>
    <t>~/cdd/olddocs/TPMs/Moorpark/TPM-MRPK-002 Rev. A TP-18 Tecn. de Mantto.xlsx</t>
  </si>
  <si>
    <t>~/cdd/olddocs/Ayudas visuales/Avenal-Solar/CNWI-VSHP-000190 Rev A Proceso de ensamble del area Solar.ppt</t>
  </si>
  <si>
    <t>~/cdd/olddocs/Ayudas visuales/Avenal-Solar/CNWI-VSHP-000191 Rev  A Proceso de Ensanble del area solar IC-B13-P y IC-B13-N.ppt</t>
  </si>
  <si>
    <t>~/cdd/olddocs/Ayudas visuales/Avenal-Solar/CNWI-VSHP-000203 Rev A Proceso de estacion de trabajo de soldadura del area solar.ppt</t>
  </si>
  <si>
    <t>~/cdd/olddocs/Ayudas visuales/Avenal-Solar/CNWI-VSHP-000204 Rev A Ilustrar el proceso correcto de aplicación de goma en Solar.ppt</t>
  </si>
  <si>
    <t>~/cdd/olddocs/Ayudas visuales/Avenal-Solar/CNWI-VSHP-000218 Rev  A Formato para Instruccion de trabajo  (IC-A92-001).ppt</t>
  </si>
  <si>
    <t>~/cdd/olddocs/Ayudas visuales/Avenal-Solar/VA-SOL- 003 Rev .B  Proceso ensamble del area de solar IC-A61-P2.pptx</t>
  </si>
  <si>
    <t>~/cdd/olddocs/Ayudas visuales/Avenal-Solar/VA-SOL-001  Rev. B  Proceso ensamble del area de solar IC-A61-N1.ppt</t>
  </si>
  <si>
    <t>~/cdd/olddocs/Ayudas visuales/Avenal-Solar/VA-SOL-002  Rev .B Proceso ensamble del area de solar IC-A61-N2 .pptx</t>
  </si>
  <si>
    <t>~/cdd/olddocs/Ayudas visuales/Avenal-Solar/VA-SOL-004  Rev. B Proceso ensamble del area de solar IC-A61-P1.pptx</t>
  </si>
  <si>
    <t>~/cdd/olddocs/Ayudas visuales/Avenal-Solar/VA-SOL-005 Rev. A Proyecto NEDCO area de Solar.pptx</t>
  </si>
  <si>
    <t>~/cdd/olddocs/Ayudas visuales/Camarillo/Amsafe/CNWI-VSHP-000111 Rev  C  004005-XXXX  (507735).ppt</t>
  </si>
  <si>
    <t>~/cdd/olddocs/Ayudas visuales/Camarillo/Amsafe/CNWI-VSHP-000159 REV C 508978-C.ppt</t>
  </si>
  <si>
    <t>~/cdd/olddocs/Ayudas visuales/Camarillo/Amsafe/CNWI-VSHP-000161 509976-C.pub</t>
  </si>
  <si>
    <t>~/cdd/olddocs/Ayudas visuales/Camarillo/Amsafe/CNWI-VSHP-000177 Rev B  508978.ppt</t>
  </si>
  <si>
    <t>~/cdd/olddocs/Ayudas visuales/Camarillo/Amsafe/CNWI-VSHP-000200 Rev A CABLE ASSEMBLY INTERFACE 004003-0001.ppt</t>
  </si>
  <si>
    <t>~/cdd/olddocs/Ayudas visuales/Camarillo/Amsafe/CNWI-VSHP-000201 Rev A  CABLE ASSEMBLY INTERFACE 508976 partes004022-0001 , 004036-0001.ppt</t>
  </si>
  <si>
    <t>~/cdd/olddocs/Ayudas visuales/Camarillo/Amsafe/VA-AMSA-002 Rev A  CABLE ASSEMPLY EXTENTION  DRAWING 509800  PART   004038-0001.ppt</t>
  </si>
  <si>
    <t>~/cdd/olddocs/Ayudas visuales/Camarillo/Amsafe/VA-AMSA-008 Rev. A  508976 APLICA 003086-0001 003088-0001 003095-0001 004000-0001.ppt</t>
  </si>
  <si>
    <t>~/cdd/olddocs/Ayudas visuales/Camarillo/Amsafe/VA-AMSA-009 Rev D CABLE INTERFACE 511324.ppt</t>
  </si>
  <si>
    <t>~/cdd/olddocs/Ayudas visuales/Camarillo/Amsafe/VA-AMSA-011  REV T  004046-0006 (Rev T).ppt</t>
  </si>
  <si>
    <t>~/cdd/olddocs/Ayudas visuales/Camarillo/Amsafe/VA-AMSA-012  REV T  004042-0001, 004042-0002, 004042-0003, 004046-0004 (Rev T).pptx</t>
  </si>
  <si>
    <t>~/cdd/olddocs/Ayudas visuales/Camarillo/Amsafe/VA-AMSA-014  REV --  (Es revision A error tipografico --)  511434 (004070-0001).ppt</t>
  </si>
  <si>
    <t>~/cdd/olddocs/Ayudas visuales/Camarillo/Amsafe/VA-AMSA-015  REV DOC A- DRAWING REV L    508348  PART   003075-0001.ppt</t>
  </si>
  <si>
    <t>~/cdd/olddocs/Ayudas visuales/Camarillo/Amsafe/VA-AMSA-017 Rev Doc B- Drawing AN CABLE ASSEMBLY INTERFACE 508976 pag 4.ppt</t>
  </si>
  <si>
    <t>~/cdd/olddocs/Ayudas visuales/Camarillo/Amsafe/VA-AMSA-018 Rev Doc B- Drawing AN CABLE ASSEMBLY INTERFACE  508976 pag 7.ppt</t>
  </si>
  <si>
    <t>~/cdd/olddocs/Ayudas visuales/Camarillo/Amsafe/VA-AMSA-019  Rev Doc D- Drawing  AG CABLE INTERFACE 508978 Pag 3.ppt</t>
  </si>
  <si>
    <t>~/cdd/olddocs/Ayudas visuales/Camarillo/Bonding/CNWI-VSHP-000001 Rev. A (002314-0000).pub</t>
  </si>
  <si>
    <t>~/cdd/olddocs/Ayudas visuales/Camarillo/Bonding/CNWI-VSHP-000002 Rev. A (000103-0419).pub</t>
  </si>
  <si>
    <t>~/cdd/olddocs/Ayudas visuales/Camarillo/Bonding/CNWI-VSHP-000003 Rev. B (000102-0145).pub</t>
  </si>
  <si>
    <t>~/cdd/olddocs/Ayudas visuales/Camarillo/Bonding/CNWI-VSHP-000004 Rev. B (002360-0000).pub</t>
  </si>
  <si>
    <t>~/cdd/olddocs/Ayudas visuales/Camarillo/Bonding/CNWI-VSHP-000015 Rev. A (000300-1561).pub</t>
  </si>
  <si>
    <t>~/cdd/olddocs/Ayudas visuales/Camarillo/Bonding/CNWI-VSHP-000017 Rev. A (508432).pub</t>
  </si>
  <si>
    <t>~/cdd/olddocs/Ayudas visuales/Camarillo/Bonding/CNWI-VSHP-000038 Rev. A (000300-1562).pub</t>
  </si>
  <si>
    <t>~/cdd/olddocs/Ayudas visuales/Camarillo/Bonding/CNWI-VSHP-000045 Rev. A (000103-0399).pub</t>
  </si>
  <si>
    <t>~/cdd/olddocs/Ayudas visuales/Camarillo/Bonding/CNWI-VSHP-000052 Rev. A (002361-0000).pub</t>
  </si>
  <si>
    <t>~/cdd/olddocs/Ayudas visuales/Camarillo/Bonding/CNWI-VSHP-000053 Rev. A (002315-0000).pub</t>
  </si>
  <si>
    <t>~/cdd/olddocs/Ayudas visuales/Camarillo/Bonding/CNWI-VSHP-000058 Rev. A (002371-0004M).pub</t>
  </si>
  <si>
    <t>~/cdd/olddocs/Ayudas visuales/Camarillo/Bonding/CNWI-VSHP-000059 Rev. A (BACT44E-001M).pub</t>
  </si>
  <si>
    <t>~/cdd/olddocs/Ayudas visuales/Camarillo/Bonding/CNWI-VSHP-000090 Rev. A (000102-0159).pub</t>
  </si>
  <si>
    <t>~/cdd/olddocs/Ayudas visuales/Camarillo/Bonding/CNWI-VSHP-000107 Rev. A (000100-0179M).pub</t>
  </si>
  <si>
    <t>~/cdd/olddocs/Ayudas visuales/Camarillo/Bonding/CNWI-VSHP-000108 Rev. A (BACC65AL-800M).pub</t>
  </si>
  <si>
    <t>~/cdd/olddocs/Ayudas visuales/Camarillo/Bonding/CNWI-VSHP-000120 Rev  B (Empaque BACC65XX).pub</t>
  </si>
  <si>
    <t>~/cdd/olddocs/Ayudas visuales/Camarillo/Bonding/CNWI-VSHP-000129 REV. A 002359-0004.pub</t>
  </si>
  <si>
    <t>~/cdd/olddocs/Ayudas visuales/Camarillo/Bonding/CNWI-VSHP-000153 REV. A (002360-0006 y 002360-0004).pub</t>
  </si>
  <si>
    <t>~/cdd/olddocs/Ayudas visuales/Camarillo/Bonding/CNWI-VSHP-000155 Rev. A (002359-0006).pub</t>
  </si>
  <si>
    <t>~/cdd/olddocs/Ayudas visuales/Camarillo/Bonding/CNWI-VSHP-000158 (000101-0172M).pub</t>
  </si>
  <si>
    <t>~/cdd/olddocs/Ayudas visuales/Camarillo/Bonding/VA-BOND-002 Rev G 002359-0000 (AMC02PA03R- AMC02PS03W- AMC02PA03B).ppt</t>
  </si>
  <si>
    <t>~/cdd/olddocs/Ayudas visuales/Camarillo/Bonding/VA-BOND-003 Rev F   BACC65AKXXXP.ppt</t>
  </si>
  <si>
    <t>~/cdd/olddocs/Ayudas visuales/Camarillo/Bonding/VA-BOND-005 Rev C  002359-0000 EMPAQUE  PLUG AIRBORNEMINIATURE CIRCULAR COLORS RED WHAITE &amp; BLUE.ppt</t>
  </si>
  <si>
    <t>~/cdd/olddocs/Ayudas visuales/Camarillo/Bonding/VA-BOND-006 Rev B CONECTOR  000100-0113M.ppt</t>
  </si>
  <si>
    <t>~/cdd/olddocs/Ayudas visuales/Camarillo/Bonding/VA-BOND-007 Rev A  002359-0000  002360-0000  002361-0000.ppt</t>
  </si>
  <si>
    <t>~/cdd/olddocs/Ayudas visuales/Camarillo/Ensamble general/CNWI-VSHP-000016 Rev. A (000201-4239).pub</t>
  </si>
  <si>
    <t>~/cdd/olddocs/Ayudas visuales/Camarillo/Ensamble general/CNWI-VSHP-000029 Rev. A (000300-1304).pub</t>
  </si>
  <si>
    <t>~/cdd/olddocs/Ayudas visuales/Camarillo/Ensamble general/CNWI-VSHP-000031 Rev.A 000292-0000.pub</t>
  </si>
  <si>
    <t>~/cdd/olddocs/Ayudas visuales/Camarillo/Ensamble general/CNWI-VSHP-000035 Rev. A. (000231-3854).pub</t>
  </si>
  <si>
    <t>~/cdd/olddocs/Ayudas visuales/Camarillo/Ensamble general/CNWI-VSHP-000036 Rev. A (004006-0000).pub</t>
  </si>
  <si>
    <t>~/cdd/olddocs/Ayudas visuales/Camarillo/Ensamble general/CNWI-VSHP-000039 Rev.A (004008-0000).pub</t>
  </si>
  <si>
    <t>~/cdd/olddocs/Ayudas visuales/Camarillo/Ensamble general/CNWI-VSHP-000046 Rev. A (002104-0000).pub</t>
  </si>
  <si>
    <t>~/cdd/olddocs/Ayudas visuales/Camarillo/Ensamble general/CNWI-VSHP-000047 Rev. A (000267-0000).pub</t>
  </si>
  <si>
    <t>~/cdd/olddocs/Ayudas visuales/Camarillo/Ensamble general/CNWI-VSHP-000068 Rev. A (002284-0000).pub</t>
  </si>
  <si>
    <t>~/cdd/olddocs/Ayudas visuales/Camarillo/Ensamble general/CNWI-VSHP-000081 Rev. A (28-7002-0000M).pub</t>
  </si>
  <si>
    <t>~/cdd/olddocs/Ayudas visuales/Camarillo/Ensamble general/CNWI-VSHP-000084 Rev. A (002144-0000).pub</t>
  </si>
  <si>
    <t>~/cdd/olddocs/Ayudas visuales/Camarillo/Ensamble general/CNWI-VSHP-000126 REV.A (28-7603-0000).pub</t>
  </si>
  <si>
    <t>~/cdd/olddocs/Ayudas visuales/Camarillo/Ensamble general/CNWI-VSHP-000127 REV.A 28-2241-0000.pub</t>
  </si>
  <si>
    <t>~/cdd/olddocs/Ayudas visuales/Camarillo/Ensamble general/CNWI-VSHP-000128 REV.A 28-7603-0000.pub</t>
  </si>
  <si>
    <t>~/cdd/olddocs/Ayudas visuales/Camarillo/Ensamble general/CNWI-VSHP-000130 REV. A.pub</t>
  </si>
  <si>
    <t>~/cdd/olddocs/Ayudas visuales/Camarillo/Ensamble general/CNWI-VSHP-000137 REV. A 000101-0172M (000101-0172).pub</t>
  </si>
  <si>
    <t>~/cdd/olddocs/Ayudas visuales/Camarillo/Ensamble general/CNWI-VSHP-000160 28-7502-0002.pub</t>
  </si>
  <si>
    <t>~/cdd/olddocs/Ayudas visuales/Camarillo/Ensamble general/CNWI-VSHP-000166  001-0130-001.pub</t>
  </si>
  <si>
    <t>~/cdd/olddocs/Ayudas visuales/Camarillo/Ensamble general/CNWI-VSHP-000179 Verificacion de cumplimiento   28-3256-0001.ppt</t>
  </si>
  <si>
    <t>~/cdd/olddocs/Ayudas visuales/Camarillo/Ensamble general/CNWI-VSHP-000180  28-3257-0001.ppt</t>
  </si>
  <si>
    <t>~/cdd/olddocs/Ayudas visuales/Camarillo/Ensamble general/VA-EGRAL-001 Rev B  000294-0000.pptx</t>
  </si>
  <si>
    <t>~/cdd/olddocs/Ayudas visuales/Camarillo/General/VA-CGRAL-001 Rev C prueba de o-ring.ppt</t>
  </si>
  <si>
    <t>~/cdd/olddocs/Ayudas visuales/Camarillo/Itron/CNWI-VSHP-000014 Rev. A (Retrabajo Convertir 28-3265-0001 a 28-3264-0001).pub</t>
  </si>
  <si>
    <t>~/cdd/olddocs/Ayudas visuales/Camarillo/Itron/CNWI-VSHP-000027 Rev. B (CBA-0200-010).pub</t>
  </si>
  <si>
    <t>~/cdd/olddocs/Ayudas visuales/Camarillo/Itron/CNWI-VSHP-000030 Rev.A Retrabajo (Convertir 28-3267-0001 a 28-3264-0001).pub</t>
  </si>
  <si>
    <t>~/cdd/olddocs/Ayudas visuales/Camarillo/Itron/CNWI-VSHP-000048 Rev. A (003053-0000).pub</t>
  </si>
  <si>
    <t>~/cdd/olddocs/Ayudas visuales/Camarillo/Itron/CNWI-VSHP-000049 Rev. A (009-0542-300M).pub</t>
  </si>
  <si>
    <t>~/cdd/olddocs/Ayudas visuales/Camarillo/Itron/CNWI-VSHP-000067 Rev. A  (Set Up Maquina The Shot Gun).pub</t>
  </si>
  <si>
    <t>~/cdd/olddocs/Ayudas visuales/Camarillo/Itron/CNWI-VSHP-000095 Rev. A (CBA-0200-011).pub</t>
  </si>
  <si>
    <t>~/cdd/olddocs/Ayudas visuales/Camarillo/Itron/CNWI-VSHP-000113 Rev. A (CBA-0217-314).pub</t>
  </si>
  <si>
    <t>~/cdd/olddocs/Ayudas visuales/Camarillo/Itron/CNWI-VSHP-000114 REV. A (CBA-0349-104).pub</t>
  </si>
  <si>
    <t>~/cdd/olddocs/Ayudas visuales/Camarillo/Itron/CNWI-VSHP-000115 Rev. A (CBA-0349-105).pub</t>
  </si>
  <si>
    <t>~/cdd/olddocs/Ayudas visuales/Camarillo/Itron/CNWI-VSHP-000133 REV.A 28-3306-0001.pub</t>
  </si>
  <si>
    <t>~/cdd/olddocs/Ayudas visuales/Camarillo/Itron/CNWI-VSHP-000136  CBA-1300-905 REV A ( 28-2307-0001).pub</t>
  </si>
  <si>
    <t>~/cdd/olddocs/Ayudas visuales/Camarillo/Itron/CNWI-VSHP-000138 REV. A (28-7502-0007M).pub</t>
  </si>
  <si>
    <t>~/cdd/olddocs/Ayudas visuales/Camarillo/Itron/CNWI-VSHP-000150  REV. A (28-3289-0001).pub</t>
  </si>
  <si>
    <t>~/cdd/olddocs/Ayudas visuales/Camarillo/Itron/MULTICELDA B/VA-IMB-001 Rev E  100G REMOTE MERCURY CORRECTOR 5 CBA-5000-002 (28-3278-0001) - Copy.ppt</t>
  </si>
  <si>
    <t>~/cdd/olddocs/Ayudas visuales/Camarillo/Itron/MULTICELDA B/VA-IMB-002 Rev B CBA-1300-002  CBA-1300-003 CBA-1300-004 CBA-1300-001.ppt</t>
  </si>
  <si>
    <t>~/cdd/olddocs/Ayudas visuales/Camarillo/Itron/MULTICELDA B/VA-IMB-004 Rev A  Ensamble de 28-2304-005 28-2305-0001  pptx - Copy.pptx</t>
  </si>
  <si>
    <t>~/cdd/olddocs/Ayudas visuales/Camarillo/Itron/MULTICELDA B/VA-IMB-005  Rev B  28-2266-0000 28-2266-000X.ppt</t>
  </si>
  <si>
    <t>~/cdd/olddocs/Ayudas visuales/Camarillo/Itron/PLUG/VA-IPLUG-001 Rev F  CABLE ASSEMBLY 28-3272-0004 (CBA-0217-307) .ppt</t>
  </si>
  <si>
    <t>~/cdd/olddocs/Ayudas visuales/Camarillo/Itron/PLUG/VA-IPLUG-002  Rev C   CBA-0349-105 PARTE 28-2297-0001.ppt</t>
  </si>
  <si>
    <t>~/cdd/olddocs/Ayudas visuales/Camarillo/Itron/RECEPTACULO/VA-IRCPT-001 Rev G   RECEPTACLE 28-3264-0001 28-3272-050X.ppt</t>
  </si>
  <si>
    <t>~/cdd/olddocs/Ayudas visuales/Camarillo/Moldeo/CNWI-VSHP-000082 Rev. A (027-0231-000).pub</t>
  </si>
  <si>
    <t>~/cdd/olddocs/Ayudas visuales/Camarillo/Moldeo/CNWI-VSHP-000083 Rev. A (027-0236-000).pub</t>
  </si>
  <si>
    <t>~/cdd/olddocs/Ayudas visuales/Camarillo/Moldeo/CNWI-VSHP-000089 Rev. A (027-0230-000).pub</t>
  </si>
  <si>
    <t>~/cdd/olddocs/Ayudas visuales/Camarillo/Moldeo/CNWI-VSHP-000099 Rev. A (027-0248-000).pub</t>
  </si>
  <si>
    <t>~/cdd/olddocs/Ayudas visuales/Camarillo/Moldeo/CNWI-VSHP-000100 Rev. A (024-0317-000).pub</t>
  </si>
  <si>
    <t>~/cdd/olddocs/Ayudas visuales/Camarillo/Moldeo/CNWI-VSHP-000102 Rev. A (084-0109-000).pub</t>
  </si>
  <si>
    <t>~/cdd/olddocs/Ayudas visuales/Camarillo/Moldeo/CNWI-vshp-000181 Rev A  Acoplamiento Dust Cap 009-0537-001.pptx</t>
  </si>
  <si>
    <t>~/cdd/olddocs/Ayudas visuales/Camarillo/Salem/CNWI-VSHP-000005 Rev. A (102-117G1).pub</t>
  </si>
  <si>
    <t>~/cdd/olddocs/Ayudas visuales/Camarillo/Salem/VA-SALM-001 Rev C CABLE ASSY A1-330-0000  PART A1-330-0080.ppt</t>
  </si>
  <si>
    <t>~/cdd/olddocs/Ayudas visuales/Micromini/A y B/CNWI-VSHP-000018 Rev. A (5000109_JS).pub</t>
  </si>
  <si>
    <t>~/cdd/olddocs/Ayudas visuales/Micromini/A y B/CNWI-VSHP-000019 Rev. A (5000111-BW).pub</t>
  </si>
  <si>
    <t>~/cdd/olddocs/Ayudas visuales/Micromini/A y B/CNWI-VSHP-000020 Rev. A (5000109R).pub</t>
  </si>
  <si>
    <t>~/cdd/olddocs/Ayudas visuales/Micromini/A y B/CNWI-VSHP-000022 Rev. A (5000118-A).pub</t>
  </si>
  <si>
    <t>~/cdd/olddocs/Ayudas visuales/Micromini/A y B/CNWI-VSHP-000023 Rev. A (5000129-AZ).pub</t>
  </si>
  <si>
    <t>~/cdd/olddocs/Ayudas visuales/Micromini/A y B/CNWI-VSHP-000024 Rev. B (DM4Q2M24E-A).pub</t>
  </si>
  <si>
    <t>~/cdd/olddocs/Ayudas visuales/Micromini/A y B/CNWI-VSHP-000028 Rev. A (5000118-DW).pub</t>
  </si>
  <si>
    <t>~/cdd/olddocs/Ayudas visuales/Micromini/A y B/CNWI-VSHP-000033 Rev.A 5000129-X.pub</t>
  </si>
  <si>
    <t>~/cdd/olddocs/Ayudas visuales/Micromini/A y B/CNWI-VSHP-000040 Rev. a (A89N-F10AF-5).pub</t>
  </si>
  <si>
    <t>~/cdd/olddocs/Ayudas visuales/Micromini/A y B/CNWI-VSHP-000041 Rev. A (A89N-F9AF-5).pub</t>
  </si>
  <si>
    <t>~/cdd/olddocs/Ayudas visuales/Micromini/A y B/CNWI-VSHP-000042 Rev. A (A89N-F12AF-5).pub</t>
  </si>
  <si>
    <t>~/cdd/olddocs/Ayudas visuales/Micromini/A y B/CNWI-VSHP-000043 Rev. A (LMA682).pub</t>
  </si>
  <si>
    <t>~/cdd/olddocs/Ayudas visuales/Micromini/A y B/CNWI-VSHP-000050 Rev. A (A89N-F9AFNU-1).pub</t>
  </si>
  <si>
    <t>~/cdd/olddocs/Ayudas visuales/Micromini/A y B/CNWI-VSHP-000051 Rev. A (5000110-AY).pub</t>
  </si>
  <si>
    <t>~/cdd/olddocs/Ayudas visuales/Micromini/A y B/CNWI-VSHP-000054 Rev. A (5000111-Q).pub</t>
  </si>
  <si>
    <t>~/cdd/olddocs/Ayudas visuales/Micromini/A y B/CNWI-VSHP-000057 Rev. A (PC5RADD-A).pub</t>
  </si>
  <si>
    <t>~/cdd/olddocs/Ayudas visuales/Micromini/A y B/CNWI-VSHP-000063 Rev. A (X8987-CB).pub</t>
  </si>
  <si>
    <t>~/cdd/olddocs/Ayudas visuales/Micromini/A y B/CNWI-VSHP-000064 Rev. A (X8987-T).pub</t>
  </si>
  <si>
    <t>~/cdd/olddocs/Ayudas visuales/Micromini/A y B/CNWI-VSHP-000072 Rev. A (5000118-JC).pub</t>
  </si>
  <si>
    <t>~/cdd/olddocs/Ayudas visuales/Micromini/A y B/CNWI-VSHP-000074 Rev. A (5000135-Z).pub</t>
  </si>
  <si>
    <t>~/cdd/olddocs/Ayudas visuales/Micromini/A y B/CNWI-VSHP-000077 Rev. A (A89N-R12AF-5).pub</t>
  </si>
  <si>
    <t>~/cdd/olddocs/Ayudas visuales/Micromini/A y B/CNWI-VSHP-000085 Rev. A (X8992-CS).pub</t>
  </si>
  <si>
    <t>~/cdd/olddocs/Ayudas visuales/Micromini/A y B/CNWI-VSHP-000086 Rev. A (X8992-BK).pub</t>
  </si>
  <si>
    <t>~/cdd/olddocs/Ayudas visuales/Micromini/A y B/CNWI-VSHP-000093 Rev. A (ABP-P1E4-B).pub</t>
  </si>
  <si>
    <t>~/cdd/olddocs/Ayudas visuales/Micromini/A y B/CNWI-VSHP-000109 Rev. A (ABP-P1H4-S).pub</t>
  </si>
  <si>
    <t>~/cdd/olddocs/Ayudas visuales/Micromini/A y B/CNWI-VSHP-000167  5000109-BE.pub</t>
  </si>
  <si>
    <t>~/cdd/olddocs/Ayudas visuales/Micromini/A y B/CNWI-VSHP-000188 Rev A  ALTURA CONTACTOS DM4Q2M24E-A.pptx</t>
  </si>
  <si>
    <t>~/cdd/olddocs/Ayudas visuales/Micromini/A y B/CNWI-VSHP-000189 ALTURA DE CONTACTOS TEE DIBUJO CHDN-TAER Y  CHDN-TAER-N Y A98N-43PB-N4.pptx</t>
  </si>
  <si>
    <t>~/cdd/olddocs/Ayudas visuales/Micromini/A y B/VA-AYB-001 Rev B ALTURA DE CONTACTOS PARA DIBUJOS A89N-F7AF-2, A89N-F7AF5- A89N-F8AF2, A89B-F8AF-5.pptx</t>
  </si>
  <si>
    <t>~/cdd/olddocs/Ayudas visuales/Micromini/A y B/VA-AYB-002 Rev B  ALTURA DE CONTACTOS TEE DIBUJO CHDN-TAER Y  CHDN-TAER-N Y A98N-43PB-N4.pptx</t>
  </si>
  <si>
    <t>~/cdd/olddocs/Ayudas visuales/Micromini/A y B/VA-AYB-003 Rev A DM4Q2M24E-A (Dominico).pptx</t>
  </si>
  <si>
    <t>~/cdd/olddocs/Ayudas visuales/Micromini/Change Out/CNWI-VSHP-000055 Rev. A (X8653-GJ).pub</t>
  </si>
  <si>
    <t>~/cdd/olddocs/Ayudas visuales/Micromini/Change Out/CNWI-VSHP-000060 Rev. A (X8653-GV).pub</t>
  </si>
  <si>
    <t>~/cdd/olddocs/Ayudas visuales/Micromini/Change Out/CNWI-VSHP-000062 Rev. A (X8653-KL).pub</t>
  </si>
  <si>
    <t>~/cdd/olddocs/Ayudas visuales/Micromini/Change Out/CNWI-VSHP-000096 Rev. A (X8653-DA).pub</t>
  </si>
  <si>
    <t>~/cdd/olddocs/Ayudas visuales/Micromini/Change Out/VA-CHGO-001 Rev B  X8652-CS Y REFERENCIA 1326304.pptx</t>
  </si>
  <si>
    <t>~/cdd/olddocs/Ayudas visuales/Micromini/General/CNWI-VSHP-000007 Rev. A (MEZCLA DE EPOXY).pub</t>
  </si>
  <si>
    <t>~/cdd/olddocs/Ayudas visuales/Micromini/General/CNWI-VSHP-000009 Rev. A  (Impresion de etiquetas Micro-Mini).pub</t>
  </si>
  <si>
    <t>~/cdd/olddocs/Ayudas visuales/Micromini/General/CNWI-VSHP-000010 Rev. A (Manejo de Crisol).pub</t>
  </si>
  <si>
    <t>~/cdd/olddocs/Ayudas visuales/Micromini/General/CNWI-VSHP-000011 Rev. A (PRUEBA MAYOR DE 12 POLOS).pub</t>
  </si>
  <si>
    <t>~/cdd/olddocs/Ayudas visuales/Micromini/General/CNWI-VSHP-000012 Rev. A (PULL TEST MICRO-MINI).pub</t>
  </si>
  <si>
    <t>~/cdd/olddocs/Ayudas visuales/Micromini/General/CNWI-VSHP-000013 REV. A (Uso de dispenser potted).pub</t>
  </si>
  <si>
    <t>~/cdd/olddocs/Ayudas visuales/Micromini/General/CNWI-VSHP-000065 Rev. A (Prueba electric Mayor a 2000V 2-12 cond).pub</t>
  </si>
  <si>
    <t>~/cdd/olddocs/Ayudas visuales/Micromini/General/CNWI-VSHP-000066 Rev. A (LIMPIEZA DE CHEMLOK).pub</t>
  </si>
  <si>
    <t>~/cdd/olddocs/Ayudas visuales/Micromini/General/CNWI-VSHP-000080 Rev. A (Set Up bascula ULINE).pub</t>
  </si>
  <si>
    <t>~/cdd/olddocs/Ayudas visuales/Micromini/General/CNWI-VSHP-000121 Formato ofical para ayudas visuales.pub</t>
  </si>
  <si>
    <t>~/cdd/olddocs/Ayudas visuales/Micromini/General/CNWI-VSHP-000162 Remocion de molde.pub</t>
  </si>
  <si>
    <t>~/cdd/olddocs/Ayudas visuales/Micromini/General/CNWI-VSHP-000173 retiro piezas de molde.pub</t>
  </si>
  <si>
    <t>~/cdd/olddocs/Ayudas visuales/Micromini/General/VA-MGRAL-001 Rev B  COLOCACION DE FACE GASKET.pptx</t>
  </si>
  <si>
    <t>~/cdd/olddocs/Ayudas visuales/Micromini/General/VA-MGRAL-002 Rev C SOLDADURA DE CONDUCTORES A CONECTOR GENERICA MICROMINI (2).pptx</t>
  </si>
  <si>
    <t>~/cdd/olddocs/Ayudas visuales/Micromini/General/VA-MGRAL-003 Rev C  REMACHADO DE CONTACTOS MICROMINI (2).pptx</t>
  </si>
  <si>
    <t>~/cdd/olddocs/Ayudas visuales/Micromini/General/VA-MGRAL-004 Rev B  despoje de conductores micromini (2).pptx</t>
  </si>
  <si>
    <t>~/cdd/olddocs/Ayudas visuales/Micromini/General/VA-MGRAL-005 Rev B  PEGADO DE PIEZAS MOLDEADAS (2).pptx</t>
  </si>
  <si>
    <t>~/cdd/olddocs/Ayudas visuales/Micromini/General/VA-MGRAL-006 Rev B corte de cable micro mini generica (2).pptx</t>
  </si>
  <si>
    <t>~/cdd/olddocs/Ayudas visuales/Micromini/General/VA-MGRAL-007 Rev B despoje jacket  generica micromini (2).pptx</t>
  </si>
  <si>
    <t>~/cdd/olddocs/Ayudas visuales/Micromini/General/VA-MGRAL-008 Rev B  EMPAQUE GENERICO MICROMINI.pptx</t>
  </si>
  <si>
    <t>~/cdd/olddocs/Ayudas visuales/Micromini/General/VA-MGRAL-009 Rev B  INSERCION DE CONTACTOS GENERICA MICROMINI.pptx</t>
  </si>
  <si>
    <t>~/cdd/olddocs/Ayudas visuales/Micromini/General/VA-MGRAL-010 Rev B  Moldeo de pieza micromini.pptx</t>
  </si>
  <si>
    <t>~/cdd/olddocs/Ayudas visuales/Micromini/General/VA-MGRAL-011 Rev D Calentado de inserts.pptx</t>
  </si>
  <si>
    <t>~/cdd/olddocs/Ayudas visuales/Micromini/General/VA-MGRAL-012 Rev N aplicacion de goma al inserto y al cable.pptx</t>
  </si>
  <si>
    <t>~/cdd/olddocs/Ayudas visuales/Micromini/MS/CNWI-VSHP-000044 Rev. A (CHMEA0094) Soldadura.pub</t>
  </si>
  <si>
    <t>~/cdd/olddocs/Ayudas visuales/Micromini/MS/CNWI-VSHP-000087 Rev. A (X8653-FJ).pub</t>
  </si>
  <si>
    <t>~/cdd/olddocs/Ayudas visuales/Micromini/MS/CNWI-VSHP-000132 REV. A SOLDADURA DE CONTACTOS.pub</t>
  </si>
  <si>
    <t>~/cdd/olddocs/Ayudas visuales/Micromini/MS/CNWI-VSHP-000176 REV A COLOCACION O-RING.pptx</t>
  </si>
  <si>
    <t>~/cdd/olddocs/Ayudas visuales/Micromini/MS/CNWI-VSHP-000217 Rev A GAP DEL DIBUJO 568055-A, 568055-B Y 568055-C.pptx</t>
  </si>
  <si>
    <t>~/cdd/olddocs/Ayudas visuales/Micromini/MS/VA-MS-001 REV B COLOCACION DE MALLA.pptx</t>
  </si>
  <si>
    <t>~/cdd/olddocs/Ayudas visuales/Micromini/MS/VA-MS-002 Rev A  USO DE CHECADOR DE ENGOMADO.pptx</t>
  </si>
  <si>
    <t>~/cdd/olddocs/Ayudas visuales/Micromini/MS/VA-MS-003 EB1147 Rev. B.pptx</t>
  </si>
  <si>
    <t>~/cdd/olddocs/Ayudas visuales/Micromini/Potted/CNWI-VSHP-000025 Rev B  EMPAQUE POTTED 5000129-CF.pptx</t>
  </si>
  <si>
    <t>~/cdd/olddocs/Ayudas visuales/Micromini/Potted/CNWI-VSHP-000026 Rev. A (A88N-F5AFA1-1F).pub</t>
  </si>
  <si>
    <t>~/cdd/olddocs/Ayudas visuales/Micromini/Potted/CNWI-VSHP-000069 Rev. A (5000129-Q).pub</t>
  </si>
  <si>
    <t>~/cdd/olddocs/Ayudas visuales/Micromini/Potted/CNWI-VSHP-000070 Rev. A (5000108-D).pub</t>
  </si>
  <si>
    <t>~/cdd/olddocs/Ayudas visuales/Micromini/Potted/CNWI-VSHP-000071 Rev. A (5000111-GZ).pub</t>
  </si>
  <si>
    <t>~/cdd/olddocs/Ayudas visuales/Micromini/Potted/CNWI-VSHP-000073 Rev. A (5000129-CD).pub</t>
  </si>
  <si>
    <t>~/cdd/olddocs/Ayudas visuales/Micromini/Potted/CNWI-VSHP-000075 Rev. A (A88N-D4AF1-1F).pub</t>
  </si>
  <si>
    <t>~/cdd/olddocs/Ayudas visuales/Micromini/Potted/CNWI-VSHP-000076 Rev. A (33165821A).pub</t>
  </si>
  <si>
    <t>~/cdd/olddocs/Ayudas visuales/Micromini/Potted/CNWI-VSHP-000078 Rev. B (5000110-Y).pub</t>
  </si>
  <si>
    <t>~/cdd/olddocs/Ayudas visuales/Micromini/Potted/CNWI-VSHP-000094 Rev. A (5000120-D).pub</t>
  </si>
  <si>
    <t>~/cdd/olddocs/Ayudas visuales/Micromini/Potted/CNWI-VSHP-000098 Rev. A (1317731).pub</t>
  </si>
  <si>
    <t>~/cdd/olddocs/Ayudas visuales/Micromini/Potted/CNWI-VSHP-000110 Rev. A (1317142).pub</t>
  </si>
  <si>
    <t>~/cdd/olddocs/Ayudas visuales/Micromini/Potted/CNWI-VSHP-000112 Rev. A (ABF-P1R5-C).pub</t>
  </si>
  <si>
    <t>~/cdd/olddocs/Ayudas visuales/Micromini/Potted/CNWI-VSHP-000135 Rev. A (5000113).pub</t>
  </si>
  <si>
    <t>~/cdd/olddocs/Ayudas visuales/Micromini/Potted/CNWI-VSHP-000140 REV. A (ENSAMBLE CAP AB-A-C1).pub</t>
  </si>
  <si>
    <t>~/cdd/olddocs/Ayudas visuales/Micromini/Potted/CNWI-VSHP-000169 Rev A (5000109-GR1).pptx</t>
  </si>
  <si>
    <t>~/cdd/olddocs/Ayudas visuales/Micromini/Potted/CNWI-VSHP-000186   ALTURA CONTACTOS 5000111-D.pptx</t>
  </si>
  <si>
    <t>~/cdd/olddocs/Ayudas visuales/Micromini/Potted/CNWI-VSHP-000187   ENSAMBLE DE LOCK NUT Y GASKET A ENSAMBLE FINAL SEGUN DIBUJO MR3F4B00C-A.pptx</t>
  </si>
  <si>
    <t>~/cdd/olddocs/Ayudas visuales/Micromini/Potted/CNWI-VSHP-000202 Rev A  USO DE HORNO POTTED.pptx</t>
  </si>
  <si>
    <t>~/cdd/olddocs/Ayudas visuales/Micromini/Potted/VA-POTT-001  Rev  C  Pegado de insert a shell.pptx</t>
  </si>
  <si>
    <t>~/cdd/olddocs/Ayudas visuales/Micromini/Potted/VA-POTT-002 Encapsulado con epoxy Rev B.pptx</t>
  </si>
  <si>
    <t>~/cdd/olddocs/Ayudas visuales/Micromini/Rocwell/CNWI-VSHP-000220 Rev A EMPAQUE DE COMPONENTES SERIES 1786.pptx</t>
  </si>
  <si>
    <t>~/cdd/olddocs/Ayudas visuales/Micromini/Rocwell/VA-ROCK-001 Rev A ENGOMADO DE  RONDANA.pptx</t>
  </si>
  <si>
    <t>~/cdd/olddocs/Control Plans/ITRON/AMSAFE/CP-AMSA -014 003075-0001.pdf</t>
  </si>
  <si>
    <t>~/cdd/olddocs/Control Plans/ITRON/AMSAFE/CP-AMSA-001  004065-0001, 004065-0002, 004065-0006, 004065-0007 &amp; 004065-008.pdf</t>
  </si>
  <si>
    <t>~/cdd/olddocs/Control Plans/ITRON/AMSAFE/CP-AMSA-002 004046-0083 004043-0001.pdf</t>
  </si>
  <si>
    <t>~/cdd/olddocs/Control Plans/ITRON/AMSAFE/CP-AMSA-003 509800004038-0001 004038-0002 004038-0003  004038-0005.pdf</t>
  </si>
  <si>
    <t>~/cdd/olddocs/Control Plans/ITRON/AMSAFE/CP-AMSA-004 A 004035-TAB 004034-0001 004014-0001  003082-0001.pdf</t>
  </si>
  <si>
    <t>~/cdd/olddocs/Control Plans/ITRON/AMSAFE/CP-AMSA-005 003064-0001.pdf</t>
  </si>
  <si>
    <t>~/cdd/olddocs/Control Plans/ITRON/AMSAFE/CP-AMSA-006  004005-TAB.pdf</t>
  </si>
  <si>
    <t>~/cdd/olddocs/Control Plans/ITRON/AMSAFE/CP-AMSA-007  0004080-0001 AL 004080-0012.pdf</t>
  </si>
  <si>
    <t>~/cdd/olddocs/Control Plans/ITRON/AMSAFE/CP-AMSA-008  4004070-0001.pdf</t>
  </si>
  <si>
    <t>~/cdd/olddocs/Control Plans/ITRON/AMSAFE/CP-AMSA-009  0004071-0001.pdf</t>
  </si>
  <si>
    <t>~/cdd/olddocs/Control Plans/ITRON/AMSAFE/CP-AMSA-010  004049-0001.pdf</t>
  </si>
  <si>
    <t>~/cdd/olddocs/Control Plans/ITRON/AMSAFE/CP-AMSA-011 004041-0001 &amp; 004041-0002.pdf</t>
  </si>
  <si>
    <t>~/cdd/olddocs/Control Plans/ITRON/AMSAFE/CP-AMSA-012 004002-0001.pdf</t>
  </si>
  <si>
    <t>~/cdd/olddocs/Control Plans/ITRON/AMSAFE/CP-AMSA-013 004055-0002.pdf</t>
  </si>
  <si>
    <t>~/cdd/olddocs/Control Plans/ITRON/AMSAFE/CP-AMSA-018  004062-0001.pdf</t>
  </si>
  <si>
    <t>~/cdd/olddocs/Control Plans/ITRON/AMSAFE/CP-AMSA-019  3084 3085 3086 3087 3088 3093 3095 4000 4001.pdf</t>
  </si>
  <si>
    <t>~/cdd/olddocs/Control Plans/ITRON/BONDING/CP-BOND-001  000100-0113M, 000100-0179, 000102-TAB, 000103-TAB, 000104-TAB &amp; 000105-TAB..pdf</t>
  </si>
  <si>
    <t>~/cdd/olddocs/Control Plans/ITRON/BONDING/CP-BOND-002  002359-TAB 002360-TAB  002361-TAB.pdf</t>
  </si>
  <si>
    <t>~/cdd/olddocs/Control Plans/ITRON/BONDING/CP-BOND-003  Conector BACC65 TODOS.pdf</t>
  </si>
  <si>
    <t>~/cdd/olddocs/Control Plans/ITRON/BONDING/CP-BOND-004  002359-TAB, 002360-TAB &amp; 002361-TAB..pdf</t>
  </si>
  <si>
    <t>~/cdd/olddocs/Control Plans/ITRON/BONDING/CP-BOND-007   002367-0121.pdf</t>
  </si>
  <si>
    <t>~/cdd/olddocs/Control Plans/ITRON/BONDING/CP-BOND-009  02368-0211A.pdf</t>
  </si>
  <si>
    <t>~/cdd/olddocs/Control Plans/ITRON/BONDING/CP-BOND-010   002368-0221.pdf</t>
  </si>
  <si>
    <t>~/cdd/olddocs/Control Plans/ITRON/BONDING/CP-BOND-011   002368-0221A.pdf</t>
  </si>
  <si>
    <t>~/cdd/olddocs/Control Plans/ITRON/BONDING/CP-BOND-012   002368-0802.pdf</t>
  </si>
  <si>
    <t>~/cdd/olddocs/Control Plans/ITRON/BONDING/CP-BOND-013   002369-0001.pdf</t>
  </si>
  <si>
    <t>~/cdd/olddocs/Control Plans/ITRON/BONDING/CP-BOND-014   002371-0002 &amp; 002371-0004.pdf</t>
  </si>
  <si>
    <t>~/cdd/olddocs/Control Plans/ITRON/BONDING/CP-BOND-015   002371-0003.pdf</t>
  </si>
  <si>
    <t>~/cdd/olddocs/Control Plans/ITRON/BONDING/CP-BOND-016   002378-0001.pdf</t>
  </si>
  <si>
    <t>~/cdd/olddocs/Control Plans/ITRON/BONDING/CP-BOND-017   002379-0001.pdf</t>
  </si>
  <si>
    <t>~/cdd/olddocs/Control Plans/ITRON/BONDING/CP-BOND-018   002501-0001 y 002505-0001.pdf</t>
  </si>
  <si>
    <t>~/cdd/olddocs/Control Plans/ITRON/BONDING/CP-BOND-019   002600-000X &amp; 002601-000X.pdf</t>
  </si>
  <si>
    <t>~/cdd/olddocs/Control Plans/ITRON/BONDING/CP-BOND-020  002701-0001 al 0010.pdf</t>
  </si>
  <si>
    <t>~/cdd/olddocs/Control Plans/ITRON/BONDING/CP-BOND-021   003004-0001.pdf</t>
  </si>
  <si>
    <t>~/cdd/olddocs/Control Plans/ITRON/BONDING/CP-BOND-022   003094-0001.pdf</t>
  </si>
  <si>
    <t>~/cdd/olddocs/Control Plans/ITRON/BONDING/CP-BOND-023   BACC65AJXXXS.pdf</t>
  </si>
  <si>
    <t>~/cdd/olddocs/Control Plans/ITRON/BONDING/CP-BOND-025   BACC65ALXXXS.pdf</t>
  </si>
  <si>
    <t>~/cdd/olddocs/Control Plans/ITRON/BONDING/CP-BOND-026   BACS16W, BACS16X, VB10-1UWC11 &amp; VB10-PWC11.pdf</t>
  </si>
  <si>
    <t>~/cdd/olddocs/Control Plans/ITRON/BONDING/CP-BOND-027  BACT44E1S.pdf</t>
  </si>
  <si>
    <t>~/cdd/olddocs/Control Plans/ITRON/MILTICELL A&amp;B/CP-IMB-001 Rev. A (CON-1300-005  00628-2304-0001  28-2305-0001) (5).pdf</t>
  </si>
  <si>
    <t>~/cdd/olddocs/Control Plans/MICROMINI/CELDA A&amp;B/CP-A&amp;B-002  A89N-F8AF-2.pdf</t>
  </si>
  <si>
    <t>~/cdd/olddocs/Control Plans/MICROMINI/CELDA A&amp;B/CP-A&amp;B-005  AT3RC3R.pdf</t>
  </si>
  <si>
    <t>~/cdd/olddocs/Control Plans/MICROMINI/CELDA A&amp;B/CP-A&amp;B-006  DM4R2ME-C.pdf</t>
  </si>
  <si>
    <t>~/cdd/olddocs/Control Plans/MICROMINI/CELDA A&amp;B/CP-A&amp;B-007  A98N-43PB-N4.pdf</t>
  </si>
  <si>
    <t>~/cdd/olddocs/Control Plans/MICROMINI/CELDA A&amp;B/CP-A&amp;B-008  CHDN-TAER-N.pdf</t>
  </si>
  <si>
    <t>~/cdd/olddocs/Control Plans/MICROMINI/CELDA A&amp;B/CP-A&amp;B-009  CHDN-TAER-NG.pdf</t>
  </si>
  <si>
    <t>~/cdd/olddocs/Control Plans/MICROMINI/CELDA A&amp;B/CP-A&amp;B-010  DM4Q2M24E.pdf</t>
  </si>
  <si>
    <t>~/cdd/olddocs/Control Plans/MICROMINI/CELDA A&amp;B/CP-A&amp;B-011  AT3RC3R.pdf</t>
  </si>
  <si>
    <t>~/cdd/olddocs/Control Plans/MICROMINI/CELDA A&amp;B/CP-A&amp;B-013  1326304.pdf</t>
  </si>
  <si>
    <t>~/cdd/olddocs/Control Plans/MICROMINI/CELDA A&amp;B/CP-A&amp;B-014  A89N-F7AF-5.pdf</t>
  </si>
  <si>
    <t>~/cdd/olddocs/Control Plans/MICROMINI/CELDA A&amp;B/CP-A&amp;B-015  XC6XXXXXXXXX.pdf</t>
  </si>
  <si>
    <t>~/cdd/olddocs/Control Plans/MICROMINI/CELDA A&amp;B/CP-A&amp;B-016  ML4C4TC.pdf</t>
  </si>
  <si>
    <t>~/cdd/olddocs/Control Plans/MICROMINI/CELDA A&amp;B/CP-A&amp;B-018  ADM4Q2M24E.pdf</t>
  </si>
  <si>
    <t>~/cdd/olddocs/Control Plans/MICROMINI/CELDA A&amp;B/CP-A&amp;B-019  DM4F2TE.pdf</t>
  </si>
  <si>
    <t>~/cdd/olddocs/Control Plans/MICROMINI/CELDA A&amp;B/CP-A&amp;B-020  DM4B2ME010M.pdf</t>
  </si>
  <si>
    <t>~/cdd/olddocs/Control Plans/MICROMINI/CELDA A&amp;B/CP-A&amp;B-021  CHDN-TAER-NG.pdf</t>
  </si>
  <si>
    <t>~/cdd/olddocs/Control Plans/MICROMINI/CELDA A&amp;B/CP-A&amp;B-022  CA4P7C09C040MY.pdf</t>
  </si>
  <si>
    <t>~/cdd/olddocs/Control Plans/MICROMINI/CELDA A&amp;B/CP-A&amp;B-023  AT3RC3R.pdf</t>
  </si>
  <si>
    <t>~/cdd/olddocs/Control Plans/MICROMINI/CELDA A&amp;B/CP-A&amp;B-024  AM3F2MG.pdf</t>
  </si>
  <si>
    <t>~/cdd/olddocs/Control Plans/MICROMINI/CELDA A&amp;B/CP-A&amp;B-025  ABSP4R5C.pdf</t>
  </si>
  <si>
    <t>~/cdd/olddocs/Control Plans/MICROMINI/CELDA A&amp;B/CP-A&amp;B-026  A98N43PBN4.pdf</t>
  </si>
  <si>
    <t>~/cdd/olddocs/Control Plans/MICROMINI/CELDA A&amp;B/CP-A&amp;B-027  A89DR4HC.pdf</t>
  </si>
  <si>
    <t>~/cdd/olddocs/Control Plans/MICROMINI/CELDA A&amp;B/CP-A&amp;B-028  A79DM3AERF50F5.pdf</t>
  </si>
  <si>
    <t>~/cdd/olddocs/Control Plans/MICROMINI/CELDA A&amp;B/CP-A&amp;B-029  1326304.pdf</t>
  </si>
  <si>
    <t>~/cdd/olddocs/Control Plans/MICROMINI/CELDA A&amp;B/CP-A&amp;B-030  ZC5XXXXXXXXX.pdf</t>
  </si>
  <si>
    <t>~/cdd/olddocs/Control Plans/MICROMINI/CELDA A&amp;B/CP-A&amp;B-031 ZC2XXXXXXXXX.pdf</t>
  </si>
  <si>
    <t>~/cdd/olddocs/Control Plans/MICROMINI/CELDA A&amp;B/CP-A&amp;B-032  XC3XXXXXXXXX.pdf</t>
  </si>
  <si>
    <t>~/cdd/olddocs/Control Plans/MICROMINI/CELDA A&amp;B/CP-A&amp;B-034  ABT-P1M4-MN5R1.pdf</t>
  </si>
  <si>
    <t>~/cdd/olddocs/Control Plans/MICROMINI/CELDA A&amp;B/CP-A&amp;B-035 5000129-BE.pdf</t>
  </si>
  <si>
    <t>~/cdd/olddocs/Control Plans/MICROMINI/CELDA A&amp;B/CP-A&amp;B-038 Rev. 5000118-JY.pdf</t>
  </si>
  <si>
    <t>~/cdd/olddocs/Control Plans/MICROMINI/CELDA A&amp;B/CP-A&amp;B-040  AM2C2MG030F, AM3C2MG030F, AM4C2MG030F, AM5C2MG030F.pdf</t>
  </si>
  <si>
    <t>~/cdd/olddocs/Control Plans/MICROMINI/CELDA A&amp;B/CP-A&amp;B-041 DM2B3JE010M, DM3B3JE010M,DM4B3JE010M,DM5B3JE010M.pdf</t>
  </si>
  <si>
    <t>~/cdd/olddocs/Control Plans/MICROMINI/CELDA A&amp;B/CP-A&amp;B-042 DM2C2ME010M, DM3C2ME010M, DM4C2ME010M, DM5C2ME010M, DM6C2ME010M.pdf</t>
  </si>
  <si>
    <t>~/cdd/olddocs/Control Plans/MICROMINI/CHANGE-OUT/CP-CHGO-001  CA4C5SC060M.pdf</t>
  </si>
  <si>
    <t>~/cdd/olddocs/Control Plans/MICROMINI/CHANGE-OUT/CP-CHGO-002  CX852-CX852-37AN.pdf</t>
  </si>
  <si>
    <t>~/cdd/olddocs/Control Plans/MICROMINI/CHANGE-OUT/CP-CHGO-003  X8652-CS.pdf</t>
  </si>
  <si>
    <t>~/cdd/olddocs/Control Plans/MICROMINI/CHANGE-OUT/CP-CHGO-004 Control Plan X8653-FN.pdf</t>
  </si>
  <si>
    <t>~/cdd/olddocs/Control Plans/MICROMINI/CHANGE-OUT/CP-CHGO-006  CX865237AN.pdf</t>
  </si>
  <si>
    <t>~/cdd/olddocs/Control Plans/MICROMINI/CHANGE-OUT/CP-CHGO-007  CX8653312P.pdf</t>
  </si>
  <si>
    <t>~/cdd/olddocs/Control Plans/MICROMINI/CHANGE-OUT/CP-CHGO-008  CX8653316P.pdf</t>
  </si>
  <si>
    <t>~/cdd/olddocs/Control Plans/MICROMINI/CHANGE-OUT/CP-CHGO-009  CX8653330.pdf</t>
  </si>
  <si>
    <t>~/cdd/olddocs/Control Plans/MICROMINI/CHANGE-OUT/CP-CHGO-010  CX8653346P.pdf</t>
  </si>
  <si>
    <t>~/cdd/olddocs/Control Plans/MICROMINI/CHANGE-OUT/CP-CHGO-011   X865248P.pdf</t>
  </si>
  <si>
    <t>~/cdd/olddocs/Control Plans/MICROMINI/CHANGE-OUT/CP-CHGO-012   X865251P.pdf</t>
  </si>
  <si>
    <t>~/cdd/olddocs/Control Plans/MICROMINI/CHANGE-OUT/CP-CHGO-013  X865316P, X865398P.pdf</t>
  </si>
  <si>
    <t>~/cdd/olddocs/Control Plans/MICROMINI/CHANGE-OUT/CP-CHGO-014  X865344P.pdf</t>
  </si>
  <si>
    <t>~/cdd/olddocs/Control Plans/MICROMINI/CHANGE-OUT/CP-CHGO-015  X865393P.pdf</t>
  </si>
  <si>
    <t>~/cdd/olddocs/Control Plans/MICROMINI/CHANGE-OUT/CP-CHGO-016   X8651648P.pdf</t>
  </si>
  <si>
    <t>~/cdd/olddocs/Control Plans/MICROMINI/CHANGE-OUT/CP-CHGO-017  X8653325.pdf</t>
  </si>
  <si>
    <t>~/cdd/olddocs/Control Plans/MICROMINI/CHANGE-OUT/CP-CHGO-018     X8653382P.pdf</t>
  </si>
  <si>
    <t>~/cdd/olddocs/Control Plans/MICROMINI/CHANGE-OUT/CP-CHGO-019    X8653568P.pdf</t>
  </si>
  <si>
    <t>~/cdd/olddocs/Control Plans/MICROMINI/CHANGE-OUT/CP-CHGO-020    X8653687P.pdf</t>
  </si>
  <si>
    <t>~/cdd/olddocs/Control Plans/MICROMINI/CHANGE-OUT/CP-CHGO-021   X86521624P.pdf</t>
  </si>
  <si>
    <t>~/cdd/olddocs/Control Plans/MICROMINI/CHANGE-OUT/CP-CHGO-022   X86531621P.pdf</t>
  </si>
  <si>
    <t>~/cdd/olddocs/Control Plans/MICROMINI/MS/CP-MS-001  568055-J.pdf</t>
  </si>
  <si>
    <t>~/cdd/olddocs/Control Plans/MICROMINI/MS/CP-MS-002  568055.pdf</t>
  </si>
  <si>
    <t>~/cdd/olddocs/Control Plans/MICROMINI/MS/CP-MS-003  CHK08022110X.pdf</t>
  </si>
  <si>
    <t>~/cdd/olddocs/Control Plans/MICROMINI/MS/CP-MS-004  568055-E.pdf</t>
  </si>
  <si>
    <t>~/cdd/olddocs/Control Plans/MICROMINI/MS/CP-MS-005  P15-32302C.pdf</t>
  </si>
  <si>
    <t>~/cdd/olddocs/Control Plans/MICROMINI/MS/CP-MS-008  CH504148B-A.pdf</t>
  </si>
  <si>
    <t>~/cdd/olddocs/Control Plans/MICROMINI/MS/CP-MS-009  CH5041490B.pdf</t>
  </si>
  <si>
    <t>~/cdd/olddocs/Control Plans/MICROMINI/MS/CP-MS-010  CH5041497B.pdf</t>
  </si>
  <si>
    <t>~/cdd/olddocs/Control Plans/MICROMINI/MS/CP-MS-011  568055-A.pdf</t>
  </si>
  <si>
    <t>~/cdd/olddocs/Control Plans/MICROMINI/MS/CP-MS-013  203205a.pdf</t>
  </si>
  <si>
    <t>~/cdd/olddocs/Control Plans/MICROMINI/MS/CP-MS-014  5680551.pdf</t>
  </si>
  <si>
    <t>~/cdd/olddocs/Control Plans/MICROMINI/MS/CP-MS-015  11613668 &amp; 11536313.pdf</t>
  </si>
  <si>
    <t>~/cdd/olddocs/Control Plans/MICROMINI/MS/CP-MS-016   11547793.pdf</t>
  </si>
  <si>
    <t>~/cdd/olddocs/Control Plans/MICROMINI/MS/CP-MS-017  CH5041495B0360.pdf</t>
  </si>
  <si>
    <t>~/cdd/olddocs/Control Plans/MICROMINI/MS/CP-MS-018  CHCCR003P.pdf</t>
  </si>
  <si>
    <t>~/cdd/olddocs/Control Plans/MICROMINI/MS/CP-MS-019  M5E1811A230MH.pdf</t>
  </si>
  <si>
    <t>~/cdd/olddocs/Control Plans/MICROMINI/MS/CP-MS-020   P1526042B130, P1529042B130, P1532302C21, P1532302C27.pdf</t>
  </si>
  <si>
    <t>~/cdd/olddocs/Control Plans/MICROMINI/MS/CP-MS-021  SMEA0092010, SMEA0092025, SMEA0092030, SMEA0092040, SMEA0092045, SMEA0092050.pdf</t>
  </si>
  <si>
    <t>~/cdd/olddocs/Control Plans/MICROMINI/MS/CP-MS-022  SMEA0094007, SMEA0094030.pdf</t>
  </si>
  <si>
    <t>~/cdd/olddocs/Control Plans/MICROMINI/MS/CP-MS-023  SMEA0114007, 4010, 4015, 4030.pdf</t>
  </si>
  <si>
    <t>finalFileType</t>
  </si>
  <si>
    <t>publisher</t>
  </si>
  <si>
    <t>pubDate</t>
  </si>
  <si>
    <t>initializer</t>
  </si>
  <si>
    <t>iniDate</t>
  </si>
  <si>
    <t>reject</t>
  </si>
  <si>
    <t>rejDate</t>
  </si>
  <si>
    <t>message</t>
  </si>
  <si>
    <t>trainer</t>
  </si>
  <si>
    <t>trainDate</t>
  </si>
  <si>
    <t>o1</t>
  </si>
  <si>
    <t>o1d</t>
  </si>
  <si>
    <t>o2</t>
  </si>
  <si>
    <t>o2d</t>
  </si>
  <si>
    <t>o3</t>
  </si>
  <si>
    <t>o3d</t>
  </si>
  <si>
    <t>508978-C: partes  003082-0001, 004014-0001, 004034-0001, 004035-0001, 004035-0002, 004035-0007</t>
  </si>
  <si>
    <t>509976-C DESPOJE DE CONDUCTORES EN PIERNA P2, P3 Y P4</t>
  </si>
  <si>
    <t>508978:  partes  003082-0001, 004014-0001, 004034-0001, 004035-0001, 004035-0002, 004035-0007</t>
  </si>
  <si>
    <t>Assembly, plug airborne miniature circular, colors red, white &amp; blue.</t>
  </si>
  <si>
    <t xml:space="preserve">FLUJO DE PROCESO DE INSPECCION DE ENGOMADO  BACC65XX </t>
  </si>
  <si>
    <t>Procedimiento para recibo almacenamiento y armado en ordenes</t>
  </si>
  <si>
    <t xml:space="preserve">KIT ASSEMBLY, LRU / INFLATOR CABLE INTERFACE Dibuejo 508978: partes  003089-0001, 004035-0003, 004035-0005, 004035-0006, 004035-0008, 004035-0009, 004035-0010 </t>
  </si>
  <si>
    <t>CABLE ASSEMBLY INTERFACE 509976 C1 partes  004043-0001 004045-0001 004046-0004 004046-0009 004046-0022 004046-0024 004046-0030 004046-0034 004046-0039 004046-0040 004046-0043 004046-0046 004046-0050 004046-0051 004046-0061 004046-0063 004046-0067 004046-0072 004046-0073 004046-0076 004046-0084</t>
  </si>
  <si>
    <t>~cdd/olddocs/Ayudas visuales/Avenal-Solar/VA-SOL-006 Rev A Ensamble para IC-B46-SF6-XXXX proyecto AMEC.ppt</t>
  </si>
  <si>
    <t>~cdd/olddocs/Ayudas visuales/Avenal-Solar/VA-SOL-007 Rev A CORTE DE CABLE PARA IC-B46-SF6-B5N2.ppt</t>
  </si>
  <si>
    <t>~cdd/olddocs/Ayudas visuales/Camarillo/Amsafe/VA-AMSA-001 Rev Doc E  Rev Draw N ASSEMBLY  CABLE  INTERFACE  508418  pag 1.ppt</t>
  </si>
  <si>
    <t>~cdd/olddocs/Ayudas visuales/Camarillo/Amsafe/VA-AMSA-003 Rev Doc G - Drawing  BM CABLE ASSEMBLY INTERFACE 509976 Pag 5.ppt</t>
  </si>
  <si>
    <t>~cdd/olddocs/Ayudas visuales/Camarillo/Amsafe/VA-AMSA-004  Rev Doc E  Drawin BM CABLE ASSEMPLY INTERFACE 509976 Pag 4.ppt</t>
  </si>
  <si>
    <t>~cdd/olddocs/Ayudas visuales/Camarillo/Amsafe/VA-AMSA-005 Rev Doc D- Drawing  BM CABLE ASSEMBLY INTERFACE 509976 pag 12.ppt</t>
  </si>
  <si>
    <t>~cdd/olddocs/Ayudas visuales/Camarillo/Amsafe/VA-AMSA-006 Rev Doc C - Rev Drawing L  CABLE  ASSEMBLY 508328 PART 003076-0001.ppt</t>
  </si>
  <si>
    <t>~cdd/olddocs/Ayudas visuales/Camarillo/Amsafe/VA-AMSA-007  Rev Doc C - Rev Drawing AN CABLE ASSEMBLY INTERFACE 508976 Pag 2.ppt</t>
  </si>
  <si>
    <t>~cdd/olddocs/Ayudas visuales/Camarillo/Amsafe/VA-AMSA-010 Rev Doc C - Rev Draw  G  CABLE  ASSEMBLY DRAW 510256 PART 004049-0001.pptx</t>
  </si>
  <si>
    <t>~cdd/olddocs/Ayudas visuales/Camarillo/Amsafe/VA-AMSA-013 Rev Doc AI - Rev Draw AG   CABLE INTERFACE 508978  pag 2 PART 003089-XXXX Y 004035-XXXX.ppt</t>
  </si>
  <si>
    <t>~cdd/olddocs/Ayudas visuales/Camarillo/Amsafe/VA-AMSA-016  Rev Doc H - Drawing  BN Cable assembly interface 509976 Pag 7.ppt</t>
  </si>
  <si>
    <t>~cdd/olddocs/Ayudas visuales/Camarillo/Amsafe/VA-AMSA-020 Rev Doc D-  Drawing T  CABLE ASSEMBLY INTERFACE  509701 Pag 4.ppt</t>
  </si>
  <si>
    <t>~cdd/olddocs/Ayudas visuales/Camarillo/Amsafe/VA-AMSA-021 Rev Doc B- Drawing  E   CABLE ASSEMBLY 509828-201  pag 1 PART 004041-0001.ppt</t>
  </si>
  <si>
    <t>~cdd/olddocs/Ayudas visuales/Camarillo/Amsafe/VA-AMSA-022 Rev Doc B -  Drawing BM CABLE ASSEMBLY INTERFACE  509976 Pag 13.ppt</t>
  </si>
  <si>
    <t>~cdd/olddocs/Ayudas visuales/Camarillo/Amsafe/VA-AMSA-023  Rev Doc E - Drawing Rev BN CABLE ASSEMBLY INTERFACE 509976 Pag 10.ppt</t>
  </si>
  <si>
    <t>~cdd/olddocs/Ayudas visuales/Camarillo/Amsafe/VA-AMSA-024  Rev Doc  AN - Drawing Rev BN    CABLE ASSEMBLY 509976 Pag. 6.ppt</t>
  </si>
  <si>
    <t>~cdd/olddocs/Ayudas visuales/Camarillo/Amsafe/VA-AMSA-025  Rev Doc C - Rev Drawing K  DRAWNG 509320  PART 004002-0001 Pag 1.ppt</t>
  </si>
  <si>
    <t>~cdd/olddocs/Ayudas visuales/Camarillo/Amsafe/VA-AMSA-026 Rev Doc B - Rev Drawing AN   ESTAMPADO PARA EL  508976.ppt</t>
  </si>
  <si>
    <t>~cdd/olddocs/Ayudas visuales/Camarillo/Amsafe/VA-AMSA-027 Rev Doc D - Rev Drawing H  CABLE ASSEMBLY PIGTAIL 508340  003077-001.ppt</t>
  </si>
  <si>
    <t>~cdd/olddocs/Ayudas visuales/Camarillo/Amsafe/VA-AMSA-028  Rev Doc C - Rev Drawing  C  T511890 part 004080-0001.ppt</t>
  </si>
  <si>
    <t>~cdd/olddocs/Ayudas visuales/Camarillo/Amsafe/VA-AMSA-029 Rev Doc A- Rev Draw AG  508978 ESTAMPADO.ppt</t>
  </si>
  <si>
    <t>~cdd/olddocs/Ayudas visuales/Camarillo/Amsafe/VA-AMSA-030 Rev Doc B - Rev Draw BM   509976 ESTAMPADO.ppt</t>
  </si>
  <si>
    <t>~cdd/olddocs/Ayudas visuales/Camarillo/Amsafe/VA-AMSA-031 Rev Doc A - Rev Draw C   ESTAMPADO DE T511890.ppt</t>
  </si>
  <si>
    <t>~cdd/olddocs/Ayudas visuales/Camarillo/Amsafe/VA-AMSA-032  REV Doc D Draw AG 508978 pag 1 003082-XXXX 004014-XXXX 004034-XXXX 004035-XXXX.ppt</t>
  </si>
  <si>
    <t>~cdd/olddocs/Ayudas visuales/Camarillo/Amsafe/VA-AMSA-033 Rev Doc  B- Drawing D  CABLE ASSEMBLY INTERFACE 511125 Pag 1.ppt</t>
  </si>
  <si>
    <t>~cdd/olddocs/Ayudas visuales/Camarillo/Amsafe/VA-AMSA-034 Rev A  EMPAQUE GENERAL DE AMSAFE.ppt</t>
  </si>
  <si>
    <t>~cdd/olddocs/Ayudas visuales/Camarillo/Bonding/VA-BOND-004  Rev E  empaque bacc.ppt</t>
  </si>
  <si>
    <t>~cdd/olddocs/Ayudas visuales/Camarillo/Bonding/VA-BOND-008 Rev G ASSEMBLY PLUG BACC65AJXXXS.ppt</t>
  </si>
  <si>
    <t>~cdd/olddocs/Ayudas visuales/Camarillo/Bonding/VA-BOND-009 Rev A LAVADO MEK.ppt</t>
  </si>
  <si>
    <t>~cdd/olddocs/Ayudas visuales/Camarillo/Bonding/VA-BOND-010 Rev A  INSULATOR ASSY 000300-059X.ppt</t>
  </si>
  <si>
    <t>~cdd/olddocs/Ayudas visuales/Camarillo/Bonding/VA-BOND-011Rev A PLUG ASSEMBLY 000102-0381.ppt</t>
  </si>
  <si>
    <t>~cdd/olddocs/Ayudas visuales/Camarillo/General/VA-CGRAL-002  REV H ESPECIFICACIONES DE CORTE Y PREPARACION ITRON.ppt</t>
  </si>
  <si>
    <t>~cdd/olddocs/Ayudas visuales/Camarillo/General/VA-CGRAL-003 Rev A lavado de tubo para llenado de epoxy.ppt</t>
  </si>
  <si>
    <t>~cdd/olddocs/Ayudas visuales/Camarillo/Itron/MULTICELDA B/VA-IMB-003 Rev B  MSC ENVIRONMENTAL CAP UNIV  MSC-0019-008 PARTE  010-0121-001 .ppt</t>
  </si>
  <si>
    <t>~cdd/olddocs/Ayudas visuales/Camarillo/Itron/MULTICELDA B/VA-IMB-006 Rev C  Ensamble manual de 28-2304-005 y  28-2305-0001.ppt</t>
  </si>
  <si>
    <t>~cdd/olddocs/Ayudas visuales/Camarillo/Itron/MULTICELDA B/VA-IMB-007 Rev D  CABLE ASSY 28-3273-0000.ppt</t>
  </si>
  <si>
    <t>~cdd/olddocs/Ayudas visuales/Camarillo/Itron/MULTICELDA B/VA-IMB-008 Rev B  ENSAMBLE DE 28-2306-0001 (CBA-1300-903).ppt</t>
  </si>
  <si>
    <t>~cdd/olddocs/Ayudas visuales/Camarillo/Itron/MULTICELDA B/VA-IMB-009  Rev A  ENSAMBLE DE 28-2290-000128-2290-0002.ppt</t>
  </si>
  <si>
    <t>~cdd/olddocs/Ayudas visuales/Camarillo/Itron/PLUG/VA-IPLUG-003 REV  F.ppt</t>
  </si>
  <si>
    <t>~cdd/olddocs/Ayudas visuales/Micromini/A y B/CNWI-VSHP-000021 Rev. A (5000117-GP5).pub</t>
  </si>
  <si>
    <t>~cdd/olddocs/Ayudas visuales/Micromini/A y B/CNWI-VSHP-000061 Rev. A (PC5QADD-A).pub</t>
  </si>
  <si>
    <t>~cdd/olddocs/Ayudas visuales/Micromini/Change Out/CNWI-VSHP-000056 Rev. A (X8653-CX &amp; CW).pub</t>
  </si>
  <si>
    <t>~cdd/olddocs/Ayudas visuales/Micromini/MS/CNWI-VSHP-000032 Rev. A (Colocacion de loctite).pub</t>
  </si>
  <si>
    <t>~cdd/olddocs/Control Plans/MICROMINI/CELDA A&amp;B/CP-A&amp;B-033  A89DF4HEDM-XXX.pdf</t>
  </si>
  <si>
    <t>~cdd/olddocs/Control Plans/MICROMINI/CELDA A&amp;B/CP-A&amp;B-036  PC5QADD0XXM.pdf</t>
  </si>
  <si>
    <t>~cdd/olddocs/Control Plans/MICROMINI/CELDA A&amp;B/CP-A&amp;B-037 Control Plan ABC-P6N5-M5  MM-A-B.xlsx.pdf</t>
  </si>
  <si>
    <t>~cdd/olddocs/Control Plans/MICROMINI/CELDA A&amp;B/CP-A&amp;B-043 Rev. A .xlsx</t>
  </si>
  <si>
    <t>~cdd/olddocs/Especificaciones genericas/Camarillo/AMSAFE/Rev T  ESPECIFICACIONES DE CORTE AREA AMSAFE.xls</t>
  </si>
  <si>
    <t>~cdd/olddocs/Especificaciones genericas/Camarillo/Ensamble General/Rev  D Especificaciones de empaque  de ensamble general.xls</t>
  </si>
  <si>
    <t>~cdd/olddocs/Especificaciones genericas/Camarillo/Itron/Especificaciones de empaque  de ITRON Rev C.xlsx</t>
  </si>
  <si>
    <t>~cdd/olddocs/Flow Chart/ITRON/AMSAFE/FC-  AMSA -0010  004035-TAB, 004034-0001, 004014-0001 &amp; 003082-0001.pdf</t>
  </si>
  <si>
    <t>~cdd/olddocs/Flow Chart/ITRON/AMSAFE/FC- AMSA -004 004062-0001.pdf</t>
  </si>
  <si>
    <t>~cdd/olddocs/Flow Chart/ITRON/AMSAFE/FC- AMSA -005  004046-001 to 004046-0083 004043-0001 004044-0001 004044-0001 004045-0001 0040406-0071 to 0040406-0078.pdf</t>
  </si>
  <si>
    <t>~cdd/olddocs/Flow Chart/ITRON/AMSAFE/FC-AMSA -0012 003064-0001.pdf</t>
  </si>
  <si>
    <t>~cdd/olddocs/Flow Chart/ITRON/AMSAFE/FC-AMSA -003 0044071-0001.pdf</t>
  </si>
  <si>
    <t>~cdd/olddocs/Flow Chart/ITRON/AMSAFE/FC-AMSA -006  004041-0001  004041-0002.pdf</t>
  </si>
  <si>
    <t>~cdd/olddocs/Flow Chart/ITRON/AMSAFE/FC-AMSA -007 004042-TAB  004031-TAB.pdf</t>
  </si>
  <si>
    <t>~cdd/olddocs/Flow Chart/ITRON/AMSAFE/FC-AMSA -008  04055-002.pdf</t>
  </si>
  <si>
    <t>~cdd/olddocs/Flow Chart/ITRON/AMSAFE/FC-AMSA -009 004065-TAB.pdf</t>
  </si>
  <si>
    <t>~cdd/olddocs/Flow Chart/ITRON/AMSAFE/FC-AMSA- 018 004002-0001.pdf</t>
  </si>
  <si>
    <t>~cdd/olddocs/Flow Chart/ITRON/AMSAFE/FC-AMSA -019  004049-0001.pdf</t>
  </si>
  <si>
    <t>~cdd/olddocs/Flow Chart/ITRON/AMSAFE/FC-AMSA-013  003075-0001.pdf</t>
  </si>
  <si>
    <t>~cdd/olddocs/Flow Chart/ITRON/AMSAFE/FC-AMSA-014 3076-0001.pdf</t>
  </si>
  <si>
    <t>~cdd/olddocs/Flow Chart/ITRON/AMSAFE/FC-AMSA-015  004005-TAB.pdf</t>
  </si>
  <si>
    <t>~cdd/olddocs/Flow Chart/ITRON/AMSAFE/FC-AMSA-016  004038-0001.pdf</t>
  </si>
  <si>
    <t>~cdd/olddocs/Flow Chart/ITRON/AMSAFE/FC-AMSA-017 003077-0001.pdf</t>
  </si>
  <si>
    <t>~cdd/olddocs/Flow Chart/ITRON/AMSAFE/FC-ASMSA -011 Rev. A 3084, 3085, 3086, 3087, 3088, 3093, 3095, 4000, 4001, 4003, 4004, 4022.xlsx</t>
  </si>
  <si>
    <t>~cdd/olddocs/Flow Chart/ITRON/BONDING/FC-BOND-002  002359-TAB 002360-TAB  002361-TAB.pdf</t>
  </si>
  <si>
    <t>~cdd/olddocs/Flow Chart/ITRON/BONDING/FC-BOND-026   BACT44E1S.pdf</t>
  </si>
  <si>
    <t>~cdd/olddocs/Flow Chart/ITRON/MILTICELL A&amp;B/FC-IMB-001 Rev. A  CBA-1300-00628-2302-0001.xlsx</t>
  </si>
  <si>
    <t>~cdd/olddocs/Flow Chart/MICROMINI/CHANGE-OUT/FC-CHGO-001 CX865237AN.pdf</t>
  </si>
  <si>
    <t>~cdd/olddocs/Flow Chart/MICROMINI/CHANGE-OUT/FC-CHGO-013 Rev. A   X8653382P.xlsx</t>
  </si>
  <si>
    <t>~cdd/olddocs/Flow Chart/MICROMINI/CHANGE-OUT/FC-CHGO-014    X8653568P.pdf</t>
  </si>
  <si>
    <t>~cdd/olddocs/Flow Chart/SOLAR/FC-SOL-001  Diagrama de flujo Solar.pdf</t>
  </si>
  <si>
    <t>~cdd/olddocs/Formas/CNWI-ENGI (Ingenieria)/CNWI-ENGI-F064 Check list set up first solar.xls</t>
  </si>
  <si>
    <t>~cdd/olddocs/Formas/CNWI-ENGI (Ingenieria)/CNWI-ENGI-F065 Rev. A Presentacion de conectores que se utilizan en Solar.doc</t>
  </si>
  <si>
    <t>~cdd/olddocs/Formas/CNWI-ENGI (Ingenieria)/CNWI-ENGI-F066 Parametros para maquina Branson Solar.xls</t>
  </si>
  <si>
    <t>~cdd/olddocs/Formas/CNWI-ENGI (Ingenieria)/CNWI-ENGI-F067 Control de impresion de etiquetas.xlsx</t>
  </si>
  <si>
    <t>~cdd/olddocs/Formas/CNWI-ENGI (Ingenieria)/CNWI-ENGI-F068 Rev.A  Check list moorpark.xlsx</t>
  </si>
  <si>
    <t>~cdd/olddocs/Formas/CNWI-ENGI (Ingenieria)/CNWI-ENGI-F069 Rev. A Packaging Data Form.docx</t>
  </si>
  <si>
    <t>~cdd/olddocs/Formas/CNWI-ENGI (Ingenieria)/CNWI-ENGI-F070 Rev. A Chek list de Nuevos Productos .xlsx</t>
  </si>
  <si>
    <t>~cdd/olddocs/Formas/CNWI-ENGI (Ingenieria)/CNWI-ENGI-F071 Rev  A Registro de productos terminados NPI.xlsx</t>
  </si>
  <si>
    <t>~cdd/olddocs/Formas/CNWI-ENGI (Ingenieria)/CNWI-ENGI-F072 Rev. A Ajuste de parámetros para moldeadora autojector.xlsx</t>
  </si>
  <si>
    <t>~cdd/olddocs/Formas/CNWI-ENGI (Ingenieria)/F-ENGI-03-001  Rev. A Production Feasability Agreement Form PFA 100208 Rev A.xls</t>
  </si>
  <si>
    <t>~cdd/olddocs/Formas/CNWI-HMRS (Recursos Humanos)/CNWI-HMRS-F019 Rev. A Organigrama.pptx</t>
  </si>
  <si>
    <t>~cdd/olddocs/Formas/CNWI-MTTO (Mantenimiento)/CNWI-MTTO-F023 Set up de moldes Moorpark.xlsx</t>
  </si>
  <si>
    <t>~cdd/olddocs/Formas/CNWI-MTTO (Mantenimiento)/CNWI-MTTO-F024 Set up de moldes de Micromini.xlsx</t>
  </si>
  <si>
    <t>~cdd/olddocs/Formas/CNWI-MTTO (Mantenimiento)/CNWI-MTTO-F026 Rev. A Tarjetas rojas.xlsx</t>
  </si>
  <si>
    <t>~cdd/olddocs/Formas/CNWI-MTTO (Mantenimiento)/CNWI-MTTO-F027 Parametros de referencia para moldeadora AHI TOP 3 y 4.xlsx</t>
  </si>
  <si>
    <t>~cdd/olddocs/Formas/CNWI-MTTO (Mantenimiento)/CNWI-MTTO-F028 Rev A  TPM universal.xls</t>
  </si>
  <si>
    <t>~cdd/olddocs/Formas/CNWI-MTTO (Mantenimiento)/CNWI-MTTO-F030 Entregas tool crip.pdf</t>
  </si>
  <si>
    <t>~cdd/olddocs/Formas/CNWI-PRCS (compras)/F-PRCS-01-001  Rev  D FORMATO DE REQUISICION DE COMPRA.xlsx</t>
  </si>
  <si>
    <t>~cdd/olddocs/Formas/CNWI-PRCS (compras)/F-PRCS-08-001 Rev. A   Nogales Inbound Routing Guide.xlsx</t>
  </si>
  <si>
    <t>~cdd/olddocs/Formas/CNWI-QAAS (aseguranza de calidad)/Cambios Docs -CNWI-QAAS-F123 Risk management Rev. A.xls</t>
  </si>
  <si>
    <t>~cdd/olddocs/Formas/CNWI-QAAS (aseguranza de calidad)/CNWI-QAAS-F045 Rev. E Control Plan.xlsx</t>
  </si>
  <si>
    <t>~cdd/olddocs/Formas/CNWI-QAAS (aseguranza de calidad)/CNWI-QAAS-F072 Rev. A Part Number Accountability.xls</t>
  </si>
  <si>
    <t>~cdd/olddocs/Formas/CNWI-QAAS (aseguranza de calidad)/CNWI-QAAS-F073 Rev. A Product accontability.xls</t>
  </si>
  <si>
    <t>~cdd/olddocs/Formas/CNWI-QAAS (aseguranza de calidad)/CNWI-QAAS-F084 Bascula forma.xlsx</t>
  </si>
  <si>
    <t>~cdd/olddocs/Formas/CNWI-QAAS (aseguranza de calidad)/CNWI-QAAS-F085 Registro calibracion micrometros.xlsx</t>
  </si>
  <si>
    <t>~cdd/olddocs/Formas/CNWI-QAAS (aseguranza de calidad)/CNWI-QAAS-F086 Registro calibracion reglas.xlsx</t>
  </si>
  <si>
    <t>~cdd/olddocs/Formas/CNWI-QAAS (aseguranza de calidad)/CNWI-QAAS-F102 Formato de Calipers.xlsx</t>
  </si>
  <si>
    <t>~cdd/olddocs/Formas/CNWI-QAAS (aseguranza de calidad)/CNWI-QAAS-F103 Registros de datos de calibracion para hornos (2).xlsx</t>
  </si>
  <si>
    <t>~cdd/olddocs/Formas/CNWI-QAAS (aseguranza de calidad)/CNWI-QAAS-F118 Control de boletas de Scrap.xlsx</t>
  </si>
  <si>
    <t>~cdd/olddocs/Formas/CNWI-QAAS (aseguranza de calidad)/CNWI-QAAS-F124 New PPAP Formato.xls</t>
  </si>
  <si>
    <t>~cdd/olddocs/Formas/CNWI-QAAS (aseguranza de calidad)/CNWI-QAAS-F125 PPAP de salida de Equipo.xls</t>
  </si>
  <si>
    <t>~cdd/olddocs/Formas/CNWI-QAAS (aseguranza de calidad)/CNWI-QAAS-F132 Operacion y control de dispositivos pokayoke.xlsx</t>
  </si>
  <si>
    <t>~cdd/olddocs/Formas/CNWI-QAAS (aseguranza de calidad)/CNWI-QAAS-F138 Rev. A  3 UP Nogales form.xlsx</t>
  </si>
  <si>
    <t>~cdd/olddocs/Formas/CNWI-QAAS (aseguranza de calidad)/F-QAAS-09-006 Rev. A AQL Format.xlsx</t>
  </si>
  <si>
    <t>~cdd/olddocs/Formas/CNWI-QAAS (aseguranza de calidad)/F-QAAS-23-001 Rev. A .xlsx</t>
  </si>
  <si>
    <t>~cdd/olddocs/Formas/CNWI-QAAS (aseguranza de calidad)/F-QAAS-48-002    Rev. A supplier scorecard spreadsheet.xlsx</t>
  </si>
  <si>
    <t>~cdd/olddocs/Formas/CNWI-SHAE (Seguridad e higiene y medio ambiente)/CNWI-SHAE-F017 Tarjetas de Observaciones de Seguridad BBS.xlsx</t>
  </si>
  <si>
    <t>~cdd/olddocs/Formas/CNWI-SHIP ( Embarques )/CNWI-SHIP-F008 Control de material para embarcar.xlsx</t>
  </si>
  <si>
    <t>~cdd/olddocs/Formas/CNWI-WRHS (Almacen)/CNWI-WRHS-F012 Control de material a embarcar.pdf</t>
  </si>
  <si>
    <t>~cdd/olddocs/Formas/CNWI-WRHS (Almacen)/CNWI-WRHS-F013 Updated air freight approval process.pdf</t>
  </si>
  <si>
    <t>~cdd/olddocs/Instructivos/CNWI-ENGI/CNWI-ENGI-0003 Cambios de Ingeniería _ECR-ECN_.pdf</t>
  </si>
  <si>
    <t>~cdd/olddocs/Instructivos/CNWI-ENGI/CNWI-ENGI-0016  Introducción a Nuevos Productos .pdf</t>
  </si>
  <si>
    <t>~cdd/olddocs/Instructivos/CNWI-ENGI/CNWI-ENGI-0027 Curado de partes en Hornos Num  21 25 24 27 22.pdf</t>
  </si>
  <si>
    <t>~cdd/olddocs/Instructivos/CNWI-ENGI/CNWI-ENGI-0074 Rev. A Prueba de Resistencia 129-0029-001, 002, 003 docx.docx</t>
  </si>
  <si>
    <t>~cdd/olddocs/Instructivos/CNWI-ENGI/CNWI-ENGI-0075  Documentacion de Produccion.pdf</t>
  </si>
  <si>
    <t>~cdd/olddocs/Instructivos/CNWI-ENGI/CNWI-ENGI-0081 Procedimiento cautines.pdf</t>
  </si>
  <si>
    <t>~cdd/olddocs/Instructivos/CNWI-HMRS/CNWI-HMRS-0001  Procedimiento de Desarrollo de Habilidades y Competencias.pdf</t>
  </si>
  <si>
    <t>~cdd/olddocs/Instructivos/CNWI-HMRS/CNWI-HMRS-0003   Rev B Procedimiento de reclutamiento  seleccion y contratacion.docx</t>
  </si>
  <si>
    <t>~cdd/olddocs/Instructivos/CNWI-HMRS/CNWI-HMRS-0004 Rev. A  Politica de Comunicacion.docx</t>
  </si>
  <si>
    <t>~cdd/olddocs/Instructivos/CNWI-MTTO/CNWI-MTTO-0001 Procedimiento de Mantenimiento.pdf</t>
  </si>
  <si>
    <t>~cdd/olddocs/Instructivos/CNWI-MTTO/CNWI-MTTO-0002 Almacen de refacicones y suplementos.pdf</t>
  </si>
  <si>
    <t>~cdd/olddocs/Instructivos/CNWI-MTTO/CNWI-MTTO-0003 Rev. A Mantenimiento atonomo.doc</t>
  </si>
  <si>
    <t>~cdd/olddocs/Instructivos/CNWI-PLLN/CNWI-PLNN-0001 Running MRP On Sap doc.pdf</t>
  </si>
  <si>
    <t>~cdd/olddocs/Instructivos/CNWI-PRCS/CNWI-PRCS-0006   Rev. A  Mantenimiento de numeros de parte.docx</t>
  </si>
  <si>
    <t>~cdd/olddocs/Instructivos/CNWI-PRCS/CNWI-PRCS-0007  Rev. A  Generar orden de Materia Prima.docx</t>
  </si>
  <si>
    <t>~cdd/olddocs/Instructivos/CNWI-PRCS/CNWI-PRCS-0008  Rev.A Nogales Inbound Routing Guide - WI.docx</t>
  </si>
  <si>
    <t>~cdd/olddocs/Instructivos/CNWI-QAAS/CNWI-QAAS-0015 Management Risks Process.pdf</t>
  </si>
  <si>
    <t>~cdd/olddocs/Instructivos/CNWI-QAAS/CNWI-QAAS-0022  Instructivo de llenado Certificado.pdf</t>
  </si>
  <si>
    <t>~cdd/olddocs/Instructivos/CNWI-QAAS/CNWI-QAAS-0036  Procedimiento para Control Plan.pdf</t>
  </si>
  <si>
    <t>~cdd/olddocs/Instructivos/CNWI-QAAS/CNWI-QAAS-0038 Inst. para reporte SAP MB51.pdf</t>
  </si>
  <si>
    <t>~cdd/olddocs/Instructivos/CNWI-QAAS/CNWI-QAAS-0041  Proceso de auditoria out of box.pdf</t>
  </si>
  <si>
    <t>~cdd/olddocs/Instructivos/CNWI-QAAS/CNWI-QAAS-0045  Cerrar acción correctiva con Notificacion (Sap).pdf</t>
  </si>
  <si>
    <t>~cdd/olddocs/Instructivos/CNWI-QAAS/CNWI-QAAS-0046 Rev. B Reporte de PPM's Externos y RMA's.pdf</t>
  </si>
  <si>
    <t>~cdd/olddocs/Instructivos/CNWI-QAAS/CNWI-QAAS-0047 Proceso de auditporia en capas (LPA).doc</t>
  </si>
  <si>
    <t>~cdd/olddocs/Instructivos/CNWI-QAAS/CNWI-QAAS-0048  Proceso de Supplier Quality.pdf</t>
  </si>
  <si>
    <t>~cdd/olddocs/Instructivos/CNWI-SHIPPING/CNWI-SHIP-0001 Instructivo de envios.pdf</t>
  </si>
  <si>
    <t>~/cdd/olddocs/CN-HMRS (Recursos Humanos)/FORMAS/CNWI-HMRS-F020 Rev. A Evaluación de Entrevistas.xlsx</t>
  </si>
  <si>
    <t>~/cdd/olddocs/CN-HMRS (Recursos Humanos)/FORMAS/CNWI-HMRS-F021 Rev. A Solicitud de aplicacion para vacante ineterna.xlsx</t>
  </si>
  <si>
    <t>~/cdd/olddocs/CN-HMRS (Recursos Humanos)/FORMAS/CNWI-HMRS-F022 Rev. A HOJA DE VERIFICACION DE RENUNCIA TERMINACION.xlsx</t>
  </si>
  <si>
    <t>~/cdd/olddocs/CN-QAAS (Aseguranza de calidad)/Control Plans/MICROMINI/CELDA A-B/CP-A&amp;B-012  Rev. A  PDR1-18.xlsx</t>
  </si>
  <si>
    <t>~/cdd/olddocs/CN-QAAS (Aseguranza de calidad)/Control Plans/MICROMINI/CELDA A-B/CP-A&amp;B-039 Rev. A 5000118-DM.xlsx</t>
  </si>
  <si>
    <t>~/cdd/olddocs/CN-QAAS (Aseguranza de calidad)/Control Plans/MICROMINI/MS/CP-MS-007 Rev. A 568055-H.xlsx</t>
  </si>
  <si>
    <t>~/cdd/olddocs/CN-QAAS (Aseguranza de calidad)/Control Plans/MICROMINI/MS/CP-MS-012 Rev. A SP15-32302C.xlsx</t>
  </si>
  <si>
    <t>~/cdd/olddocs/CN-QAAS (Aseguranza de calidad)/Flow Chart/MICROMINI/CHANGE - OUT/FC-CHGO-007 Rev. A  X865251P.xlsx</t>
  </si>
  <si>
    <t>~/cdd/olddocs/CN-QAAS (Aseguranza de calidad)/FORMAS/CNWI-QAAS-002 Rev. D Formato para Instruccion de trabajo.ppt</t>
  </si>
  <si>
    <t>~/cdd/olddocs/CN-QAAS (Aseguranza de calidad)/FORMAS/CNWI-QAAS-F069 Rev. C Comunicacion de cambios de documentos.xls</t>
  </si>
  <si>
    <t>~/cdd/olddocs/CN-QAAS (Aseguranza de calidad)/FORMAS/CNWI-QAAS-F130 Rev. A Action Plan.xlsx</t>
  </si>
  <si>
    <t>~/cdd/olddocs/CN-QAAS (Aseguranza de calidad)/FORMAS/CNWI-QAAS-F131 Rev. A QMS Assessment.xls</t>
  </si>
  <si>
    <t>~/cdd/olddocs/CN-QAAS (Aseguranza de calidad)/FORMAS/CNWI-QAAS-F136 Rev.A Formato para AMC.xlsx</t>
  </si>
  <si>
    <t>~/cdd/olddocs/CN-QAAS (Aseguranza de calidad)/FORMAS/CNWI-QAAS-F152  Rev. A TABLA HORACIADORA.xlsx</t>
  </si>
  <si>
    <t>~/cdd/olddocs/CN-QAAS (Aseguranza de calidad)/FORMAS/F-QAAS-09-003 Rev. A REPORTE DE RECHAZO DE PRODUCCION.xlsx</t>
  </si>
  <si>
    <t>~/cdd/olddocs/CN-QAAS (Aseguranza de calidad)/FORMAS/F-QAAS-25-001 Check list de componentes.xlsx</t>
  </si>
  <si>
    <t>~/cdd/olddocs/CN-QAAS (Aseguranza de calidad)/FORMAS/F-QAAS-25-002  Rev. A LOG de FAI.xlsx</t>
  </si>
  <si>
    <t>~/cdd/olddocs/CN-QAAS (Aseguranza de calidad)/Quality Alerts/ITRON/SALEM/QA-SALE-001 Rev. A AL-329-0000-080 Alambre expuesto - Exceso de epoxy.pptx</t>
  </si>
  <si>
    <t>~/cdd/olddocs/CN-QAAS (Aseguranza de calidad)/Quality Alerts/MICROMINI/Potted- Plex/QA-POTT 003 Rev. A MP1819D60050F doble coupler.pptx</t>
  </si>
  <si>
    <t>~/cdd/olddocs/CN-QAAS (Aseguranza de calidad)/WI/CNWI-QAAS-0029 Rev. A Procedimiento para cerrar en SAP las notificaciones de Customer Complaints.docx</t>
  </si>
  <si>
    <t>~/cdd/olddocs/CN-QAAS (Aseguranza de calidad)/WI/CNWI-QAAS-0033 Rev. A Customer satisfaction process.docx</t>
  </si>
  <si>
    <t>~/cdd/olddocs/CN-SHAE (Seguridad e higiene y medio ambiente)/FORMAS/CNWI-SHAE-F030 Rev. A Control de Materiales.xls</t>
  </si>
  <si>
    <t>~/cdd/olddocs/CN-SHAE (Seguridad e higiene y medio ambiente)/WI/CNWI-SHAE-0005 Mantenimiento y Limpieza de Rampa 9.docx</t>
  </si>
  <si>
    <t>~/cdd/olddocs/CN-HMRS (Recursos Humanos)/FORMAS/CNWI-HMRS-F011 Rev. D Requisicion de Personal .xlsx</t>
  </si>
  <si>
    <t>~/cdd/olddocs/Temporales/CNWI-ENGI-F061 Check list para implementacion de ECN.xlsx</t>
  </si>
  <si>
    <t>mgr</t>
  </si>
  <si>
    <t>mgrdate</t>
  </si>
  <si>
    <t>mfg</t>
  </si>
  <si>
    <t>cal</t>
  </si>
  <si>
    <t>caldate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</si>
</sst>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2.1"/>
      <color theme="10"/>
      <name val="Calibri"/>
      <family val="2"/>
    </font>
    <font>
      <u/>
      <sz val="10"/>
      <color rgb="FF0033CC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0033CC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33CC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</cellStyleXfs>
  <cellXfs count="55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1" xfId="2" applyFont="1" applyFill="1" applyBorder="1" applyAlignment="1" applyProtection="1">
      <alignment horizontal="left"/>
    </xf>
    <xf numFmtId="0" fontId="5" fillId="3" borderId="1" xfId="2" applyFont="1" applyFill="1" applyBorder="1" applyAlignment="1" applyProtection="1">
      <alignment horizontal="left"/>
    </xf>
    <xf numFmtId="0" fontId="6" fillId="0" borderId="1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left"/>
    </xf>
    <xf numFmtId="14" fontId="6" fillId="0" borderId="1" xfId="0" applyNumberFormat="1" applyFont="1" applyFill="1" applyBorder="1" applyAlignment="1">
      <alignment horizontal="left"/>
    </xf>
    <xf numFmtId="0" fontId="3" fillId="0" borderId="0" xfId="0" applyFont="1"/>
    <xf numFmtId="0" fontId="7" fillId="0" borderId="1" xfId="0" applyFont="1" applyFill="1" applyBorder="1" applyAlignment="1">
      <alignment horizontal="left"/>
    </xf>
    <xf numFmtId="16" fontId="6" fillId="0" borderId="1" xfId="0" applyNumberFormat="1" applyFont="1" applyFill="1" applyBorder="1" applyAlignment="1">
      <alignment horizontal="left"/>
    </xf>
    <xf numFmtId="0" fontId="6" fillId="0" borderId="1" xfId="0" applyFont="1" applyFill="1" applyBorder="1" applyAlignment="1">
      <alignment horizontal="left" wrapText="1"/>
    </xf>
    <xf numFmtId="0" fontId="3" fillId="0" borderId="0" xfId="0" applyFont="1" applyFill="1"/>
    <xf numFmtId="0" fontId="7" fillId="0" borderId="1" xfId="2" applyFont="1" applyFill="1" applyBorder="1" applyAlignment="1" applyProtection="1">
      <alignment horizontal="left"/>
    </xf>
    <xf numFmtId="0" fontId="6" fillId="0" borderId="0" xfId="0" applyFont="1"/>
    <xf numFmtId="0" fontId="7" fillId="0" borderId="1" xfId="0" applyFont="1" applyFill="1" applyBorder="1" applyAlignment="1">
      <alignment horizontal="left" wrapText="1"/>
    </xf>
    <xf numFmtId="0" fontId="8" fillId="0" borderId="1" xfId="2" applyFont="1" applyFill="1" applyBorder="1" applyAlignment="1" applyProtection="1">
      <alignment horizontal="left"/>
    </xf>
    <xf numFmtId="0" fontId="3" fillId="4" borderId="0" xfId="0" applyFont="1" applyFill="1"/>
    <xf numFmtId="0" fontId="5" fillId="4" borderId="1" xfId="2" applyFont="1" applyFill="1" applyBorder="1" applyAlignment="1" applyProtection="1">
      <alignment horizontal="left"/>
    </xf>
    <xf numFmtId="0" fontId="6" fillId="4" borderId="1" xfId="0" applyFont="1" applyFill="1" applyBorder="1" applyAlignment="1">
      <alignment horizontal="left"/>
    </xf>
    <xf numFmtId="14" fontId="6" fillId="4" borderId="1" xfId="0" applyNumberFormat="1" applyFont="1" applyFill="1" applyBorder="1" applyAlignment="1">
      <alignment horizontal="left"/>
    </xf>
    <xf numFmtId="0" fontId="6" fillId="4" borderId="1" xfId="0" applyFont="1" applyFill="1" applyBorder="1" applyAlignment="1">
      <alignment horizontal="left" wrapText="1"/>
    </xf>
    <xf numFmtId="14" fontId="6" fillId="3" borderId="1" xfId="0" applyNumberFormat="1" applyFont="1" applyFill="1" applyBorder="1" applyAlignment="1">
      <alignment horizontal="left"/>
    </xf>
    <xf numFmtId="14" fontId="6" fillId="0" borderId="1" xfId="0" applyNumberFormat="1" applyFont="1" applyFill="1" applyBorder="1" applyAlignment="1">
      <alignment horizontal="left" wrapText="1"/>
    </xf>
    <xf numFmtId="0" fontId="6" fillId="3" borderId="1" xfId="0" applyFont="1" applyFill="1" applyBorder="1" applyAlignment="1">
      <alignment horizontal="left" wrapText="1"/>
    </xf>
    <xf numFmtId="16" fontId="6" fillId="0" borderId="1" xfId="0" applyNumberFormat="1" applyFont="1" applyFill="1" applyBorder="1" applyAlignment="1">
      <alignment horizontal="left" wrapText="1"/>
    </xf>
    <xf numFmtId="0" fontId="5" fillId="0" borderId="1" xfId="2" applyFont="1" applyFill="1" applyBorder="1" applyAlignment="1" applyProtection="1">
      <alignment horizontal="left" vertical="center"/>
    </xf>
    <xf numFmtId="0" fontId="6" fillId="0" borderId="1" xfId="0" applyNumberFormat="1" applyFont="1" applyFill="1" applyBorder="1" applyAlignment="1">
      <alignment horizontal="left" wrapText="1"/>
    </xf>
    <xf numFmtId="0" fontId="5" fillId="0" borderId="1" xfId="2" applyFont="1" applyFill="1" applyBorder="1" applyAlignment="1" applyProtection="1">
      <alignment horizontal="left" wrapText="1"/>
    </xf>
    <xf numFmtId="0" fontId="6" fillId="0" borderId="1" xfId="0" applyNumberFormat="1" applyFont="1" applyFill="1" applyBorder="1" applyAlignment="1">
      <alignment horizontal="left"/>
    </xf>
    <xf numFmtId="0" fontId="6" fillId="0" borderId="1" xfId="0" applyFont="1" applyFill="1" applyBorder="1" applyAlignment="1" applyProtection="1">
      <alignment horizontal="left"/>
    </xf>
    <xf numFmtId="0" fontId="7" fillId="4" borderId="1" xfId="0" applyFont="1" applyFill="1" applyBorder="1" applyAlignment="1">
      <alignment horizontal="left" wrapText="1"/>
    </xf>
    <xf numFmtId="14" fontId="6" fillId="4" borderId="1" xfId="1" applyNumberFormat="1" applyFont="1" applyFill="1" applyBorder="1" applyAlignment="1">
      <alignment horizontal="left" wrapText="1"/>
    </xf>
    <xf numFmtId="14" fontId="6" fillId="0" borderId="1" xfId="0" applyNumberFormat="1" applyFont="1" applyFill="1" applyBorder="1" applyAlignment="1" applyProtection="1">
      <alignment horizontal="left"/>
      <protection locked="0"/>
    </xf>
    <xf numFmtId="0" fontId="6" fillId="0" borderId="1" xfId="2" applyFont="1" applyFill="1" applyBorder="1" applyAlignment="1" applyProtection="1">
      <alignment horizontal="left"/>
    </xf>
    <xf numFmtId="0" fontId="9" fillId="0" borderId="1" xfId="2" applyFont="1" applyBorder="1" applyAlignment="1" applyProtection="1">
      <alignment horizontal="left"/>
    </xf>
    <xf numFmtId="0" fontId="10" fillId="0" borderId="1" xfId="0" applyFont="1" applyBorder="1" applyAlignment="1">
      <alignment horizontal="left"/>
    </xf>
    <xf numFmtId="16" fontId="3" fillId="0" borderId="1" xfId="0" applyNumberFormat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14" fontId="3" fillId="0" borderId="1" xfId="0" applyNumberFormat="1" applyFont="1" applyBorder="1" applyAlignment="1">
      <alignment horizontal="left"/>
    </xf>
    <xf numFmtId="0" fontId="11" fillId="0" borderId="1" xfId="0" applyFont="1" applyFill="1" applyBorder="1" applyAlignment="1">
      <alignment horizontal="left"/>
    </xf>
    <xf numFmtId="14" fontId="3" fillId="0" borderId="1" xfId="0" applyNumberFormat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3" fillId="3" borderId="0" xfId="0" applyFont="1" applyFill="1"/>
    <xf numFmtId="0" fontId="3" fillId="0" borderId="0" xfId="0" applyFont="1" applyAlignment="1"/>
    <xf numFmtId="0" fontId="3" fillId="3" borderId="0" xfId="0" applyFont="1" applyFill="1" applyAlignment="1"/>
    <xf numFmtId="0" fontId="3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14" fontId="0" fillId="0" borderId="0" xfId="0" applyNumberFormat="1"/>
    <xf numFmtId="0" fontId="4" fillId="0" borderId="0" xfId="2" applyAlignment="1" applyProtection="1"/>
    <xf numFmtId="0" fontId="0" fillId="0" borderId="0" xfId="0" applyAlignment="1">
      <alignment wrapText="1"/>
    </xf>
    <xf numFmtId="0" fontId="6" fillId="0" borderId="0" xfId="0" applyFont="1" applyFill="1" applyAlignment="1">
      <alignment horizontal="left" wrapText="1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0</xdr:colOff>
      <xdr:row>881</xdr:row>
      <xdr:rowOff>85725</xdr:rowOff>
    </xdr:from>
    <xdr:ext cx="184731" cy="264560"/>
    <xdr:sp macro="" textlink="">
      <xdr:nvSpPr>
        <xdr:cNvPr id="2" name="TextBox 1"/>
        <xdr:cNvSpPr txBox="1"/>
      </xdr:nvSpPr>
      <xdr:spPr>
        <a:xfrm>
          <a:off x="18688050" y="90897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file:///\\chno0276\Aseguranza%20de%20Calidad\Control%20de%20Documentos\Doc.%20controlados%20PDF\Instructivos\CNWI-ENGI\CNWI-ENGI-0078%20M&#225;quina%20para%20pintar%20Shell.pdf" TargetMode="External"/><Relationship Id="rId671" Type="http://schemas.openxmlformats.org/officeDocument/2006/relationships/hyperlink" Target="file:///\\CHNO0276\Aseguranza%20de%20Calidad\Control%20de%20Documentos\Doc.%20controlados%20PDF\Ayudas%20visuales\Camarillo\Ensamble%20general\CNWI-VSHP-000160%2028-7502-0002.pub" TargetMode="External"/><Relationship Id="rId769" Type="http://schemas.openxmlformats.org/officeDocument/2006/relationships/hyperlink" Target="file:///\\chno0276\Aseguranza%20de%20Calidad\Control%20de%20Documentos\Doc.%20controlados%20PDF\Ayudas%20visuales\Micromini\General\VA-MGRAL-009%20Rev%20B%20%20INSERCION%20DE%20CONTACTOS%20GENERICA%20MICROMINI.pptx" TargetMode="External"/><Relationship Id="rId976" Type="http://schemas.openxmlformats.org/officeDocument/2006/relationships/hyperlink" Target="file:///\\chno0276\Control%20de%20Documentos\Doc.%20controlados%20PDF\Flow%20Chart\ITRON\MILTICELL%20A&amp;B\FC-IMB-001%20Rev.%20A%20%20CBA-1300-00628-2302-0001.xlsx" TargetMode="External"/><Relationship Id="rId21" Type="http://schemas.openxmlformats.org/officeDocument/2006/relationships/hyperlink" Target="file:///\\chno0276\Aseguranza%20de%20Calidad\Control%20de%20Documentos\Doc.%20controlados%20PDF\Instructivos\CNWI-WRHS\CNWI-WRHS-F002%20Utilizacion%20de%20basculas%20para%20pines%20y%20contactos.pdf" TargetMode="External"/><Relationship Id="rId324" Type="http://schemas.openxmlformats.org/officeDocument/2006/relationships/hyperlink" Target="file:///\\chno0276\Aseguranza%20de%20Calidad\Control%20de%20Documentos\Doc.%20controlados%20PDF\Formas\CNWI-ENGI%20(Ingenieria)\CNWI-ENGI-F051%20Cross%20Reference%20Amsafe.xls" TargetMode="External"/><Relationship Id="rId531" Type="http://schemas.openxmlformats.org/officeDocument/2006/relationships/hyperlink" Target="file:///\\chno0276\Aseguranza%20de%20Calidad\Control%20de%20Documentos\Documentos%20controlados\CN-QAAS%20(Aseguranza%20de%20calidad)\FORMAS\CNWI-QAAS-F152%20%20Rev.%20A%20TABLA%20HORACIADORA.xlsx" TargetMode="External"/><Relationship Id="rId629" Type="http://schemas.openxmlformats.org/officeDocument/2006/relationships/hyperlink" Target="file:///\\CHNO0276\Aseguranza%20de%20Calidad\Control%20de%20Documentos\Doc.%20controlados%20PDF\Ayudas%20visuales\Camarillo\Bonding\CNWI-VSHP-000001%20Rev.%20A%20(002314-0000).pub" TargetMode="External"/><Relationship Id="rId1161" Type="http://schemas.openxmlformats.org/officeDocument/2006/relationships/hyperlink" Target="file:///\\chno0276\Aseguranza%20de%20Calidad\Control%20de%20Documentos\Doc.%20controlados%20PDF\Quality%20Alerts\MOLDEO\Moldeo%20Moorpark\QA-MRPK-005%20%20Moldeo%20Orificios%20sin%20perforar.pdf" TargetMode="External"/><Relationship Id="rId170" Type="http://schemas.openxmlformats.org/officeDocument/2006/relationships/hyperlink" Target="file:///\\CHNO0276\Aseguranza%20de%20Calidad\Control%20de%20Documentos\Documentos%20controlados\CN-QAAS%20(Aseguranza%20de%20calidad)\WI\CNWI-QAAS-0033%20Rev.%20A%20Customer%20satisfaction%20process.docx" TargetMode="External"/><Relationship Id="rId836" Type="http://schemas.openxmlformats.org/officeDocument/2006/relationships/hyperlink" Target="file:///\\chno0276\Aseguranza%20de%20Calidad\Control%20de%20Documentos\Doc.%20controlados%20PDF\Control%20Plans\ITRON\AMSAFE\CP-AMSA-003%20509800004038-0001%20004038-0002%20004038-0003%20%20004038-0005.pdf" TargetMode="External"/><Relationship Id="rId1021" Type="http://schemas.openxmlformats.org/officeDocument/2006/relationships/hyperlink" Target="file:///\\chno0276\Aseguranza%20de%20Calidad\Control%20de%20Documentos\Doc.%20controlados%20PDF\Flow%20Chart\ITRON\BONDING\FC-BOND-005%20%20%20%20002371-0003.pdf" TargetMode="External"/><Relationship Id="rId1119" Type="http://schemas.openxmlformats.org/officeDocument/2006/relationships/hyperlink" Target="file:///\\chno0276\Aseguranza%20de%20Calidad\Control%20de%20Documentos\Doc.%20controlados%20PDF\Quality%20Alerts\MICROMINI\MS\QA-MS-008%20%2011667277%20Contacto%20bajo.pdf" TargetMode="External"/><Relationship Id="rId268" Type="http://schemas.openxmlformats.org/officeDocument/2006/relationships/hyperlink" Target="file:///\\chno0276\Aseguranza%20de%20Calidad\Control%20de%20Documentos\Doc.%20controlados%20PDF\Formas\CNWI-SHAE%20(Seguridad%20e%20higiene%20y%20medio%20ambiente)\CNWI-SHAE-F023%20Evaluacion%20para%20aprobar%20EPP.doc" TargetMode="External"/><Relationship Id="rId475" Type="http://schemas.openxmlformats.org/officeDocument/2006/relationships/hyperlink" Target="file:///\\CHNO0276\Aseguranza%20de%20Calidad\Control%20de%20Documentos\Doc.%20controlados%20PDF\Formas\CNWI-PROD%20(%20Produccion%20)\CNWI-PROD-F003%20ETIQUETAS%20AMSAFE.xls" TargetMode="External"/><Relationship Id="rId682" Type="http://schemas.openxmlformats.org/officeDocument/2006/relationships/hyperlink" Target="file:///\\CHNO0276\Aseguranza%20de%20Calidad\Control%20de%20Documentos\Doc.%20controlados%20PDF\Ayudas%20visuales\Camarillo\Moldeo\CNWI-VSHP-000105%20Rev.%20A%20(Moldeo%20de%20grommet%20azul).pub" TargetMode="External"/><Relationship Id="rId903" Type="http://schemas.openxmlformats.org/officeDocument/2006/relationships/hyperlink" Target="file:///\\chno0276\Aseguranza%20de%20Calidad\Control%20de%20Documentos\Doc.%20controlados%20PDF\Control%20Plans\ITRON\AMSAFE\CP-AMSA-009%20%200004071-0001.pdf" TargetMode="External"/><Relationship Id="rId32" Type="http://schemas.openxmlformats.org/officeDocument/2006/relationships/hyperlink" Target="file:///\\chno0276\Aseguranza%20de%20Calidad\Control%20de%20Documentos\Documentos%20controlados\CN-SHAE%20(Seguridad%20e%20higiene%20y%20medio%20ambiente)\WI\CNWI-SHAE-0005%20Mantenimiento%20y%20Limpieza%20de%20Rampa%209.docx" TargetMode="External"/><Relationship Id="rId128" Type="http://schemas.openxmlformats.org/officeDocument/2006/relationships/hyperlink" Target="file:///\\chno0276\Control%20de%20Documentos\Doc.%20controlados%20PDF\Instructivos\CNWI-ENGI\CNWI-ENGI-0074%20Rev.%20A%20Prueba%20de%20Resistencia%20129-0029-001,%20002,%20003%20docx.docx" TargetMode="External"/><Relationship Id="rId335" Type="http://schemas.openxmlformats.org/officeDocument/2006/relationships/hyperlink" Target="file:///\\chno0276\Aseguranza%20de%20Calidad\Control%20de%20Documentos\Doc.%20controlados%20PDF\Formas\CNWI-QAAS%20(aseguranza%20de%20calidad)\CNWI-QAAS-F010%20Codigos%20de%20Scrap.xls" TargetMode="External"/><Relationship Id="rId542" Type="http://schemas.openxmlformats.org/officeDocument/2006/relationships/hyperlink" Target="file:///\\chno0276\Aseguranza%20de%20Calidad\Control%20de%20Documentos\Doc.%20controlados%20PDF\Formas\CNWI-QAAS%20(aseguranza%20de%20calidad)\F-QAAS-09-001%20Rev.%20A%20Carta%20de%20registros%20de%20inspeccion%20de%20entrada.xlsx" TargetMode="External"/><Relationship Id="rId987" Type="http://schemas.openxmlformats.org/officeDocument/2006/relationships/hyperlink" Target="file:///\\chno0276\Aseguranza%20de%20Calidad\Control%20de%20Documentos\Doc.%20controlados%20PDF\Flow%20Chart\MICROMINI\MS\FC-MS-004%20%2011547793.pdf" TargetMode="External"/><Relationship Id="rId1172" Type="http://schemas.openxmlformats.org/officeDocument/2006/relationships/hyperlink" Target="file:///\\CHNO0276\Aseguranza%20de%20Calidad\Control%20de%20Documentos\Doc.%20controlados%20PDF\Quality%20Alerts\ITRON\MULTICELL%20A&amp;B\QA-IMB-004%20Rev.%20A%20%20127-0461-001%20Legenda%20Ilegible.pdf" TargetMode="External"/><Relationship Id="rId181" Type="http://schemas.openxmlformats.org/officeDocument/2006/relationships/hyperlink" Target="file:///\\chno0276\Control%20de%20Documentos\Doc.%20controlados%20PDF\Formas\CNWI-QAAS%20(aseguranza%20de%20calidad)\CNWI-QAAS-F118%20Control%20de%20boletas%20de%20Scrap.xlsx" TargetMode="External"/><Relationship Id="rId402" Type="http://schemas.openxmlformats.org/officeDocument/2006/relationships/hyperlink" Target="file:///\\chno0276\Control%20de%20Documentos\Doc.%20controlados%20PDF\Formas\CNWI-ENGI%20(Ingenieria)\CNWI-ENGI-F067%20Control%20de%20impresion%20de%20etiquetas.xlsx" TargetMode="External"/><Relationship Id="rId847" Type="http://schemas.openxmlformats.org/officeDocument/2006/relationships/hyperlink" Target="file:///\\chno0276\Aseguranza%20de%20Calidad\Control%20de%20Documentos\Doc.%20controlados%20PDF\Control%20Plans\MICROMINI\CELDA%20A&amp;B\CP-A&amp;B-015%20%20XC6XXXXXXXXX.pdf" TargetMode="External"/><Relationship Id="rId1032" Type="http://schemas.openxmlformats.org/officeDocument/2006/relationships/hyperlink" Target="file:///\\chno0276\Aseguranza%20de%20Calidad\Control%20de%20Documentos\Doc.%20controlados%20PDF\Flow%20Chart\ITRON\BONDING\FC-BOND-016%20%20%20%20002378-0001.pdf" TargetMode="External"/><Relationship Id="rId279" Type="http://schemas.openxmlformats.org/officeDocument/2006/relationships/hyperlink" Target="file:///\\chno0276\Aseguranza%20de%20Calidad\Control%20de%20Documentos\Doc.%20controlados%20PDF\Formas\CNWI-PRCS%20(compras)\CNWI-PRCS-F006%20Vendors%20autorizados.xls" TargetMode="External"/><Relationship Id="rId486" Type="http://schemas.openxmlformats.org/officeDocument/2006/relationships/hyperlink" Target="file:///\\CHNO0276\Aseguranza%20de%20Calidad\Control%20de%20Documentos\Doc.%20controlados%20PDF\Formas\CNWI-PROD%20(%20Produccion%20)\CNWI-PROD-F0015%20Etiqueta%20relays1.xls" TargetMode="External"/><Relationship Id="rId693" Type="http://schemas.openxmlformats.org/officeDocument/2006/relationships/hyperlink" Target="file:///\\CHNO0276\Aseguranza%20de%20Calidad\Control%20de%20Documentos\Doc.%20controlados%20PDF\Ayudas%20visuales\Micromini\General\CNWI-VSHP-000080%20Rev.%20A%20(Set%20Up%20bascula%20ULINE).pub" TargetMode="External"/><Relationship Id="rId707" Type="http://schemas.openxmlformats.org/officeDocument/2006/relationships/hyperlink" Target="file:///\\CHNO0276\Aseguranza%20de%20Calidad\Control%20de%20Documentos\Doc.%20controlados%20PDF\Ayudas%20visuales\Micromini\A%20y%20B\CNWI-VSHP-000043%20Rev.%20A%20(LMA682).pub" TargetMode="External"/><Relationship Id="rId914" Type="http://schemas.openxmlformats.org/officeDocument/2006/relationships/hyperlink" Target="file:///\\chno0276\Aseguranza%20de%20Calidad\Control%20de%20Documentos\Doc.%20controlados%20PDF\Control%20Plans\MICROMINI\MS\CP-MS-015%20%2011613668%20&amp;%2011536313.pdf" TargetMode="External"/><Relationship Id="rId43" Type="http://schemas.openxmlformats.org/officeDocument/2006/relationships/hyperlink" Target="file:///\\chno0276\Control%20de%20Documentos\Doc.%20controlados%20PDF\Instructivos\CNWI-PLLN\CNWI-PLNN-0001%20Running%20MRP%20On%20Sap%20doc.pdf" TargetMode="External"/><Relationship Id="rId139" Type="http://schemas.openxmlformats.org/officeDocument/2006/relationships/hyperlink" Target="file:///\\chno0276\Aseguranza%20de%20Calidad\Control%20de%20Documentos\Doc.%20controlados%20PDF\Instructivos\CNWI-QAAS\CNWI-QAAS-0006%20%20Proceso%20de%20area%20de%20MRB.pdf" TargetMode="External"/><Relationship Id="rId346" Type="http://schemas.openxmlformats.org/officeDocument/2006/relationships/hyperlink" Target="file:///\\chno0276\Aseguranza%20de%20Calidad\Control%20de%20Documentos\Doc.%20controlados%20PDF\Formas\CNWI-QAAS%20(aseguranza%20de%20calidad)\CNWI-QAAS-F024%20Bonding%20Process%20Certification%20Audit%20Log%20.xls" TargetMode="External"/><Relationship Id="rId553" Type="http://schemas.openxmlformats.org/officeDocument/2006/relationships/hyperlink" Target="file:///\\chno0276\Control%20de%20Documentos\Doc.%20controlados%20PDF\Formas\CNWI-QAAS%20(aseguranza%20de%20calidad)\F-QAAS-23-001%20Rev.%20A%20.xlsx" TargetMode="External"/><Relationship Id="rId760" Type="http://schemas.openxmlformats.org/officeDocument/2006/relationships/hyperlink" Target="file:///\\chno0276\Control%20de%20Documentos\Doc.%20controlados%20PDF\Ayudas%20visuales\Micromini\Change%20Out\CNWI-VSHP-000056%20Rev.%20A%20(X8653-CX%20&amp;%20CW).pub" TargetMode="External"/><Relationship Id="rId998" Type="http://schemas.openxmlformats.org/officeDocument/2006/relationships/hyperlink" Target="file:///\\chno0276\Aseguranza%20de%20Calidad\Control%20de%20Documentos\Doc.%20controlados%20PDF\Flow%20Chart\MICROMINI\MS\FC-MS-012%20%20SMEA0115010,%205015,%205020,%205030,%205035,%205060.pdf" TargetMode="External"/><Relationship Id="rId1183" Type="http://schemas.openxmlformats.org/officeDocument/2006/relationships/hyperlink" Target="file:///\\CHNO0276\Aseguranza%20de%20Calidad\Control%20de%20Documentos\Doc.%20controlados%20PDF\Especificaciones%20genericas\Micromini\A%20Y%20B\CNWI-ENGI-F019%20Rev%20%20F%20Especificaciones%20remachado%20Celda%20A%20y%20B%20Rev%20%20B.xlsx" TargetMode="External"/><Relationship Id="rId192" Type="http://schemas.openxmlformats.org/officeDocument/2006/relationships/hyperlink" Target="file:///\\chno0276\Aseguranza%20de%20Calidad\Control%20de%20Documentos\Doc.%20controlados%20PDF\Formas\CNWI-QAAS%20(aseguranza%20de%20calidad)\CNWI-QAAS-F008-A%20Liberacion%20primera%20pieza%20AMSAFE-SALEM-ENS.GRAL.pptx" TargetMode="External"/><Relationship Id="rId206" Type="http://schemas.openxmlformats.org/officeDocument/2006/relationships/hyperlink" Target="file:///\\CHNO0276\Aseguranza%20de%20Calidad\Control%20de%20Documentos\Doc.%20controlados%20PDF\Formas\CNWI-HMRS%20(Recursos%20Humanos)\CNWI-HMRS-F004%20Descripcion%20de%20PuestoDoc..doc" TargetMode="External"/><Relationship Id="rId413" Type="http://schemas.openxmlformats.org/officeDocument/2006/relationships/hyperlink" Target="file:///\\CHNO0276\Aseguranza%20de%20Calidad\Control%20de%20Documentos\Doc.%20controlados%20PDF\Formas\CNWI-HMRS%20(Recursos%20Humanos)\CNWI-HMRS-F018%20Matriz%20de%20entrenamiento.xlsx" TargetMode="External"/><Relationship Id="rId858" Type="http://schemas.openxmlformats.org/officeDocument/2006/relationships/hyperlink" Target="file:///\\chno0276\Aseguranza%20de%20Calidad\Control%20de%20Documentos\Doc.%20controlados%20PDF\Control%20Plans\MICROMINI\CELDA%20A&amp;B\CP-A&amp;B-028%20%20A79DM3AERF50F5.pdf" TargetMode="External"/><Relationship Id="rId1043" Type="http://schemas.openxmlformats.org/officeDocument/2006/relationships/hyperlink" Target="file:///\\chno0276\Aseguranza%20de%20Calidad\Control%20de%20Documentos\Doc.%20controlados%20PDF\Flow%20Chart\ITRON\BONDING\FC-BOND-025%20%20%20BACS16W,%20BACS16X,%20VB10-1UWC11%20&amp;%20VB10-1PWC11.pdf" TargetMode="External"/><Relationship Id="rId497" Type="http://schemas.openxmlformats.org/officeDocument/2006/relationships/hyperlink" Target="file:///\\CHNO0276\Aseguranza%20de%20Calidad\Control%20de%20Documentos\Doc.%20controlados%20PDF\Formas\CNWI-PROD%20(%20Produccion%20)\CNWI-PROD-F026%20Etiqueta%20snap%20lock.xls" TargetMode="External"/><Relationship Id="rId620" Type="http://schemas.openxmlformats.org/officeDocument/2006/relationships/hyperlink" Target="file:///\\CHNO0276\Aseguranza%20de%20Calidad\Control%20de%20Documentos\Doc.%20controlados%20PDF\Ayudas%20visuales\Camarillo\Itron\CNWI-VSHP-000067%20Rev.%20A%20%20(Set%20Up%20Maquina%20The%20Shot%20Gun).pub" TargetMode="External"/><Relationship Id="rId718" Type="http://schemas.openxmlformats.org/officeDocument/2006/relationships/hyperlink" Target="file:///\\CHNO0276\Aseguranza%20de%20Calidad\Control%20de%20Documentos\Doc.%20controlados%20PDF\Ayudas%20visuales\Micromini\A%20y%20B\CNWI-VSHP-000086%20Rev.%20A%20(X8992-BK).pub" TargetMode="External"/><Relationship Id="rId925" Type="http://schemas.openxmlformats.org/officeDocument/2006/relationships/hyperlink" Target="file:///\\chno0276\Aseguranza%20de%20Calidad\Control%20de%20Documentos\Doc.%20controlados%20PDF\Control%20Plans\MICROMINI\MS\CP-MS-018%20CHCCR003P.pdf" TargetMode="External"/><Relationship Id="rId357" Type="http://schemas.openxmlformats.org/officeDocument/2006/relationships/hyperlink" Target="file:///\\chno0276\Aseguranza%20de%20Calidad\Control%20de%20Documentos\Doc.%20controlados%20PDF\Formas\CNWI-QAAS%20(aseguranza%20de%20calidad)\CNWI-QAAS-F036%20CAR%20Log.xls" TargetMode="External"/><Relationship Id="rId1110" Type="http://schemas.openxmlformats.org/officeDocument/2006/relationships/hyperlink" Target="file:///\\chno0276\Aseguranza%20de%20Calidad\Control%20de%20Documentos\Doc.%20controlados%20PDF\Quality%20Alerts\MICROMINI\Celda%20A&amp;%20B\QA-A&amp;B-004%20DM4Q2M24E024FS%20Contacto%20Bajo-%20Contacto%20desalineado.pdf" TargetMode="External"/><Relationship Id="rId1194" Type="http://schemas.openxmlformats.org/officeDocument/2006/relationships/hyperlink" Target="file:///\\CHNO0276\Aseguranza%20de%20Calidad\Control%20de%20Documentos\Doc.%20controlados%20PDF\Especificaciones%20genericas\Micromini\POTTED\CNWI-ENGI-F019%20Rev.%20A%20Especificaciones%20dedespoje%20de%20chaqueta%20Potted.xlsx" TargetMode="External"/><Relationship Id="rId1208" Type="http://schemas.openxmlformats.org/officeDocument/2006/relationships/hyperlink" Target="file:///\\chno0276\Control%20de%20Documentos\Doc.%20controlados%20PDF\Ayudas%20visuales\Camarillo\Itron\MULTICELDA%20B\VA-IMB-006%20Rev%20C%20%20Ensamble%20manual%20de%2028-2304-005%20y%20%2028-2305-0001.ppt" TargetMode="External"/><Relationship Id="rId54" Type="http://schemas.openxmlformats.org/officeDocument/2006/relationships/hyperlink" Target="file:///\\chno0276\Aseguranza%20de%20Calidad\Control%20de%20Documentos\Doc.%20controlados%20PDF\Instructivos\CNWI-ENGI\CNWI-ENGI-0010%20Prueba%20El&#233;ctrica%20de%20la%20Maquina%20Horiz&#243;n%201500%20volts.pdf" TargetMode="External"/><Relationship Id="rId217" Type="http://schemas.openxmlformats.org/officeDocument/2006/relationships/hyperlink" Target="file:///\\chno0276\Aseguranza%20de%20Calidad\Control%20de%20Documentos\Doc.%20controlados%20PDF\Formas\CNWI-HMRS%20(Recursos%20Humanos)\CNWI-HMRS-F016%20Formato%20%20Evaluaci&#243;n%20Operadores.xlsx" TargetMode="External"/><Relationship Id="rId564" Type="http://schemas.openxmlformats.org/officeDocument/2006/relationships/hyperlink" Target="file:///\\chno0276\Control%20de%20Documentos\Doc.%20controlados%20PDF\Ayudas%20visuales\Camarillo\Amsafe\VA-AMSA-006%20Rev%20Doc%20C%20-%20Rev%20Drawing%20L%20%20CABLE%20%20ASSEMBLY%20508328%20PART%20003076-0001.ppt" TargetMode="External"/><Relationship Id="rId771" Type="http://schemas.openxmlformats.org/officeDocument/2006/relationships/hyperlink" Target="file:///\\chno0276\Aseguranza%20de%20Calidad\Control%20de%20Documentos\Doc.%20controlados%20PDF\Ayudas%20visuales\Camarillo\Bonding\VA-BOND-007%20Rev%20A%20%20002359-0000%20%20002360-0000%20%20002361-0000.ppt" TargetMode="External"/><Relationship Id="rId869" Type="http://schemas.openxmlformats.org/officeDocument/2006/relationships/hyperlink" Target="file:///\\chno0276\Aseguranza%20de%20Calidad\Control%20de%20Documentos\Doc.%20controlados%20PDF\Control%20Plans\MICROMINI\MS\CP-MS-010%20%20CH5041497B.pdf" TargetMode="External"/><Relationship Id="rId424" Type="http://schemas.openxmlformats.org/officeDocument/2006/relationships/hyperlink" Target="file:///\\CHNO0276\Aseguranza%20de%20Calidad\Control%20de%20Documentos\Doc.%20controlados%20PDF\Formas\CNWI-QAAS%20(aseguranza%20de%20calidad)\CNWI-QAAS-F071%20molding%20process.xls" TargetMode="External"/><Relationship Id="rId631" Type="http://schemas.openxmlformats.org/officeDocument/2006/relationships/hyperlink" Target="file:///\\CHNO0276\Aseguranza%20de%20Calidad\Control%20de%20Documentos\Doc.%20controlados%20PDF\Ayudas%20visuales\Camarillo\Bonding\CNWI-VSHP-000003%20Rev.%20B%20(000102-0145).pub" TargetMode="External"/><Relationship Id="rId729" Type="http://schemas.openxmlformats.org/officeDocument/2006/relationships/hyperlink" Target="file:///\\CHNO0276\Aseguranza%20de%20Calidad\Control%20de%20Documentos\Doc.%20controlados%20PDF\Ayudas%20visuales\Micromini\MS\CNWI-VSHP-000087%20Rev.%20A%20(X8653-FJ).pub" TargetMode="External"/><Relationship Id="rId1054" Type="http://schemas.openxmlformats.org/officeDocument/2006/relationships/hyperlink" Target="file:///\\chno0276\Control%20de%20Documentos\Doc.%20controlados%20PDF\Flow%20Chart\ITRON\AMSAFE\FC-AMSA%20-0012%20003064-0001.pdf" TargetMode="External"/><Relationship Id="rId270" Type="http://schemas.openxmlformats.org/officeDocument/2006/relationships/hyperlink" Target="file:///\\chno0276\Aseguranza%20de%20Calidad\Control%20de%20Documentos\Doc.%20controlados%20PDF\Formas\CNWI-SHAE%20(Seguridad%20e%20higiene%20y%20medio%20ambiente)\CNWI-SHAE-F025%20Listado%20de%20epp%20entregado.xls" TargetMode="External"/><Relationship Id="rId936" Type="http://schemas.openxmlformats.org/officeDocument/2006/relationships/hyperlink" Target="file:///\\chno0276\Aseguranza%20de%20Calidad\Control%20de%20Documentos\Doc.%20controlados%20PDF\Control%20Plans\MICROMINI\CHANGE-OUT\CP-CHGO-013%20%20X865316P,%20X865398P.pdf" TargetMode="External"/><Relationship Id="rId1121" Type="http://schemas.openxmlformats.org/officeDocument/2006/relationships/hyperlink" Target="file:///\\chno0276\Aseguranza%20de%20Calidad\Control%20de%20Documentos\Doc.%20controlados%20PDF\Quality%20Alerts\MICROMINI\MS\QA-MS-010%20SMEA%20PRODUCTS%20%20Conector%20Manufacturador%20Equivocado.pdf" TargetMode="External"/><Relationship Id="rId65" Type="http://schemas.openxmlformats.org/officeDocument/2006/relationships/hyperlink" Target="file:///\\chno0276\Aseguranza%20de%20Calidad\Control%20de%20Documentos\Doc.%20controlados%20PDF\Instructivos\CNWI-ENGI\CNWI-ENGI-0022%20Remache%20de%20terminales%20en%20maquina%20remachadora%20AMP.pdf" TargetMode="External"/><Relationship Id="rId130" Type="http://schemas.openxmlformats.org/officeDocument/2006/relationships/hyperlink" Target="file:///\\chno0276\Aseguranza%20de%20Calidad\Control%20de%20Documentos\Doc.%20controlados%20PDF\Instructivos\CNWI-ENGI\CNWI-ENGI-0076%20%20Procedimiento%20Maquina%20Komax%20Kappa%20220225.pdf" TargetMode="External"/><Relationship Id="rId368" Type="http://schemas.openxmlformats.org/officeDocument/2006/relationships/hyperlink" Target="file:///\\chno0276\Aseguranza%20de%20Calidad\Control%20de%20Documentos\Doc.%20controlados%20PDF\Formas\CNWI-QAAS%20(aseguranza%20de%20calidad)\CNWI-QAAS-F051%20formato%20de%20resumen%20de%20lotes%20rechazados.xls" TargetMode="External"/><Relationship Id="rId575" Type="http://schemas.openxmlformats.org/officeDocument/2006/relationships/hyperlink" Target="file:///\\CHNO0276\Aseguranza%20de%20Calidad\Control%20de%20Documentos\Doc.%20controlados%20PDF\Ayudas%20visuales\Micromini\Rocwell\VA-ROCK-001%20Rev%20A%20ENGOMADO%20DE%20%20RONDANA.pptx" TargetMode="External"/><Relationship Id="rId782" Type="http://schemas.openxmlformats.org/officeDocument/2006/relationships/hyperlink" Target="file:///\\chno0276\Aseguranza%20de%20Calidad\Control%20de%20Documentos\Doc.%20controlados%20PDF\Ayudas%20visuales\Micromini\General\VA-MGRAL-011%20Rev%20D%20Calentado%20de%20inserts.pptx" TargetMode="External"/><Relationship Id="rId228" Type="http://schemas.openxmlformats.org/officeDocument/2006/relationships/hyperlink" Target="file:///\\chno0276\Aseguranza%20de%20Calidad\Control%20de%20Documentos\Doc.%20controlados%20PDF\Formas\CNWI-MTTO%20(Mantenimiento)\CNWI-MTTO-F013%20Boleta%20de%20Control%20de%20Materiales.doc" TargetMode="External"/><Relationship Id="rId435" Type="http://schemas.openxmlformats.org/officeDocument/2006/relationships/hyperlink" Target="file:///\\chno0276\Control%20de%20Documentos\Doc.%20controlados%20PDF\Formas\CNWI-QAAS%20(aseguranza%20de%20calidad)\CNWI-QAAS-F085%20Registro%20calibracion%20micrometros.xlsx" TargetMode="External"/><Relationship Id="rId642" Type="http://schemas.openxmlformats.org/officeDocument/2006/relationships/hyperlink" Target="file:///\\CHNO0276\Aseguranza%20de%20Calidad\Control%20de%20Documentos\Doc.%20controlados%20PDF\Ayudas%20visuales\Camarillo\Bonding\CNWI-VSHP-000107%20Rev.%20A%20(000100-0179M).pub" TargetMode="External"/><Relationship Id="rId1065" Type="http://schemas.openxmlformats.org/officeDocument/2006/relationships/hyperlink" Target="file:///\\chno0276\Aseguranza%20de%20Calidad\Control%20de%20Documentos\Doc.%20controlados%20PDF\FMEA\ITRON\BONDING\FMEA%20-BOND-002%20%20002359-TAB%20002360-TAB%20%20002361-TAB.pdf" TargetMode="External"/><Relationship Id="rId281" Type="http://schemas.openxmlformats.org/officeDocument/2006/relationships/hyperlink" Target="file:///\\chno0276\Aseguranza%20de%20Calidad\Control%20de%20Documentos\Doc.%20controlados%20PDF\Formas\CNWI-PRCS%20(compras)\CNWI-PRCS-F008%20Evaluacion%20de%20Proveedores%20MRO.xls" TargetMode="External"/><Relationship Id="rId502" Type="http://schemas.openxmlformats.org/officeDocument/2006/relationships/hyperlink" Target="file:///\\CHNO0276\Aseguranza%20de%20Calidad\Control%20de%20Documentos\Doc.%20controlados%20PDF\Formas\CNWI-PROD%20(%20Produccion%20)\CNWI-PROD-F031%20Etiqueta%20variado%20lifters,rieles.xls" TargetMode="External"/><Relationship Id="rId947" Type="http://schemas.openxmlformats.org/officeDocument/2006/relationships/hyperlink" Target="file:///\\chno0276\Aseguranza%20de%20Calidad\Control%20de%20Documentos\Doc.%20controlados%20PDF\Control%20Plans\MICROMINI\CELDA%20A&amp;B\CP-A&amp;B-040%20%20AM2C2MG030F,%20AM3C2MG030F,%20AM4C2MG030F,%20AM5C2MG030F.pdf" TargetMode="External"/><Relationship Id="rId1132" Type="http://schemas.openxmlformats.org/officeDocument/2006/relationships/hyperlink" Target="file:///\\CHNO0276\Aseguranza%20de%20Calidad\Control%20de%20Documentos\Doc.%20controlados%20PDF\Quality%20Alerts\ITRON\ENSAMBLE%20GENERAL\QA-EGRAL-003%20Rev.%20A%20000267-0062%20Piezas%20fuera%20de%20especificacion.pdf" TargetMode="External"/><Relationship Id="rId76" Type="http://schemas.openxmlformats.org/officeDocument/2006/relationships/hyperlink" Target="file:///\\chno0276\Aseguranza%20de%20Calidad\Control%20de%20Documentos\Doc.%20controlados%20PDF\Instructivos\CNWI-ENGI\CNWI-ENGI-0033%20Maquina%20Dispensadora%20de%20Epoxy%20SHOT%20GUN.pdf" TargetMode="External"/><Relationship Id="rId141" Type="http://schemas.openxmlformats.org/officeDocument/2006/relationships/hyperlink" Target="file:///\\chno0276\Aseguranza%20de%20Calidad\Control%20de%20Documentos\Doc.%20controlados%20PDF\Instructivos\CNWI-QAAS\CNWI-QAAS-0011%20Propiedad%20del%20cliente.pdf" TargetMode="External"/><Relationship Id="rId379" Type="http://schemas.openxmlformats.org/officeDocument/2006/relationships/hyperlink" Target="file:///\\CHNO0276\Aseguranza%20de%20Calidad\Control%20de%20Documentos\Doc.%20controlados%20PDF\Formas\CNWI-PROD%20(%20Produccion%20)\CNWI-PROD-F006%20Temperatura%20y%20tiempos%20de%20curado.xls" TargetMode="External"/><Relationship Id="rId586" Type="http://schemas.openxmlformats.org/officeDocument/2006/relationships/hyperlink" Target="file:///\\CHNO0276\Aseguranza%20de%20Calidad\Control%20de%20Documentos\Doc.%20controlados%20PDF\Ayudas%20visuales\Avenal-Solar\VA-SOL-004%20%20Rev.%20B%20Proceso%20ensamble%20del%20area%20de%20solar%20IC-A61-P1.pptx" TargetMode="External"/><Relationship Id="rId793" Type="http://schemas.openxmlformats.org/officeDocument/2006/relationships/hyperlink" Target="file:///\\CHNO0276\Aseguranza%20de%20Calidad\Control%20de%20Documentos\Doc.%20controlados%20PDF\Especificaciones%20genericas\Camarillo\Itron\CNWI-ENGI-F019%20%20%20Rev%20%20A%20%20Especificaciones%20de%20insercion%20de%20conductores%20%20ITRON.xlsx" TargetMode="External"/><Relationship Id="rId807" Type="http://schemas.openxmlformats.org/officeDocument/2006/relationships/hyperlink" Target="file:///\\CHNO0276\Aseguranza%20de%20Calidad\Control%20de%20Documentos\Doc.%20controlados%20PDF\Especificaciones%20genericas\Micromini\MS\CNWI-ENGI-F019%20Rev.%20E%20Especificaciones%20remachado%20area%20MS.xlsx" TargetMode="External"/><Relationship Id="rId7" Type="http://schemas.openxmlformats.org/officeDocument/2006/relationships/hyperlink" Target="file:///\\chno0276\Aseguranza%20de%20Calidad\Control%20de%20Documentos\Doc.%20controlados%20PDF\Procedimientos\CNSOP-03%20Auditorias%20Internas.pdf" TargetMode="External"/><Relationship Id="rId239" Type="http://schemas.openxmlformats.org/officeDocument/2006/relationships/hyperlink" Target="file:///\\chno0276\Aseguranza%20de%20Calidad\Control%20de%20Documentos\Doc.%20controlados%20PDF\Formas\CNWI-WRHS%20(Almacen)\CNWI-WRHS-F002%20Requisicion%20de%20Matarial.xls" TargetMode="External"/><Relationship Id="rId446" Type="http://schemas.openxmlformats.org/officeDocument/2006/relationships/hyperlink" Target="file:///\\CHNO0276\Aseguranza%20de%20Calidad\Control%20de%20Documentos\Doc.%20controlados%20PDF\Formas\CNWI-QAAS%20(aseguranza%20de%20calidad)\CNWI-QAAS-F098%20ID%20Instrumento%20Inactivo.xlsx" TargetMode="External"/><Relationship Id="rId653" Type="http://schemas.openxmlformats.org/officeDocument/2006/relationships/hyperlink" Target="file:///\\CHNO0276\Aseguranza%20de%20Calidad\Control%20de%20Documentos\Doc.%20controlados%20PDF\Ayudas%20visuales\Camarillo\Amsafe\CNWI-VSHP-000200%20Rev%20A%20CABLE%20ASSEMBLY%20INTERFACE%20004003-0001.ppt" TargetMode="External"/><Relationship Id="rId1076" Type="http://schemas.openxmlformats.org/officeDocument/2006/relationships/hyperlink" Target="file:///\\chno0276\Aseguranza%20de%20Calidad\Control%20de%20Documentos\Doc.%20controlados%20PDF\FMEA\MICROMINI\MS\FMEA-MS-009%20Rev.%20A%20%20SMEA0092010,%20SMEA0092025,%20SMEA0092030,%20SMEA0092040,%20SMEA0092045,%20SMEA0092050.pdf" TargetMode="External"/><Relationship Id="rId292" Type="http://schemas.openxmlformats.org/officeDocument/2006/relationships/hyperlink" Target="file:///\\chno0276\Aseguranza%20de%20Calidad\Control%20de%20Documentos\Doc.%20controlados%20PDF\Formas\CNWI-ENGI%20(Ingenieria)\CNWI-ENGI-F014%20Identificacion%20de%20material%20en%20proceso%20.doc" TargetMode="External"/><Relationship Id="rId306" Type="http://schemas.openxmlformats.org/officeDocument/2006/relationships/hyperlink" Target="file:///\\chno0276\Aseguranza%20de%20Calidad\Control%20de%20Documentos\Doc.%20controlados%20PDF\Formas\CNWI-ENGI%20(Ingenieria)\CNWI-ENGI-F033%20Estudios%20de%20Tiempo.xls" TargetMode="External"/><Relationship Id="rId860" Type="http://schemas.openxmlformats.org/officeDocument/2006/relationships/hyperlink" Target="file:///\\chno0276\Aseguranza%20de%20Calidad\Control%20de%20Documentos\Doc.%20controlados%20PDF\Control%20Plans\MICROMINI\CELDA%20A&amp;B\CP-A&amp;B-031%20ZC2XXXXXXXXX.pdf" TargetMode="External"/><Relationship Id="rId958" Type="http://schemas.openxmlformats.org/officeDocument/2006/relationships/hyperlink" Target="file:///\\chno0276\Aseguranza%20de%20Calidad\Control%20de%20Documentos\Doc.%20controlados%20PDF\Control%20Plans\ITRON\BONDING\CP-BOND-013%20%20%20002369-0001.pdf" TargetMode="External"/><Relationship Id="rId1143" Type="http://schemas.openxmlformats.org/officeDocument/2006/relationships/hyperlink" Target="file:///\\CHNO0276\Aseguranza%20de%20Calidad\Control%20de%20Documentos\Doc.%20controlados%20PDF\Quality%20Alerts\MOLDEO\Moldeo%20Moorpark\QA-MRPK-001%20Rev.%20A%20096-0257-001%20Rosca%20Interna%20-Falta%20de%20Material%20%5bCompatibility%20Mode%5d.pdf" TargetMode="External"/><Relationship Id="rId87" Type="http://schemas.openxmlformats.org/officeDocument/2006/relationships/hyperlink" Target="file:///\\chno0276\Aseguranza%20de%20Calidad\Control%20de%20Documentos\Doc.%20controlados%20PDF\Instructivos\CNWI-ENGI\CNWI-ENGI-0044%20Maquina%20SCHLEUNIGER%20CS-9100.pdf" TargetMode="External"/><Relationship Id="rId513" Type="http://schemas.openxmlformats.org/officeDocument/2006/relationships/hyperlink" Target="file:///\\chno0276\Aseguranza%20de%20Calidad\Control%20de%20Documentos\Doc.%20controlados%20PDF\Formas\CNWI-QAAS%20(aseguranza%20de%20calidad)\CNWI-QAAS-F146%20%20Control%20de%20Temperaturas%20de%20hornos.pdf" TargetMode="External"/><Relationship Id="rId597" Type="http://schemas.openxmlformats.org/officeDocument/2006/relationships/hyperlink" Target="file:///\\chno0276\Control%20de%20Documentos\Doc.%20controlados%20PDF\Ayudas%20visuales\Camarillo\Amsafe\VA-AMSA-004%20%20Rev%20Doc%20E%20%20Drawin%20BM%20CABLE%20ASSEMPLY%20INTERFACE%20509976%20Pag%204.ppt" TargetMode="External"/><Relationship Id="rId720" Type="http://schemas.openxmlformats.org/officeDocument/2006/relationships/hyperlink" Target="file:///\\CHNO0276\Aseguranza%20de%20Calidad\Control%20de%20Documentos\Doc.%20controlados%20PDF\Ayudas%20visuales\Micromini\A%20y%20B\CNWI-VSHP-000109%20Rev.%20A%20(ABP-P1H4-S).pub" TargetMode="External"/><Relationship Id="rId818" Type="http://schemas.openxmlformats.org/officeDocument/2006/relationships/hyperlink" Target="file:///\\chno0276\Aseguranza%20de%20Calidad\Control%20de%20Documentos\Doc.%20controlados%20PDF\Especificaciones%20genericas\Micromini\PLEX\CNWI-ENGI-F019%20Rev%20%20B%20%20Especificaciones%20de%20insercion%20de%20conductores%20area%20Plex%20(4).xls" TargetMode="External"/><Relationship Id="rId152" Type="http://schemas.openxmlformats.org/officeDocument/2006/relationships/hyperlink" Target="file:///\\chno0276\Aseguranza%20de%20Calidad\Control%20de%20Documentos\Doc.%20controlados%20PDF\Instructivos\CNWI-QAAS\CNWI-QAAS-0023%20%20Instruccion%20de%20RMA's%20%20_%20Spanish%20_.pdf" TargetMode="External"/><Relationship Id="rId457" Type="http://schemas.openxmlformats.org/officeDocument/2006/relationships/hyperlink" Target="file:///\\CHNO0276\Aseguranza%20de%20Calidad\Control%20de%20Documentos\Doc.%20controlados%20PDF\Formas\CNWI-QAAS%20(aseguranza%20de%20calidad)\CNWI-QAAS-F115%20Check%20list%20FAI%20Component%20.xls" TargetMode="External"/><Relationship Id="rId1003" Type="http://schemas.openxmlformats.org/officeDocument/2006/relationships/hyperlink" Target="file:///\\chno0276\Aseguranza%20de%20Calidad\Control%20de%20Documentos\Doc.%20controlados%20PDF\Flow%20Chart\MICROMINI\CHANGE-OUT\FC-CHGO-006%20%20%20X865248P.pdf" TargetMode="External"/><Relationship Id="rId1087" Type="http://schemas.openxmlformats.org/officeDocument/2006/relationships/hyperlink" Target="file:///\\chno0276\Aseguranza%20de%20Calidad\Control%20de%20Documentos\Doc.%20controlados%20PDF\FMEA\MICROMINI\CHANGE-OUT\FMEA-CHGO-009%20%20%20X865344P.pdf" TargetMode="External"/><Relationship Id="rId664" Type="http://schemas.openxmlformats.org/officeDocument/2006/relationships/hyperlink" Target="file:///\\CHNO0276\Aseguranza%20de%20Calidad\Control%20de%20Documentos\Doc.%20controlados%20PDF\Ayudas%20visuales\Camarillo\Ensamble%20general\CNWI-VSHP-000081%20Rev.%20A%20(28-7002-0000M).pub" TargetMode="External"/><Relationship Id="rId871" Type="http://schemas.openxmlformats.org/officeDocument/2006/relationships/hyperlink" Target="file:///\\chno0276\Aseguranza%20de%20Calidad\Control%20de%20Documentos\Doc.%20controlados%20PDF\Control%20Plans\MICROMINI\CELDA%20A&amp;B\CP-A&amp;B-034%20%20ABT-P1M4-MN5R1.pdf" TargetMode="External"/><Relationship Id="rId969" Type="http://schemas.openxmlformats.org/officeDocument/2006/relationships/hyperlink" Target="file:///\\chno0276\Aseguranza%20de%20Calidad\Control%20de%20Documentos\Doc.%20controlados%20PDF\Control%20Plans\ITRON\BONDING\CP-BOND-022%20%20%20003094-0001.pdf" TargetMode="External"/><Relationship Id="rId14" Type="http://schemas.openxmlformats.org/officeDocument/2006/relationships/hyperlink" Target="file:///\\chno0276\Aseguranza%20de%20Calidad\Control%20de%20Documentos\Doc.%20controlados%20PDF\Instructivos\CNWI-LEAN\CNWI-LEAN-0001%20Proceso%20de%20mejora%20continua.pdf" TargetMode="External"/><Relationship Id="rId317" Type="http://schemas.openxmlformats.org/officeDocument/2006/relationships/hyperlink" Target="file:///\\chno0276\Aseguranza%20de%20Calidad\Control%20de%20Documentos\Doc.%20controlados%20PDF\Formas\CNWI-ENGI%20(Ingenieria)\CNWI-ENGI-F044%20Corrida%20Muestra.xlsx" TargetMode="External"/><Relationship Id="rId524" Type="http://schemas.openxmlformats.org/officeDocument/2006/relationships/hyperlink" Target="file:///\\chno0276\Aseguranza%20de%20Calidad\Control%20de%20Documentos\Documentos%20controlados\CN-HMRS%20(Recursos%20Humanos)\FORMAS\CNWI-HMRS-F020%20Rev.%20A%20Evaluaci&#243;n%20de%20Entrevistas.xlsx" TargetMode="External"/><Relationship Id="rId731" Type="http://schemas.openxmlformats.org/officeDocument/2006/relationships/hyperlink" Target="file:///\\CHNO0276\Aseguranza%20de%20Calidad\Control%20de%20Documentos\Doc.%20controlados%20PDF\Ayudas%20visuales\Micromini\MS\CNWI-VSHP-000176%20REV%20A%20COLOCACION%20O-RING.pptx" TargetMode="External"/><Relationship Id="rId1154" Type="http://schemas.openxmlformats.org/officeDocument/2006/relationships/hyperlink" Target="file:///\\CHNO0276\Aseguranza%20de%20Calidad\Control%20de%20Documentos\Doc.%20controlados%20PDF\Quality%20Alerts\ITRON\MULTICELL%20A&amp;B\QA-IMB-003%20Rev.%20A%20MSC-0019-008%20Posicion%20incorrecta.pdf" TargetMode="External"/><Relationship Id="rId98" Type="http://schemas.openxmlformats.org/officeDocument/2006/relationships/hyperlink" Target="file:///\\chno0276\Aseguranza%20de%20Calidad\Control%20de%20Documentos\Doc.%20controlados%20PDF\Instructivos\CNWI-ENGI\CNWI-ENGI-0056%20Esta&#241;ado%20de%20Conductores%20en%20plato%20Crisol.pdf" TargetMode="External"/><Relationship Id="rId163" Type="http://schemas.openxmlformats.org/officeDocument/2006/relationships/hyperlink" Target="file:///\\chno0276\Control%20de%20Documentos\Doc.%20controlados%20PDF\Instructivos\CNWI-QAAS\CNWI-QAAS-0041%20%20Proceso%20de%20auditoria%20out%20of%20box.pdf" TargetMode="External"/><Relationship Id="rId370" Type="http://schemas.openxmlformats.org/officeDocument/2006/relationships/hyperlink" Target="file:///\\chno0276\Aseguranza%20de%20Calidad\Control%20de%20Documentos\Doc.%20controlados%20PDF\Formas\CNWI-QAAS%20(aseguranza%20de%20calidad)\CNWI-QAAS-F054%20Meeting%20Notice.docx" TargetMode="External"/><Relationship Id="rId829" Type="http://schemas.openxmlformats.org/officeDocument/2006/relationships/hyperlink" Target="file:///\\chno0276\Aseguranza%20de%20Calidad\Control%20de%20Documentos\Doc.%20controlados%20PDF\Control%20Plans\MICROMINI\CELDA%20A&amp;B\CP-A&amp;B-010%20%20DM4Q2M24E.pdf" TargetMode="External"/><Relationship Id="rId1014" Type="http://schemas.openxmlformats.org/officeDocument/2006/relationships/hyperlink" Target="file:///\\chno0276\Aseguranza%20de%20Calidad\Control%20de%20Documentos\Doc.%20controlados%20PDF\Flow%20Chart\MICROMINI\CHANGE-OUT\FC-CHGO-012%20%20X8653325.pdf" TargetMode="External"/><Relationship Id="rId230" Type="http://schemas.openxmlformats.org/officeDocument/2006/relationships/hyperlink" Target="file:///\\chno0276\Aseguranza%20de%20Calidad\Control%20de%20Documentos\Doc.%20controlados%20PDF\Formas\CNWI-MTTO%20(Mantenimiento)\CNWI-MTTO-F015%20Revicion%20de%20temperatura%20Quimicos.xls" TargetMode="External"/><Relationship Id="rId468" Type="http://schemas.openxmlformats.org/officeDocument/2006/relationships/hyperlink" Target="file:///\\CHNO0276\Aseguranza%20de%20Calidad\Control%20de%20Documentos\Doc.%20controlados%20PDF\Formas\CNWI-SHIP%20(%20Embarques%20)\CNWI-SHIP-F002%20LISTA%20DE%20VERIFICACION.xlsx" TargetMode="External"/><Relationship Id="rId675" Type="http://schemas.openxmlformats.org/officeDocument/2006/relationships/hyperlink" Target="file:///\\CHNO0276\Aseguranza%20de%20Calidad\Control%20de%20Documentos\Doc.%20controlados%20PDF\Ayudas%20visuales\Camarillo\Salem\CNWI-VSHP-000005%20Rev.%20A%20(102-117G1).pub" TargetMode="External"/><Relationship Id="rId882" Type="http://schemas.openxmlformats.org/officeDocument/2006/relationships/hyperlink" Target="file:///\\CHNO0276\Aseguranza%20de%20Calidad\Control%20de%20Documentos\Doc.%20controlados%20PDF\Control%20Plans\MICROMINI\POTTED\CP-POTT-002%20Rev.A%20%20CX8653%20PART%20CX8653%20-343P%20Y%20-346P.pdf" TargetMode="External"/><Relationship Id="rId1098" Type="http://schemas.openxmlformats.org/officeDocument/2006/relationships/hyperlink" Target="file:///\\chno0276\Aseguranza%20de%20Calidad\Control%20de%20Documentos\Doc.%20controlados%20PDF\Quality%20Alerts\ITRON\BONDING\QA-BOND-003%20002359-000X%20Rebaba%20en%20el%20punto%20de%20inyeccion.pdf" TargetMode="External"/><Relationship Id="rId25" Type="http://schemas.openxmlformats.org/officeDocument/2006/relationships/hyperlink" Target="file:///\\CHNO0276\Aseguranza%20de%20Calidad\Control%20de%20Documentos\Doc.%20controlados%20PDF\Instructivos\CNWI-SHAE\CNWI-SHAE-0008%20Procedimiento%20FOD%20(eliminaci&#243;n%20de%20objetos%20extra&#241;os).pdf" TargetMode="External"/><Relationship Id="rId328" Type="http://schemas.openxmlformats.org/officeDocument/2006/relationships/hyperlink" Target="file:///\\chno0276\Aseguranza%20de%20Calidad\Control%20de%20Documentos\Doc.%20controlados%20PDF\Formas\CNWI-ENGI%20(Ingenieria)\CNWI-ENGI-F056%20RESUMEN%20CAMBIOS%20COOPER%20NOGALES.xls" TargetMode="External"/><Relationship Id="rId535" Type="http://schemas.openxmlformats.org/officeDocument/2006/relationships/hyperlink" Target="file:///\\chno0276\Control%20de%20Documentos\Doc.%20controlados%20PDF\Formas\CNWI-ENGI%20(Ingenieria)\CNWI-ENGI-F072%20Rev.%20A%20Ajuste%20de%20par&#225;metros%20para%20moldeadora%20autojector.xlsx" TargetMode="External"/><Relationship Id="rId742" Type="http://schemas.openxmlformats.org/officeDocument/2006/relationships/hyperlink" Target="file:///\\CHNO0276\Aseguranza%20de%20Calidad\Control%20de%20Documentos\Doc.%20controlados%20PDF\Ayudas%20visuales\Micromini\Potted\CNWI-VSHP-000094%20Rev.%20A%20(5000120-D).pub" TargetMode="External"/><Relationship Id="rId1165" Type="http://schemas.openxmlformats.org/officeDocument/2006/relationships/hyperlink" Target="file:///\\chno0276\Aseguranza%20de%20Calidad\Control%20de%20Documentos\Doc.%20controlados%20PDF\Quality%20Alerts\MOLDEO\Moldeo%20Moorpark\QA-MRPK-005%20%20Moldeo%20Orificios%20sin%20perforar.pdf" TargetMode="External"/><Relationship Id="rId174" Type="http://schemas.openxmlformats.org/officeDocument/2006/relationships/hyperlink" Target="file:///\\chno0276\Aseguranza%20de%20Calidad\Control%20de%20Documentos\Doc.%20controlados%20PDF\Instructivos\CNWI-QAAS\CNWI-QAAS-0042%20Procedimiento%20para%20Prueba%20de%20Impacto.pdf" TargetMode="External"/><Relationship Id="rId381" Type="http://schemas.openxmlformats.org/officeDocument/2006/relationships/hyperlink" Target="file:///\\chno0276\Aseguranza%20de%20Calidad\Control%20de%20Documentos\Documentos%20controlados\CN-QAAS%20(Aseguranza%20de%20calidad)\FORMAS\CNWI-QAAS-F069%20Rev.%20C%20Comunicacion%20de%20cambios%20de%20documentos.xls" TargetMode="External"/><Relationship Id="rId602" Type="http://schemas.openxmlformats.org/officeDocument/2006/relationships/hyperlink" Target="file:///\\chno0276\Control%20de%20Documentos\Doc.%20controlados%20PDF\Ayudas%20visuales\Camarillo\Amsafe\VA-AMSA-020%20Rev%20Doc%20D-%20%20Drawing%20T%20%20CABLE%20ASSEMBLY%20INTERFACE%20%20509701%20Pag%204.ppt" TargetMode="External"/><Relationship Id="rId1025" Type="http://schemas.openxmlformats.org/officeDocument/2006/relationships/hyperlink" Target="file:///\\chno0276\Aseguranza%20de%20Calidad\Control%20de%20Documentos\Doc.%20controlados%20PDF\Flow%20Chart\ITRON\BONDING\FC-BOND-009%20%20002368-0002,%20002368-0003,%20002368-0007%20&amp;%20002368-0018.pdf" TargetMode="External"/><Relationship Id="rId241" Type="http://schemas.openxmlformats.org/officeDocument/2006/relationships/hyperlink" Target="file:///\\chno0276\Aseguranza%20de%20Calidad\Control%20de%20Documentos\Doc.%20controlados%20PDF\Formas\CNWI-WRHS%20(Almacen)\CNWI-WRHS-F004%20FIRMA%20ACCESO%20ALMACEN.xls" TargetMode="External"/><Relationship Id="rId479" Type="http://schemas.openxmlformats.org/officeDocument/2006/relationships/hyperlink" Target="file:///\\CHNO0276\Aseguranza%20de%20Calidad\Control%20de%20Documentos\Doc.%20controlados%20PDF\Formas\CNWI-PROD%20(%20Produccion%20)\CNWI-PROD-F008%20ETIQUETA%20bacc%60s.xls" TargetMode="External"/><Relationship Id="rId686" Type="http://schemas.openxmlformats.org/officeDocument/2006/relationships/hyperlink" Target="file:///\\CHNO0276\Aseguranza%20de%20Calidad\Control%20de%20Documentos\Doc.%20controlados%20PDF\Ayudas%20visuales\Micromini\General\CNWI-VSHP-000009%20Rev.%20A%20%20(Impresion%20de%20etiquetas%20Micro-Mini).pub" TargetMode="External"/><Relationship Id="rId893" Type="http://schemas.openxmlformats.org/officeDocument/2006/relationships/hyperlink" Target="file:///\\CHNO0276\Aseguranza%20de%20Calidad\Control%20de%20Documentos\Doc.%20controlados%20PDF\Control%20Plans\SOLAR\CP-SOL-004%20Rev.A%20FALL%20RIVER.pdf" TargetMode="External"/><Relationship Id="rId907" Type="http://schemas.openxmlformats.org/officeDocument/2006/relationships/hyperlink" Target="file:///\\chno0276\Aseguranza%20de%20Calidad\Control%20de%20Documentos\Doc.%20controlados%20PDF\Control%20Plans\ITRON\AMSAFE\CP-AMSA%20-014%20003075-0001.pdf" TargetMode="External"/><Relationship Id="rId36" Type="http://schemas.openxmlformats.org/officeDocument/2006/relationships/hyperlink" Target="file:///\\chno0276\Aseguranza%20de%20Calidad\Control%20de%20Documentos\Doc.%20controlados%20PDF\Instructivos\CNWI-PRCS\CNWI-PRCS-0003%20Instructivo%20de%20compras.pdf" TargetMode="External"/><Relationship Id="rId339" Type="http://schemas.openxmlformats.org/officeDocument/2006/relationships/hyperlink" Target="file:///\\chno0276\Aseguranza%20de%20Calidad\Control%20de%20Documentos\Doc.%20controlados%20PDF\Formas\CNWI-QAAS%20(aseguranza%20de%20calidad)\CNWI-QAAS-F016%20Reporte%20de%20Inspecci&#243;n%20en%20Proceso%20Itron.xls" TargetMode="External"/><Relationship Id="rId546" Type="http://schemas.openxmlformats.org/officeDocument/2006/relationships/hyperlink" Target="file:///\\chno0276\Aseguranza%20de%20Calidad\Control%20de%20Documentos\Documentos%20controlados\CN-QAAS%20(Aseguranza%20de%20calidad)\FORMAS\F-QAAS-09-003%20Rev.%20A%20REPORTE%20DE%20RECHAZO%20DE%20PRODUCCION.xlsx" TargetMode="External"/><Relationship Id="rId753" Type="http://schemas.openxmlformats.org/officeDocument/2006/relationships/hyperlink" Target="file:///\\CHNO0276\Aseguranza%20de%20Calidad\Control%20de%20Documentos\Doc.%20controlados%20PDF\Ayudas%20visuales\Avenal-Solar\CNWI-VSHP-000190%20Rev%20A%20Proceso%20de%20ensamble%20del%20area%20Solar.ppt" TargetMode="External"/><Relationship Id="rId1176" Type="http://schemas.openxmlformats.org/officeDocument/2006/relationships/hyperlink" Target="file:///\\chno0276\Control%20de%20Documentos\Doc.%20controlados%20PDF\Especificaciones%20genericas\Camarillo\AMSAFE\Rev%20T%20%20ESPECIFICACIONES%20DE%20CORTE%20AREA%20AMSAFE.xls" TargetMode="External"/><Relationship Id="rId101" Type="http://schemas.openxmlformats.org/officeDocument/2006/relationships/hyperlink" Target="file:///\\chno0276\Aseguranza%20de%20Calidad\Control%20de%20Documentos\Doc.%20controlados%20PDF\Instructivos\CNWI-ENGI\CNWI-ENGI-0059%20Prueba%20Electrica%20en%20Maquina%20CIRRIS.pdf" TargetMode="External"/><Relationship Id="rId185" Type="http://schemas.openxmlformats.org/officeDocument/2006/relationships/hyperlink" Target="file:///\\chno0276\Aseguranza%20de%20Calidad\Control%20de%20Documentos\Doc.%20controlados%20PDF\Formas\CNWI-QAAS%20(aseguranza%20de%20calidad)\CNWI-QAAS-F005%20Corrective%20and%20Preventive%20Action%20Request.xlsx" TargetMode="External"/><Relationship Id="rId406" Type="http://schemas.openxmlformats.org/officeDocument/2006/relationships/hyperlink" Target="file:///\\chno0276\Control%20de%20Documentos\Doc.%20controlados%20PDF\Formas\CNWI-QAAS%20(aseguranza%20de%20calidad)\CNWI-QAAS-F125%20PPAP%20de%20salida%20de%20Equipo.xls" TargetMode="External"/><Relationship Id="rId960" Type="http://schemas.openxmlformats.org/officeDocument/2006/relationships/hyperlink" Target="file:///\\chno0276\Aseguranza%20de%20Calidad\Control%20de%20Documentos\Doc.%20controlados%20PDF\Control%20Plans\ITRON\BONDING\CP-BOND-003%20%20Conector%20BACC65%20TODOS.pdf" TargetMode="External"/><Relationship Id="rId1036" Type="http://schemas.openxmlformats.org/officeDocument/2006/relationships/hyperlink" Target="file:///\\chno0276\Aseguranza%20de%20Calidad\Control%20de%20Documentos\Doc.%20controlados%20PDF\Flow%20Chart\ITRON\BONDING\FC-BOND-019%20%20%20%20002600-000X%20&amp;%20002601-000X.pdf" TargetMode="External"/><Relationship Id="rId392" Type="http://schemas.openxmlformats.org/officeDocument/2006/relationships/hyperlink" Target="file:///\\CHNO0276\Aseguranza%20de%20Calidad\Control%20de%20Documentos\Doc.%20controlados%20PDF\Formas\CNWI-MTTO%20(Mantenimiento)\CNWI-MTTO-F025%20Tarjetas%20rojas%20y%20verdes.xlsx" TargetMode="External"/><Relationship Id="rId613" Type="http://schemas.openxmlformats.org/officeDocument/2006/relationships/hyperlink" Target="file:///\\CHNO0276\Aseguranza%20de%20Calidad\Control%20de%20Documentos\Doc.%20controlados%20PDF\Ayudas%20visuales\Camarillo\Bonding\VA-BOND-006%20Rev%20B%20CONECTOR%20%20000100-0113M.ppt" TargetMode="External"/><Relationship Id="rId697" Type="http://schemas.openxmlformats.org/officeDocument/2006/relationships/hyperlink" Target="file:///\\CHNO0276\Aseguranza%20de%20Calidad\Control%20de%20Documentos\Doc.%20controlados%20PDF\Ayudas%20visuales\Micromini\A%20y%20B\CNWI-VSHP-000019%20Rev.%20A%20(5000111-BW).pub" TargetMode="External"/><Relationship Id="rId820" Type="http://schemas.openxmlformats.org/officeDocument/2006/relationships/hyperlink" Target="file:///\\chno0276\Aseguranza%20de%20Calidad\Control%20de%20Documentos\Doc.%20controlados%20PDF\Especificaciones%20genericas\Micromini\CHANGE%20OUT\CNWI-ENGI-F019%20Rev%20N%20Especificaciones%20de%20insercion%20de%20conductores%20area%20Change%20Out.xlsx" TargetMode="External"/><Relationship Id="rId918" Type="http://schemas.openxmlformats.org/officeDocument/2006/relationships/hyperlink" Target="file:///\\chno0276\Aseguranza%20de%20Calidad\Control%20de%20Documentos\Doc.%20controlados%20PDF\Control%20Plans\MICROMINI\MS\CP-MS-018%20CHCCR003P.pdf" TargetMode="External"/><Relationship Id="rId252" Type="http://schemas.openxmlformats.org/officeDocument/2006/relationships/hyperlink" Target="file:///\\chno0276\Aseguranza%20de%20Calidad\Control%20de%20Documentos\Doc.%20controlados%20PDF\Formas\CNWI-SHAE%20(Seguridad%20e%20higiene%20y%20medio%20ambiente)\CNWI-SHAE-F005%20control%20de%20entra%20y%20salida%20de%20herramienta%20.xls" TargetMode="External"/><Relationship Id="rId1103" Type="http://schemas.openxmlformats.org/officeDocument/2006/relationships/hyperlink" Target="file:///\\chno0276\Aseguranza%20de%20Calidad\Control%20de%20Documentos\Doc.%20controlados%20PDF\Quality%20Alerts\ITRON\BONDING\QA-BOND-008%20BACC65AK261P%20Pieza%20fuera%20de%20spec.pdf" TargetMode="External"/><Relationship Id="rId1187" Type="http://schemas.openxmlformats.org/officeDocument/2006/relationships/hyperlink" Target="file:///\\CHNO0276\Aseguranza%20de%20Calidad\Control%20de%20Documentos\Doc.%20controlados%20PDF\Especificaciones%20genericas\Micromini\CHANGE%20OUT\CNWI-ENGI-F019%20Rev.%20A%20Especificaciones%20dedespoje%20de%20conductores%20change%20out%20Rev.%20A.xlsx" TargetMode="External"/><Relationship Id="rId47" Type="http://schemas.openxmlformats.org/officeDocument/2006/relationships/hyperlink" Target="file:///\\chno0276\Aseguranza%20de%20Calidad\Control%20de%20Documentos\Doc.%20controlados%20PDF\Instructivos\CNWI-ENGI\CNWI-ENGI-0001%20Control%20de%20Documentos%20y%20Datos.pdf" TargetMode="External"/><Relationship Id="rId112" Type="http://schemas.openxmlformats.org/officeDocument/2006/relationships/hyperlink" Target="file:///\\chno0276\Aseguranza%20de%20Calidad\Control%20de%20Documentos\Doc.%20controlados%20PDF\Instructivos\CNWI-ENGI\CNWI-ENGI-0070%20Test%20plan%20for%20solar.pdf" TargetMode="External"/><Relationship Id="rId557" Type="http://schemas.openxmlformats.org/officeDocument/2006/relationships/hyperlink" Target="file:///\\chno0276\Control%20de%20Documentos\Doc.%20controlados%20PDF\Ayudas%20visuales\Camarillo\Amsafe\VA-AMSA-003%20Rev%20Doc%20G%20-%20Drawing%20%20BM%20CABLE%20ASSEMBLY%20INTERFACE%20509976%20Pag%205.ppt" TargetMode="External"/><Relationship Id="rId764" Type="http://schemas.openxmlformats.org/officeDocument/2006/relationships/hyperlink" Target="file:///\\chno0276\Aseguranza%20de%20Calidad\Control%20de%20Documentos\Doc.%20controlados%20PDF\Ayudas%20visuales\Micromini\General\VA-MGRAL-004%20Rev%20B%20%20despoje%20de%20conductores%20micromini%20(2).pptx" TargetMode="External"/><Relationship Id="rId971" Type="http://schemas.openxmlformats.org/officeDocument/2006/relationships/hyperlink" Target="file:///\\chno0276\Aseguranza%20de%20Calidad\Control%20de%20Documentos\Doc.%20controlados%20PDF\Control%20Plans\ITRON\BONDING\CP-BOND-025%20%20%20BACC65ALXXXS.pdf" TargetMode="External"/><Relationship Id="rId196" Type="http://schemas.openxmlformats.org/officeDocument/2006/relationships/hyperlink" Target="file:///\\chno0276\Aseguranza%20de%20Calidad\Control%20de%20Documentos\Doc.%20controlados%20PDF\Formas\CNWI-QAAS%20(aseguranza%20de%20calidad)\CNWI-QAAS-F008-E%20Liberacion%20primera%20pieza%20MICROMINI.pptx" TargetMode="External"/><Relationship Id="rId417" Type="http://schemas.openxmlformats.org/officeDocument/2006/relationships/hyperlink" Target="file:///\\CHNO0276\Aseguranza%20de%20Calidad\Control%20de%20Documentos\Doc.%20controlados%20PDF\Formas\CNWI-QAAS%20(aseguranza%20de%20calidad)\CNWI-QAAS-F060%20Retrabajos%20Itron%20y%20Mas.xlsx" TargetMode="External"/><Relationship Id="rId624" Type="http://schemas.openxmlformats.org/officeDocument/2006/relationships/hyperlink" Target="file:///\\CHNO0276\Aseguranza%20de%20Calidad\Control%20de%20Documentos\Doc.%20controlados%20PDF\Ayudas%20visuales\Camarillo\Itron\CNWI-VSHP-000115%20Rev.%20A%20(CBA-0349-105).pub" TargetMode="External"/><Relationship Id="rId831" Type="http://schemas.openxmlformats.org/officeDocument/2006/relationships/hyperlink" Target="file:///\\chno0276\Aseguranza%20de%20Calidad\Control%20de%20Documentos\Documentos%20controlados\CN-QAAS%20(Aseguranza%20de%20calidad)\Control%20Plans\MICROMINI\CELDA%20A-B\CP-A&amp;B-012%20%20Rev.%20A%20%20PDR1-18.xlsx" TargetMode="External"/><Relationship Id="rId1047" Type="http://schemas.openxmlformats.org/officeDocument/2006/relationships/hyperlink" Target="file:///\\chno0276\Control%20de%20Documentos\Doc.%20controlados%20PDF\Flow%20Chart\ITRON\AMSAFE\FC-%20AMSA%20-005%20%20004046-001%20to%20004046-0083%20004043-0001%20004044-0001%20004044-0001%20004045-0001%200040406-0071%20to%200040406-0078.pdf" TargetMode="External"/><Relationship Id="rId263" Type="http://schemas.openxmlformats.org/officeDocument/2006/relationships/hyperlink" Target="file:///\\chno0276\Aseguranza%20de%20Calidad\Control%20de%20Documentos\Doc.%20controlados%20PDF\Formas\CNWI-SHAE%20(Seguridad%20e%20higiene%20y%20medio%20ambiente)\CNWI-SHAE-F016%20Pase%20de%20salida%20Scrap.xls" TargetMode="External"/><Relationship Id="rId470" Type="http://schemas.openxmlformats.org/officeDocument/2006/relationships/hyperlink" Target="file:///\\chno0276\Aseguranza%20de%20Calidad\Control%20de%20Documentos\Doc.%20controlados%20PDF\Formas\CNWI-SHIP%20(%20Embarques%20)\CNWI-SHIP-F004%20%20Control%20de%20embarques%20-%20formato%20de%20verificaci&#243;n.pdf" TargetMode="External"/><Relationship Id="rId929" Type="http://schemas.openxmlformats.org/officeDocument/2006/relationships/hyperlink" Target="file:///\\chno0276\Aseguranza%20de%20Calidad\Control%20de%20Documentos\Doc.%20controlados%20PDF\Control%20Plans\MICROMINI\CHANGE-OUT\CP-CHGO-006%20%20CX865237AN.pdf" TargetMode="External"/><Relationship Id="rId1114" Type="http://schemas.openxmlformats.org/officeDocument/2006/relationships/hyperlink" Target="file:///\\chno0276\Aseguranza%20de%20Calidad\Control%20de%20Documentos\Doc.%20controlados%20PDF\Quality%20Alerts\MICROMINI\MS\QA-MS-003%20MEA114010%20Cables%20no%20adheridos%20-%20Falta%20de%20goma.pdf" TargetMode="External"/><Relationship Id="rId58" Type="http://schemas.openxmlformats.org/officeDocument/2006/relationships/hyperlink" Target="file:///\\chno0276\Aseguranza%20de%20Calidad\Control%20de%20Documentos\Doc.%20controlados%20PDF\Instructivos\CNWI-ENGI\CNWI-ENGI-0014%20Prueba%20El&#233;ctrica%20de%202000%20Volts%20en%20M&#225;quina%20Sotcher%20.pdf" TargetMode="External"/><Relationship Id="rId123" Type="http://schemas.openxmlformats.org/officeDocument/2006/relationships/hyperlink" Target="file:///\\chno0276\Aseguranza%20de%20Calidad\Control%20de%20Documentos\Doc.%20controlados%20PDF\Instructivos\CNWI-ENGI\CNWI-ENGI-0087%20Instruccion%20de%20Impresi&#243;n%20de%20etiquetas%20de%20embarque%20de%20Solar.pdf" TargetMode="External"/><Relationship Id="rId330" Type="http://schemas.openxmlformats.org/officeDocument/2006/relationships/hyperlink" Target="file:///\\chno0276\Aseguranza%20de%20Calidad\Control%20de%20Documentos\Doc.%20controlados%20PDF\Formas\CNWI-ENGI%20(Ingenieria)\CNWI-ENGI-F060%20NPI%20Scorecard.xls" TargetMode="External"/><Relationship Id="rId568" Type="http://schemas.openxmlformats.org/officeDocument/2006/relationships/hyperlink" Target="file:///\\chno0276\Aseguranza%20de%20Calidad\Control%20de%20Documentos\Doc.%20controlados%20PDF\Ayudas%20visuales\Camarillo\Amsafe\VA-AMSA-008%20Rev.%20A%20%20508976%20APLICA%20003086-0001%20003088-0001%20003095-0001%20004000-0001.ppt" TargetMode="External"/><Relationship Id="rId775" Type="http://schemas.openxmlformats.org/officeDocument/2006/relationships/hyperlink" Target="file:///\\chno0276\Control%20de%20Documentos\Doc.%20controlados%20PDF\Ayudas%20visuales\Camarillo\Bonding\VA-BOND-008%20Rev%20G%20ASSEMBLY%20PLUG%20BACC65AJXXXS.ppt" TargetMode="External"/><Relationship Id="rId982" Type="http://schemas.openxmlformats.org/officeDocument/2006/relationships/hyperlink" Target="file:///\\chno0276\Aseguranza%20de%20Calidad\Control%20de%20Documentos\Doc.%20controlados%20PDF\Flow%20Chart\ITRON\AMSAFE\FC-AMSA%20-003%200044071-0001.pdf" TargetMode="External"/><Relationship Id="rId1198" Type="http://schemas.openxmlformats.org/officeDocument/2006/relationships/hyperlink" Target="file:///\\CHNO0276\Aseguranza%20de%20Calidad\Control%20de%20Documentos\Doc.%20controlados%20PDF\Especificaciones%20genericas\Micromini\POTTED\CNWI-ENGI-F019%20%20Rev%20F%20Especificaciones%20dedespoje%20de%20conductores%20potted.xlsx" TargetMode="External"/><Relationship Id="rId428" Type="http://schemas.openxmlformats.org/officeDocument/2006/relationships/hyperlink" Target="file:///\\CHNO0276\Aseguranza%20de%20Calidad\Control%20de%20Documentos\Doc.%20controlados%20PDF\Formas\CNWI-QAAS%20(aseguranza%20de%20calidad)\CNWI-QAAS-F075%20formato%20Registro%20de%20Medidores.xls" TargetMode="External"/><Relationship Id="rId635" Type="http://schemas.openxmlformats.org/officeDocument/2006/relationships/hyperlink" Target="file:///\\CHNO0276\Aseguranza%20de%20Calidad\Control%20de%20Documentos\Doc.%20controlados%20PDF\Ayudas%20visuales\Camarillo\Bonding\CNWI-VSHP-000038%20Rev.%20A%20(000300-1562).pub" TargetMode="External"/><Relationship Id="rId842" Type="http://schemas.openxmlformats.org/officeDocument/2006/relationships/hyperlink" Target="file:///\\chno0276\Aseguranza%20de%20Calidad\Control%20de%20Documentos\Doc.%20controlados%20PDF\Control%20Plans\MICROMINI\MS\CP-MS-005%20%20P15-32302C.pdf" TargetMode="External"/><Relationship Id="rId1058" Type="http://schemas.openxmlformats.org/officeDocument/2006/relationships/hyperlink" Target="file:///\\chno0276\Control%20de%20Documentos\Doc.%20controlados%20PDF\Flow%20Chart\ITRON\AMSAFE\FC-AMSA-017%20003077-0001.pdf" TargetMode="External"/><Relationship Id="rId274" Type="http://schemas.openxmlformats.org/officeDocument/2006/relationships/hyperlink" Target="file:///\\chno0276\Control%20de%20Documentos\Doc.%20controlados%20PDF\Formas\CNWI-PRCS%20(compras)\F-PRCS-01-001%20%20Rev%20%20D%20FORMATO%20DE%20REQUISICION%20DE%20COMPRA.xlsx" TargetMode="External"/><Relationship Id="rId481" Type="http://schemas.openxmlformats.org/officeDocument/2006/relationships/hyperlink" Target="file:///\\CHNO0276\Aseguranza%20de%20Calidad\Control%20de%20Documentos\Doc.%20controlados%20PDF\Formas\CNWI-PROD%20(%20Produccion%20)\CNWI-PROD-F010%20ETIQUETA%20CONTACTO.xls" TargetMode="External"/><Relationship Id="rId702" Type="http://schemas.openxmlformats.org/officeDocument/2006/relationships/hyperlink" Target="file:///\\CHNO0276\Aseguranza%20de%20Calidad\Control%20de%20Documentos\Doc.%20controlados%20PDF\Ayudas%20visuales\Micromini\A%20y%20B\CNWI-VSHP-000028%20Rev.%20A%20(5000118-DW).pub" TargetMode="External"/><Relationship Id="rId1125" Type="http://schemas.openxmlformats.org/officeDocument/2006/relationships/hyperlink" Target="file:///\\CHNO0276\Aseguranza%20de%20Calidad\Control%20de%20Documentos\Doc.%20controlados%20PDF\Quality%20Alerts\ITRON\BONDING\QA-BOND-014%20AMC02PA03W%20%20Estampado%20Ilegible.pdf" TargetMode="External"/><Relationship Id="rId69" Type="http://schemas.openxmlformats.org/officeDocument/2006/relationships/hyperlink" Target="file:///\\chno0276\Aseguranza%20de%20Calidad\Control%20de%20Documentos\Doc.%20controlados%20PDF\Instructivos\CNWI-ENGI\CNWI-ENGI-0026%20Estampado%20en%20M&#225;quina%20Pad%20Printer.pdf" TargetMode="External"/><Relationship Id="rId134" Type="http://schemas.openxmlformats.org/officeDocument/2006/relationships/hyperlink" Target="file:///\\chno0276\Aseguranza%20de%20Calidad\Control%20de%20Documentos\Doc.%20controlados%20PDF\Instructivos\CNWI-QAAS\CNWI-QAAS-0009%20%20Inspeccion%20de%20Entrada.pdf" TargetMode="External"/><Relationship Id="rId579" Type="http://schemas.openxmlformats.org/officeDocument/2006/relationships/hyperlink" Target="file:///\\chno0276\Control%20de%20Documentos\Doc.%20controlados%20PDF\Ayudas%20visuales\Camarillo\Itron\MULTICELDA%20B\VA-IMB-003%20Rev%20B%20%20MSC%20ENVIRONMENTAL%20CAP%20UNIV%20%20MSC-0019-008%20PARTE%20%20010-0121-001%20.ppt" TargetMode="External"/><Relationship Id="rId786" Type="http://schemas.openxmlformats.org/officeDocument/2006/relationships/hyperlink" Target="file:///\\chno0276\Aseguranza%20de%20Calidad\Control%20de%20Documentos\Doc.%20controlados%20PDF\Ayudas%20visuales\Micromini\Potted\VA-POTT-002%20Encapsulado%20con%20epoxy%20Rev%20B.pptx" TargetMode="External"/><Relationship Id="rId993" Type="http://schemas.openxmlformats.org/officeDocument/2006/relationships/hyperlink" Target="file:///\\chno0276\Aseguranza%20de%20Calidad\Control%20de%20Documentos\Doc.%20controlados%20PDF\Flow%20Chart\MICROMINI\MS\FC-MS-008%20P1529042B130,%20P1532302C21,%20P1532302C27.pdf" TargetMode="External"/><Relationship Id="rId341" Type="http://schemas.openxmlformats.org/officeDocument/2006/relationships/hyperlink" Target="file:///\\chno0276\Aseguranza%20de%20Calidad\Control%20de%20Documentos\Doc.%20controlados%20PDF\Formas\CNWI-QAAS%20(aseguranza%20de%20calidad)\CNWI-QAAS-F018%20Reporte%20de%20Lectura%20de%20Prensas.xls" TargetMode="External"/><Relationship Id="rId439" Type="http://schemas.openxmlformats.org/officeDocument/2006/relationships/hyperlink" Target="file:///\\CHNO0276\Aseguranza%20de%20Calidad\Control%20de%20Documentos\Doc.%20controlados%20PDF\Formas\CNWI-QAAS%20(aseguranza%20de%20calidad)\CNWI-QAAS-F089%20SQD.pptx" TargetMode="External"/><Relationship Id="rId646" Type="http://schemas.openxmlformats.org/officeDocument/2006/relationships/hyperlink" Target="file:///\\CHNO0276\Aseguranza%20de%20Calidad\Control%20de%20Documentos\Doc.%20controlados%20PDF\Ayudas%20visuales\Camarillo\Bonding\CNWI-VSHP-000153%20REV.%20A%20(002360-0006%20y%20002360-0004).pub" TargetMode="External"/><Relationship Id="rId1069" Type="http://schemas.openxmlformats.org/officeDocument/2006/relationships/hyperlink" Target="file:///\\chno0276\Aseguranza%20de%20Calidad\Control%20de%20Documentos\Doc.%20controlados%20PDF\FMEA\MICROMINI\MS\FMEA-MS-002%20%205680551.pdf" TargetMode="External"/><Relationship Id="rId201" Type="http://schemas.openxmlformats.org/officeDocument/2006/relationships/hyperlink" Target="file:///\\chno0276\Aseguranza%20de%20Calidad\Control%20de%20Documentos\Documentos%20controlados\CN-SHAE%20(Seguridad%20e%20higiene%20y%20medio%20ambiente)\FORMAS\CNWI-SHAE-F030%20Rev.%20A%20Control%20de%20Materiales.xls" TargetMode="External"/><Relationship Id="rId285" Type="http://schemas.openxmlformats.org/officeDocument/2006/relationships/hyperlink" Target="file:///\\chno0276\Aseguranza%20de%20Calidad\Control%20de%20Documentos\Doc.%20controlados%20PDF\Formas\CNWI-ENGI%20(Ingenieria)\CNWI-ENGI-F005%20Registro%20de%20ayudas%20visuales%20entregadas%20a%20produccion.xlsx" TargetMode="External"/><Relationship Id="rId506" Type="http://schemas.openxmlformats.org/officeDocument/2006/relationships/hyperlink" Target="file:///\\CHNO0276\Aseguranza%20de%20Calidad\Control%20de%20Documentos\Doc.%20controlados%20PDF\Formas\CNWI-PROD%20(%20Produccion%20)\CNWI-PROD-F035%20Pareto%20de%20informacion%20diaria.xls" TargetMode="External"/><Relationship Id="rId853" Type="http://schemas.openxmlformats.org/officeDocument/2006/relationships/hyperlink" Target="file:///\\chno0276\Aseguranza%20de%20Calidad\Control%20de%20Documentos\Doc.%20controlados%20PDF\Control%20Plans\MICROMINI\CELDA%20A&amp;B\CP-A&amp;B-020%20%20DM4B2ME010M.pdf" TargetMode="External"/><Relationship Id="rId1136" Type="http://schemas.openxmlformats.org/officeDocument/2006/relationships/hyperlink" Target="file:///\\CHNO0276\Aseguranza%20de%20Calidad\Control%20de%20Documentos\Doc.%20controlados%20PDF\Quality%20Alerts\ITRON\RECEPTACLE\QA-IRCPT-001%20Rev.%20A%20Cables%20disparejos.pdf" TargetMode="External"/><Relationship Id="rId492" Type="http://schemas.openxmlformats.org/officeDocument/2006/relationships/hyperlink" Target="file:///\\CHNO0276\Aseguranza%20de%20Calidad\Control%20de%20Documentos\Doc.%20controlados%20PDF\Formas\CNWI-PROD%20(%20Produccion%20)\CNWI-PROD-F021%20Etiqueta%20relays%207.xls" TargetMode="External"/><Relationship Id="rId713" Type="http://schemas.openxmlformats.org/officeDocument/2006/relationships/hyperlink" Target="file:///\\CHNO0276\Aseguranza%20de%20Calidad\Control%20de%20Documentos\Doc.%20controlados%20PDF\Ayudas%20visuales\Micromini\A%20y%20B\CNWI-VSHP-000064%20Rev.%20A%20(X8987-T).pub" TargetMode="External"/><Relationship Id="rId797" Type="http://schemas.openxmlformats.org/officeDocument/2006/relationships/hyperlink" Target="file:///\\CHNO0276\Aseguranza%20de%20Calidad\Control%20de%20Documentos\Doc.%20controlados%20PDF\Especificaciones%20genericas\Micromini\A%20Y%20B\CNWI-ENGI-F019%20Rev%20%20F%20Especificaciones%20dedespoje%20de%20conductores%20celda%20A%20y%20B%20Rev%20%20B.xlsx" TargetMode="External"/><Relationship Id="rId920" Type="http://schemas.openxmlformats.org/officeDocument/2006/relationships/hyperlink" Target="file:///\\chno0276\Aseguranza%20de%20Calidad\Control%20de%20Documentos\Doc.%20controlados%20PDF\Control%20Plans\ITRON\BONDING\CP-BOND-003%20%20Conector%20BACC65%20TODOS.pdf" TargetMode="External"/><Relationship Id="rId145" Type="http://schemas.openxmlformats.org/officeDocument/2006/relationships/hyperlink" Target="file:///\\chno0276\Aseguranza%20de%20Calidad\Control%20de%20Documentos\Doc.%20controlados%20PDF\Instructivos\CNWI-QAAS\CNWI-QAAS-0016%20Captura%20de%20boletas%20Sistema%20SAP.pdf" TargetMode="External"/><Relationship Id="rId352" Type="http://schemas.openxmlformats.org/officeDocument/2006/relationships/hyperlink" Target="file:///\\chno0276\Aseguranza%20de%20Calidad\Control%20de%20Documentos\Doc.%20controlados%20PDF\Formas\CNWI-QAAS%20(aseguranza%20de%20calidad)\CNWI-QAAS-F031%20C%20of%20C%20Nogales.doc" TargetMode="External"/><Relationship Id="rId1203" Type="http://schemas.openxmlformats.org/officeDocument/2006/relationships/hyperlink" Target="file:///\\chno0276\Aseguranza%20de%20Calidad\Control%20de%20Documentos\Doc.%20controlados%20PDF\Especificaciones%20genericas\Micromini\PLEX\CNWI-ENGI-F019%20Rev%20%20B%20%20Especificaciones%20de%20insercion%20de%20conductores%20area%20Plex%20(4).xls" TargetMode="External"/><Relationship Id="rId212" Type="http://schemas.openxmlformats.org/officeDocument/2006/relationships/hyperlink" Target="file:///\\chno0276\Aseguranza%20de%20Calidad\Control%20de%20Documentos\Doc.%20controlados%20PDF\Formas\CNWI-HMRS%20(Recursos%20Humanos)\CNWI-HMRS-F010%20Control%20Credencial.doc" TargetMode="External"/><Relationship Id="rId657" Type="http://schemas.openxmlformats.org/officeDocument/2006/relationships/hyperlink" Target="file:///\\CHNO0276\Aseguranza%20de%20Calidad\Control%20de%20Documentos\Doc.%20controlados%20PDF\Ayudas%20visuales\Camarillo\Ensamble%20general\CNWI-VSHP-000031%20Rev.A%20000292-0000.pub" TargetMode="External"/><Relationship Id="rId864" Type="http://schemas.openxmlformats.org/officeDocument/2006/relationships/hyperlink" Target="file:///\\chno0276\Aseguranza%20de%20Calidad\Control%20de%20Documentos\Doc.%20controlados%20PDF\Control%20Plans\MICROMINI\CELDA%20A&amp;B\CP-A&amp;B-026%20%20A98N43PBN4.pdf" TargetMode="External"/><Relationship Id="rId296" Type="http://schemas.openxmlformats.org/officeDocument/2006/relationships/hyperlink" Target="file:///\\chno0276\Aseguranza%20de%20Calidad\Control%20de%20Documentos\Doc.%20controlados%20PDF\Formas\CNWI-ENGI%20(Ingenieria)\CNWI-ENGI-F018%20Copia%20controlada%20a%20incoming%20inspection.xls" TargetMode="External"/><Relationship Id="rId517" Type="http://schemas.openxmlformats.org/officeDocument/2006/relationships/hyperlink" Target="file:///\\CHNO0276\Aseguranza%20de%20Calidad\Control%20de%20Documentos\Doc.%20controlados%20PDF\Formas\CNWI-QAAS%20(aseguranza%20de%20calidad)\CNWI-QAAS-F143%20Rev.%20A%20Standard%20Work%20Form.xlsx" TargetMode="External"/><Relationship Id="rId724" Type="http://schemas.openxmlformats.org/officeDocument/2006/relationships/hyperlink" Target="file:///\\CHNO0276\Aseguranza%20de%20Calidad\Control%20de%20Documentos\Doc.%20controlados%20PDF\Ayudas%20visuales\Micromini\Change%20Out\CNWI-VSHP-000055%20Rev.%20A%20(X8653-GJ).pub" TargetMode="External"/><Relationship Id="rId931" Type="http://schemas.openxmlformats.org/officeDocument/2006/relationships/hyperlink" Target="file:///\\chno0276\Aseguranza%20de%20Calidad\Control%20de%20Documentos\Doc.%20controlados%20PDF\Control%20Plans\MICROMINI\CHANGE-OUT\CP-CHGO-008%20%20CX8653316P.pdf" TargetMode="External"/><Relationship Id="rId1147" Type="http://schemas.openxmlformats.org/officeDocument/2006/relationships/hyperlink" Target="file:///\\CHNO0276\Aseguranza%20de%20Calidad\Control%20de%20Documentos\Doc.%20controlados%20PDF\Quality%20Alerts\SOLAR\QA-SOL-001%20Nedco.pdf" TargetMode="External"/><Relationship Id="rId60" Type="http://schemas.openxmlformats.org/officeDocument/2006/relationships/hyperlink" Target="file:///\\chno0276\Aseguranza%20de%20Calidad\Control%20de%20Documentos\Doc.%20controlados%20PDF\Instructivos\CNWI-ENGI\CNWI-ENGI-0017%20Inserci&#243;n%20Autom&#225;tica%20de%20Contactos%20en%20Remachadoras.pdf" TargetMode="External"/><Relationship Id="rId156" Type="http://schemas.openxmlformats.org/officeDocument/2006/relationships/hyperlink" Target="file:///\\chno0276\Aseguranza%20de%20Calidad\Control%20de%20Documentos\Doc.%20controlados%20PDF\Instructivos\CNWI-QAAS\CNWI-QAAS-0030%20liberacion%20de%20equipo.pdf" TargetMode="External"/><Relationship Id="rId363" Type="http://schemas.openxmlformats.org/officeDocument/2006/relationships/hyperlink" Target="file:///\\chno0276\Control%20de%20Documentos\Doc.%20controlados%20PDF\Formas\CNWI-QAAS%20(aseguranza%20de%20calidad)\CNWI-QAAS-F045%20Rev.%20E%20Control%20Plan.xlsx" TargetMode="External"/><Relationship Id="rId570" Type="http://schemas.openxmlformats.org/officeDocument/2006/relationships/hyperlink" Target="file:///\\CHNO0276\Aseguranza%20de%20Calidad\Control%20de%20Documentos\Doc.%20controlados%20PDF\Ayudas%20visuales\Camarillo\Itron\MULTICELDA%20B\VA-IMB-002%20Rev%20B%20CBA-1300-002%20%20CBA-1300-003%20CBA-1300-004%20CBA-1300-001.ppt" TargetMode="External"/><Relationship Id="rId1007" Type="http://schemas.openxmlformats.org/officeDocument/2006/relationships/hyperlink" Target="file:///\\chno0276\Aseguranza%20de%20Calidad\Control%20de%20Documentos\Documentos%20controlados\CN-QAAS%20(Aseguranza%20de%20calidad)\Flow%20Chart\MICROMINI\CHANGE%20-%20OUT\FC-CHGO-007%20Rev.%20A%20%20X865251P.xlsx" TargetMode="External"/><Relationship Id="rId223" Type="http://schemas.openxmlformats.org/officeDocument/2006/relationships/hyperlink" Target="file:///\\chno0276\Aseguranza%20de%20Calidad\Control%20de%20Documentos\Doc.%20controlados%20PDF\Formas\CNWI-MTTO%20(Mantenimiento)\CNWI-MTTO-F006%20LISTADO%20DE%20SUPLEM%20Y%20PARTES.xls" TargetMode="External"/><Relationship Id="rId430" Type="http://schemas.openxmlformats.org/officeDocument/2006/relationships/hyperlink" Target="file:///\\CHNO0276\Aseguranza%20de%20Calidad\Control%20de%20Documentos\Doc.%20controlados%20PDF\Formas\CNWI-QAAS%20(aseguranza%20de%20calidad)\CNWI-QAAS-F077%20Estado%20de%20Acciones%20Correctivas.xls" TargetMode="External"/><Relationship Id="rId668" Type="http://schemas.openxmlformats.org/officeDocument/2006/relationships/hyperlink" Target="file:///\\CHNO0276\Aseguranza%20de%20Calidad\Control%20de%20Documentos\Doc.%20controlados%20PDF\Ayudas%20visuales\Camarillo\Ensamble%20general\CNWI-VSHP-000128%20REV.A%2028-7603-0000.pub" TargetMode="External"/><Relationship Id="rId875" Type="http://schemas.openxmlformats.org/officeDocument/2006/relationships/hyperlink" Target="file:///\\CHNO0276\Aseguranza%20de%20Calidad\Control%20de%20Documentos\Documentos%20controlados\CN-QAAS%20(Aseguranza%20de%20calidad)\Control%20Plans\MICROMINI\MS\CP-MS-012%20Rev.%20A%20SP15-32302C.xlsx" TargetMode="External"/><Relationship Id="rId1060" Type="http://schemas.openxmlformats.org/officeDocument/2006/relationships/hyperlink" Target="file:///\\chno0276\Control%20de%20Documentos\Doc.%20controlados%20PDF\Flow%20Chart\ITRON\AMSAFE\FC-AMSA%20-019%20%20004049-0001.pdf" TargetMode="External"/><Relationship Id="rId18" Type="http://schemas.openxmlformats.org/officeDocument/2006/relationships/hyperlink" Target="file:///\\chno0276\Aseguranza%20de%20Calidad\Control%20de%20Documentos\Doc.%20controlados%20PDF\Instructivos\CNWI-WRHS\CNWI-WHSE-0003%20Manejo%20y%20Preservacion%20de%20Materiales.pdf" TargetMode="External"/><Relationship Id="rId528" Type="http://schemas.openxmlformats.org/officeDocument/2006/relationships/hyperlink" Target="file:///\\chno0276\Control%20de%20Documentos\Doc.%20controlados%20PDF\Formas\CNWI-ENGI%20(Ingenieria)\CNWI-ENGI-F070%20Rev.%20A%20Chek%20list%20de%20Nuevos%20Productos%20.xlsx" TargetMode="External"/><Relationship Id="rId735" Type="http://schemas.openxmlformats.org/officeDocument/2006/relationships/hyperlink" Target="file:///\\CHNO0276\Aseguranza%20de%20Calidad\Control%20de%20Documentos\Doc.%20controlados%20PDF\Ayudas%20visuales\Micromini\Potted\CNWI-VSHP-000069%20Rev.%20A%20(5000129-Q).pub" TargetMode="External"/><Relationship Id="rId942" Type="http://schemas.openxmlformats.org/officeDocument/2006/relationships/hyperlink" Target="file:///\\chno0276\Aseguranza%20de%20Calidad\Control%20de%20Documentos\Doc.%20controlados%20PDF\Control%20Plans\MICROMINI\CHANGE-OUT\CP-CHGO-019%20%20%20%20X8653568P.pdf" TargetMode="External"/><Relationship Id="rId1158" Type="http://schemas.openxmlformats.org/officeDocument/2006/relationships/hyperlink" Target="file:///\\chno0276\Aseguranza%20de%20Calidad\Control%20de%20Documentos\Doc.%20controlados%20PDF\Quality%20Alerts\ITRON\MULTICELL%20A&amp;B\QA-IMA-006%20Rev.%20A%20CON%20Contactados%20dorados.pdf" TargetMode="External"/><Relationship Id="rId167" Type="http://schemas.openxmlformats.org/officeDocument/2006/relationships/hyperlink" Target="file:///\\CHNO0276\Aseguranza%20de%20Calidad\Control%20de%20Documentos\Doc.%20controlados%20PDF\Instructivos\CNWI-QAAS\CNWI-QAAS-0013%20Proceso%20de%20auditoria%20de%20productos%20UL.pdf" TargetMode="External"/><Relationship Id="rId374" Type="http://schemas.openxmlformats.org/officeDocument/2006/relationships/hyperlink" Target="file:///\\chno0276\Aseguranza%20de%20Calidad\Control%20de%20Documentos\Doc.%20controlados%20PDF\Formas\CNWI-QAAS%20(aseguranza%20de%20calidad)\CNWI-QAAS-F058%20Reporte%20DR2011.xlsx" TargetMode="External"/><Relationship Id="rId581" Type="http://schemas.openxmlformats.org/officeDocument/2006/relationships/hyperlink" Target="file:///\\chno0276\Control%20de%20Documentos\Doc.%20controlados%20PDF\Ayudas%20visuales\Camarillo\Bonding\VA-BOND-004%20%20Rev%20E%20%20empaque%20bacc.ppt" TargetMode="External"/><Relationship Id="rId1018" Type="http://schemas.openxmlformats.org/officeDocument/2006/relationships/hyperlink" Target="file:///\\chno0276\Aseguranza%20de%20Calidad\Control%20de%20Documentos\Doc.%20controlados%20PDF\Flow%20Chart\MICROMINI\CHANGE-OUT\FC-CHGO-017%20%20%20X86531621P.pdf" TargetMode="External"/><Relationship Id="rId71" Type="http://schemas.openxmlformats.org/officeDocument/2006/relationships/hyperlink" Target="file:///\\chno0276\Aseguranza%20de%20Calidad\Control%20de%20Documentos\Doc.%20controlados%20PDF\Instructivos\CNWI-ENGI\CNWI-ENGI-0028%20Grabado%20de%20Placas%20%20M&#225;quina%20HERMES%20VANGUARD%20XM.pdf" TargetMode="External"/><Relationship Id="rId234" Type="http://schemas.openxmlformats.org/officeDocument/2006/relationships/hyperlink" Target="file:///\\chno0276\Aseguranza%20de%20Calidad\Control%20de%20Documentos\Doc.%20controlados%20PDF\Formas\CNWI-MTTO%20(Mantenimiento)\CNWI-MTTO-F019%20REGISTRO%20DE%20TEMPERATURA%20DE%20ALMACENAMIENTO%20DE%20QUIMICOS.xls" TargetMode="External"/><Relationship Id="rId679" Type="http://schemas.openxmlformats.org/officeDocument/2006/relationships/hyperlink" Target="file:///\\CHNO0276\Aseguranza%20de%20Calidad\Control%20de%20Documentos\Doc.%20controlados%20PDF\Ayudas%20visuales\Camarillo\Moldeo\CNWI-VSHP-000099%20Rev.%20A%20(027-0248-000).pub" TargetMode="External"/><Relationship Id="rId802" Type="http://schemas.openxmlformats.org/officeDocument/2006/relationships/hyperlink" Target="file:///\\CHNO0276\Aseguranza%20de%20Calidad\Control%20de%20Documentos\Doc.%20controlados%20PDF\Especificaciones%20genericas\Micromini\CHANGE%20OUT\CNWI-ENGI-F019%20Rev.%20A%20Especificaciones%20dedespoje%20de%20conductores%20change%20out%20Rev.%20A.xlsx" TargetMode="External"/><Relationship Id="rId886" Type="http://schemas.openxmlformats.org/officeDocument/2006/relationships/hyperlink" Target="file:///\\CHNO0276\Aseguranza%20de%20Calidad\Control%20de%20Documentos\Doc.%20controlados%20PDF\Control%20Plans\MICROMINI\POTTED\CP-POTT-006%20Rev.A%20%20CH5041493B.pdf" TargetMode="External"/><Relationship Id="rId2" Type="http://schemas.openxmlformats.org/officeDocument/2006/relationships/hyperlink" Target="file:///\\CHNO0276\Aseguranza%20de%20Calidad\Control%20de%20Documentos\Doc.%20controlados%20PDF\Estandares\Estandar%20AS9100\QM-03%20Estandard%20AS9100%20Rev,%20C%20pdf.pdf" TargetMode="External"/><Relationship Id="rId29" Type="http://schemas.openxmlformats.org/officeDocument/2006/relationships/hyperlink" Target="file:///\\chno0276\Aseguranza%20de%20Calidad\Control%20de%20Documentos\Doc.%20controlados%20PDF\Instructivos\CNWI-SHAE\CNWI-SHAE-0004%20Infraestructura%20y%20Ambiente%20de%20Trabajo.pdf" TargetMode="External"/><Relationship Id="rId441" Type="http://schemas.openxmlformats.org/officeDocument/2006/relationships/hyperlink" Target="file:///\\CHNO0276\Aseguranza%20de%20Calidad\Control%20de%20Documentos\Doc.%20controlados%20PDF\Formas\CNWI-QAAS%20(aseguranza%20de%20calidad)\CNWI-QAAS-F092%20Grafico%20de%20Scrap.pptx" TargetMode="External"/><Relationship Id="rId539" Type="http://schemas.openxmlformats.org/officeDocument/2006/relationships/hyperlink" Target="file:///\\chno0276\Aseguranza%20de%20Calidad\Control%20de%20Documentos\Doc.%20controlados%20PDF\Formas\CN-LEAN\Formatos\F-LEAN-01-001%20%20Rev%20A%20Lista%20Maestra%20de%20IMC.xlsx" TargetMode="External"/><Relationship Id="rId746" Type="http://schemas.openxmlformats.org/officeDocument/2006/relationships/hyperlink" Target="file:///\\CHNO0276\Aseguranza%20de%20Calidad\Control%20de%20Documentos\Doc.%20controlados%20PDF\Ayudas%20visuales\Micromini\Potted\CNWI-VSHP-000135%20Rev.%20A%20(5000113).pub" TargetMode="External"/><Relationship Id="rId1071" Type="http://schemas.openxmlformats.org/officeDocument/2006/relationships/hyperlink" Target="file:///\\chno0276\Aseguranza%20de%20Calidad\Control%20de%20Documentos\Doc.%20controlados%20PDF\FMEA\MICROMINI\MS\FMEA-MS-004%20%20%2011547793.pdf" TargetMode="External"/><Relationship Id="rId1169" Type="http://schemas.openxmlformats.org/officeDocument/2006/relationships/hyperlink" Target="file:///\\chno0276\Aseguranza%20de%20Calidad\Control%20de%20Documentos\Doc.%20controlados%20PDF\Quality%20Alerts\ITRON\AMSAFE\QA-AMSA-004%20%20Rev.%20de%20dibujo%20equivocada.pdf" TargetMode="External"/><Relationship Id="rId178" Type="http://schemas.openxmlformats.org/officeDocument/2006/relationships/hyperlink" Target="file:///\\chno0276\Control%20de%20Documentos\Doc.%20controlados%20PDF\Instructivos\CNWI-QAAS\CNWI-QAAS-0046%20Rev.%20B%20Reporte%20de%20PPM's%20Externos%20y%20RMA's.pdf" TargetMode="External"/><Relationship Id="rId301" Type="http://schemas.openxmlformats.org/officeDocument/2006/relationships/hyperlink" Target="file:///\\chno0276\Aseguranza%20de%20Calidad\Control%20de%20Documentos\Doc.%20controlados%20PDF\Formas\CNWI-ENGI%20(Ingenieria)\CNWI-ENGI-F028%20Control%2015%20Hoja%201.xls" TargetMode="External"/><Relationship Id="rId953" Type="http://schemas.openxmlformats.org/officeDocument/2006/relationships/hyperlink" Target="file:///\\chno0276\Aseguranza%20de%20Calidad\Control%20de%20Documentos\Doc.%20controlados%20PDF\Control%20Plans\ITRON\BONDING\CP-BOND-009%20%2002368-0211A.pdf" TargetMode="External"/><Relationship Id="rId1029" Type="http://schemas.openxmlformats.org/officeDocument/2006/relationships/hyperlink" Target="file:///\\chno0276\Aseguranza%20de%20Calidad\Control%20de%20Documentos\Doc.%20controlados%20PDF\Flow%20Chart\ITRON\BONDING\FC-BOND-013%20%20%20%20002368-0802.pdf" TargetMode="External"/><Relationship Id="rId82" Type="http://schemas.openxmlformats.org/officeDocument/2006/relationships/hyperlink" Target="file:///\\chno0276\Aseguranza%20de%20Calidad\Control%20de%20Documentos\Doc.%20controlados%20PDF\Instructivos\CNWI-ENGI\CNWI-ENGI-0039%20Lavado%20de%20Cartuchos%20de%20Epoxy%20en%20acetona.pdf" TargetMode="External"/><Relationship Id="rId385" Type="http://schemas.openxmlformats.org/officeDocument/2006/relationships/hyperlink" Target="file:///\\CHNO0276\Aseguranza%20de%20Calidad\Control%20de%20Documentos\Doc.%20controlados%20PDF\Formas\CNWI-PROD%20(%20Produccion%20)\CNWI-PROD-F038%20HORA%20X%20HORA%20Off%20.xlsx" TargetMode="External"/><Relationship Id="rId592" Type="http://schemas.openxmlformats.org/officeDocument/2006/relationships/hyperlink" Target="file:///\\chno0276\Aseguranza%20de%20Calidad\Control%20de%20Documentos\Doc.%20controlados%20PDF\Ayudas%20visuales\Camarillo\Amsafe\VA-AMSA-011%20%20REV%20T%20%20004046-0006%20(Rev%20T).ppt" TargetMode="External"/><Relationship Id="rId606" Type="http://schemas.openxmlformats.org/officeDocument/2006/relationships/hyperlink" Target="file:///\\chno0276\Control%20de%20Documentos\Doc.%20controlados%20PDF\Ayudas%20visuales\Camarillo\Amsafe\VA-AMSA-022%20Rev%20Doc%20B%20-%20%20Drawing%20BM%20CABLE%20ASSEMBLY%20INTERFACE%20%20509976%20Pag%2013.ppt" TargetMode="External"/><Relationship Id="rId813" Type="http://schemas.openxmlformats.org/officeDocument/2006/relationships/hyperlink" Target="file:///\\CHNO0276\Aseguranza%20de%20Calidad\Control%20de%20Documentos\Doc.%20controlados%20PDF\Especificaciones%20genericas\Micromini\POTTED\CNWI-ENGI-F019%20%20Rev%20F%20Especificaciones%20dedespoje%20de%20conductores%20potted.xlsx" TargetMode="External"/><Relationship Id="rId245" Type="http://schemas.openxmlformats.org/officeDocument/2006/relationships/hyperlink" Target="file:///\\chno0276\Aseguranza%20de%20Calidad\Control%20de%20Documentos\Doc.%20controlados%20PDF\Formas\CNWI-WRHS%20(Almacen)\CNWI-WRHS-F008%20Control%20de%20contactos%20en%20almacen.xls" TargetMode="External"/><Relationship Id="rId452" Type="http://schemas.openxmlformats.org/officeDocument/2006/relationships/hyperlink" Target="file:///\\CHNO0276\Aseguranza%20de%20Calidad\Control%20de%20Documentos\Doc.%20controlados%20PDF\Formas\CNWI-QAAS%20(aseguranza%20de%20calidad)\CNWI-QAAS-F108%20Formato%20de%20PPM.xlsx" TargetMode="External"/><Relationship Id="rId897" Type="http://schemas.openxmlformats.org/officeDocument/2006/relationships/hyperlink" Target="file:///\\chno0276\Aseguranza%20de%20Calidad\Control%20de%20Documentos\Doc.%20controlados%20PDF\Control%20Plans\ITRON\AMSAFE\CP-AMSA-006%20%20000-4005-0001,%20004005-0002,%20004005-0003%20&amp;%20004005-0005004005-TAB.pdf" TargetMode="External"/><Relationship Id="rId1082" Type="http://schemas.openxmlformats.org/officeDocument/2006/relationships/hyperlink" Target="file:///\\chno0276\Aseguranza%20de%20Calidad\Control%20de%20Documentos\Doc.%20controlados%20PDF\FMEA\MICROMINI\MS\FMEA-MS-012%20%20SMEA0115010,5010,%205020,%205030,%205035,%205060.pdf" TargetMode="External"/><Relationship Id="rId105" Type="http://schemas.openxmlformats.org/officeDocument/2006/relationships/hyperlink" Target="file:///\\chno0276\Aseguranza%20de%20Calidad\Control%20de%20Documentos\Doc.%20controlados%20PDF\Instructivos\CNWI-ENGI\CNWI-ENGI-0063%20%20Maquina%20Cable%20Coiler%20500.pdf" TargetMode="External"/><Relationship Id="rId312" Type="http://schemas.openxmlformats.org/officeDocument/2006/relationships/hyperlink" Target="file:///\\chno0276\Aseguranza%20de%20Calidad\Control%20de%20Documentos\Doc.%20controlados%20PDF\Formas\CNWI-ENGI%20(Ingenieria)\CNWI-ENGI-F039%20Parametros%20de%20termperatura%20y%20humedad.xls" TargetMode="External"/><Relationship Id="rId757" Type="http://schemas.openxmlformats.org/officeDocument/2006/relationships/hyperlink" Target="file:///\\CHNO0276\Aseguranza%20de%20Calidad\Control%20de%20Documentos\Doc.%20controlados%20PDF\Ayudas%20visuales\Avenal-Solar\CNWI-VSHP-000218%20Rev%20%20A%20Formato%20para%20Instruccion%20de%20trabajo%20%20(IC-A92-001).ppt" TargetMode="External"/><Relationship Id="rId964" Type="http://schemas.openxmlformats.org/officeDocument/2006/relationships/hyperlink" Target="file:///\\chno0276\Aseguranza%20de%20Calidad\Control%20de%20Documentos\Doc.%20controlados%20PDF\Control%20Plans\ITRON\BONDING\CP-BOND-018%20%20%20002501-0001%20y%20002505-0001.pdf" TargetMode="External"/><Relationship Id="rId93" Type="http://schemas.openxmlformats.org/officeDocument/2006/relationships/hyperlink" Target="file:///\\chno0276\Aseguranza%20de%20Calidad\Control%20de%20Documentos\Doc.%20controlados%20PDF\Instructivos\CNWI-ENGI\CNWI-ENGI-0050%20Maquina%20ALPHATRON%20Modelo%20MPT-200A.pdf" TargetMode="External"/><Relationship Id="rId189" Type="http://schemas.openxmlformats.org/officeDocument/2006/relationships/hyperlink" Target="file:///\\chno0276\Aseguranza%20de%20Calidad\Control%20de%20Documentos\Doc.%20controlados%20PDF\Formas\CNWI-QAAS%20(aseguranza%20de%20calidad)\CNWI-QAAS-F014%20Reporte%20de%20Inspecci&#243;n%20Final.doc" TargetMode="External"/><Relationship Id="rId396" Type="http://schemas.openxmlformats.org/officeDocument/2006/relationships/hyperlink" Target="file:///\\chno0276\Control%20de%20Documentos\Doc.%20controlados%20PDF\Formas\CNWI-ENGI%20(Ingenieria)\CNWI-ENGI-F064%20Check%20list%20set%20up%20first%20solar.xls" TargetMode="External"/><Relationship Id="rId617" Type="http://schemas.openxmlformats.org/officeDocument/2006/relationships/hyperlink" Target="file:///\\CHNO0276\Aseguranza%20de%20Calidad\Control%20de%20Documentos\Doc.%20controlados%20PDF\Ayudas%20visuales\Camarillo\Itron\CNWI-VSHP-000030%20Rev.A%20Retrabajo%20(Convertir%2028-3267-0001%20a%2028-3264-0001).pub" TargetMode="External"/><Relationship Id="rId824" Type="http://schemas.openxmlformats.org/officeDocument/2006/relationships/hyperlink" Target="file:///\\chno0276\Aseguranza%20de%20Calidad\Control%20de%20Documentos\Doc.%20controlados%20PDF\Control%20Plans\MICROMINI\CELDA%20A&amp;B\CP-A&amp;B-005%20%20AT3RC3R.pdf" TargetMode="External"/><Relationship Id="rId256" Type="http://schemas.openxmlformats.org/officeDocument/2006/relationships/hyperlink" Target="file:///\\chno0276\Aseguranza%20de%20Calidad\Control%20de%20Documentos\Doc.%20controlados%20PDF\Formas\CNWI-SHAE%20(Seguridad%20e%20higiene%20y%20medio%20ambiente)\CNWI-SHAE-F009%20Formato%20AST.doc" TargetMode="External"/><Relationship Id="rId463" Type="http://schemas.openxmlformats.org/officeDocument/2006/relationships/hyperlink" Target="file:///\\CHNO0276\Aseguranza%20de%20Calidad\Control%20de%20Documentos\Doc.%20controlados%20PDF\Formas\CNWI-QAAS%20(aseguranza%20de%20calidad)\CNWI-QAAS-F134%20OOB%20Solar%20%20First%20solar%20.xlsx" TargetMode="External"/><Relationship Id="rId670" Type="http://schemas.openxmlformats.org/officeDocument/2006/relationships/hyperlink" Target="file:///\\CHNO0276\Aseguranza%20de%20Calidad\Control%20de%20Documentos\Doc.%20controlados%20PDF\Ayudas%20visuales\Camarillo\Ensamble%20general\CNWI-VSHP-000137%20REV.%20A%20000101-0172M%20(000101-0172).pub" TargetMode="External"/><Relationship Id="rId1093" Type="http://schemas.openxmlformats.org/officeDocument/2006/relationships/hyperlink" Target="file:///\\chno0276\Aseguranza%20de%20Calidad\Control%20de%20Documentos\Doc.%20controlados%20PDF\FMEA\MICROMINI\CHANGE-OUT\FMEA-CHGO-016%20%20X86521624p.pdf" TargetMode="External"/><Relationship Id="rId1107" Type="http://schemas.openxmlformats.org/officeDocument/2006/relationships/hyperlink" Target="file:///\\chno0276\Aseguranza%20de%20Calidad\Control%20de%20Documentos\Doc.%20controlados%20PDF\Quality%20Alerts\MICROMINI\Celda%20A&amp;%20B\QA-A&amp;B-001%205000117394-14634911%20-Couplers%20diferente%20color.pdf" TargetMode="External"/><Relationship Id="rId116" Type="http://schemas.openxmlformats.org/officeDocument/2006/relationships/hyperlink" Target="file:///\\chno0276\Aseguranza%20de%20Calidad\Control%20de%20Documentos\Doc.%20controlados%20PDF\Instructivos\CNWI-ENGI\CNWI-ENGI-0077%20Maquina%20remachadora%20para%20aplastar%20cable%20.pdf" TargetMode="External"/><Relationship Id="rId323" Type="http://schemas.openxmlformats.org/officeDocument/2006/relationships/hyperlink" Target="file:///\\chno0276\Aseguranza%20de%20Calidad\Control%20de%20Documentos\Doc.%20controlados%20PDF\Formas\CNWI-ENGI%20(Ingenieria)\CNWI-ENGI-F050%20Varios%20PART%20NUMBERS%20CROSS%20REFERENCE..xlsm" TargetMode="External"/><Relationship Id="rId530" Type="http://schemas.openxmlformats.org/officeDocument/2006/relationships/hyperlink" Target="file:///\\chno0276\Aseguranza%20de%20Calidad\Control%20de%20Documentos\Documentos%20controlados\CN-QAAS%20(Aseguranza%20de%20calidad)\FORMAS\CNWI-QAAS-F152%20%20Rev.%20A%20TABLA%20HORACIADORA.xlsx" TargetMode="External"/><Relationship Id="rId768" Type="http://schemas.openxmlformats.org/officeDocument/2006/relationships/hyperlink" Target="file:///\\chno0276\Aseguranza%20de%20Calidad\Control%20de%20Documentos\Doc.%20controlados%20PDF\Ayudas%20visuales\Micromini\General\VA-MGRAL-008%20Rev%20B%20%20EMPAQUE%20GENERICO%20MICROMINI.pptx" TargetMode="External"/><Relationship Id="rId975" Type="http://schemas.openxmlformats.org/officeDocument/2006/relationships/hyperlink" Target="file:///\\chno0276\Aseguranza%20de%20Calidad\Control%20de%20Documentos\Doc.%20controlados%20PDF\Flow%20Chart\ITRON\BONDING\FC-BOND-001%20000-100-0113M,%20000100-0179,%20000102-TAB,%20000104-TAB%20&amp;%20000105-TAB.%20Snap%20lock.pdf" TargetMode="External"/><Relationship Id="rId1160" Type="http://schemas.openxmlformats.org/officeDocument/2006/relationships/hyperlink" Target="file:///\\CHNO0276\Aseguranza%20de%20Calidad\Control%20de%20Documentos\Doc.%20controlados%20PDF\Quality%20Alerts\ITRON\PLUG\QA-IPLUG-002%20Rev.%20A%2028-2259-0022%20Tapon%20faltante.pdf" TargetMode="External"/><Relationship Id="rId20" Type="http://schemas.openxmlformats.org/officeDocument/2006/relationships/hyperlink" Target="file:///\\chno0276\Aseguranza%20de%20Calidad\Control%20de%20Documentos\Doc.%20controlados%20PDF\Instructivos\CNWI-WRHS\CNWI-WHSE-0004%20Recibo%20de%20Materiales.pdf" TargetMode="External"/><Relationship Id="rId628" Type="http://schemas.openxmlformats.org/officeDocument/2006/relationships/hyperlink" Target="file:///\\CHNO0276\Aseguranza%20de%20Calidad\Control%20de%20Documentos\Doc.%20controlados%20PDF\Ayudas%20visuales\Camarillo\Itron\CNWI-VSHP-000150%20%20REV.%20A%20(28-3289-0001).pub" TargetMode="External"/><Relationship Id="rId835" Type="http://schemas.openxmlformats.org/officeDocument/2006/relationships/hyperlink" Target="file:///\\chno0276\Aseguranza%20de%20Calidad\Control%20de%20Documentos\Doc.%20controlados%20PDF\Control%20Plans\MICROMINI\MS\CP-MS-004%20%20568055-E.pdf" TargetMode="External"/><Relationship Id="rId267" Type="http://schemas.openxmlformats.org/officeDocument/2006/relationships/hyperlink" Target="file:///\\chno0276\Aseguranza%20de%20Calidad\Control%20de%20Documentos\Doc.%20controlados%20PDF\Formas\CNWI-SHAE%20(Seguridad%20e%20higiene%20y%20medio%20ambiente)\CNWI-SHAE-F021%20Check%20list%20ba&#241;os.pdf" TargetMode="External"/><Relationship Id="rId474" Type="http://schemas.openxmlformats.org/officeDocument/2006/relationships/hyperlink" Target="file:///\\CHNO0276\Aseguranza%20de%20Calidad\Control%20de%20Documentos\Doc.%20controlados%20PDF\Formas\CNWI-PROD%20(%20Produccion%20)\CNWI-PROD-F002%20ETIQUETA%20ITRON%20.xls" TargetMode="External"/><Relationship Id="rId1020" Type="http://schemas.openxmlformats.org/officeDocument/2006/relationships/hyperlink" Target="file:///\\chno0276\Aseguranza%20de%20Calidad\Control%20de%20Documentos\Doc.%20controlados%20PDF\Flow%20Chart\ITRON\BONDING\FC-BOND-004%20%20%20002371-0002%20&amp;%20002371-0004.pdf" TargetMode="External"/><Relationship Id="rId1118" Type="http://schemas.openxmlformats.org/officeDocument/2006/relationships/hyperlink" Target="file:///\\chno0276\Aseguranza%20de%20Calidad\Control%20de%20Documentos\Doc.%20controlados%20PDF\Quality%20Alerts\MICROMINI\MS\QA-MS-007%20CCR006P8%20Insert%20desalineado.pdf" TargetMode="External"/><Relationship Id="rId127" Type="http://schemas.openxmlformats.org/officeDocument/2006/relationships/hyperlink" Target="file:///\\CHNO0276\Aseguranza%20de%20Calidad\Control%20de%20Documentos\Doc.%20controlados%20PDF\Instructivos\CNWI-ENGI\CNWI-ENGI-0053%20Maquina%20Branson%20Solar.pdf" TargetMode="External"/><Relationship Id="rId681" Type="http://schemas.openxmlformats.org/officeDocument/2006/relationships/hyperlink" Target="file:///\\CHNO0276\Aseguranza%20de%20Calidad\Control%20de%20Documentos\Doc.%20controlados%20PDF\Ayudas%20visuales\Camarillo\Moldeo\CNWI-VSHP-000102%20Rev.%20A%20(084-0109-000).pub" TargetMode="External"/><Relationship Id="rId779" Type="http://schemas.openxmlformats.org/officeDocument/2006/relationships/hyperlink" Target="file:///\\chno0276\Control%20de%20Documentos\Doc.%20controlados%20PDF\Ayudas%20visuales\Avenal-Solar\VA-SOL-007%20Rev%20A%20CORTE%20DE%20CABLE%20PARA%20IC-B46-SF6-B5N2.ppt" TargetMode="External"/><Relationship Id="rId902" Type="http://schemas.openxmlformats.org/officeDocument/2006/relationships/hyperlink" Target="file:///\\chno0276\Aseguranza%20de%20Calidad\Control%20de%20Documentos\Doc.%20controlados%20PDF\Control%20Plans\ITRON\AMSAFE\CP-AMSA-013%20004055-0002.pdf" TargetMode="External"/><Relationship Id="rId986" Type="http://schemas.openxmlformats.org/officeDocument/2006/relationships/hyperlink" Target="file:///\\chno0276\Aseguranza%20de%20Calidad\Control%20de%20Documentos\Doc.%20controlados%20PDF\Flow%20Chart\MICROMINI\MS\FC-MS-003%20%20%2011536313.pdf" TargetMode="External"/><Relationship Id="rId31" Type="http://schemas.openxmlformats.org/officeDocument/2006/relationships/hyperlink" Target="file:///\\chno0276\Aseguranza%20de%20Calidad\Control%20de%20Documentos\Doc.%20controlados%20PDF\Instructivos\CNWI-SHAE\CNWI-SHAE-0007%20Comunicacion%20de%20riesgos.pdf" TargetMode="External"/><Relationship Id="rId334" Type="http://schemas.openxmlformats.org/officeDocument/2006/relationships/hyperlink" Target="file:///\\chno0276\Aseguranza%20de%20Calidad\Control%20de%20Documentos\Doc.%20controlados%20PDF\Formas\CNWI-QAAS%20(aseguranza%20de%20calidad)\CNWI-QAAS-F007%20Material%20no%20conformante%20.ppt" TargetMode="External"/><Relationship Id="rId541" Type="http://schemas.openxmlformats.org/officeDocument/2006/relationships/hyperlink" Target="file:///\\chno0276\Control%20de%20Documentos\Doc.%20controlados%20PDF\Formas\CNWI-PRCS%20(compras)\F-PRCS-08-001%20Rev.%20A%20%20%20Nogales%20Inbound%20Routing%20Guide.xlsx" TargetMode="External"/><Relationship Id="rId639" Type="http://schemas.openxmlformats.org/officeDocument/2006/relationships/hyperlink" Target="file:///\\CHNO0276\Aseguranza%20de%20Calidad\Control%20de%20Documentos\Doc.%20controlados%20PDF\Ayudas%20visuales\Camarillo\Bonding\CNWI-VSHP-000058%20Rev.%20A%20(002371-0004M).pub" TargetMode="External"/><Relationship Id="rId1171" Type="http://schemas.openxmlformats.org/officeDocument/2006/relationships/hyperlink" Target="file:///\\chno0276\Aseguranza%20de%20Calidad\Control%20de%20Documentos\Doc.%20controlados%20PDF\Quality%20Alerts\MICROMINI\MS\QA-MS-012%20Compound%20%203460500-xx.pdf" TargetMode="External"/><Relationship Id="rId180" Type="http://schemas.openxmlformats.org/officeDocument/2006/relationships/hyperlink" Target="file:///\\chno0276\Aseguranza%20de%20Calidad\Control%20de%20Documentos\Doc.%20controlados%20PDF\Formas\CNWI-QAAS%20(aseguranza%20de%20calidad)\CNWI-QAAS-F109%20Risk%20Management%20Matrix.xlsx" TargetMode="External"/><Relationship Id="rId278" Type="http://schemas.openxmlformats.org/officeDocument/2006/relationships/hyperlink" Target="file:///\\chno0276\Aseguranza%20de%20Calidad\Control%20de%20Documentos\Doc.%20controlados%20PDF\Formas\CNWI-PRCS%20(compras)\CNWI-PRCS-F005%20QUALITY%20CLAUSES.docx" TargetMode="External"/><Relationship Id="rId401" Type="http://schemas.openxmlformats.org/officeDocument/2006/relationships/hyperlink" Target="file:///\\chno0276\Control%20de%20Documentos\Doc.%20controlados%20PDF\Formas\CNWI-WRHS%20(Almacen)\CNWI-WRHS-F013%20Updated%20air%20freight%20approval%20process.pdf" TargetMode="External"/><Relationship Id="rId846" Type="http://schemas.openxmlformats.org/officeDocument/2006/relationships/hyperlink" Target="file:///\\chno0276\Aseguranza%20de%20Calidad\Control%20de%20Documentos\Doc.%20controlados%20PDF\Control%20Plans\MICROMINI\CELDA%20A&amp;B\CP-A&amp;B-014%20%20A89N-F7AF-5.pdf" TargetMode="External"/><Relationship Id="rId1031" Type="http://schemas.openxmlformats.org/officeDocument/2006/relationships/hyperlink" Target="file:///\\chno0276\Aseguranza%20de%20Calidad\Control%20de%20Documentos\Doc.%20controlados%20PDF\Flow%20Chart\ITRON\BONDING\FC-BOND-015%20%20%20002369-0001.pdf" TargetMode="External"/><Relationship Id="rId1129" Type="http://schemas.openxmlformats.org/officeDocument/2006/relationships/hyperlink" Target="file:///\\CHNO0276\Aseguranza%20de%20Calidad\Control%20de%20Documentos\Doc.%20controlados%20PDF\Quality%20Alerts\ITRON\AMSAFE\QA-AMSA-001%20Rev.A%20Varios%20-%20orificios%20del%20GROMMET%20fuera%20de%20dimensi&#243;n.pdf" TargetMode="External"/><Relationship Id="rId485" Type="http://schemas.openxmlformats.org/officeDocument/2006/relationships/hyperlink" Target="file:///\\CHNO0276\Aseguranza%20de%20Calidad\Control%20de%20Documentos\Doc.%20controlados%20PDF\Formas\CNWI-PROD%20(%20Produccion%20)\CNWI-PROD-F014%20Etiqueta%20relays.xls" TargetMode="External"/><Relationship Id="rId692" Type="http://schemas.openxmlformats.org/officeDocument/2006/relationships/hyperlink" Target="file:///\\CHNO0276\Aseguranza%20de%20Calidad\Control%20de%20Documentos\Doc.%20controlados%20PDF\Ayudas%20visuales\Micromini\General\CNWI-VSHP-000066%20Rev.%20A%20(LIMPIEZA%20DE%20CHEMLOK).pub" TargetMode="External"/><Relationship Id="rId706" Type="http://schemas.openxmlformats.org/officeDocument/2006/relationships/hyperlink" Target="file:///\\CHNO0276\Aseguranza%20de%20Calidad\Control%20de%20Documentos\Doc.%20controlados%20PDF\Ayudas%20visuales\Micromini\A%20y%20B\CNWI-VSHP-000042%20Rev.%20A%20(A89N-F12AF-5).pub" TargetMode="External"/><Relationship Id="rId913" Type="http://schemas.openxmlformats.org/officeDocument/2006/relationships/hyperlink" Target="file:///\\chno0276\Aseguranza%20de%20Calidad\Control%20de%20Documentos\Doc.%20controlados%20PDF\Control%20Plans\MICROMINI\MS\CP-MS-014%20%205680551.pdf" TargetMode="External"/><Relationship Id="rId42" Type="http://schemas.openxmlformats.org/officeDocument/2006/relationships/hyperlink" Target="file:///\\chno0276\Aseguranza%20de%20Calidad\Control%20de%20Documentos\Doc.%20controlados%20PDF\Instructivos\CNWI-FNCS\CNWI-FNCS-0001%20Rev.%20A%20Conteo%20Ciclico.pdf" TargetMode="External"/><Relationship Id="rId138" Type="http://schemas.openxmlformats.org/officeDocument/2006/relationships/hyperlink" Target="file:///\\chno0276\Aseguranza%20de%20Calidad\Control%20de%20Documentos\Doc.%20controlados%20PDF\Instructivos\CNWI-QAAS\CNWI-QAAS-0005%20Sistema%20Escalacion%20de%20problemas.pdf" TargetMode="External"/><Relationship Id="rId345" Type="http://schemas.openxmlformats.org/officeDocument/2006/relationships/hyperlink" Target="file:///\\chno0276\Aseguranza%20de%20Calidad\Control%20de%20Documentos\Doc.%20controlados%20PDF\Formas\CNWI-QAAS%20(aseguranza%20de%20calidad)\CNWI-QAAS-F023%20Bonding%20Process%20Certification%20Audit%20Log.xls" TargetMode="External"/><Relationship Id="rId552" Type="http://schemas.openxmlformats.org/officeDocument/2006/relationships/hyperlink" Target="file:///\\chno0276\Aseguranza%20de%20Calidad\Control%20de%20Documentos\Doc.%20controlados%20PDF\Formas\CNWI-QAAS%20(aseguranza%20de%20calidad)\F-QAAS-48-001%20%20Rev.A%20Scar%20Log.xlsx" TargetMode="External"/><Relationship Id="rId997" Type="http://schemas.openxmlformats.org/officeDocument/2006/relationships/hyperlink" Target="file:///\\chno0276\Aseguranza%20de%20Calidad\Control%20de%20Documentos\Doc.%20controlados%20PDF\Flow%20Chart\MICROMINI\MS\FC-MS-011%20%20SMEA0114007,%204010,%204015,%204030.pdf" TargetMode="External"/><Relationship Id="rId1182" Type="http://schemas.openxmlformats.org/officeDocument/2006/relationships/hyperlink" Target="file:///\\CHNO0276\Aseguranza%20de%20Calidad\Control%20de%20Documentos\Doc.%20controlados%20PDF\Especificaciones%20genericas\Micromini\A%20Y%20B\CNWI-ENGI-F019%20Rev%20%20F%20Especificaciones%20dedespoje%20de%20conductores%20celda%20A%20y%20B%20Rev%20%20B.xlsx" TargetMode="External"/><Relationship Id="rId191" Type="http://schemas.openxmlformats.org/officeDocument/2006/relationships/hyperlink" Target="file:///\\chno0276\Aseguranza%20de%20Calidad\Control%20de%20Documentos\Doc.%20controlados%20PDF\Formas\CNWI-QAAS%20(aseguranza%20de%20calidad)\CNWI-QAAS-F050%20Formato%20de%20IMC.xlsx" TargetMode="External"/><Relationship Id="rId205" Type="http://schemas.openxmlformats.org/officeDocument/2006/relationships/hyperlink" Target="file:///\\chno0276\Aseguranza%20de%20Calidad\Control%20de%20Documentos\Doc.%20controlados%20PDF\Formas\CNWI-HMRS%20(Recursos%20Humanos)\CNWI-HMRS-F003%20Evaluaci&#243;n%20Pr&#225;ctica%20del%20Entrenamiento.xlsx" TargetMode="External"/><Relationship Id="rId412" Type="http://schemas.openxmlformats.org/officeDocument/2006/relationships/hyperlink" Target="file:///\\CHNO0276\Aseguranza%20de%20Calidad\Control%20de%20Documentos\Doc.%20controlados%20PDF\Formas\CNWI-QAAS%20(aseguranza%20de%20calidad)\CNWI-QAAS-F111%20Change%20Request%20form%20(for%20cooper%20approval).doc" TargetMode="External"/><Relationship Id="rId857" Type="http://schemas.openxmlformats.org/officeDocument/2006/relationships/hyperlink" Target="file:///\\chno0276\Aseguranza%20de%20Calidad\Control%20de%20Documentos\Doc.%20controlados%20PDF\Control%20Plans\MICROMINI\CELDA%20A&amp;B\CP-A&amp;B-027%20%20A89DR4HC.pdf" TargetMode="External"/><Relationship Id="rId1042" Type="http://schemas.openxmlformats.org/officeDocument/2006/relationships/hyperlink" Target="file:///\\chno0276\Aseguranza%20de%20Calidad\Control%20de%20Documentos\Doc.%20controlados%20PDF\Flow%20Chart\ITRON\BONDING\FC-BOND-024%20%20BACC65ALXXXS.pdf" TargetMode="External"/><Relationship Id="rId289" Type="http://schemas.openxmlformats.org/officeDocument/2006/relationships/hyperlink" Target="file:///\\chno0276\Aseguranza%20de%20Calidad\Control%20de%20Documentos\Doc.%20controlados%20PDF\Formas\CNWI-ENGI%20(Ingenieria)\CNWI-ENGI-F011%20Lista%20de%20empaques.xlsx" TargetMode="External"/><Relationship Id="rId496" Type="http://schemas.openxmlformats.org/officeDocument/2006/relationships/hyperlink" Target="file:///\\CHNO0276\Aseguranza%20de%20Calidad\Control%20de%20Documentos\Doc.%20controlados%20PDF\Formas\CNWI-PROD%20(%20Produccion%20)\CNWI-PROD-F025%20Etiqueta%20single%20wire.xls" TargetMode="External"/><Relationship Id="rId717" Type="http://schemas.openxmlformats.org/officeDocument/2006/relationships/hyperlink" Target="file:///\\CHNO0276\Aseguranza%20de%20Calidad\Control%20de%20Documentos\Doc.%20controlados%20PDF\Ayudas%20visuales\Micromini\A%20y%20B\CNWI-VSHP-000085%20Rev.%20A%20(X8992-CS).pub" TargetMode="External"/><Relationship Id="rId924" Type="http://schemas.openxmlformats.org/officeDocument/2006/relationships/hyperlink" Target="file:///\\chno0276\Aseguranza%20de%20Calidad\Control%20de%20Documentos\Doc.%20controlados%20PDF\Control%20Plans\MICROMINI\MS\CP-MS-022%20%20SMEA0094007,%20SMEA0094030.pdf" TargetMode="External"/><Relationship Id="rId53" Type="http://schemas.openxmlformats.org/officeDocument/2006/relationships/hyperlink" Target="file:///\\chno0276\Aseguranza%20de%20Calidad\Control%20de%20Documentos\Doc.%20controlados%20PDF\Instructivos\CNWI-ENGI\CNWI-ENGI-0009%20Operaci&#243;n%20de%20cortadora%20Schleuniger%209500%20A.pdf" TargetMode="External"/><Relationship Id="rId149" Type="http://schemas.openxmlformats.org/officeDocument/2006/relationships/hyperlink" Target="file:///\\chno0276\Aseguranza%20de%20Calidad\Control%20de%20Documentos\Doc.%20controlados%20PDF\Instructivos\CNWI-QAAS\CNWI-QAAS-0020%20calibracion%20Basculas.pdf" TargetMode="External"/><Relationship Id="rId356" Type="http://schemas.openxmlformats.org/officeDocument/2006/relationships/hyperlink" Target="file:///\\chno0276\Aseguranza%20de%20Calidad\Control%20de%20Documentos\Doc.%20controlados%20PDF\Formas\CNWI-QAAS%20(aseguranza%20de%20calidad)\CNWI-QAAS-F035%20Agenda%20de%20Auditoria.xlsx" TargetMode="External"/><Relationship Id="rId563" Type="http://schemas.openxmlformats.org/officeDocument/2006/relationships/hyperlink" Target="file:///\\chno0276\Control%20de%20Documentos\Doc.%20controlados%20PDF\Ayudas%20visuales\Camarillo\Amsafe\VA-AMSA-005%20Rev%20Doc%20D-%20Drawing%20%20BM%20CABLE%20ASSEMBLY%20INTERFACE%20509976%20pag%2012.ppt" TargetMode="External"/><Relationship Id="rId770" Type="http://schemas.openxmlformats.org/officeDocument/2006/relationships/hyperlink" Target="file:///\\chno0276\Aseguranza%20de%20Calidad\Control%20de%20Documentos\Doc.%20controlados%20PDF\Ayudas%20visuales\Micromini\General\VA-MGRAL-010%20Rev%20B%20%20Moldeo%20de%20pieza%20micromini.pptx" TargetMode="External"/><Relationship Id="rId1193" Type="http://schemas.openxmlformats.org/officeDocument/2006/relationships/hyperlink" Target="file:///\\CHNO0276\Aseguranza%20de%20Calidad\Control%20de%20Documentos\Doc.%20controlados%20PDF\Especificaciones%20genericas\Micromini\MS\CNWI-ENGI-F019%20Rev.%20H%20Especificaciones%20de%20empaque%20MS.xls" TargetMode="External"/><Relationship Id="rId1207" Type="http://schemas.openxmlformats.org/officeDocument/2006/relationships/hyperlink" Target="file:///\\chno0276\Control%20de%20Documentos\Doc.%20controlados%20PDF\Ayudas%20visuales\Camarillo\Amsafe\VA-AMSA-024%20%20Rev%20Doc%20%20AN%20-%20Drawing%20Rev%20BN%20%20%20%20CABLE%20ASSEMBLY%20509976%20Pag.%206.ppt" TargetMode="External"/><Relationship Id="rId216" Type="http://schemas.openxmlformats.org/officeDocument/2006/relationships/hyperlink" Target="file:///\\chno0276\Aseguranza%20de%20Calidad\Control%20de%20Documentos\Doc.%20controlados%20PDF\Formas\CNWI-HMRS%20(Recursos%20Humanos)\CNWI-HMRS-F015%20Formato%20%20DNC.xlsx" TargetMode="External"/><Relationship Id="rId423" Type="http://schemas.openxmlformats.org/officeDocument/2006/relationships/hyperlink" Target="file:///\\CHNO0276\Aseguranza%20de%20Calidad\Control%20de%20Documentos\Doc.%20controlados%20PDF\Formas\CNWI-QAAS%20(aseguranza%20de%20calidad)\CNWI-QAAS-F070%20Matriz%20de%20PULL%20TEST(MICRO-MINI).xls" TargetMode="External"/><Relationship Id="rId868" Type="http://schemas.openxmlformats.org/officeDocument/2006/relationships/hyperlink" Target="file:///\\chno0276\Aseguranza%20de%20Calidad\Control%20de%20Documentos\Doc.%20controlados%20PDF\Control%20Plans\MICROMINI\MS\CP-MS-009%20%20CH5041490B.pdf" TargetMode="External"/><Relationship Id="rId1053" Type="http://schemas.openxmlformats.org/officeDocument/2006/relationships/hyperlink" Target="file:///\\chno0276\Control%20de%20Documentos\Doc.%20controlados%20PDF\Flow%20Chart\ITRON\AMSAFE\FC-ASMSA%20-011%20Rev.%20A%203084,%203085,%203086,%203087,%203088,%203093,%203095,%204000,%204001,%204003,%204004,%204022.xlsx" TargetMode="External"/><Relationship Id="rId630" Type="http://schemas.openxmlformats.org/officeDocument/2006/relationships/hyperlink" Target="file:///\\CHNO0276\Aseguranza%20de%20Calidad\Control%20de%20Documentos\Doc.%20controlados%20PDF\Ayudas%20visuales\Camarillo\Bonding\CNWI-VSHP-000002%20Rev.%20A%20(000103-0419).pub" TargetMode="External"/><Relationship Id="rId728" Type="http://schemas.openxmlformats.org/officeDocument/2006/relationships/hyperlink" Target="file:///\\CHNO0276\Aseguranza%20de%20Calidad\Control%20de%20Documentos\Doc.%20controlados%20PDF\Ayudas%20visuales\Micromini\MS\CNWI-VSHP-000044%20Rev.%20A%20(CHMEA0094)%20Soldadura.pub" TargetMode="External"/><Relationship Id="rId935" Type="http://schemas.openxmlformats.org/officeDocument/2006/relationships/hyperlink" Target="file:///\\chno0276\Aseguranza%20de%20Calidad\Control%20de%20Documentos\Doc.%20controlados%20PDF\Control%20Plans\MICROMINI\CHANGE-OUT\CP-CHGO-012%20%20%20X865251P.pdf" TargetMode="External"/><Relationship Id="rId64" Type="http://schemas.openxmlformats.org/officeDocument/2006/relationships/hyperlink" Target="file:///\\chno0276\Aseguranza%20de%20Calidad\Control%20de%20Documentos\Doc.%20controlados%20PDF\Instructivos\CNWI-ENGI\CNWI-ENGI-0021%20Despoje%20de%20insulacion%20de%20cable%20en%20maquina%20Komax%20delta%2050.pdf" TargetMode="External"/><Relationship Id="rId367" Type="http://schemas.openxmlformats.org/officeDocument/2006/relationships/hyperlink" Target="file:///\\chno0276\Aseguranza%20de%20Calidad\Control%20de%20Documentos\Doc.%20controlados%20PDF\Formas\CNWI-QAAS%20(aseguranza%20de%20calidad)\CNWI-QAAS-F049%20Forma%20para%20CPK's%20xlsx.xlsx" TargetMode="External"/><Relationship Id="rId574" Type="http://schemas.openxmlformats.org/officeDocument/2006/relationships/hyperlink" Target="file:///\\CHNO0276\Aseguranza%20de%20Calidad\Control%20de%20Documentos\Doc.%20controlados%20PDF\Ayudas%20visuales\Micromini\MS\VA-MS-001%20REV%20B%20COLOCACION%20DE%20MALLA.pptx" TargetMode="External"/><Relationship Id="rId1120" Type="http://schemas.openxmlformats.org/officeDocument/2006/relationships/hyperlink" Target="file:///\\chno0276\Aseguranza%20de%20Calidad\Control%20de%20Documentos\Doc.%20controlados%20PDF\Quality%20Alerts\MICROMINI\MS\QA-MS-009%20CCR006P8%20Pieza%20da&#241;ada%20%20insulacion%20con%20corte.pdf" TargetMode="External"/><Relationship Id="rId227" Type="http://schemas.openxmlformats.org/officeDocument/2006/relationships/hyperlink" Target="file:///\\chno0276\Aseguranza%20de%20Calidad\Control%20de%20Documentos\Doc.%20controlados%20PDF\Formas\CNWI-MTTO%20(Mantenimiento)\CNWI-MTTO-F012%20suplementos%20y%20partes.xls" TargetMode="External"/><Relationship Id="rId781" Type="http://schemas.openxmlformats.org/officeDocument/2006/relationships/hyperlink" Target="file:///\\chno0276\Control%20de%20Documentos\Doc.%20controlados%20PDF\Ayudas%20visuales\Camarillo\Bonding\VA-BOND-009%20Rev%20A%20LAVADO%20MEK.ppt" TargetMode="External"/><Relationship Id="rId879" Type="http://schemas.openxmlformats.org/officeDocument/2006/relationships/hyperlink" Target="file:///\\CHNO0276\Aseguranza%20de%20Calidad\Control%20de%20Documentos\Doc.%20controlados%20PDF\Control%20Plans\MICROMINI\CELDA%20A&amp;B\CP-A&amp;B-025%20%20ABSP4R5C.pdf" TargetMode="External"/><Relationship Id="rId434" Type="http://schemas.openxmlformats.org/officeDocument/2006/relationships/hyperlink" Target="file:///\\chno0276\Control%20de%20Documentos\Doc.%20controlados%20PDF\Formas\CNWI-QAAS%20(aseguranza%20de%20calidad)\CNWI-QAAS-F084%20Bascula%20forma.xlsx" TargetMode="External"/><Relationship Id="rId641" Type="http://schemas.openxmlformats.org/officeDocument/2006/relationships/hyperlink" Target="file:///\\CHNO0276\Aseguranza%20de%20Calidad\Control%20de%20Documentos\Doc.%20controlados%20PDF\Ayudas%20visuales\Camarillo\Bonding\CNWI-VSHP-000090%20Rev.%20A%20(000102-0159).pub" TargetMode="External"/><Relationship Id="rId739" Type="http://schemas.openxmlformats.org/officeDocument/2006/relationships/hyperlink" Target="file:///\\CHNO0276\Aseguranza%20de%20Calidad\Control%20de%20Documentos\Doc.%20controlados%20PDF\Ayudas%20visuales\Micromini\Potted\CNWI-VSHP-000075%20Rev.%20A%20(A88N-D4AF1-1F).pub" TargetMode="External"/><Relationship Id="rId1064" Type="http://schemas.openxmlformats.org/officeDocument/2006/relationships/hyperlink" Target="file:///\\CHNO0276\Aseguranza%20de%20Calidad\Control%20de%20Documentos\Doc.%20controlados%20PDF\FMEA\FMEA-AMSA-001%20%20(cables%20AMSAFE).pdf" TargetMode="External"/><Relationship Id="rId33" Type="http://schemas.openxmlformats.org/officeDocument/2006/relationships/hyperlink" Target="file:///\\chno0276\Aseguranza%20de%20Calidad\Control%20de%20Documentos\Doc.%20controlados%20PDF\Instructivos\CNWI-PRCS\CNWI-PRCS-0001%20Compras%20MRO%20nogales.pdf" TargetMode="External"/><Relationship Id="rId129" Type="http://schemas.openxmlformats.org/officeDocument/2006/relationships/hyperlink" Target="file:///\\chno0276\Control%20de%20Documentos\Doc.%20controlados%20PDF\Instructivos\CNWI-ENGI\CNWI-ENGI-0075%20%20Documentacion%20de%20Produccion.pdf" TargetMode="External"/><Relationship Id="rId280" Type="http://schemas.openxmlformats.org/officeDocument/2006/relationships/hyperlink" Target="file:///\\chno0276\Aseguranza%20de%20Calidad\Control%20de%20Documentos\Doc.%20controlados%20PDF\Formas\CNWI-PRCS%20(compras)\CNWI-PRCS-F007%20Proveedores%20Aprovados%20MRO.pdf" TargetMode="External"/><Relationship Id="rId336" Type="http://schemas.openxmlformats.org/officeDocument/2006/relationships/hyperlink" Target="file:///\\chno0276\Aseguranza%20de%20Calidad\Control%20de%20Documentos\Doc.%20controlados%20PDF\Formas\CNWI-QAAS%20(aseguranza%20de%20calidad)\CNWI-QAAS-F011%20critical%20dimension%20sheet.xls" TargetMode="External"/><Relationship Id="rId501" Type="http://schemas.openxmlformats.org/officeDocument/2006/relationships/hyperlink" Target="file:///\\CHNO0276\Aseguranza%20de%20Calidad\Control%20de%20Documentos\Doc.%20controlados%20PDF\Formas\CNWI-PROD%20(%20Produccion%20)\CNWI-PROD-F030%20%20Etiqueta%20tracks%201.xls" TargetMode="External"/><Relationship Id="rId543" Type="http://schemas.openxmlformats.org/officeDocument/2006/relationships/hyperlink" Target="file:///\\chno0276\Control%20de%20Documentos\Doc.%20controlados%20PDF\Formas\CNWI-QAAS%20(aseguranza%20de%20calidad)\F-QAAS-09-006%20Rev.%20A%20AQL%20Format.xlsx" TargetMode="External"/><Relationship Id="rId946" Type="http://schemas.openxmlformats.org/officeDocument/2006/relationships/hyperlink" Target="file:///\\chno0276\Aseguranza%20de%20Calidad\Control%20de%20Documentos\Doc.%20controlados%20PDF\Control%20Plans\MICROMINI\MS\CP-MS-013%20%20203205a.pdf" TargetMode="External"/><Relationship Id="rId988" Type="http://schemas.openxmlformats.org/officeDocument/2006/relationships/hyperlink" Target="file:///\\chno0276\Aseguranza%20de%20Calidad\Control%20de%20Documentos\Doc.%20controlados%20PDF\Flow%20Chart\MICROMINI\MS\FC-MS-004%20%2011547793.pdf" TargetMode="External"/><Relationship Id="rId1131" Type="http://schemas.openxmlformats.org/officeDocument/2006/relationships/hyperlink" Target="file:///\\CHNO0276\Aseguranza%20de%20Calidad\Control%20de%20Documentos\Doc.%20controlados%20PDF\Quality%20Alerts\ITRON\ENSAMBLE%20GENERAL\QA-EGRAL-002%20Rev.%20A%20019-0039-002%20Contactos%20sin%20pintura.pdf" TargetMode="External"/><Relationship Id="rId1173" Type="http://schemas.openxmlformats.org/officeDocument/2006/relationships/hyperlink" Target="file:///\\chno0276\Aseguranza%20de%20Calidad\Control%20de%20Documentos\Documentos%20controlados\CN-QAAS%20(Aseguranza%20de%20calidad)\Quality%20Alerts\MICROMINI\Potted-%20Plex\QA-POTT%20003%20Rev.%20A%20MP1819D60050F%20doble%20coupler.pptx" TargetMode="External"/><Relationship Id="rId75" Type="http://schemas.openxmlformats.org/officeDocument/2006/relationships/hyperlink" Target="file:///\\chno0276\Aseguranza%20de%20Calidad\Control%20de%20Documentos\Doc.%20controlados%20PDF\Instructivos\CNWI-ENGI\CNWI-ENGI-0032%20Maquina%20Moldeadora%20AUTO-JECTORS%20908-13.pdf" TargetMode="External"/><Relationship Id="rId140" Type="http://schemas.openxmlformats.org/officeDocument/2006/relationships/hyperlink" Target="file:///\\chno0276\Aseguranza%20de%20Calidad\Control%20de%20Documentos\Doc.%20controlados%20PDF\Instructivos\CNWI-QAAS\CNWI-QAAS-0008%20Diagrama%20de%20tortugas.pdf" TargetMode="External"/><Relationship Id="rId182" Type="http://schemas.openxmlformats.org/officeDocument/2006/relationships/hyperlink" Target="file:///\\chno0276\Aseguranza%20de%20Calidad\Control%20de%20Documentos\Doc.%20controlados%20PDF\Formas\CNWI-QAAS%20(aseguranza%20de%20calidad)\CNWI-QAAS-F122%20Check%20list%20de%20revision%20de%20euqipo%20de%20pruebas.doc" TargetMode="External"/><Relationship Id="rId378" Type="http://schemas.openxmlformats.org/officeDocument/2006/relationships/hyperlink" Target="file:///\\chno0276\Aseguranza%20de%20Calidad\Control%20de%20Documentos\Doc.%20controlados%20PDF\Formas\CNWI-PROD%20(%20Produccion%20)\CNWI-PROD-F001%20Curado%20de%20partes%20de%20Horneado.xls" TargetMode="External"/><Relationship Id="rId403" Type="http://schemas.openxmlformats.org/officeDocument/2006/relationships/hyperlink" Target="file:///\\chno0276\Control%20de%20Documentos\Doc.%20controlados%20PDF\Formas\CNWI-MTTO%20(Mantenimiento)\CNWI-MTTO-F027%20Parametros%20de%20referencia%20para%20moldeadora%20AHI%20TOP%203%20y%204.xlsx" TargetMode="External"/><Relationship Id="rId585" Type="http://schemas.openxmlformats.org/officeDocument/2006/relationships/hyperlink" Target="file:///\\CHNO0276\Aseguranza%20de%20Calidad\Control%20de%20Documentos\Doc.%20controlados%20PDF\Ayudas%20visuales\Camarillo\Itron\MULTICELDA%20B\VA-IMB-004%20Rev%20A%20%20Ensamble%20de%2028-2304-005%2028-2305-0001%20%20pptx%20-%20Copy.pptx" TargetMode="External"/><Relationship Id="rId750" Type="http://schemas.openxmlformats.org/officeDocument/2006/relationships/hyperlink" Target="file:///\\CHNO0276\Aseguranza%20de%20Calidad\Control%20de%20Documentos\Doc.%20controlados%20PDF\Ayudas%20visuales\Micromini\Potted\CNWI-VSHP-000187%20%20%20ENSAMBLE%20DE%20LOCK%20NUT%20Y%20GASKET%20A%20ENSAMBLE%20FINAL%20SEGUN%20DIBUJO%20MR3F4B00C-A.pptx" TargetMode="External"/><Relationship Id="rId792" Type="http://schemas.openxmlformats.org/officeDocument/2006/relationships/hyperlink" Target="file:///\\chno0276\Control%20de%20Documentos\Doc.%20controlados%20PDF\Especificaciones%20genericas\Camarillo\Itron\Especificaciones%20de%20empaque%20%20de%20ITRON%20Rev%20C.xlsx" TargetMode="External"/><Relationship Id="rId806" Type="http://schemas.openxmlformats.org/officeDocument/2006/relationships/hyperlink" Target="file:///\\CHNO0276\Aseguranza%20de%20Calidad\Control%20de%20Documentos\Doc.%20controlados%20PDF\Especificaciones%20genericas\Micromini\MS\CNWI-ENGI-F019%20Rev.%20H%20Especificaciones%20dedespoje%20de%20conductores%20MS.xlsx" TargetMode="External"/><Relationship Id="rId848" Type="http://schemas.openxmlformats.org/officeDocument/2006/relationships/hyperlink" Target="file:///\\chno0276\Aseguranza%20de%20Calidad\Control%20de%20Documentos\Doc.%20controlados%20PDF\Control%20Plans\MICROMINI\CELDA%20A&amp;B\CP-A&amp;B-016%20%20ML4C4TC.pdf" TargetMode="External"/><Relationship Id="rId1033" Type="http://schemas.openxmlformats.org/officeDocument/2006/relationships/hyperlink" Target="file:///\\chno0276\Aseguranza%20de%20Calidad\Control%20de%20Documentos\Doc.%20controlados%20PDF\Flow%20Chart\ITRON\BONDING\FC-BOND-003%20%20BACC65-%20TODOS.pdf" TargetMode="External"/><Relationship Id="rId6" Type="http://schemas.openxmlformats.org/officeDocument/2006/relationships/hyperlink" Target="file:///\\chno0276\Aseguranza%20de%20Calidad\Control%20de%20Documentos\Doc.%20controlados%20PDF\Procedimientos\CNSOP-02%20Control%20de%20Registros%20de%20Calidad.pdf" TargetMode="External"/><Relationship Id="rId238" Type="http://schemas.openxmlformats.org/officeDocument/2006/relationships/hyperlink" Target="file:///\\chno0276\Aseguranza%20de%20Calidad\Control%20de%20Documentos\Doc.%20controlados%20PDF\Formas\CNWI-WRHS%20(Almacen)\CNWI-WRHS-F001%20Identificacion%20de%20ordenes.xls" TargetMode="External"/><Relationship Id="rId445" Type="http://schemas.openxmlformats.org/officeDocument/2006/relationships/hyperlink" Target="file:///\\CHNO0276\Aseguranza%20de%20Calidad\Control%20de%20Documentos\Doc.%20controlados%20PDF\Formas\CNWI-QAAS%20(aseguranza%20de%20calidad)\CNWI-QAAS-F097%20No%20Calibration%20required.doc" TargetMode="External"/><Relationship Id="rId487" Type="http://schemas.openxmlformats.org/officeDocument/2006/relationships/hyperlink" Target="file:///\\CHNO0276\Aseguranza%20de%20Calidad\Control%20de%20Documentos\Doc.%20controlados%20PDF\Formas\CNWI-PROD%20(%20Produccion%20)\CNWI-PROD-F016%20Etiqueta%20relays%202.xls" TargetMode="External"/><Relationship Id="rId610" Type="http://schemas.openxmlformats.org/officeDocument/2006/relationships/hyperlink" Target="file:///\\chno0276\Control%20de%20Documentos\Doc.%20controlados%20PDF\Ayudas%20visuales\Camarillo\Amsafe\VA-AMSA-026%20Rev%20Doc%20B%20-%20Rev%20Drawing%20AN%20%20%20ESTAMPADO%20PARA%20EL%20%20508976.ppt" TargetMode="External"/><Relationship Id="rId652" Type="http://schemas.openxmlformats.org/officeDocument/2006/relationships/hyperlink" Target="file:///\\CHNO0276\Aseguranza%20de%20Calidad\Control%20de%20Documentos\Doc.%20controlados%20PDF\Ayudas%20visuales\Camarillo\Amsafe\CNWI-VSHP-000177%20Rev%20B%20%20508978.ppt" TargetMode="External"/><Relationship Id="rId694" Type="http://schemas.openxmlformats.org/officeDocument/2006/relationships/hyperlink" Target="file:///\\CHNO0276\Aseguranza%20de%20Calidad\Control%20de%20Documentos\Doc.%20controlados%20PDF\Ayudas%20visuales\Micromini\General\CNWI-VSHP-000121%20Formato%20ofical%20para%20ayudas%20visuales.pub" TargetMode="External"/><Relationship Id="rId708" Type="http://schemas.openxmlformats.org/officeDocument/2006/relationships/hyperlink" Target="file:///\\CHNO0276\Aseguranza%20de%20Calidad\Control%20de%20Documentos\Doc.%20controlados%20PDF\Ayudas%20visuales\Micromini\A%20y%20B\CNWI-VSHP-000050%20Rev.%20A%20(A89N-F9AFNU-1).pub" TargetMode="External"/><Relationship Id="rId915" Type="http://schemas.openxmlformats.org/officeDocument/2006/relationships/hyperlink" Target="file:///\\chno0276\Aseguranza%20de%20Calidad\Control%20de%20Documentos\Doc.%20controlados%20PDF\Control%20Plans\MICROMINI\MS\CP-MS-016%20%20%2011547793.pdf" TargetMode="External"/><Relationship Id="rId1075" Type="http://schemas.openxmlformats.org/officeDocument/2006/relationships/hyperlink" Target="file:///\\chno0276\Aseguranza%20de%20Calidad\Control%20de%20Documentos\Doc.%20controlados%20PDF\FMEA\MICROMINI\MS\FMEA-MS-008%20%20P1526042B130,%20P1529042B130,%20P1532302C21,%20P1532302C27.pdf" TargetMode="External"/><Relationship Id="rId291" Type="http://schemas.openxmlformats.org/officeDocument/2006/relationships/hyperlink" Target="file:///\\chno0276\Aseguranza%20de%20Calidad\Control%20de%20Documentos\Doc.%20controlados%20PDF\Formas\CNWI-ENGI%20(Ingenieria)\CNWI-ENGI-F013%20Relacion%20de%20Planos%20Obsoletos.xls" TargetMode="External"/><Relationship Id="rId305" Type="http://schemas.openxmlformats.org/officeDocument/2006/relationships/hyperlink" Target="file:///\\chno0276\Aseguranza%20de%20Calidad\Control%20de%20Documentos\Doc.%20controlados%20PDF\Formas\CNWI-ENGI%20(Ingenieria)\CNWI-ENGI-F032%20INSTRUCCION%20DE%20RETRABAJO.xls" TargetMode="External"/><Relationship Id="rId347" Type="http://schemas.openxmlformats.org/officeDocument/2006/relationships/hyperlink" Target="file:///\\chno0276\Aseguranza%20de%20Calidad\Control%20de%20Documentos\Doc.%20controlados%20PDF\Formas\CNWI-QAAS%20(aseguranza%20de%20calidad)\CNWI-QAAS-F025%20Layout%20Dimencional.xlsx" TargetMode="External"/><Relationship Id="rId512" Type="http://schemas.openxmlformats.org/officeDocument/2006/relationships/hyperlink" Target="file:///\\chno0276\Control%20de%20Documentos\Doc.%20controlados%20PDF\Formas\CNWI-ENGI%20(Ingenieria)\CNWI-ENGI-F068%20Rev.A%20%20Check%20list%20moorpark.xlsx" TargetMode="External"/><Relationship Id="rId957" Type="http://schemas.openxmlformats.org/officeDocument/2006/relationships/hyperlink" Target="file:///\\chno0276\Aseguranza%20de%20Calidad\Control%20de%20Documentos\Doc.%20controlados%20PDF\Control%20Plans\ITRON\BONDING\CP-BOND-012%20%20%20002368-0802.pdf" TargetMode="External"/><Relationship Id="rId999" Type="http://schemas.openxmlformats.org/officeDocument/2006/relationships/hyperlink" Target="file:///\\chno0276\Aseguranza%20de%20Calidad\Control%20de%20Documentos\Doc.%20controlados%20PDF\Flow%20Chart\MICROMINI\MS\FC-MS-013%20%20SMEA0120010,%200030,%200040,%200045.pdf" TargetMode="External"/><Relationship Id="rId1100" Type="http://schemas.openxmlformats.org/officeDocument/2006/relationships/hyperlink" Target="file:///\\chno0276\Aseguranza%20de%20Calidad\Control%20de%20Documentos\Doc.%20controlados%20PDF\Quality%20Alerts\ITRON\BONDING\QA-BOND-005%20027-0212-001%20Grommet%20con%20pellizcos.pdf" TargetMode="External"/><Relationship Id="rId1142" Type="http://schemas.openxmlformats.org/officeDocument/2006/relationships/hyperlink" Target="file:///\\CHNO0276\Aseguranza%20de%20Calidad\Control%20de%20Documentos\Doc.%20controlados%20PDF\Quality%20Alerts\MICROMINI\Potted-%20Plex\QA-POTT-002%20Rev.%20A%20.%201463659%20Inspeccion%20de%20Entrada.pdf" TargetMode="External"/><Relationship Id="rId1184" Type="http://schemas.openxmlformats.org/officeDocument/2006/relationships/hyperlink" Target="file:///\\chno0276\Aseguranza%20de%20Calidad\Control%20de%20Documentos\Doc.%20controlados%20PDF\Especificaciones%20genericas\Micromini\A%20Y%20B\CNWI-ENGI-F019%20Rev%20P%20Especificaciones%20de%20insercion%20de%20conductores%20Celda%20A%20y%20B.xlsx" TargetMode="External"/><Relationship Id="rId44" Type="http://schemas.openxmlformats.org/officeDocument/2006/relationships/hyperlink" Target="file:///\\chno0276\Aseguranza%20de%20Calidad\Control%20de%20Documentos\Doc.%20controlados%20PDF\Instructivos\CNWI-ENGI\CNWI-ENGI-0080%20Remachadora%20de%20Banda%20a%20Shell.pdf" TargetMode="External"/><Relationship Id="rId86" Type="http://schemas.openxmlformats.org/officeDocument/2006/relationships/hyperlink" Target="file:///\\chno0276\Aseguranza%20de%20Calidad\Control%20de%20Documentos\Doc.%20controlados%20PDF\Instructivos\CNWI-ENGI\CNWI-ENGI-0043%20Horno%20con%20conveyor%20Gruenberg.pdf" TargetMode="External"/><Relationship Id="rId151" Type="http://schemas.openxmlformats.org/officeDocument/2006/relationships/hyperlink" Target="file:///\\chno0276\Control%20de%20Documentos\Doc.%20controlados%20PDF\Instructivos\CNWI-QAAS\CNWI-QAAS-0022%20%20Instructivo%20de%20llenado%20Certificado.pdf" TargetMode="External"/><Relationship Id="rId389" Type="http://schemas.openxmlformats.org/officeDocument/2006/relationships/hyperlink" Target="file:///\\chno0276\Aseguranza%20de%20Calidad\Control%20de%20Documentos\Doc.%20controlados%20PDF\Formas\CNWI-MTTO%20(Mantenimiento)\CNWI-MTTO-F022%20Rev.%20A%20ETIQUETA%20DE%20IDENTIFICACION%20PARA%20%20EQUIPO%20EN%20REPARACION.pptx" TargetMode="External"/><Relationship Id="rId554" Type="http://schemas.openxmlformats.org/officeDocument/2006/relationships/hyperlink" Target="file:///\\CHNO0276\Aseguranza%20de%20Calidad\Control%20de%20Documentos\Doc.%20controlados%20PDF\Ayudas%20visuales\Camarillo\Itron\MULTICELDA%20B\VA-IMB-001%20Rev%20E%20%20100G%20REMOTE%20MERCURY%20CORRECTOR%205%20CBA-5000-002%20(28-3278-0001)%20-%20Copy.ppt" TargetMode="External"/><Relationship Id="rId596" Type="http://schemas.openxmlformats.org/officeDocument/2006/relationships/hyperlink" Target="file:///\\chno0276\Aseguranza%20de%20Calidad\Control%20de%20Documentos\Doc.%20controlados%20PDF\Ayudas%20visuales\Camarillo\Amsafe\VA-AMSA-015%20%20REV%20DOC%20A-%20DRAWING%20REV%20L%20%20%20%20508348%20%20PART%20%20%20003075-0001.ppt" TargetMode="External"/><Relationship Id="rId761" Type="http://schemas.openxmlformats.org/officeDocument/2006/relationships/hyperlink" Target="file:///\\chno0276\Control%20de%20Documentos\Doc.%20controlados%20PDF\Ayudas%20visuales\Micromini\MS\CNWI-VSHP-000032%20Rev.%20A%20(Colocacion%20de%20loctite).pub" TargetMode="External"/><Relationship Id="rId817" Type="http://schemas.openxmlformats.org/officeDocument/2006/relationships/hyperlink" Target="file:///\\CHNO0276\Aseguranza%20de%20Calidad\Control%20de%20Documentos\Doc.%20controlados%20PDF\Especificaciones%20genericas\Micromini\PLEX\CNWI-ENGI-F019%20Rev.%20A%20Especificaciones%20remachado%20area%20Plex.xlsx" TargetMode="External"/><Relationship Id="rId859" Type="http://schemas.openxmlformats.org/officeDocument/2006/relationships/hyperlink" Target="file:///\\chno0276\Aseguranza%20de%20Calidad\Control%20de%20Documentos\Doc.%20controlados%20PDF\Control%20Plans\MICROMINI\CELDA%20A&amp;B\CP-A&amp;B-030%20%20ZC5XXXXXXXXX.pdf" TargetMode="External"/><Relationship Id="rId1002" Type="http://schemas.openxmlformats.org/officeDocument/2006/relationships/hyperlink" Target="file:///\\chno0276\Aseguranza%20de%20Calidad\Control%20de%20Documentos\Doc.%20controlados%20PDF\Flow%20Chart\MICROMINI\CHANGE-OUT\FC-CHGO-003%20%20CX8653316P.pdf" TargetMode="External"/><Relationship Id="rId193" Type="http://schemas.openxmlformats.org/officeDocument/2006/relationships/hyperlink" Target="file:///\\chno0276\Aseguranza%20de%20Calidad\Control%20de%20Documentos\Doc.%20controlados%20PDF\Formas\CNWI-QAAS%20(aseguranza%20de%20calidad)\CNWI-QAAS-F008-B%20Liberacion%20primera%20pieza%20CORTE.pptx" TargetMode="External"/><Relationship Id="rId207" Type="http://schemas.openxmlformats.org/officeDocument/2006/relationships/hyperlink" Target="file:///\\chno0276\Aseguranza%20de%20Calidad\Control%20de%20Documentos\Doc.%20controlados%20PDF\Formas\CNWI-HMRS%20(Recursos%20Humanos)\CNWI-HMRS-F005%20Examen%20Teorico.xls" TargetMode="External"/><Relationship Id="rId249" Type="http://schemas.openxmlformats.org/officeDocument/2006/relationships/hyperlink" Target="file:///\\chno0276\Aseguranza%20de%20Calidad\Control%20de%20Documentos\Doc.%20controlados%20PDF\Formas\CNWI-SHAE%20(Seguridad%20e%20higiene%20y%20medio%20ambiente)\CNWI-SHAE-F002%20orden%20de%20trabajo%20planta%20.xls" TargetMode="External"/><Relationship Id="rId414" Type="http://schemas.openxmlformats.org/officeDocument/2006/relationships/hyperlink" Target="file:///\\CHNO0276\Aseguranza%20de%20Calidad\Control%20de%20Documentos\Doc.%20controlados%20PDF\Formas\CNWI-MTTO%20(Mantenimiento)\CNWI-MTTO-F029%20Revisi&#243;n%20de%20despojadoras%20Schleuniger.pdf" TargetMode="External"/><Relationship Id="rId456" Type="http://schemas.openxmlformats.org/officeDocument/2006/relationships/hyperlink" Target="file:///\\CHNO0276\Aseguranza%20de%20Calidad\Control%20de%20Documentos\Doc.%20controlados%20PDF\Formas\CNWI-QAAS%20(aseguranza%20de%20calidad)\CNWI-QAAS-F114%20First%20Part%20Rejection.docx" TargetMode="External"/><Relationship Id="rId498" Type="http://schemas.openxmlformats.org/officeDocument/2006/relationships/hyperlink" Target="file:///\\CHNO0276\Aseguranza%20de%20Calidad\Control%20de%20Documentos\Doc.%20controlados%20PDF\Formas\CNWI-PROD%20(%20Produccion%20)\CNWI-PROD-F027%20Etiqueta%20snap%20lock%20&amp;%20three%20wire%20splice.xls" TargetMode="External"/><Relationship Id="rId621" Type="http://schemas.openxmlformats.org/officeDocument/2006/relationships/hyperlink" Target="file:///\\CHNO0276\Aseguranza%20de%20Calidad\Control%20de%20Documentos\Doc.%20controlados%20PDF\Ayudas%20visuales\Camarillo\Itron\CNWI-VSHP-000095%20Rev.%20A%20(CBA-0200-011).pub" TargetMode="External"/><Relationship Id="rId663" Type="http://schemas.openxmlformats.org/officeDocument/2006/relationships/hyperlink" Target="file:///\\CHNO0276\Aseguranza%20de%20Calidad\Control%20de%20Documentos\Doc.%20controlados%20PDF\Ayudas%20visuales\Camarillo\Ensamble%20general\CNWI-VSHP-000068%20Rev.%20A%20(002284-0000).pub" TargetMode="External"/><Relationship Id="rId870" Type="http://schemas.openxmlformats.org/officeDocument/2006/relationships/hyperlink" Target="file:///\\chno0276\Aseguranza%20de%20Calidad\Control%20de%20Documentos\Doc.%20controlados%20PDF\Control%20Plans\MICROMINI\MS\CP-MS-011%20%20568055-A.pdf" TargetMode="External"/><Relationship Id="rId1044" Type="http://schemas.openxmlformats.org/officeDocument/2006/relationships/hyperlink" Target="file:///\\chno0276\Control%20de%20Documentos\Doc.%20controlados%20PDF\Flow%20Chart\ITRON\BONDING\FC-BOND-002%20%20002359-TAB%20002360-TAB%20%20002361-TAB.pdf" TargetMode="External"/><Relationship Id="rId1086" Type="http://schemas.openxmlformats.org/officeDocument/2006/relationships/hyperlink" Target="file:///\\chno0276\Aseguranza%20de%20Calidad\Control%20de%20Documentos\Doc.%20controlados%20PDF\FMEA\MICROMINI\CHANGE-OUT\FMEA-CHGO-007%20%20AX865251P.pdf" TargetMode="External"/><Relationship Id="rId13" Type="http://schemas.openxmlformats.org/officeDocument/2006/relationships/hyperlink" Target="file:///\\chno0276\Control%20de%20Documentos\Doc.%20controlados%20PDF\Instructivos\CNWI-HMRS\CNWI-HMRS-0004%20Rev.%20A%20%20Politica%20de%20Comunicacion.docx" TargetMode="External"/><Relationship Id="rId109" Type="http://schemas.openxmlformats.org/officeDocument/2006/relationships/hyperlink" Target="file:///\\chno0276\Aseguranza%20de%20Calidad\Control%20de%20Documentos\Doc.%20controlados%20PDF\Instructivos\CNWI-ENGI\CNWI-ENGI-0067%20Enfriador%20de%20material%20%20Movin-Cool.pdf" TargetMode="External"/><Relationship Id="rId260" Type="http://schemas.openxmlformats.org/officeDocument/2006/relationships/hyperlink" Target="file:///\\chno0276\Aseguranza%20de%20Calidad\Control%20de%20Documentos\Doc.%20controlados%20PDF\Formas\CNWI-SHAE%20(Seguridad%20e%20higiene%20y%20medio%20ambiente)\CNWI-SHAE-F013%20CONTACTO%20PERSONAL.xls" TargetMode="External"/><Relationship Id="rId316" Type="http://schemas.openxmlformats.org/officeDocument/2006/relationships/hyperlink" Target="file:///\\chno0276\Aseguranza%20de%20Calidad\Control%20de%20Documentos\Doc.%20controlados%20PDF\Formas\CNWI-ENGI%20(Ingenieria)\CNWI-ENGI-F043%20Especificaciones%20de%20despoje%20de%20conductores.xlsx" TargetMode="External"/><Relationship Id="rId523" Type="http://schemas.openxmlformats.org/officeDocument/2006/relationships/hyperlink" Target="file:///\\CHNO0276\Aseguranza%20de%20Calidad\Control%20de%20Documentos\Doc.%20controlados%20PDF\Formas\CNWI-HMRS%20(Recursos%20Humanos)\CNWI-HMRS-F018%20Matriz%20de%20entrenamiento.xlsx" TargetMode="External"/><Relationship Id="rId719" Type="http://schemas.openxmlformats.org/officeDocument/2006/relationships/hyperlink" Target="file:///\\CHNO0276\Aseguranza%20de%20Calidad\Control%20de%20Documentos\Doc.%20controlados%20PDF\Ayudas%20visuales\Micromini\A%20y%20B\CNWI-VSHP-000093%20Rev.%20A%20(ABP-P1E4-B).pub" TargetMode="External"/><Relationship Id="rId926" Type="http://schemas.openxmlformats.org/officeDocument/2006/relationships/hyperlink" Target="file:///\\chno0276\Aseguranza%20de%20Calidad\Control%20de%20Documentos\Doc.%20controlados%20PDF\Control%20Plans\MICROMINI\MS\CP-MS-023%20%20SMEA0114007,%204010,%204015,%204030.pdf" TargetMode="External"/><Relationship Id="rId968" Type="http://schemas.openxmlformats.org/officeDocument/2006/relationships/hyperlink" Target="file:///\\chno0276\Aseguranza%20de%20Calidad\Control%20de%20Documentos\Doc.%20controlados%20PDF\Control%20Plans\ITRON\BONDING\CP-BOND-003%20%20Conector%20BACC65%20TODOS.pdf" TargetMode="External"/><Relationship Id="rId1111" Type="http://schemas.openxmlformats.org/officeDocument/2006/relationships/hyperlink" Target="file:///\\chno0276\Aseguranza%20de%20Calidad\Control%20de%20Documentos\Doc.%20controlados%20PDF\Quality%20Alerts\MICROMINI\Celda%20A&amp;%20B\QA-A&amp;B-005%201786-TCT2BD1%20Componente%20faltante%20-Dust%20Cap.pdf" TargetMode="External"/><Relationship Id="rId1153" Type="http://schemas.openxmlformats.org/officeDocument/2006/relationships/hyperlink" Target="file:///\\CHNO0276\Aseguranza%20de%20Calidad\Control%20de%20Documentos\Doc.%20controlados%20PDF\Quality%20Alerts\ITRON\MULTICELL%20A&amp;B\QA-IMB-002%20Rev.%20A%2028-2266-0001%20Pieza%20incorrecta%20%20longitud%20total%20%20corta.pdf" TargetMode="External"/><Relationship Id="rId55" Type="http://schemas.openxmlformats.org/officeDocument/2006/relationships/hyperlink" Target="file:///\\chno0276\Aseguranza%20de%20Calidad\Control%20de%20Documentos\Doc.%20controlados%20PDF\Instructivos\CNWI-ENGI\CNWI-ENGI-0011%20Remachado%20de%20cables%20en%20%20m&#225;quina%20Daniels%20Modelos%20WA27F,%20WA22,%20WA27-309-2C,%20WA27-300BT-EP..pdf" TargetMode="External"/><Relationship Id="rId97" Type="http://schemas.openxmlformats.org/officeDocument/2006/relationships/hyperlink" Target="file:///\\chno0276\Aseguranza%20de%20Calidad\Control%20de%20Documentos\Doc.%20controlados%20PDF\Instructivos\CNWI-ENGI\CNWI-ENGI-0055%20Remachado%20de%20Contactos%20en%20Maquina%20Astron.pdf" TargetMode="External"/><Relationship Id="rId120" Type="http://schemas.openxmlformats.org/officeDocument/2006/relationships/hyperlink" Target="file:///\\chno0276\Aseguranza%20de%20Calidad\Control%20de%20Documentos\Doc.%20controlados%20PDF\Instructivos\CNWI-ENGI\CNWI-ENGI-0083%20Impresoras%20%20Zebra%20Z4MPLUS%20ZM600.pdf" TargetMode="External"/><Relationship Id="rId358" Type="http://schemas.openxmlformats.org/officeDocument/2006/relationships/hyperlink" Target="file:///\\chno0276\Aseguranza%20de%20Calidad\Control%20de%20Documentos\Doc.%20controlados%20PDF\Formas\CNWI-QAAS%20(aseguranza%20de%20calidad)\CNWI-QAAS-F037%20Alerta%20de%20Calidad.pdf" TargetMode="External"/><Relationship Id="rId565" Type="http://schemas.openxmlformats.org/officeDocument/2006/relationships/hyperlink" Target="file:///\\chno0276\Control%20de%20Documentos\Doc.%20controlados%20PDF\Ayudas%20visuales\Camarillo\Amsafe\VA-AMSA-007%20%20Rev%20Doc%20C%20-%20Rev%20Drawing%20AN%20CABLE%20ASSEMBLY%20INTERFACE%20508976%20Pag%202.ppt" TargetMode="External"/><Relationship Id="rId730" Type="http://schemas.openxmlformats.org/officeDocument/2006/relationships/hyperlink" Target="file:///\\CHNO0276\Aseguranza%20de%20Calidad\Control%20de%20Documentos\Doc.%20controlados%20PDF\Ayudas%20visuales\Micromini\MS\CNWI-VSHP-000132%20REV.%20A%20SOLDADURA%20DE%20CONTACTOS.pub" TargetMode="External"/><Relationship Id="rId772" Type="http://schemas.openxmlformats.org/officeDocument/2006/relationships/hyperlink" Target="file:///\\chno0276\Control%20de%20Documentos\Doc.%20controlados%20PDF\Ayudas%20visuales\Camarillo\Amsafe\VA-AMSA-029%20Rev%20Doc%20A-%20Rev%20Draw%20AG%20%20508978%20ESTAMPADO.ppt" TargetMode="External"/><Relationship Id="rId828" Type="http://schemas.openxmlformats.org/officeDocument/2006/relationships/hyperlink" Target="file:///\\chno0276\Aseguranza%20de%20Calidad\Control%20de%20Documentos\Doc.%20controlados%20PDF\Control%20Plans\MICROMINI\CELDA%20A&amp;B\CP-A&amp;B-009%20%20CHDN-TAER-NG.pdf" TargetMode="External"/><Relationship Id="rId1013" Type="http://schemas.openxmlformats.org/officeDocument/2006/relationships/hyperlink" Target="file:///\\chno0276\Aseguranza%20de%20Calidad\Control%20de%20Documentos\Doc.%20controlados%20PDF\Flow%20Chart\MICROMINI\CHANGE-OUT\FC-CHGO-002%20%20CX8653312P.pdf" TargetMode="External"/><Relationship Id="rId1195" Type="http://schemas.openxmlformats.org/officeDocument/2006/relationships/hyperlink" Target="file:///\\CHNO0276\Aseguranza%20de%20Calidad\Control%20de%20Documentos\Doc.%20controlados%20PDF\Especificaciones%20genericas\Micromini\PLEX\CNWI-ENGI-F019%20Rev.%20A%20Especificaciones%20dedespoje%20de%20chaqueta%20Plex.xlsx" TargetMode="External"/><Relationship Id="rId1209" Type="http://schemas.openxmlformats.org/officeDocument/2006/relationships/drawing" Target="../drawings/drawing1.xml"/><Relationship Id="rId162" Type="http://schemas.openxmlformats.org/officeDocument/2006/relationships/hyperlink" Target="file:///\\chno0276\Control%20de%20Documentos\Doc.%20controlados%20PDF\Instructivos\CNWI-QAAS\CNWI-QAAS-0038%20Inst.%20para%20reporte%20SAP%20MB51.pdf" TargetMode="External"/><Relationship Id="rId218" Type="http://schemas.openxmlformats.org/officeDocument/2006/relationships/hyperlink" Target="file:///\\CHNO0276\Aseguranza%20de%20Calidad\Control%20de%20Documentos\Doc.%20controlados%20PDF\Formas\CNWI-HMRS%20(Recursos%20Humanos)\CNWI-HMRS-F017%20Constancia%20de%20entrenamiento.xlsx" TargetMode="External"/><Relationship Id="rId425" Type="http://schemas.openxmlformats.org/officeDocument/2006/relationships/hyperlink" Target="file:///\\chno0276\Control%20de%20Documentos\Doc.%20controlados%20PDF\Formas\CNWI-QAAS%20(aseguranza%20de%20calidad)\CNWI-QAAS-F072%20Rev.%20A%20Part%20Number%20Accountability.xls" TargetMode="External"/><Relationship Id="rId467" Type="http://schemas.openxmlformats.org/officeDocument/2006/relationships/hyperlink" Target="file:///\\CHNO0276\Aseguranza%20de%20Calidad\Control%20de%20Documentos\Doc.%20controlados%20PDF\Formas\CNWI-SHIP%20(%20Embarques%20)\CNWI-SHIP-F001%20Master%20Track.xls" TargetMode="External"/><Relationship Id="rId632" Type="http://schemas.openxmlformats.org/officeDocument/2006/relationships/hyperlink" Target="file:///\\CHNO0276\Aseguranza%20de%20Calidad\Control%20de%20Documentos\Doc.%20controlados%20PDF\Ayudas%20visuales\Camarillo\Bonding\CNWI-VSHP-000004%20Rev.%20B%20(002360-0000).pub" TargetMode="External"/><Relationship Id="rId1055" Type="http://schemas.openxmlformats.org/officeDocument/2006/relationships/hyperlink" Target="file:///\\chno0276\Control%20de%20Documentos\Doc.%20controlados%20PDF\Flow%20Chart\ITRON\AMSAFE\FC-AMSA-013%20%20003075-0001.pdf" TargetMode="External"/><Relationship Id="rId1097" Type="http://schemas.openxmlformats.org/officeDocument/2006/relationships/hyperlink" Target="file:///\\chno0276\Aseguranza%20de%20Calidad\Control%20de%20Documentos\Doc.%20controlados%20PDF\Quality%20Alerts\ITRON\BONDING\QA-BOND-002%20002359-000X-002360-000X-%20002361-000X%20Empaque%20en%20catidad%2050%20piezas.pdf" TargetMode="External"/><Relationship Id="rId271" Type="http://schemas.openxmlformats.org/officeDocument/2006/relationships/hyperlink" Target="file:///\\chno0276\Aseguranza%20de%20Calidad\Control%20de%20Documentos\Doc.%20controlados%20PDF\Formas\CNWI-SHAE%20(Seguridad%20e%20higiene%20y%20medio%20ambiente)\CNWI-SHAE-F026%20OSHME%20FORMATO%20DE%20REVISION%20ANUAL.xls" TargetMode="External"/><Relationship Id="rId674" Type="http://schemas.openxmlformats.org/officeDocument/2006/relationships/hyperlink" Target="file:///\\CHNO0276\Aseguranza%20de%20Calidad\Control%20de%20Documentos\Doc.%20controlados%20PDF\Ayudas%20visuales\Camarillo\Ensamble%20general\CNWI-VSHP-000180%20%2028-3257-0001.ppt" TargetMode="External"/><Relationship Id="rId881" Type="http://schemas.openxmlformats.org/officeDocument/2006/relationships/hyperlink" Target="file:///\\CHNO0276\Aseguranza%20de%20Calidad\Control%20de%20Documentos\Doc.%20controlados%20PDF\Control%20Plans\MICROMINI\POTTED\CP-POTT-001%20Rev.A%205000108.pdf" TargetMode="External"/><Relationship Id="rId937" Type="http://schemas.openxmlformats.org/officeDocument/2006/relationships/hyperlink" Target="file:///\\chno0276\Aseguranza%20de%20Calidad\Control%20de%20Documentos\Doc.%20controlados%20PDF\Control%20Plans\MICROMINI\CHANGE-OUT\CP-CHGO-014%20%20X865344P.pdf" TargetMode="External"/><Relationship Id="rId979" Type="http://schemas.openxmlformats.org/officeDocument/2006/relationships/hyperlink" Target="file:///\\chno0276\Aseguranza%20de%20Calidad\Control%20de%20Documentos\Doc.%20controlados%20PDF\Flow%20Chart\ITRON\AMSAFE\FC-AMSA%20-002%20%20004070-0001.pdf" TargetMode="External"/><Relationship Id="rId1122" Type="http://schemas.openxmlformats.org/officeDocument/2006/relationships/hyperlink" Target="file:///\\chno0276\Aseguranza%20de%20Calidad\Control%20de%20Documentos\Doc.%20controlados%20PDF\Quality%20Alerts\MICROMINI\MS\QA-MS-011%20Varios%20Identificar%20etiqueta-Punto%20verde.pdf" TargetMode="External"/><Relationship Id="rId24" Type="http://schemas.openxmlformats.org/officeDocument/2006/relationships/hyperlink" Target="file:///\\chno0276\Aseguranza%20de%20Calidad\Control%20de%20Documentos\Doc.%20controlados%20PDF\Instructivos\CNWI-WRHS\CNWI-WHSE-0006%20Procedimiento%20para%20confirmacion%20y%20localizacion%20de%20ensambles%20y%20subensambles.pdf" TargetMode="External"/><Relationship Id="rId66" Type="http://schemas.openxmlformats.org/officeDocument/2006/relationships/hyperlink" Target="file:///\\chno0276\Aseguranza%20de%20Calidad\Control%20de%20Documentos\Doc.%20controlados%20PDF\Instructivos\CNWI-ENGI\CNWI-ENGI-0023%20Estampado%20en%20maquina%20Jan-Tech.pdf" TargetMode="External"/><Relationship Id="rId131" Type="http://schemas.openxmlformats.org/officeDocument/2006/relationships/hyperlink" Target="file:///\\chno0276\Aseguranza%20de%20Calidad\Control%20de%20Documentos\Doc.%20controlados%20PDF\Instructivos\CNWI-QAAS\CNWI-QAAS-0010%20Proc.%20gral%20de%20inspeccion.pdf" TargetMode="External"/><Relationship Id="rId327" Type="http://schemas.openxmlformats.org/officeDocument/2006/relationships/hyperlink" Target="file:///\\chno0276\Aseguranza%20de%20Calidad\Control%20de%20Documentos\Doc.%20controlados%20PDF\Formas\CNWI-ENGI%20(Ingenieria)\CNWI-ENGI-F055%20MATRIZ%20DE%20EMPAQUE.xlsx" TargetMode="External"/><Relationship Id="rId369" Type="http://schemas.openxmlformats.org/officeDocument/2006/relationships/hyperlink" Target="file:///\\chno0276\Aseguranza%20de%20Calidad\Control%20de%20Documentos\Doc.%20controlados%20PDF\Formas\CNWI-QAAS%20(aseguranza%20de%20calidad)\CNWI-QAAS-F052%20Schedule%20Management%20Review.xls" TargetMode="External"/><Relationship Id="rId534" Type="http://schemas.openxmlformats.org/officeDocument/2006/relationships/hyperlink" Target="file:///\\chno0276\Aseguranza%20de%20Calidad\Control%20de%20Documentos\Doc.%20controlados%20PDF\Formas\CNWI-PLNN%20(Planeacion%20)\CNWI-PLNN-F001%20CUST%20REQ%20%20PGI%20REPORT%20.xls" TargetMode="External"/><Relationship Id="rId576" Type="http://schemas.openxmlformats.org/officeDocument/2006/relationships/hyperlink" Target="file:///\\chno0276\Aseguranza%20de%20Calidad\Control%20de%20Documentos\Doc.%20controlados%20PDF\Ayudas%20visuales\Camarillo\Amsafe\VA-AMSA-009%20Rev%20D%20CABLE%20INTERFACE%20511324.ppt" TargetMode="External"/><Relationship Id="rId741" Type="http://schemas.openxmlformats.org/officeDocument/2006/relationships/hyperlink" Target="file:///\\CHNO0276\Aseguranza%20de%20Calidad\Control%20de%20Documentos\Doc.%20controlados%20PDF\Ayudas%20visuales\Micromini\Potted\CNWI-VSHP-000078%20Rev.%20B%20(5000110-Y).pub" TargetMode="External"/><Relationship Id="rId783" Type="http://schemas.openxmlformats.org/officeDocument/2006/relationships/hyperlink" Target="file:///\\chno0276\Control%20de%20Documentos\Doc.%20controlados%20PDF\Ayudas%20visuales\Camarillo\Bonding\VA-BOND-011Rev%20A%20PLUG%20ASSEMBLY%20000102-0381.ppt" TargetMode="External"/><Relationship Id="rId839" Type="http://schemas.openxmlformats.org/officeDocument/2006/relationships/hyperlink" Target="file:///\\chno0276\Aseguranza%20de%20Calidad\Control%20de%20Documentos\Doc.%20controlados%20PDF\Control%20Plans\MICROMINI\CHANGE-OUT\CP-CHGO-001%20%20CA4C5SC060M.pdf" TargetMode="External"/><Relationship Id="rId990" Type="http://schemas.openxmlformats.org/officeDocument/2006/relationships/hyperlink" Target="file:///\\chno0276\Aseguranza%20de%20Calidad\Control%20de%20Documentos\Doc.%20controlados%20PDF\Flow%20Chart\MICROMINI\MS\FC-MS-007%20M5E1811A230MH.pdf" TargetMode="External"/><Relationship Id="rId1164" Type="http://schemas.openxmlformats.org/officeDocument/2006/relationships/hyperlink" Target="file:///\\chno0276\Aseguranza%20de%20Calidad\Control%20de%20Documentos\Doc.%20controlados%20PDF\Quality%20Alerts\SOLAR\QA-SOL-003%20Orientacion%20del%20tubing.pdf" TargetMode="External"/><Relationship Id="rId173" Type="http://schemas.openxmlformats.org/officeDocument/2006/relationships/hyperlink" Target="file:///\\chno0276\Control%20de%20Documentos\Doc.%20controlados%20PDF\Instructivos\CNWI-QAAS\CNWI-QAAS-0036%20%20Procedimiento%20para%20Control%20Plan.pdf" TargetMode="External"/><Relationship Id="rId229" Type="http://schemas.openxmlformats.org/officeDocument/2006/relationships/hyperlink" Target="file:///\\chno0276\Aseguranza%20de%20Calidad\Control%20de%20Documentos\Doc.%20controlados%20PDF\Formas\CNWI-MTTO%20(Mantenimiento)\CNWI-MTTO-F014%20Inventario%20de%20Quimicos.xls" TargetMode="External"/><Relationship Id="rId380" Type="http://schemas.openxmlformats.org/officeDocument/2006/relationships/hyperlink" Target="file:///\\chno0276\Aseguranza%20de%20Calidad\Control%20de%20Documentos\Doc.%20controlados%20PDF\Formas\CNWI-SHAE%20(Seguridad%20e%20higiene%20y%20medio%20ambiente)\CNWI-SHAE-F001%20Formato%20de%20Evaluacion%205s.xls" TargetMode="External"/><Relationship Id="rId436" Type="http://schemas.openxmlformats.org/officeDocument/2006/relationships/hyperlink" Target="file:///\\chno0276\Control%20de%20Documentos\Doc.%20controlados%20PDF\Formas\CNWI-QAAS%20(aseguranza%20de%20calidad)\CNWI-QAAS-F086%20Registro%20calibracion%20reglas.xlsx" TargetMode="External"/><Relationship Id="rId601" Type="http://schemas.openxmlformats.org/officeDocument/2006/relationships/hyperlink" Target="file:///\\chno0276\Aseguranza%20de%20Calidad\Control%20de%20Documentos\Doc.%20controlados%20PDF\Ayudas%20visuales\Camarillo\Amsafe\VA-AMSA-019%20%20Rev%20Doc%20D-%20Drawing%20%20AG%20CABLE%20INTERFACE%20508978%20Pag%203.ppt" TargetMode="External"/><Relationship Id="rId643" Type="http://schemas.openxmlformats.org/officeDocument/2006/relationships/hyperlink" Target="file:///\\CHNO0276\Aseguranza%20de%20Calidad\Control%20de%20Documentos\Doc.%20controlados%20PDF\Ayudas%20visuales\Camarillo\Bonding\CNWI-VSHP-000108%20Rev.%20A%20(BACC65AL-800M).pub" TargetMode="External"/><Relationship Id="rId1024" Type="http://schemas.openxmlformats.org/officeDocument/2006/relationships/hyperlink" Target="file:///\\chno0276\Aseguranza%20de%20Calidad\Control%20de%20Documentos\Doc.%20controlados%20PDF\Flow%20Chart\ITRON\BONDING\FC-BOND-003%20%20BACC65-%20TODOS.pdf" TargetMode="External"/><Relationship Id="rId1066" Type="http://schemas.openxmlformats.org/officeDocument/2006/relationships/hyperlink" Target="file:///\\CHNO0276\Aseguranza%20de%20Calidad\Control%20de%20Documentos\Doc.%20controlados%20PDF\FMEA\ITRON\PLUG\FMEA-%20IPLUG-001%20Rev.%20A%20%20CBA-1300-00628-2302-0001.pdf" TargetMode="External"/><Relationship Id="rId240" Type="http://schemas.openxmlformats.org/officeDocument/2006/relationships/hyperlink" Target="file:///\\chno0276\Aseguranza%20de%20Calidad\Control%20de%20Documentos\Doc.%20controlados%20PDF\Formas\CNWI-WRHS%20(Almacen)\CNWI-WRHS-F003%20FORMA%20CICLOCUENTO.xls" TargetMode="External"/><Relationship Id="rId478" Type="http://schemas.openxmlformats.org/officeDocument/2006/relationships/hyperlink" Target="file:///\\CHNO0276\Aseguranza%20de%20Calidad\Control%20de%20Documentos\Doc.%20controlados%20PDF\Formas\CNWI-PROD%20(%20Produccion%20)\CNWI-PROD-F007%20Temperaturas%20de%20moldeado.xls" TargetMode="External"/><Relationship Id="rId685" Type="http://schemas.openxmlformats.org/officeDocument/2006/relationships/hyperlink" Target="file:///\\CHNO0276\Aseguranza%20de%20Calidad\Control%20de%20Documentos\Doc.%20controlados%20PDF\Ayudas%20visuales\Micromini\General\CNWI-VSHP-000007%20Rev.%20A%20(MEZCLA%20DE%20EPOXY).pub" TargetMode="External"/><Relationship Id="rId850" Type="http://schemas.openxmlformats.org/officeDocument/2006/relationships/hyperlink" Target="file:///\\chno0276\Aseguranza%20de%20Calidad\Control%20de%20Documentos\Doc.%20controlados%20PDF\Control%20Plans\MICROMINI\CELDA%20A&amp;B\CP-A&amp;B-016%20%20ML4C4TC.pdf" TargetMode="External"/><Relationship Id="rId892" Type="http://schemas.openxmlformats.org/officeDocument/2006/relationships/hyperlink" Target="file:///\\CHNO0276\Aseguranza%20de%20Calidad\Control%20de%20Documentos\Doc.%20controlados%20PDF\Control%20Plans\SOLAR\CP-SOL-003%20Rev.A%20%20SCHUCO.pdf" TargetMode="External"/><Relationship Id="rId906" Type="http://schemas.openxmlformats.org/officeDocument/2006/relationships/hyperlink" Target="file:///\\chno0276\Aseguranza%20de%20Calidad\Control%20de%20Documentos\Doc.%20controlados%20PDF\Control%20Plans\ITRON\AMSAFE\CP-AMSA-012%20004002-0001.pdf" TargetMode="External"/><Relationship Id="rId948" Type="http://schemas.openxmlformats.org/officeDocument/2006/relationships/hyperlink" Target="file:///\\chno0276\Aseguranza%20de%20Calidad\Control%20de%20Documentos\Doc.%20controlados%20PDF\Control%20Plans\MICROMINI\CELDA%20A&amp;B\CP-A&amp;B-040%20%20AM2C2MG030F,%20AM3C2MG030F,%20AM4C2MG030F,%20AM5C2MG030F.pdf" TargetMode="External"/><Relationship Id="rId1133" Type="http://schemas.openxmlformats.org/officeDocument/2006/relationships/hyperlink" Target="file:///\\CHNO0276\Aseguranza%20de%20Calidad\Control%20de%20Documentos\Doc.%20controlados%20PDF\Quality%20Alerts\ITRON\ENSAMBLE%20GENERAL\QA-EGRAL-004%20Rev.%20A%20000201-2551%20Mal%20estampado%20-Falta%20de%20caracter.pdf" TargetMode="External"/><Relationship Id="rId35" Type="http://schemas.openxmlformats.org/officeDocument/2006/relationships/hyperlink" Target="file:///\\chno0276\Aseguranza%20de%20Calidad\Control%20de%20Documentos\Doc.%20controlados%20PDF\Instructivos\CNWI-PRCS\CNWI-PRCS-0003%20Instructivo%20de%20compras.pdf" TargetMode="External"/><Relationship Id="rId77" Type="http://schemas.openxmlformats.org/officeDocument/2006/relationships/hyperlink" Target="file:///\\chno0276\Aseguranza%20de%20Calidad\Control%20de%20Documentos\Doc.%20controlados%20PDF\Instructivos\CNWI-ENGI\CNWI-ENGI-0034%20Elaboracion%20de%20routing.pdf" TargetMode="External"/><Relationship Id="rId100" Type="http://schemas.openxmlformats.org/officeDocument/2006/relationships/hyperlink" Target="file:///\\chno0276\Aseguranza%20de%20Calidad\Control%20de%20Documentos\Doc.%20controlados%20PDF\Instructivos\CNWI-ENGI\CNWI-ENGI-0058%20Prueba%20de%20continuidad%20y%20presencia%20%20O-Ring.pdf" TargetMode="External"/><Relationship Id="rId282" Type="http://schemas.openxmlformats.org/officeDocument/2006/relationships/hyperlink" Target="file:///\\chno0276\Aseguranza%20de%20Calidad\Control%20de%20Documentos\Doc.%20controlados%20PDF\Formas\CNWI-PRCS%20(compras)\CNWI-PRCS-F009%20Listado%20de%20evaluacion%20de%20proveedores%20MRO.xls" TargetMode="External"/><Relationship Id="rId338" Type="http://schemas.openxmlformats.org/officeDocument/2006/relationships/hyperlink" Target="file:///\\CHNO0276\Aseguranza%20de%20Calidad\Control%20de%20Documentos\Doc.%20controlados%20PDF\Formas\CNWI-QAAS%20(aseguranza%20de%20calidad)\CNWI-QAAS-F015%20%20Codigos%20de%20Defectos%20de%20Proceso.pdf" TargetMode="External"/><Relationship Id="rId503" Type="http://schemas.openxmlformats.org/officeDocument/2006/relationships/hyperlink" Target="file:///\\CHNO0276\Aseguranza%20de%20Calidad\Control%20de%20Documentos\Doc.%20controlados%20PDF\Formas\CNWI-PROD%20(%20Produccion%20)\CNWI-PROD-F032%20ETIQUETAS%20557%60s.xls" TargetMode="External"/><Relationship Id="rId545" Type="http://schemas.openxmlformats.org/officeDocument/2006/relationships/hyperlink" Target="file:///\\chno0276\Aseguranza%20de%20Calidad\Control%20de%20Documentos\Doc.%20controlados%20PDF\Formas\CNWI-QAAS%20(aseguranza%20de%20calidad)\F-QAAS-06-001%20Rev.%20A%20MRB%20LOG%20.xlsx" TargetMode="External"/><Relationship Id="rId587" Type="http://schemas.openxmlformats.org/officeDocument/2006/relationships/hyperlink" Target="file:///\\chno0276\Control%20de%20Documentos\Doc.%20controlados%20PDF\Ayudas%20visuales\Camarillo\General\VA-CGRAL-002%20%20REV%20H%20ESPECIFICACIONES%20DE%20CORTE%20Y%20PREPARACION%20ITRON.ppt" TargetMode="External"/><Relationship Id="rId710" Type="http://schemas.openxmlformats.org/officeDocument/2006/relationships/hyperlink" Target="file:///\\CHNO0276\Aseguranza%20de%20Calidad\Control%20de%20Documentos\Doc.%20controlados%20PDF\Ayudas%20visuales\Micromini\A%20y%20B\CNWI-VSHP-000054%20Rev.%20A%20(5000111-Q).pub" TargetMode="External"/><Relationship Id="rId752" Type="http://schemas.openxmlformats.org/officeDocument/2006/relationships/hyperlink" Target="file:///\\CHNO0276\Aseguranza%20de%20Calidad\Control%20de%20Documentos\Doc.%20controlados%20PDF\Ayudas%20visuales\Micromini\Rocwell\CNWI-VSHP-000220%20Rev%20A%20EMPAQUE%20DE%20COMPONENTES%20SERIES%201786.pptx" TargetMode="External"/><Relationship Id="rId808" Type="http://schemas.openxmlformats.org/officeDocument/2006/relationships/hyperlink" Target="file:///\\CHNO0276\Aseguranza%20de%20Calidad\Control%20de%20Documentos\Doc.%20controlados%20PDF\Especificaciones%20genericas\Micromini\MS\CNWI-ENGI-F019%20Rev.%20H%20Especificaciones%20de%20empaque%20MS.xls" TargetMode="External"/><Relationship Id="rId1175" Type="http://schemas.openxmlformats.org/officeDocument/2006/relationships/hyperlink" Target="file:///\\chno0276\Aseguranza%20de%20Calidad\Control%20de%20Documentos\Doc.%20controlados%20PDF\Quality%20Alerts\ITRON\BONDING\QA-BOND-010%20ENGOMADO%20002359-0002%20(129-0029-002).pdf" TargetMode="External"/><Relationship Id="rId8" Type="http://schemas.openxmlformats.org/officeDocument/2006/relationships/hyperlink" Target="file:///\\chno0276\Aseguranza%20de%20Calidad\Control%20de%20Documentos\Doc.%20controlados%20PDF\Procedimientos\CNSOP-04%20Manejo%20de%20material%20no%20conformante.pdf" TargetMode="External"/><Relationship Id="rId142" Type="http://schemas.openxmlformats.org/officeDocument/2006/relationships/hyperlink" Target="file:///\\chno0276\Aseguranza%20de%20Calidad\Control%20de%20Documentos\Doc.%20controlados%20PDF\Instructivos\CNWI-QAAS\CNWI-QAAS-0012%20Flujo%20de%20Proceso%20de%20Inspeccion%20P-Itron%20RCPT%20%20y%20PLUG.pdf" TargetMode="External"/><Relationship Id="rId184" Type="http://schemas.openxmlformats.org/officeDocument/2006/relationships/hyperlink" Target="file:///\\chno0276\Aseguranza%20de%20Calidad\Control%20de%20Documentos\Doc.%20controlados%20PDF\Formas\CNWI-QAAS%20(aseguranza%20de%20calidad)\CNWI-QAAS-F040%20AS9101_D%20Checklist.xlsx" TargetMode="External"/><Relationship Id="rId391" Type="http://schemas.openxmlformats.org/officeDocument/2006/relationships/hyperlink" Target="file:///\\CHNO0276\Aseguranza%20de%20Calidad\Control%20de%20Documentos\Doc.%20controlados%20PDF\Formas\CNWI-QAAS%20(aseguranza%20de%20calidad)\CNWI-QAAS-F083%20Registro%20de%20inspeccion%20de%20moldeo.xlsx" TargetMode="External"/><Relationship Id="rId405" Type="http://schemas.openxmlformats.org/officeDocument/2006/relationships/hyperlink" Target="file:///\\chno0276\Control%20de%20Documentos\Doc.%20controlados%20PDF\Formas\CNWI-QAAS%20(aseguranza%20de%20calidad)\CNWI-QAAS-F124%20New%20PPAP%20Formato.xls" TargetMode="External"/><Relationship Id="rId447" Type="http://schemas.openxmlformats.org/officeDocument/2006/relationships/hyperlink" Target="file:///\\CHNO0276\Aseguranza%20de%20Calidad\Control%20de%20Documentos\Doc.%20controlados%20PDF\Formas\CNWI-QAAS%20(aseguranza%20de%20calidad)\CNWI-QAAS-F100%20Etiqueta%20de%20Calibracion.xls" TargetMode="External"/><Relationship Id="rId612" Type="http://schemas.openxmlformats.org/officeDocument/2006/relationships/hyperlink" Target="file:///\\chno0276\Control%20de%20Documentos\Doc.%20controlados%20PDF\Ayudas%20visuales\Camarillo\Amsafe\VA-AMSA-027%20Rev%20Doc%20D%20-%20Rev%20Drawing%20H%20%20CABLE%20ASSEMBLY%20PIGTAIL%20508340%20%20003077-001.ppt" TargetMode="External"/><Relationship Id="rId794" Type="http://schemas.openxmlformats.org/officeDocument/2006/relationships/hyperlink" Target="file:///\\chno0276\Control%20de%20Documentos\Doc.%20controlados%20PDF\Especificaciones%20genericas\Camarillo\Ensamble%20General\Rev%20%20D%20Especificaciones%20de%20empaque%20%20de%20ensamble%20general.xls" TargetMode="External"/><Relationship Id="rId1035" Type="http://schemas.openxmlformats.org/officeDocument/2006/relationships/hyperlink" Target="file:///\\chno0276\Aseguranza%20de%20Calidad\Control%20de%20Documentos\Doc.%20controlados%20PDF\Flow%20Chart\ITRON\BONDING\FC-BOND-018%20%20%20%20002501-0001%20y%20002505-0001.pdf" TargetMode="External"/><Relationship Id="rId1077" Type="http://schemas.openxmlformats.org/officeDocument/2006/relationships/hyperlink" Target="file:///\\chno0276\Aseguranza%20de%20Calidad\Control%20de%20Documentos\Doc.%20controlados%20PDF\FMEA\ITRON\BONDING\FMEA-BOND-003%20%20BACC65%20TODOS.pdf" TargetMode="External"/><Relationship Id="rId1200" Type="http://schemas.openxmlformats.org/officeDocument/2006/relationships/hyperlink" Target="file:///\\chno0276\Aseguranza%20de%20Calidad\Control%20de%20Documentos\Doc.%20controlados%20PDF\Especificaciones%20genericas\Micromini\POTTED\CNWI-ENGI-F019%20Rev%20%20J%20%20Especificaciones%20de%20insercion%20de%20conductores%20area%20Potted.xls" TargetMode="External"/><Relationship Id="rId251" Type="http://schemas.openxmlformats.org/officeDocument/2006/relationships/hyperlink" Target="file:///\\chno0276\Aseguranza%20de%20Calidad\Control%20de%20Documentos\Doc.%20controlados%20PDF\Formas\CNWI-SHAE%20(Seguridad%20e%20higiene%20y%20medio%20ambiente)\CNWI-SHAE-F004%20control%20de%20entradas%20y%20salidas%20contratistas%20.xls" TargetMode="External"/><Relationship Id="rId489" Type="http://schemas.openxmlformats.org/officeDocument/2006/relationships/hyperlink" Target="file:///\\CHNO0276\Aseguranza%20de%20Calidad\Control%20de%20Documentos\Doc.%20controlados%20PDF\Formas\CNWI-PROD%20(%20Produccion%20)\CNWI-PROD-F018%20Etiqueta%20relays%204.xls" TargetMode="External"/><Relationship Id="rId654" Type="http://schemas.openxmlformats.org/officeDocument/2006/relationships/hyperlink" Target="file:///\\CHNO0276\Aseguranza%20de%20Calidad\Control%20de%20Documentos\Doc.%20controlados%20PDF\Ayudas%20visuales\Camarillo\Amsafe\CNWI-VSHP-000201%20Rev%20A%20%20CABLE%20ASSEMBLY%20INTERFACE%20508976%20partes004022-0001%20,%20004036-0001.ppt" TargetMode="External"/><Relationship Id="rId696" Type="http://schemas.openxmlformats.org/officeDocument/2006/relationships/hyperlink" Target="file:///\\CHNO0276\Aseguranza%20de%20Calidad\Control%20de%20Documentos\Doc.%20controlados%20PDF\Ayudas%20visuales\Micromini\General\CNWI-VSHP-000173%20retiro%20piezas%20de%20molde.pub" TargetMode="External"/><Relationship Id="rId861" Type="http://schemas.openxmlformats.org/officeDocument/2006/relationships/hyperlink" Target="file:///\\chno0276\Aseguranza%20de%20Calidad\Control%20de%20Documentos\Doc.%20controlados%20PDF\Control%20Plans\MICROMINI\CELDA%20A&amp;B\CP-A&amp;B-032%20%20XC3XXXXXXXXX.pdf" TargetMode="External"/><Relationship Id="rId917" Type="http://schemas.openxmlformats.org/officeDocument/2006/relationships/hyperlink" Target="file:///\\chno0276\Aseguranza%20de%20Calidad\Control%20de%20Documentos\Doc.%20controlados%20PDF\Control%20Plans\MICROMINI\MS\CP-MS-018%20%20CHCCR003P.pdf" TargetMode="External"/><Relationship Id="rId959" Type="http://schemas.openxmlformats.org/officeDocument/2006/relationships/hyperlink" Target="file:///\\chno0276\Aseguranza%20de%20Calidad\Control%20de%20Documentos\Doc.%20controlados%20PDF\Control%20Plans\ITRON\BONDING\CP-BOND-014%20%20%20002371-0002%20&amp;%20002371-0004.pdf" TargetMode="External"/><Relationship Id="rId1102" Type="http://schemas.openxmlformats.org/officeDocument/2006/relationships/hyperlink" Target="file:///\\chno0276\Aseguranza%20de%20Calidad\Control%20de%20Documentos\Doc.%20controlados%20PDF\Quality%20Alerts\ITRON\BONDING\QA-BOND-007%20027-0231-001%20Grommet%20da&#241;ado-Cortado%20rasgado.pdf" TargetMode="External"/><Relationship Id="rId46" Type="http://schemas.openxmlformats.org/officeDocument/2006/relationships/hyperlink" Target="file:///\\chno0276\Control%20de%20Documentos\Doc.%20controlados%20PDF\Instructivos\CNWI-ENGI\CNWI-ENGI-0003%20Cambios%20de%20Ingenier&#237;a%20_ECR-ECN_.pdf" TargetMode="External"/><Relationship Id="rId293" Type="http://schemas.openxmlformats.org/officeDocument/2006/relationships/hyperlink" Target="file:///\\chno0276\Aseguranza%20de%20Calidad\Control%20de%20Documentos\Doc.%20controlados%20PDF\Formas\CNWI-ENGI%20(Ingenieria)\CNWI-ENGI-F015%20forma%20para%20caducidad%20de%20la%20goma%20(chemlok).xls" TargetMode="External"/><Relationship Id="rId307" Type="http://schemas.openxmlformats.org/officeDocument/2006/relationships/hyperlink" Target="file:///\\chno0276\Aseguranza%20de%20Calidad\Control%20de%20Documentos\Doc.%20controlados%20PDF\Formas\CNWI-ENGI%20(Ingenieria)\CNWI-ENGI-F034%20Registro%20de%20Tiempos%20de%20Purga%20y%20Set-Up%20de%20Moldeadoras.xls" TargetMode="External"/><Relationship Id="rId349" Type="http://schemas.openxmlformats.org/officeDocument/2006/relationships/hyperlink" Target="file:///\\chno0276\Aseguranza%20de%20Calidad\Control%20de%20Documentos\Doc.%20controlados%20PDF\Formas\CNWI-QAAS%20(aseguranza%20de%20calidad)\CNWI-QAAS-F028%20Histograma.xls" TargetMode="External"/><Relationship Id="rId514" Type="http://schemas.openxmlformats.org/officeDocument/2006/relationships/hyperlink" Target="file:///\\CHNO0276\Aseguranza%20de%20Calidad\Control%20de%20Documentos\Doc.%20controlados%20PDF\Formas\CNWI-QAAS%20(aseguranza%20de%20calidad)\CNWI-QAAS-F065%20Certificate%20%20of%20Conformance%20.pdf" TargetMode="External"/><Relationship Id="rId556" Type="http://schemas.openxmlformats.org/officeDocument/2006/relationships/hyperlink" Target="file:///\\CHNO0276\Aseguranza%20de%20Calidad\Control%20de%20Documentos\Doc.%20controlados%20PDF\Ayudas%20visuales\Camarillo\Amsafe\VA-AMSA-002%20Rev%20A%20%20CABLE%20ASSEMPLY%20EXTENTION%20%20DRAWING%20509800%20%20PART%20%20%20004038-0001.ppt" TargetMode="External"/><Relationship Id="rId721" Type="http://schemas.openxmlformats.org/officeDocument/2006/relationships/hyperlink" Target="file:///\\CHNO0276\Aseguranza%20de%20Calidad\Control%20de%20Documentos\Doc.%20controlados%20PDF\Ayudas%20visuales\Micromini\A%20y%20B\CNWI-VSHP-000167%20%205000109-BE.pub" TargetMode="External"/><Relationship Id="rId763" Type="http://schemas.openxmlformats.org/officeDocument/2006/relationships/hyperlink" Target="file:///\\chno0276\Aseguranza%20de%20Calidad\Control%20de%20Documentos\Doc.%20controlados%20PDF\Ayudas%20visuales\Micromini\General\VA-MGRAL-003%20Rev%20C%20%20REMACHADO%20DE%20CONTACTOS%20MICROMINI%20(2).pptx" TargetMode="External"/><Relationship Id="rId1144" Type="http://schemas.openxmlformats.org/officeDocument/2006/relationships/hyperlink" Target="file:///\\CHNO0276\Aseguranza%20de%20Calidad\Control%20de%20Documentos\Doc.%20controlados%20PDF\Quality%20Alerts\MOLDEO\Moldeo%20Moorpark\QA-MRPK-002%20Rev.%20A%20RF22-2852-5%20Clamp%20-Configaracion%20incorrecta.pdf" TargetMode="External"/><Relationship Id="rId1186" Type="http://schemas.openxmlformats.org/officeDocument/2006/relationships/hyperlink" Target="file:///\\CHNO0276\Aseguranza%20de%20Calidad\Control%20de%20Documentos\Doc.%20controlados%20PDF\Especificaciones%20genericas\Micromini\CHANGE%20OUT\CNWI-ENGI-F019%20Rev.%20A%20Especificaciones%20dedespoje%20de%20chaqueta%20Change%20Out%20Rev.%20A.xlsx" TargetMode="External"/><Relationship Id="rId88" Type="http://schemas.openxmlformats.org/officeDocument/2006/relationships/hyperlink" Target="file:///\\chno0276\Aseguranza%20de%20Calidad\Control%20de%20Documentos\Doc.%20controlados%20PDF\Instructivos\CNWI-ENGI\CNWI-ENGI-0045%20Maquina%20RIDGID%20cortadora%20de%20conduit.pdf" TargetMode="External"/><Relationship Id="rId111" Type="http://schemas.openxmlformats.org/officeDocument/2006/relationships/hyperlink" Target="file:///\\chno0276\Aseguranza%20de%20Calidad\Control%20de%20Documentos\Doc.%20controlados%20PDF\Instructivos\CNWI-ENGI\CNWI-ENGI-0069%20Remachado%20de%20contactos%20en%20Maquina%20Salem.pdf" TargetMode="External"/><Relationship Id="rId153" Type="http://schemas.openxmlformats.org/officeDocument/2006/relationships/hyperlink" Target="file:///\\chno0276\Aseguranza%20de%20Calidad\Control%20de%20Documentos\Doc.%20controlados%20PDF\Instructivos\CNWI-QAAS\CNWI-QAAS-0025%20%20Validacion%20de%20componentes.pdf" TargetMode="External"/><Relationship Id="rId195" Type="http://schemas.openxmlformats.org/officeDocument/2006/relationships/hyperlink" Target="file:///\\chno0276\Aseguranza%20de%20Calidad\Control%20de%20Documentos\Doc.%20controlados%20PDF\Formas\CNWI-QAAS%20(aseguranza%20de%20calidad)\CNWI-QAAS-F008-D%20Liberacion%20primera%20pieza%20ITRON.pptx" TargetMode="External"/><Relationship Id="rId209" Type="http://schemas.openxmlformats.org/officeDocument/2006/relationships/hyperlink" Target="file:///\\chno0276\Aseguranza%20de%20Calidad\Control%20de%20Documentos\Doc.%20controlados%20PDF\Formas\CNWI-HMRS%20(Recursos%20Humanos)\CNWI-HMRS-F007%20Rev%20%20C%20FORMATO%20TIEMPO%20EXTRA.xlsx" TargetMode="External"/><Relationship Id="rId360" Type="http://schemas.openxmlformats.org/officeDocument/2006/relationships/hyperlink" Target="file:///\\chno0276\Aseguranza%20de%20Calidad\Control%20de%20Documentos\Doc.%20controlados%20PDF\Formas\CNWI-QAAS%20(aseguranza%20de%20calidad)\CNWI-QAAS-F042%20FAI%20Forms.xlsx" TargetMode="External"/><Relationship Id="rId416" Type="http://schemas.openxmlformats.org/officeDocument/2006/relationships/hyperlink" Target="file:///\\CHNO0276\Aseguranza%20de%20Calidad\Control%20de%20Documentos\Doc.%20controlados%20PDF\Formas\CNWI-ENGI%20(Ingenieria)\CNWI-ENGI-F062%20Especificacion%20de%20corte%20de%20cable%20en%20Solar.xls" TargetMode="External"/><Relationship Id="rId598" Type="http://schemas.openxmlformats.org/officeDocument/2006/relationships/hyperlink" Target="file:///\\chno0276\Control%20de%20Documentos\Doc.%20controlados%20PDF\Ayudas%20visuales\Camarillo\Amsafe\VA-AMSA-016%20%20Rev%20Doc%20H%20-%20Drawing%20%20BN%20Cable%20assembly%20interface%20509976%20Pag%207.ppt" TargetMode="External"/><Relationship Id="rId819" Type="http://schemas.openxmlformats.org/officeDocument/2006/relationships/hyperlink" Target="file:///\\CHNO0276\Aseguranza%20de%20Calidad\Control%20de%20Documentos\Doc.%20controlados%20PDF\Especificaciones%20genericas\Micromini\PLEX\CNWI-ENGI-F019%20Rev.%20A%20Especificaciones%20de%20empaque%20Plex.xls" TargetMode="External"/><Relationship Id="rId970" Type="http://schemas.openxmlformats.org/officeDocument/2006/relationships/hyperlink" Target="file:///\\chno0276\Aseguranza%20de%20Calidad\Control%20de%20Documentos\Doc.%20controlados%20PDF\Control%20Plans\ITRON\BONDING\CP-BOND-023%20%20%20BACC65AJXXXS.pdf" TargetMode="External"/><Relationship Id="rId1004" Type="http://schemas.openxmlformats.org/officeDocument/2006/relationships/hyperlink" Target="file:///\\chno0276\Aseguranza%20de%20Calidad\Control%20de%20Documentos\Doc.%20controlados%20PDF\Flow%20Chart\MICROMINI\CHANGE-OUT\FC-CHGO-004%20%20CX8653330P.pdf" TargetMode="External"/><Relationship Id="rId1046" Type="http://schemas.openxmlformats.org/officeDocument/2006/relationships/hyperlink" Target="file:///\\chno0276\Control%20de%20Documentos\Doc.%20controlados%20PDF\Flow%20Chart\ITRON\AMSAFE\FC-%20AMSA%20-004%20004062-0001.pdf" TargetMode="External"/><Relationship Id="rId220" Type="http://schemas.openxmlformats.org/officeDocument/2006/relationships/hyperlink" Target="file:///\\chno0276\Aseguranza%20de%20Calidad\Control%20de%20Documentos\Doc.%20controlados%20PDF\Formas\CNWI-MTTO%20(Mantenimiento)\CNWI-MTTO-F002%20inventario%20de%20moldes.xls" TargetMode="External"/><Relationship Id="rId458" Type="http://schemas.openxmlformats.org/officeDocument/2006/relationships/hyperlink" Target="file:///\\CHNO0276\Aseguranza%20de%20Calidad\Control%20de%20Documentos\Doc.%20controlados%20PDF\Formas\CNWI-QAAS%20(aseguranza%20de%20calidad)\CNWI-QAAS-F116%20Weekly%20PPM%20on%20FAI.xls" TargetMode="External"/><Relationship Id="rId623" Type="http://schemas.openxmlformats.org/officeDocument/2006/relationships/hyperlink" Target="file:///\\CHNO0276\Aseguranza%20de%20Calidad\Control%20de%20Documentos\Doc.%20controlados%20PDF\Ayudas%20visuales\Camarillo\Itron\CNWI-VSHP-000114%20REV.%20A%20(CBA-0349-104).pub" TargetMode="External"/><Relationship Id="rId665" Type="http://schemas.openxmlformats.org/officeDocument/2006/relationships/hyperlink" Target="file:///\\CHNO0276\Aseguranza%20de%20Calidad\Control%20de%20Documentos\Doc.%20controlados%20PDF\Ayudas%20visuales\Camarillo\Ensamble%20general\CNWI-VSHP-000084%20Rev.%20A%20(002144-0000).pub" TargetMode="External"/><Relationship Id="rId830" Type="http://schemas.openxmlformats.org/officeDocument/2006/relationships/hyperlink" Target="file:///\\chno0276\Aseguranza%20de%20Calidad\Control%20de%20Documentos\Doc.%20controlados%20PDF\Control%20Plans\MICROMINI\CELDA%20A&amp;B\CP-A&amp;B-011%20%20AT3RC3R.pdf" TargetMode="External"/><Relationship Id="rId872" Type="http://schemas.openxmlformats.org/officeDocument/2006/relationships/hyperlink" Target="file:///\\chno0276\Aseguranza%20de%20Calidad\Control%20de%20Documentos\Doc.%20controlados%20PDF\Control%20Plans\MICROMINI\CELDA%20A&amp;B\CP-A&amp;B-035%205000129-BE.pdf" TargetMode="External"/><Relationship Id="rId928" Type="http://schemas.openxmlformats.org/officeDocument/2006/relationships/hyperlink" Target="file:///\\chno0276\Aseguranza%20de%20Calidad\Control%20de%20Documentos\Doc.%20controlados%20PDF\Control%20Plans\MICROMINI\MS\CP-MS-025%20%20SMEA0120010,%200030,%200040,%200040,%200045.pdf" TargetMode="External"/><Relationship Id="rId1088" Type="http://schemas.openxmlformats.org/officeDocument/2006/relationships/hyperlink" Target="file:///\\chno0276\Aseguranza%20de%20Calidad\Control%20de%20Documentos\Doc.%20controlados%20PDF\FMEA\MICROMINI\CHANGE-OUT\FMEA-CHGO-010%20.pdf" TargetMode="External"/><Relationship Id="rId15" Type="http://schemas.openxmlformats.org/officeDocument/2006/relationships/hyperlink" Target="file:///\\chno0276\Control%20de%20Documentos\Doc.%20controlados%20PDF\Instructivos\CNWI-MTTO\CNWI-MTTO-0001%20Procedimiento%20de%20Mantenimiento.pdf" TargetMode="External"/><Relationship Id="rId57" Type="http://schemas.openxmlformats.org/officeDocument/2006/relationships/hyperlink" Target="file:///\\chno0276\Aseguranza%20de%20Calidad\Control%20de%20Documentos\Doc.%20controlados%20PDF\Instructivos\CNWI-ENGI\CNWI-ENGI-0013%20Maquina%20Moldeadora%20Ahi-Top%20Modelo%20AHT.pdf" TargetMode="External"/><Relationship Id="rId262" Type="http://schemas.openxmlformats.org/officeDocument/2006/relationships/hyperlink" Target="file:///\\chno0276\Aseguranza%20de%20Calidad\Control%20de%20Documentos\Doc.%20controlados%20PDF\Formas\CNWI-SHAE%20(Seguridad%20e%20higiene%20y%20medio%20ambiente)\CNWI-SHAE-F015%20Permiso%20de%20Acceso%20a%20Espacios%20Confinados.doc" TargetMode="External"/><Relationship Id="rId318" Type="http://schemas.openxmlformats.org/officeDocument/2006/relationships/hyperlink" Target="file:///\\chno0276\Aseguranza%20de%20Calidad\Control%20de%20Documentos\Doc.%20controlados%20PDF\Formas\CNWI-ENGI%20(Ingenieria)\CNWI-ENGI-F045%20Drawing%20Change%20Notification.xls" TargetMode="External"/><Relationship Id="rId525" Type="http://schemas.openxmlformats.org/officeDocument/2006/relationships/hyperlink" Target="file:///\\chno0276\Aseguranza%20de%20Calidad\Control%20de%20Documentos\Documentos%20controlados\CN-HMRS%20(Recursos%20Humanos)\FORMAS\CNWI-HMRS-F021%20Rev.%20A%20Solicitud%20de%20aplicacion%20para%20vacante%20ineterna.xlsx" TargetMode="External"/><Relationship Id="rId567" Type="http://schemas.openxmlformats.org/officeDocument/2006/relationships/hyperlink" Target="file:///\\CHNO0276\Aseguranza%20de%20Calidad\Control%20de%20Documentos\Doc.%20controlados%20PDF\Ayudas%20visuales\Camarillo\General\VA-CGRAL-001%20Rev%20C%20prueba%20de%20o-ring.ppt" TargetMode="External"/><Relationship Id="rId732" Type="http://schemas.openxmlformats.org/officeDocument/2006/relationships/hyperlink" Target="file:///\\CHNO0276\Aseguranza%20de%20Calidad\Control%20de%20Documentos\Doc.%20controlados%20PDF\Ayudas%20visuales\Micromini\MS\CNWI-VSHP-000217%20Rev%20A%20GAP%20DEL%20DIBUJO%20568055-A,%20568055-B%20Y%20568055-C.pptx" TargetMode="External"/><Relationship Id="rId1113" Type="http://schemas.openxmlformats.org/officeDocument/2006/relationships/hyperlink" Target="file:///\\chno0276\Aseguranza%20de%20Calidad\Control%20de%20Documentos\Doc.%20controlados%20PDF\Quality%20Alerts\MICROMINI\MS\QA-MS-002%20MEA0114010%20Pieza%20da&#241;ada.pdf" TargetMode="External"/><Relationship Id="rId1155" Type="http://schemas.openxmlformats.org/officeDocument/2006/relationships/hyperlink" Target="file:///\\CHNO0276\Aseguranza%20de%20Calidad\Control%20de%20Documentos\Doc.%20controlados%20PDF\Quality%20Alerts\ITRON\MULTICELL%20A&amp;B\QA-IMB-004%20Rev.%20A%20%20127-0461-001%20Legenda%20Ilegible.pdf" TargetMode="External"/><Relationship Id="rId1197" Type="http://schemas.openxmlformats.org/officeDocument/2006/relationships/hyperlink" Target="file:///\\chno0276\Aseguranza%20de%20Calidad\Control%20de%20Documentos\Doc.%20controlados%20PDF\Especificaciones%20genericas\Micromini\MS\CNWI-ENGI-F019%20Rev%20%20O%20Especificaciones%20de%20insercion%20de%20conductores%20area%20MS.xlsx" TargetMode="External"/><Relationship Id="rId99" Type="http://schemas.openxmlformats.org/officeDocument/2006/relationships/hyperlink" Target="file:///\\chno0276\Aseguranza%20de%20Calidad\Control%20de%20Documentos\Doc.%20controlados%20PDF\Instructivos\CNWI-ENGI\CNWI-ENGI-0057%20Prueba%20Electrica%20en%20Maquina%20VITREK%20V53%20ACDC.pdf" TargetMode="External"/><Relationship Id="rId122" Type="http://schemas.openxmlformats.org/officeDocument/2006/relationships/hyperlink" Target="file:///\\chno0276\Aseguranza%20de%20Calidad\Control%20de%20Documentos\Doc.%20controlados%20PDF\Instructivos\CNWI-ENGI\CNWI-ENGI-0086%20Elaboracion%20de%20BOM.pdf" TargetMode="External"/><Relationship Id="rId164" Type="http://schemas.openxmlformats.org/officeDocument/2006/relationships/hyperlink" Target="file:///\\chno0276\Aseguranza%20de%20Calidad\Control%20de%20Documentos\Doc.%20controlados%20PDF\Instructivos\CNWI-QAAS\CNWI-QAAS-041%20Rev.%20A%20Proceso%20de%20auditoria%20out%20of%20box.pdf" TargetMode="External"/><Relationship Id="rId371" Type="http://schemas.openxmlformats.org/officeDocument/2006/relationships/hyperlink" Target="file:///\\chno0276\Aseguranza%20de%20Calidad\Control%20de%20Documentos\Doc.%20controlados%20PDF\Formas\CNWI-QAAS%20(aseguranza%20de%20calidad)\CNWI-QAAS-F055%20DR%20Report%20ordenes%20de%20retrabajo%20%20Recibidas%20Fuera%20Del%20SAP%202011.xlsx" TargetMode="External"/><Relationship Id="rId774" Type="http://schemas.openxmlformats.org/officeDocument/2006/relationships/hyperlink" Target="file:///\\chno0276\Control%20de%20Documentos\Doc.%20controlados%20PDF\Ayudas%20visuales\Camarillo\Amsafe\VA-AMSA-034%20Rev%20A%20%20EMPAQUE%20GENERAL%20DE%20AMSAFE.ppt" TargetMode="External"/><Relationship Id="rId981" Type="http://schemas.openxmlformats.org/officeDocument/2006/relationships/hyperlink" Target="file:///\\chno0276\Aseguranza%20de%20Calidad\Control%20de%20Documentos\Doc.%20controlados%20PDF\Flow%20Chart\ITRON\AMSAFE\FC-AMSA%20-003%200044071-0001.pdf" TargetMode="External"/><Relationship Id="rId1015" Type="http://schemas.openxmlformats.org/officeDocument/2006/relationships/hyperlink" Target="file:///\\chno0276\Control%20de%20Documentos\Doc.%20controlados%20PDF\Flow%20Chart\MICROMINI\CHANGE-OUT\FC-CHGO-013%20Rev.%20A%20%20%20X8653382P.xlsx" TargetMode="External"/><Relationship Id="rId1057" Type="http://schemas.openxmlformats.org/officeDocument/2006/relationships/hyperlink" Target="file:///\\chno0276\Control%20de%20Documentos\Doc.%20controlados%20PDF\Flow%20Chart\ITRON\AMSAFE\FC-AMSA-016%20%20004038-0001.pdf" TargetMode="External"/><Relationship Id="rId427" Type="http://schemas.openxmlformats.org/officeDocument/2006/relationships/hyperlink" Target="file:///\\CHNO0276\Aseguranza%20de%20Calidad\Control%20de%20Documentos\Doc.%20controlados%20PDF\Formas\CNWI-QAAS%20(aseguranza%20de%20calidad)\CNWI-QAAS-F074%20Characteristics%20Accountability,%20Verification%20and%20Compatibility%20Evaluation.xls" TargetMode="External"/><Relationship Id="rId469" Type="http://schemas.openxmlformats.org/officeDocument/2006/relationships/hyperlink" Target="file:///\\CHNO0276\Aseguranza%20de%20Calidad\Control%20de%20Documentos\Doc.%20controlados%20PDF\Formas\CNWI-SHIP%20(%20Embarques%20)\CNWI-SHIP-F003%20REGISTRO%20PARA%20ENTRADA%20A%20EMBARQUES.xlsx" TargetMode="External"/><Relationship Id="rId634" Type="http://schemas.openxmlformats.org/officeDocument/2006/relationships/hyperlink" Target="file:///\\CHNO0276\Aseguranza%20de%20Calidad\Control%20de%20Documentos\Doc.%20controlados%20PDF\Ayudas%20visuales\Camarillo\Bonding\CNWI-VSHP-000017%20Rev.%20A%20(508432).pub" TargetMode="External"/><Relationship Id="rId676" Type="http://schemas.openxmlformats.org/officeDocument/2006/relationships/hyperlink" Target="file:///\\CHNO0276\Aseguranza%20de%20Calidad\Control%20de%20Documentos\Doc.%20controlados%20PDF\Ayudas%20visuales\Camarillo\Moldeo\CNWI-VSHP-000082%20Rev.%20A%20(027-0231-000).pub" TargetMode="External"/><Relationship Id="rId841" Type="http://schemas.openxmlformats.org/officeDocument/2006/relationships/hyperlink" Target="file:///\\chno0276\Aseguranza%20de%20Calidad\Control%20de%20Documentos\Doc.%20controlados%20PDF\Control%20Plans\MICROMINI\CHANGE-OUT\CP-CHGO-003%20%20X8652-CS.pdf" TargetMode="External"/><Relationship Id="rId883" Type="http://schemas.openxmlformats.org/officeDocument/2006/relationships/hyperlink" Target="file:///\\CHNO0276\Aseguranza%20de%20Calidad\Control%20de%20Documentos\Doc.%20controlados%20PDF\Control%20Plans\MICROMINI\POTTED\CP-POTT-003%20Rev.A%20%2050001101%20-%20%205000110-Z.pdf" TargetMode="External"/><Relationship Id="rId1099" Type="http://schemas.openxmlformats.org/officeDocument/2006/relationships/hyperlink" Target="file:///\\chno0276\Aseguranza%20de%20Calidad\Control%20de%20Documentos\Doc.%20controlados%20PDF\Quality%20Alerts\ITRON\BONDING\QA-BOND-004%20027-0252-221%20Grommet%20con%20pellizcos.pdf" TargetMode="External"/><Relationship Id="rId26" Type="http://schemas.openxmlformats.org/officeDocument/2006/relationships/hyperlink" Target="file:///\\chno0276\Aseguranza%20de%20Calidad\Control%20de%20Documentos\Doc.%20controlados%20PDF\Instructivos\CNWI-SHAE\CNWI-SHAE-0001%20Control%20de%20Accesos.pdf" TargetMode="External"/><Relationship Id="rId231" Type="http://schemas.openxmlformats.org/officeDocument/2006/relationships/hyperlink" Target="file:///\\chno0276\Aseguranza%20de%20Calidad\Control%20de%20Documentos\Doc.%20controlados%20PDF\Formas\CNWI-MTTO%20(Mantenimiento)\CNWI-MTTO-F016%20Mantenimiento%20Preventivo%20a%20Moldes.xls" TargetMode="External"/><Relationship Id="rId273" Type="http://schemas.openxmlformats.org/officeDocument/2006/relationships/hyperlink" Target="file:///\\chno0276\Aseguranza%20de%20Calidad\Control%20de%20Documentos\Doc.%20controlados%20PDF\Formas\CNWI-SHAE%20(Seguridad%20e%20higiene%20y%20medio%20ambiente)\CNWI-SHAE-F028%20%20RESGUARDO%20CELULARES.xls" TargetMode="External"/><Relationship Id="rId329" Type="http://schemas.openxmlformats.org/officeDocument/2006/relationships/hyperlink" Target="file:///\\chno0276\Aseguranza%20de%20Calidad\Control%20de%20Documentos\Doc.%20controlados%20PDF\Formas\CNWI-ENGI%20(Ingenieria)\CNWI-ENGI-F059%20Hoja%20de%20parametros%20prueba%20AHI-Top.xlsx" TargetMode="External"/><Relationship Id="rId480" Type="http://schemas.openxmlformats.org/officeDocument/2006/relationships/hyperlink" Target="file:///\\CHNO0276\Aseguranza%20de%20Calidad\Control%20de%20Documentos\Doc.%20controlados%20PDF\Formas\CNWI-PROD%20(%20Produccion%20)\CNWI-PROD-F009%20Etiqueta%20bacc&#180;s%201.xls" TargetMode="External"/><Relationship Id="rId536" Type="http://schemas.openxmlformats.org/officeDocument/2006/relationships/hyperlink" Target="file:///\\chno0276\Aseguranza%20de%20Calidad\Control%20de%20Documentos\Doc.%20controlados%20PDF\Formas\CN-LEAN\Formatos\F-LEAN-01-004%20Rev.%20A%20%20Formato%20de%20IMC.xlsx" TargetMode="External"/><Relationship Id="rId701" Type="http://schemas.openxmlformats.org/officeDocument/2006/relationships/hyperlink" Target="file:///\\CHNO0276\Aseguranza%20de%20Calidad\Control%20de%20Documentos\Doc.%20controlados%20PDF\Ayudas%20visuales\Micromini\A%20y%20B\CNWI-VSHP-000024%20Rev.%20B%20(DM4Q2M24E-A).pub" TargetMode="External"/><Relationship Id="rId939" Type="http://schemas.openxmlformats.org/officeDocument/2006/relationships/hyperlink" Target="file:///\\chno0276\Aseguranza%20de%20Calidad\Control%20de%20Documentos\Doc.%20controlados%20PDF\Control%20Plans\MICROMINI\CHANGE-OUT\CP-CHGO-016%20%20%20X8651648P.pdf" TargetMode="External"/><Relationship Id="rId1124" Type="http://schemas.openxmlformats.org/officeDocument/2006/relationships/hyperlink" Target="file:///\\chno0276\Aseguranza%20de%20Calidad\Control%20de%20Documentos\Doc.%20controlados%20PDF\Quality%20Alerts\ITRON\BONDING\QA-BOND-002%20002359-000X-002360-000X-%20002361-000X%20Empaque%20en%20catidad%2050%20piezas.pdf" TargetMode="External"/><Relationship Id="rId1166" Type="http://schemas.openxmlformats.org/officeDocument/2006/relationships/hyperlink" Target="file:///\\CHNO0276\Aseguranza%20de%20Calidad\Control%20de%20Documentos\Doc.%20controlados%20PDF\Quality%20Alerts\ITRON\AMSAFE\QA-AMSA-001%20Rev.A%20Varios%20-%20orificios%20del%20GROMMET%20fuera%20de%20dimensi&#243;n.pdf" TargetMode="External"/><Relationship Id="rId68" Type="http://schemas.openxmlformats.org/officeDocument/2006/relationships/hyperlink" Target="file:///\\chno0276\Aseguranza%20de%20Calidad\Control%20de%20Documentos\Doc.%20controlados%20PDF\Instructivos\CNWI-ENGI\CNWI-ENGI-0025%20Prueba%20de%20Fuga%20de%20Aire%20%20en%20M&#225;quina%20QT-11179-A.pdf" TargetMode="External"/><Relationship Id="rId133" Type="http://schemas.openxmlformats.org/officeDocument/2006/relationships/hyperlink" Target="file:///\\chno0276\Aseguranza%20de%20Calidad\Control%20de%20Documentos\Doc.%20controlados%20PDF\Instructivos\CNWI-QAAS\CNWI-QAAS-0040%20Procedimiento%20de%20prueba%20MS.pdf" TargetMode="External"/><Relationship Id="rId175" Type="http://schemas.openxmlformats.org/officeDocument/2006/relationships/hyperlink" Target="file:///\\chno0276\Control%20de%20Documentos\Doc.%20controlados%20PDF\Instructivos\CNWI-QAAS\CNWI-QAAS-0048%20%20Proceso%20de%20Supplier%20Quality.pdf" TargetMode="External"/><Relationship Id="rId340" Type="http://schemas.openxmlformats.org/officeDocument/2006/relationships/hyperlink" Target="file:///\\chno0276\Aseguranza%20de%20Calidad\Control%20de%20Documentos\Doc.%20controlados%20PDF\Formas\CNWI-QAAS%20(aseguranza%20de%20calidad)\CNWI-QAAS-F017%20%20Insulation%20Resistence%20Test%20Data%20Sheet.doc" TargetMode="External"/><Relationship Id="rId578" Type="http://schemas.openxmlformats.org/officeDocument/2006/relationships/hyperlink" Target="file:///\\CHNO0276\Aseguranza%20de%20Calidad\Control%20de%20Documentos\Doc.%20controlados%20PDF\Ayudas%20visuales\Micromini\MS\VA-MS-002%20Rev%20A%20%20USO%20DE%20CHECADOR%20DE%20ENGOMADO.pptx" TargetMode="External"/><Relationship Id="rId743" Type="http://schemas.openxmlformats.org/officeDocument/2006/relationships/hyperlink" Target="file:///\\CHNO0276\Aseguranza%20de%20Calidad\Control%20de%20Documentos\Doc.%20controlados%20PDF\Ayudas%20visuales\Micromini\Potted\CNWI-VSHP-000098%20Rev.%20A%20(1317731).pub" TargetMode="External"/><Relationship Id="rId785" Type="http://schemas.openxmlformats.org/officeDocument/2006/relationships/hyperlink" Target="file:///\\chno0276\Control%20de%20Documentos\Doc.%20controlados%20PDF\Ayudas%20visuales\Camarillo\General\VA-CGRAL-003%20Rev%20A%20lavado%20de%20tubo%20para%20llenado%20de%20epoxy.ppt" TargetMode="External"/><Relationship Id="rId950" Type="http://schemas.openxmlformats.org/officeDocument/2006/relationships/hyperlink" Target="file:///\\chno0276\Aseguranza%20de%20Calidad\Control%20de%20Documentos\Doc.%20controlados%20PDF\Control%20Plans\MICROMINI\CELDA%20A&amp;B\CP-A&amp;B-042%20DM2C2ME010M,%20DM3C2ME010M,%20DM4C2ME010M,%20DM5C2ME010M,%20DM6C2ME010M.pdf" TargetMode="External"/><Relationship Id="rId992" Type="http://schemas.openxmlformats.org/officeDocument/2006/relationships/hyperlink" Target="file:///\\chno0276\Aseguranza%20de%20Calidad\Control%20de%20Documentos\Doc.%20controlados%20PDF\Flow%20Chart\MICROMINI\MS\FC-MS-004%20%2011547793.pdf" TargetMode="External"/><Relationship Id="rId1026" Type="http://schemas.openxmlformats.org/officeDocument/2006/relationships/hyperlink" Target="file:///\\chno0276\Aseguranza%20de%20Calidad\Control%20de%20Documentos\Doc.%20controlados%20PDF\Flow%20Chart\ITRON\BONDING\FC-BOND-010%20%20%20%20002368-0211A.pdf" TargetMode="External"/><Relationship Id="rId200" Type="http://schemas.openxmlformats.org/officeDocument/2006/relationships/hyperlink" Target="file:///\\chno0276\Aseguranza%20de%20Calidad\Control%20de%20Documentos\Doc.%20controlados%20PDF\Formas\CNWI-SHAE%20(Seguridad%20e%20higiene%20y%20medio%20ambiente)\CNWI-SHAE-F029%20Revision%20de%20guardas.doc" TargetMode="External"/><Relationship Id="rId382" Type="http://schemas.openxmlformats.org/officeDocument/2006/relationships/hyperlink" Target="file:///\\CHNO0276\Aseguranza%20de%20Calidad\Control%20de%20Documentos\Doc.%20controlados%20PDF\Formas\CNWI-QAAS%20(aseguranza%20de%20calidad)\CNWI-QAAS-F081%20Grafica%20de%20scrap%20por%20dia%20piezas.xls" TargetMode="External"/><Relationship Id="rId438" Type="http://schemas.openxmlformats.org/officeDocument/2006/relationships/hyperlink" Target="file:///\\CHNO0276\Aseguranza%20de%20Calidad\Control%20de%20Documentos\Doc.%20controlados%20PDF\Formas\CNWI-QAAS%20(aseguranza%20de%20calidad)\CNWI-QAAS-F088%20Check%20list%20Flujo%20de%20proceso.xls" TargetMode="External"/><Relationship Id="rId603" Type="http://schemas.openxmlformats.org/officeDocument/2006/relationships/hyperlink" Target="file:///\\chno0276\Aseguranza%20de%20Calidad\Control%20de%20Documentos\Doc.%20controlados%20PDF\Ayudas%20visuales\Camarillo\Ensamble%20general\VA-EGRAL-001%20Rev%20B%20%20000294-0000.pptx" TargetMode="External"/><Relationship Id="rId645" Type="http://schemas.openxmlformats.org/officeDocument/2006/relationships/hyperlink" Target="file:///\\CHNO0276\Aseguranza%20de%20Calidad\Control%20de%20Documentos\Doc.%20controlados%20PDF\Ayudas%20visuales\Camarillo\Bonding\CNWI-VSHP-000129%20REV.%20A%20002359-0004.pub" TargetMode="External"/><Relationship Id="rId687" Type="http://schemas.openxmlformats.org/officeDocument/2006/relationships/hyperlink" Target="file:///\\CHNO0276\Aseguranza%20de%20Calidad\Control%20de%20Documentos\Doc.%20controlados%20PDF\Ayudas%20visuales\Micromini\General\CNWI-VSHP-000010%20Rev.%20A%20(Manejo%20de%20Crisol).pub" TargetMode="External"/><Relationship Id="rId810" Type="http://schemas.openxmlformats.org/officeDocument/2006/relationships/hyperlink" Target="file:///\\CHNO0276\Aseguranza%20de%20Calidad\Control%20de%20Documentos\Doc.%20controlados%20PDF\Especificaciones%20genericas\Micromini\PLEX\CNWI-ENGI-F019%20Rev.%20A%20Especificaciones%20dedespoje%20de%20chaqueta%20Plex.xlsx" TargetMode="External"/><Relationship Id="rId852" Type="http://schemas.openxmlformats.org/officeDocument/2006/relationships/hyperlink" Target="file:///\\chno0276\Aseguranza%20de%20Calidad\Control%20de%20Documentos\Doc.%20controlados%20PDF\Control%20Plans\MICROMINI\CELDA%20A&amp;B\CP-A&amp;B-019%20%20DM4F2TE.pdf" TargetMode="External"/><Relationship Id="rId908" Type="http://schemas.openxmlformats.org/officeDocument/2006/relationships/hyperlink" Target="file:///\\chno0276\Aseguranza%20de%20Calidad\Control%20de%20Documentos\Doc.%20controlados%20PDF\Control%20Plans\ITRON\AMSAFE\CP-AMSA-009%20%200004071-0001.pdf" TargetMode="External"/><Relationship Id="rId1068" Type="http://schemas.openxmlformats.org/officeDocument/2006/relationships/hyperlink" Target="file:///\\chno0276\Aseguranza%20de%20Calidad\Control%20de%20Documentos\Doc.%20controlados%20PDF\FMEA\MICROMINI\MS\FMEA-MS-001%20%20203205A.pdf" TargetMode="External"/><Relationship Id="rId242" Type="http://schemas.openxmlformats.org/officeDocument/2006/relationships/hyperlink" Target="file:///\\chno0276\Aseguranza%20de%20Calidad\Control%20de%20Documentos\Doc.%20controlados%20PDF\Formas\CNWI-WRHS%20(Almacen)\CNWI-WRHS-F005%20Control%20recibo%20de%20Medidores.xls" TargetMode="External"/><Relationship Id="rId284" Type="http://schemas.openxmlformats.org/officeDocument/2006/relationships/hyperlink" Target="file:///\\chno0276\Aseguranza%20de%20Calidad\Control%20de%20Documentos\Doc.%20controlados%20PDF\Formas\CNWI-ENGI%20(Ingenieria)\CNWI-ENGI-F004%20Registros%20control%20doc.%20Engi.xls" TargetMode="External"/><Relationship Id="rId491" Type="http://schemas.openxmlformats.org/officeDocument/2006/relationships/hyperlink" Target="file:///\\CHNO0276\Aseguranza%20de%20Calidad\Control%20de%20Documentos\Doc.%20controlados%20PDF\Formas\CNWI-PROD%20(%20Produccion%20)\CNWI-PROD-F020%20Etiqueta%20relays%206.xls" TargetMode="External"/><Relationship Id="rId505" Type="http://schemas.openxmlformats.org/officeDocument/2006/relationships/hyperlink" Target="file:///\\CHNO0276\Aseguranza%20de%20Calidad\Control%20de%20Documentos\Doc.%20controlados%20PDF\Formas\CNWI-PROD%20(%20Produccion%20)\CNWI-PROD-F034%20tiempo%20retrabajo.xls" TargetMode="External"/><Relationship Id="rId712" Type="http://schemas.openxmlformats.org/officeDocument/2006/relationships/hyperlink" Target="file:///\\CHNO0276\Aseguranza%20de%20Calidad\Control%20de%20Documentos\Doc.%20controlados%20PDF\Ayudas%20visuales\Micromini\A%20y%20B\CNWI-VSHP-000063%20Rev.%20A%20(X8987-CB).pub" TargetMode="External"/><Relationship Id="rId894" Type="http://schemas.openxmlformats.org/officeDocument/2006/relationships/hyperlink" Target="file:///\\CHNO0276\Aseguranza%20de%20Calidad\Control%20de%20Documentos\Doc.%20controlados%20PDF\Control%20Plans\SOLAR\CP-SOL-005%20Rev.A%20CRAMBURY.pdf" TargetMode="External"/><Relationship Id="rId1135" Type="http://schemas.openxmlformats.org/officeDocument/2006/relationships/hyperlink" Target="file:///\\CHNO0276\Aseguranza%20de%20Calidad\Control%20de%20Documentos\Doc.%20controlados%20PDF\Quality%20Alerts\ITRON\PLUG\QA-IPLUG-002%20Rev.%20A%2028-2259-0022%20Tapon%20faltante.pdf" TargetMode="External"/><Relationship Id="rId1177" Type="http://schemas.openxmlformats.org/officeDocument/2006/relationships/hyperlink" Target="file:///\\chno0276\Control%20de%20Documentos\Doc.%20controlados%20PDF\Especificaciones%20genericas\Camarillo\Itron\Especificaciones%20de%20empaque%20%20de%20ITRON%20Rev%20C.xlsx" TargetMode="External"/><Relationship Id="rId37" Type="http://schemas.openxmlformats.org/officeDocument/2006/relationships/hyperlink" Target="file:///\\chno0276\Aseguranza%20de%20Calidad\Control%20de%20Documentos\Doc.%20controlados%20PDF\Instructivos\CNWI-PRCS\CNWI-PRCS-0003%20Instructivo%20de%20compras.pdf" TargetMode="External"/><Relationship Id="rId79" Type="http://schemas.openxmlformats.org/officeDocument/2006/relationships/hyperlink" Target="file:///\\chno0276\Aseguranza%20de%20Calidad\Control%20de%20Documentos\Doc.%20controlados%20PDF\Instructivos\CNWI-ENGI\CNWI-ENGI-0036%20Maquina%20Dispensadora%20Mezcladara%20de%20Epoxy%20DTIC.pdf" TargetMode="External"/><Relationship Id="rId102" Type="http://schemas.openxmlformats.org/officeDocument/2006/relationships/hyperlink" Target="file:///\\chno0276\Aseguranza%20de%20Calidad\Control%20de%20Documentos\Doc.%20controlados%20PDF\Instructivos\CNWI-ENGI\CNWI-ENGI-0060%20Despojado%20de%20Jacket%20en%20Maquina%20Schleuniger%20Modelo%20JS-8300.pdf" TargetMode="External"/><Relationship Id="rId144" Type="http://schemas.openxmlformats.org/officeDocument/2006/relationships/hyperlink" Target="file:///\\chno0276\Control%20de%20Documentos\Doc.%20controlados%20PDF\Instructivos\CNWI-QAAS\CNWI-QAAS-0015%20Management%20Risks%20Process.pdf" TargetMode="External"/><Relationship Id="rId547" Type="http://schemas.openxmlformats.org/officeDocument/2006/relationships/hyperlink" Target="file:///\\chno0276\Control%20de%20Documentos\Doc.%20controlados%20PDF\Formas\CNWI-QAAS%20(aseguranza%20de%20calidad)\F-QAAS-48-002%20%20%20%20Rev.%20A%20supplier%20scorecard%20spreadsheet.xlsx" TargetMode="External"/><Relationship Id="rId589" Type="http://schemas.openxmlformats.org/officeDocument/2006/relationships/hyperlink" Target="file:///\\CHNO0276\Aseguranza%20de%20Calidad\Control%20de%20Documentos\Doc.%20controlados%20PDF\Ayudas%20visuales\Micromini\A%20y%20B\VA-AYB-003%20Rev%20A%20DM4Q2M24E-A%20(Dominico).pptx" TargetMode="External"/><Relationship Id="rId754" Type="http://schemas.openxmlformats.org/officeDocument/2006/relationships/hyperlink" Target="file:///\\CHNO0276\Aseguranza%20de%20Calidad\Control%20de%20Documentos\Doc.%20controlados%20PDF\Ayudas%20visuales\Avenal-Solar\CNWI-VSHP-000191%20Rev%20%20A%20Proceso%20de%20Ensanble%20del%20area%20solar%20IC-B13-P%20y%20IC-B13-N.ppt" TargetMode="External"/><Relationship Id="rId796" Type="http://schemas.openxmlformats.org/officeDocument/2006/relationships/hyperlink" Target="file:///\\CHNO0276\Aseguranza%20de%20Calidad\Control%20de%20Documentos\Doc.%20controlados%20PDF\Especificaciones%20genericas\Micromini\A%20Y%20B\CNWI-ENGI-F019%20Rev%20%20G%20Especificaciones%20dedespoje%20de%20chaqueta%20Celda%20A%20y%20B%20Rev%20%20C.xlsx" TargetMode="External"/><Relationship Id="rId961" Type="http://schemas.openxmlformats.org/officeDocument/2006/relationships/hyperlink" Target="file:///\\chno0276\Aseguranza%20de%20Calidad\Control%20de%20Documentos\Doc.%20controlados%20PDF\Control%20Plans\ITRON\BONDING\CP-BOND-015%20%20%20002371-0003.pdf" TargetMode="External"/><Relationship Id="rId1202" Type="http://schemas.openxmlformats.org/officeDocument/2006/relationships/hyperlink" Target="file:///\\CHNO0276\Aseguranza%20de%20Calidad\Control%20de%20Documentos\Doc.%20controlados%20PDF\Especificaciones%20genericas\Micromini\PLEX\CNWI-ENGI-F019%20Rev.%20A%20Especificaciones%20remachado%20area%20Plex.xlsx" TargetMode="External"/><Relationship Id="rId90" Type="http://schemas.openxmlformats.org/officeDocument/2006/relationships/hyperlink" Target="file:///\\chno0276\Aseguranza%20de%20Calidad\Control%20de%20Documentos\Doc.%20controlados%20PDF\Instructivos\CNWI-ENGI\CNWI-ENGI-0047%20Horno%20Blue%20M.pdf" TargetMode="External"/><Relationship Id="rId186" Type="http://schemas.openxmlformats.org/officeDocument/2006/relationships/hyperlink" Target="file:///\\chno0276\Aseguranza%20de%20Calidad\Control%20de%20Documentos\Documentos%20controlados\CN-HMRS%20(Recursos%20Humanos)\FORMAS\CNWI-HMRS-F011%20Rev.%20D%20Requisicion%20de%20Personal%20.xlsx" TargetMode="External"/><Relationship Id="rId351" Type="http://schemas.openxmlformats.org/officeDocument/2006/relationships/hyperlink" Target="file:///\\chno0276\Aseguranza%20de%20Calidad\Control%20de%20Documentos\Doc.%20controlados%20PDF\Formas\CNWI-QAAS%20(aseguranza%20de%20calidad)\CNWI-QAAS-F030%20Reporte%20de%20prueba%20de%20fuga)Mantener%20en%20ingles.doc" TargetMode="External"/><Relationship Id="rId393" Type="http://schemas.openxmlformats.org/officeDocument/2006/relationships/hyperlink" Target="file:///\\CHNO0276\Aseguranza%20de%20Calidad\Control%20de%20Documentos\Doc.%20controlados%20PDF\Formas\CNWI-QAAS%20(aseguranza%20de%20calidad)\CNWI-QAAS-F091%20Formato%20cpk%20para%20equipos.xls" TargetMode="External"/><Relationship Id="rId407" Type="http://schemas.openxmlformats.org/officeDocument/2006/relationships/hyperlink" Target="file:///\\CHNO0276\Aseguranza%20de%20Calidad\Control%20de%20Documentos\Doc.%20controlados%20PDF\Formas\CNWI-QAAS%20(aseguranza%20de%20calidad)\CNWI-QAAS-F066%20Diagrama%20de%20flujo%20del%20producto.xls" TargetMode="External"/><Relationship Id="rId449" Type="http://schemas.openxmlformats.org/officeDocument/2006/relationships/hyperlink" Target="file:///\\chno0276\Control%20de%20Documentos\Doc.%20controlados%20PDF\Formas\CNWI-QAAS%20(aseguranza%20de%20calidad)\CNWI-QAAS-F103%20Registros%20de%20datos%20de%20calibracion%20para%20hornos%20(2).xlsx" TargetMode="External"/><Relationship Id="rId614" Type="http://schemas.openxmlformats.org/officeDocument/2006/relationships/hyperlink" Target="file:///\\CHNO0276\Aseguranza%20de%20Calidad\Control%20de%20Documentos\Doc.%20controlados%20PDF\Ayudas%20visuales\Micromini\A%20y%20B\CNWI-VSHP-000018%20Rev.%20A%20(5000109_JS).pub" TargetMode="External"/><Relationship Id="rId656" Type="http://schemas.openxmlformats.org/officeDocument/2006/relationships/hyperlink" Target="file:///\\CHNO0276\Aseguranza%20de%20Calidad\Control%20de%20Documentos\Doc.%20controlados%20PDF\Ayudas%20visuales\Camarillo\Ensamble%20general\CNWI-VSHP-000029%20Rev.%20A%20(000300-1304).pub" TargetMode="External"/><Relationship Id="rId821" Type="http://schemas.openxmlformats.org/officeDocument/2006/relationships/hyperlink" Target="file:///\\chno0276\Aseguranza%20de%20Calidad\Control%20de%20Documentos\Doc.%20controlados%20PDF\Control%20Plans\ITRON\AMSAFE\CP-AMSA-002%20004046-0083%20004043-0001.pdf" TargetMode="External"/><Relationship Id="rId863" Type="http://schemas.openxmlformats.org/officeDocument/2006/relationships/hyperlink" Target="file:///\\chno0276\Aseguranza%20de%20Calidad\Control%20de%20Documentos\Doc.%20controlados%20PDF\Control%20Plans\MICROMINI\CELDA%20A&amp;B\CP-A&amp;B-021%20%20CHDN-TAER-NG.pdf" TargetMode="External"/><Relationship Id="rId1037" Type="http://schemas.openxmlformats.org/officeDocument/2006/relationships/hyperlink" Target="file:///\\chno0276\Aseguranza%20de%20Calidad\Control%20de%20Documentos\Doc.%20controlados%20PDF\Flow%20Chart\ITRON\BONDING\FC-BOND-020%20%20%20%20%20002701-0001%20al%200010.pdf" TargetMode="External"/><Relationship Id="rId1079" Type="http://schemas.openxmlformats.org/officeDocument/2006/relationships/hyperlink" Target="file:///\\chno0276\Aseguranza%20de%20Calidad\Control%20de%20Documentos\Doc.%20controlados%20PDF\FMEA\MICROMINI\MS\FMEA-MS-010%20%20SMEA0094007,%20SMEA0094030.pdf" TargetMode="External"/><Relationship Id="rId211" Type="http://schemas.openxmlformats.org/officeDocument/2006/relationships/hyperlink" Target="file:///\\chno0276\Aseguranza%20de%20Calidad\Control%20de%20Documentos\Doc.%20controlados%20PDF\Formas\CNWI-HMRS%20(Recursos%20Humanos)\CNWI-HMRS-F009%20Control%20de%20Herramienta.doc" TargetMode="External"/><Relationship Id="rId253" Type="http://schemas.openxmlformats.org/officeDocument/2006/relationships/hyperlink" Target="file:///\\chno0276\Aseguranza%20de%20Calidad\Control%20de%20Documentos\Doc.%20controlados%20PDF\Formas\CNWI-SHAE%20(Seguridad%20e%20higiene%20y%20medio%20ambiente)\CNWI-SHAE-F006%20Safety%20Cross.xls" TargetMode="External"/><Relationship Id="rId295" Type="http://schemas.openxmlformats.org/officeDocument/2006/relationships/hyperlink" Target="file:///\\chno0276\Aseguranza%20de%20Calidad\Control%20de%20Documentos\Doc.%20controlados%20PDF\Formas\CNWI-ENGI%20(Ingenieria)\CNWI-ENGI-F017%20Lista%20de%20posicionadores.xls" TargetMode="External"/><Relationship Id="rId309" Type="http://schemas.openxmlformats.org/officeDocument/2006/relationships/hyperlink" Target="file:///\\chno0276\Aseguranza%20de%20Calidad\Control%20de%20Documentos\Doc.%20controlados%20PDF\Formas\CNWI-ENGI%20(Ingenieria)\CNWI-ENGI-F036%20Log%20de%20ordenes%20de%20insert.xls" TargetMode="External"/><Relationship Id="rId460" Type="http://schemas.openxmlformats.org/officeDocument/2006/relationships/hyperlink" Target="file:///\\CHNO0276\Aseguranza%20de%20Calidad\Control%20de%20Documentos\Doc.%20controlados%20PDF\Formas\CNWI-QAAS%20(aseguranza%20de%20calidad)\CNWI-QAAS-F119%20Diagrama%20de%20interaccion%20de%20procesos.pdf" TargetMode="External"/><Relationship Id="rId516" Type="http://schemas.openxmlformats.org/officeDocument/2006/relationships/hyperlink" Target="file:///\\chno0276\Control%20de%20Documentos\Doc.%20controlados%20PDF\Formas\CNWI-QAAS%20(aseguranza%20de%20calidad)\Cambios%20Docs%20-CNWI-QAAS-F123%20Risk%20management%20Rev.%20A.xls" TargetMode="External"/><Relationship Id="rId698" Type="http://schemas.openxmlformats.org/officeDocument/2006/relationships/hyperlink" Target="file:///\\CHNO0276\Aseguranza%20de%20Calidad\Control%20de%20Documentos\Doc.%20controlados%20PDF\Ayudas%20visuales\Micromini\A%20y%20B\CNWI-VSHP-000020%20Rev.%20A%20(5000109R).pub" TargetMode="External"/><Relationship Id="rId919" Type="http://schemas.openxmlformats.org/officeDocument/2006/relationships/hyperlink" Target="file:///\\chno0276\Aseguranza%20de%20Calidad\Control%20de%20Documentos\Doc.%20controlados%20PDF\Control%20Plans\MICROMINI\MS\CP-MS-019%20%20M5E1811A230MH.pdf" TargetMode="External"/><Relationship Id="rId1090" Type="http://schemas.openxmlformats.org/officeDocument/2006/relationships/hyperlink" Target="file:///\\chno0276\Aseguranza%20de%20Calidad\Control%20de%20Documentos\Doc.%20controlados%20PDF\FMEA\MICROMINI\CHANGE-OUT\FMEA-CHGO-012%20%20X8653325.pdf" TargetMode="External"/><Relationship Id="rId1104" Type="http://schemas.openxmlformats.org/officeDocument/2006/relationships/hyperlink" Target="file:///\\chno0276\Aseguranza%20de%20Calidad\Control%20de%20Documentos\Doc.%20controlados%20PDF\Quality%20Alerts\ITRON\BONDING\QA-BOND-009%20BACC65AK251P%20Grommet%20Invertido.pdf" TargetMode="External"/><Relationship Id="rId1146" Type="http://schemas.openxmlformats.org/officeDocument/2006/relationships/hyperlink" Target="file:///\\CHNO0276\Aseguranza%20de%20Calidad\Control%20de%20Documentos\Doc.%20controlados%20PDF\Quality%20Alerts\MOLDEO\Moldeo%20Moorpark\QA-MRPK-004%20Rev.%20A%20Pieza%20mal%20moldeada-Hundimientos.pdf" TargetMode="External"/><Relationship Id="rId48" Type="http://schemas.openxmlformats.org/officeDocument/2006/relationships/hyperlink" Target="file:///\\chno0276\Aseguranza%20de%20Calidad\Control%20de%20Documentos\Doc.%20controlados%20PDF\Instructivos\CNWI-ENGI\CNWI-ENGI-0002%20Recibo%20y%20Distribuccion%20de%20dibujos.pdf" TargetMode="External"/><Relationship Id="rId113" Type="http://schemas.openxmlformats.org/officeDocument/2006/relationships/hyperlink" Target="file:///\\chno0276\Aseguranza%20de%20Calidad\Control%20de%20Documentos\Doc.%20controlados%20PDF\Instructivos\CNWI-ENGI\CNWI-ENGI-0071%20Maquina%20para%20sellar%20Banda%20a%20Snaplock.pdf" TargetMode="External"/><Relationship Id="rId320" Type="http://schemas.openxmlformats.org/officeDocument/2006/relationships/hyperlink" Target="file:///\\chno0276\Aseguranza%20de%20Calidad\Control%20de%20Documentos\Doc.%20controlados%20PDF\Formas\CNWI-ENGI%20(Ingenieria)\CNWI-ENGI-F047%20Check%20list%20de%20montaje%20y%20desmontaje.doc" TargetMode="External"/><Relationship Id="rId558" Type="http://schemas.openxmlformats.org/officeDocument/2006/relationships/hyperlink" Target="file:///\\CHNO0276\Aseguranza%20de%20Calidad\Control%20de%20Documentos\Doc.%20controlados%20PDF\Ayudas%20visuales\Camarillo\Itron\PLUG\VA-IPLUG-001%20Rev%20F%20%20CABLE%20ASSEMBLY%2028-3272-0004%20(CBA-0217-307)%20.ppt" TargetMode="External"/><Relationship Id="rId723" Type="http://schemas.openxmlformats.org/officeDocument/2006/relationships/hyperlink" Target="file:///\\CHNO0276\Aseguranza%20de%20Calidad\Control%20de%20Documentos\Doc.%20controlados%20PDF\Ayudas%20visuales\Micromini\A%20y%20B\CNWI-VSHP-000189%20ALTURA%20DE%20CONTACTOS%20TEE%20DIBUJO%20CHDN-TAER%20Y%20%20CHDN-TAER-N%20Y%20A98N-43PB-N4.pptx" TargetMode="External"/><Relationship Id="rId765" Type="http://schemas.openxmlformats.org/officeDocument/2006/relationships/hyperlink" Target="file:///\\chno0276\Aseguranza%20de%20Calidad\Control%20de%20Documentos\Doc.%20controlados%20PDF\Ayudas%20visuales\Micromini\General\VA-MGRAL-005%20Rev%20B%20%20PEGADO%20DE%20PIEZAS%20MOLDEADAS%20(2).pptx" TargetMode="External"/><Relationship Id="rId930" Type="http://schemas.openxmlformats.org/officeDocument/2006/relationships/hyperlink" Target="file:///\\chno0276\Aseguranza%20de%20Calidad\Control%20de%20Documentos\Doc.%20controlados%20PDF\Control%20Plans\MICROMINI\CHANGE-OUT\CP-CHGO-007%20%20CX8653312P.pdf" TargetMode="External"/><Relationship Id="rId972" Type="http://schemas.openxmlformats.org/officeDocument/2006/relationships/hyperlink" Target="file:///\\chno0276\Aseguranza%20de%20Calidad\Control%20de%20Documentos\Doc.%20controlados%20PDF\Control%20Plans\ITRON\BONDING\CP-BOND-026%20%20%20BACS16W,%20BACS16X,%20VB10-1UWC11%20&amp;%20VB10-PWC11.pdf" TargetMode="External"/><Relationship Id="rId1006" Type="http://schemas.openxmlformats.org/officeDocument/2006/relationships/hyperlink" Target="file:///\\chno0276\Aseguranza%20de%20Calidad\Control%20de%20Documentos\Doc.%20controlados%20PDF\Flow%20Chart\MICROMINI\CHANGE-OUT\FC-CHGO-005%20%20CX8653346P.pdf" TargetMode="External"/><Relationship Id="rId1188" Type="http://schemas.openxmlformats.org/officeDocument/2006/relationships/hyperlink" Target="file:///\\CHNO0276\Aseguranza%20de%20Calidad\Control%20de%20Documentos\Doc.%20controlados%20PDF\Especificaciones%20genericas\Micromini\CHANGE%20OUT\CNWI-ENGI-F019%20Rev.%20A%20Especificaciones%20remachado%20area%20Change%20out%20Rev.%20A.xlsx" TargetMode="External"/><Relationship Id="rId155" Type="http://schemas.openxmlformats.org/officeDocument/2006/relationships/hyperlink" Target="file:///\\chno0276\Aseguranza%20de%20Calidad\Control%20de%20Documentos\Doc.%20controlados%20PDF\Instructivos\CNWI-QAAS\CNWI-QAAS-0028%20Flujo%20de%20Inspeccion%20en%20Ensamble.pdf" TargetMode="External"/><Relationship Id="rId197" Type="http://schemas.openxmlformats.org/officeDocument/2006/relationships/hyperlink" Target="file:///\\chno0276\Aseguranza%20de%20Calidad\Control%20de%20Documentos\Doc.%20controlados%20PDF\Formas\CNWI-QAAS%20(aseguranza%20de%20calidad)\CNWI-QAAS-F008-F%20Liberacion%20primera%20pieza%20MOLDEO.pptx" TargetMode="External"/><Relationship Id="rId362" Type="http://schemas.openxmlformats.org/officeDocument/2006/relationships/hyperlink" Target="file:///\\CHNO0276\Aseguranza%20de%20Calidad\Control%20de%20Documentos\Doc.%20controlados%20PDF\Formas\CNWI-QAAS%20(aseguranza%20de%20calidad)\CNWI-QAAS-F044%20Rev.%20C%20FMEA.xlsx" TargetMode="External"/><Relationship Id="rId418" Type="http://schemas.openxmlformats.org/officeDocument/2006/relationships/hyperlink" Target="file:///\\CHNO0276\Aseguranza%20de%20Calidad\Control%20de%20Documentos\Doc.%20controlados%20PDF\Formas\CNWI-QAAS%20(aseguranza%20de%20calidad)\CNWI-QAAS-F061%20Stock%20Purge%20Report.docx" TargetMode="External"/><Relationship Id="rId625" Type="http://schemas.openxmlformats.org/officeDocument/2006/relationships/hyperlink" Target="file:///\\CHNO0276\Aseguranza%20de%20Calidad\Control%20de%20Documentos\Doc.%20controlados%20PDF\Ayudas%20visuales\Camarillo\Itron\CNWI-VSHP-000133%20REV.A%2028-3306-0001.pub" TargetMode="External"/><Relationship Id="rId832" Type="http://schemas.openxmlformats.org/officeDocument/2006/relationships/hyperlink" Target="file:///\\chno0276\Aseguranza%20de%20Calidad\Control%20de%20Documentos\Doc.%20controlados%20PDF\Control%20Plans\MICROMINI\MS\CP-MS-001%20%20568055-J.pdf" TargetMode="External"/><Relationship Id="rId1048" Type="http://schemas.openxmlformats.org/officeDocument/2006/relationships/hyperlink" Target="file:///\\chno0276\Control%20de%20Documentos\Doc.%20controlados%20PDF\Flow%20Chart\ITRON\AMSAFE\FC-AMSA%20-006%20%20004041-0001%20%20004041-0002.pdf" TargetMode="External"/><Relationship Id="rId222" Type="http://schemas.openxmlformats.org/officeDocument/2006/relationships/hyperlink" Target="file:///\\chno0276\Aseguranza%20de%20Calidad\Control%20de%20Documentos\Doc.%20controlados%20PDF\Formas\CNWI-MTTO%20(Mantenimiento)\CNWI-MTTO-F004%20%20Calendario%20Anual%20de%20Mantenimiento%20Preventivo.xls" TargetMode="External"/><Relationship Id="rId264" Type="http://schemas.openxmlformats.org/officeDocument/2006/relationships/hyperlink" Target="file:///\\chno0276\Control%20de%20Documentos\Doc.%20controlados%20PDF\Formas\CNWI-SHAE%20(Seguridad%20e%20higiene%20y%20medio%20ambiente)\CNWI-SHAE-F017%20Tarjetas%20de%20Observaciones%20de%20Seguridad%20BBS.xlsx" TargetMode="External"/><Relationship Id="rId471" Type="http://schemas.openxmlformats.org/officeDocument/2006/relationships/hyperlink" Target="file:///\\CHNO0276\Aseguranza%20de%20Calidad\Control%20de%20Documentos\Doc.%20controlados%20PDF\Formas\CNWI-WRHS%20(Almacen)\CNWI-WRHS-F005%20Control%20recibo%20de%20Medidores.xls" TargetMode="External"/><Relationship Id="rId667" Type="http://schemas.openxmlformats.org/officeDocument/2006/relationships/hyperlink" Target="file:///\\CHNO0276\Aseguranza%20de%20Calidad\Control%20de%20Documentos\Doc.%20controlados%20PDF\Ayudas%20visuales\Camarillo\Ensamble%20general\CNWI-VSHP-000127%20REV.A%2028-2241-0000.pub" TargetMode="External"/><Relationship Id="rId874" Type="http://schemas.openxmlformats.org/officeDocument/2006/relationships/hyperlink" Target="file:///\\chno0276\Control%20de%20Documentos\Doc.%20controlados%20PDF\Control%20Plans\MICROMINI\CELDA%20A&amp;B\CP-A&amp;B-037%20Control%20Plan%20ABC-P6N5-M5%20%20MM-A-B.xlsx.pdf" TargetMode="External"/><Relationship Id="rId1115" Type="http://schemas.openxmlformats.org/officeDocument/2006/relationships/hyperlink" Target="file:///\\chno0276\Aseguranza%20de%20Calidad\Control%20de%20Documentos\Doc.%20controlados%20PDF\Quality%20Alerts\MICROMINI\MS\QA-MS-004%20Varios%20Cable%20sin%20presencia%20de%20Mek.pdf" TargetMode="External"/><Relationship Id="rId17" Type="http://schemas.openxmlformats.org/officeDocument/2006/relationships/hyperlink" Target="file:///\\chno0276\Control%20de%20Documentos\Doc.%20controlados%20PDF\Instructivos\CNWI-MTTO\CNWI-MTTO-0003%20Rev.%20A%20Mantenimiento%20atonomo.doc" TargetMode="External"/><Relationship Id="rId59" Type="http://schemas.openxmlformats.org/officeDocument/2006/relationships/hyperlink" Target="file:///\\chno0276\Aseguranza%20de%20Calidad\Control%20de%20Documentos\Doc.%20controlados%20PDF\Instructivos\CNWI-ENGI\CNWI-ENGI-0015%20Maquina%20Moldeadora%20TR-13,%20TR-14,%20TR-15..pdf" TargetMode="External"/><Relationship Id="rId124" Type="http://schemas.openxmlformats.org/officeDocument/2006/relationships/hyperlink" Target="file:///\\chno0276\Aseguranza%20de%20Calidad\Control%20de%20Documentos\Doc.%20controlados%20PDF\Instructivos\CNWI-ENGI\CNWI-ENGI-0088%20Maquina%20Jalapines.pdf" TargetMode="External"/><Relationship Id="rId527" Type="http://schemas.openxmlformats.org/officeDocument/2006/relationships/hyperlink" Target="file:///\\chno0276\Aseguranza%20de%20Calidad\Control%20de%20Documentos\Documentos%20controlados\CN-QAAS%20(Aseguranza%20de%20calidad)\FORMAS\CNWI-QAAS-F149%20%20Rev.%20A%20check%20list%20de%20Nuevos%20Productos.xlsx" TargetMode="External"/><Relationship Id="rId569" Type="http://schemas.openxmlformats.org/officeDocument/2006/relationships/hyperlink" Target="file:///\\CHNO0276\Aseguranza%20de%20Calidad\Control%20de%20Documentos\Doc.%20controlados%20PDF\Ayudas%20visuales\Camarillo\Salem\VA-SALM-001%20Rev%20C%20CABLE%20ASSY%20A1-330-0000%20%20PART%20A1-330-0080.ppt" TargetMode="External"/><Relationship Id="rId734" Type="http://schemas.openxmlformats.org/officeDocument/2006/relationships/hyperlink" Target="file:///\\CHNO0276\Aseguranza%20de%20Calidad\Control%20de%20Documentos\Doc.%20controlados%20PDF\Ayudas%20visuales\Micromini\Potted\CNWI-VSHP-000026%20Rev.%20A%20(A88N-F5AFA1-1F).pub" TargetMode="External"/><Relationship Id="rId776" Type="http://schemas.openxmlformats.org/officeDocument/2006/relationships/hyperlink" Target="file:///\\chno0276\Control%20de%20Documentos\Doc.%20controlados%20PDF\Ayudas%20visuales\Camarillo\Amsafe\VA-AMSA-030%20Rev%20Doc%20B%20-%20Rev%20Draw%20BM%20%20%20509976%20ESTAMPADO.ppt" TargetMode="External"/><Relationship Id="rId941" Type="http://schemas.openxmlformats.org/officeDocument/2006/relationships/hyperlink" Target="file:///\\chno0276\Aseguranza%20de%20Calidad\Control%20de%20Documentos\Doc.%20controlados%20PDF\Control%20Plans\MICROMINI\CHANGE-OUT\CP-CHGO-018%20%20%20%20%20X8653382P.pdf" TargetMode="External"/><Relationship Id="rId983" Type="http://schemas.openxmlformats.org/officeDocument/2006/relationships/hyperlink" Target="file:///\\chno0276\Control%20de%20Documentos\Doc.%20controlados%20PDF\Flow%20Chart\ITRON\AMSAFE\FC-AMSA-015%20%20004005-TAB.pdf" TargetMode="External"/><Relationship Id="rId1157" Type="http://schemas.openxmlformats.org/officeDocument/2006/relationships/hyperlink" Target="file:///\\chno0276\Aseguranza%20de%20Calidad\Control%20de%20Documentos\Doc.%20controlados%20PDF\Quality%20Alerts\ITRON\MULTICELL%20A&amp;B\QA-IMA-005%20Rev.%20A%20CBA%20Contactos%20da&#241;ados.pdf" TargetMode="External"/><Relationship Id="rId1199" Type="http://schemas.openxmlformats.org/officeDocument/2006/relationships/hyperlink" Target="file:///\\CHNO0276\Aseguranza%20de%20Calidad\Control%20de%20Documentos\Doc.%20controlados%20PDF\Especificaciones%20genericas\Micromini\POTTED\CNWI-ENGI-F019%20Rev%20%20F%20Especificaciones%20remachado%20area%20Potted.xlsx" TargetMode="External"/><Relationship Id="rId70" Type="http://schemas.openxmlformats.org/officeDocument/2006/relationships/hyperlink" Target="file:///\\chno0276\Control%20de%20Documentos\Doc.%20controlados%20PDF\Instructivos\CNWI-ENGI\CNWI-ENGI-0027%20Curado%20de%20partes%20en%20Hornos%20Num%20%2021%2025%2024%2027%2022.pdf" TargetMode="External"/><Relationship Id="rId166" Type="http://schemas.openxmlformats.org/officeDocument/2006/relationships/hyperlink" Target="file:///\\CHNO0276\Aseguranza%20de%20Calidad\Control%20de%20Documentos\Doc.%20controlados%20PDF\Instructivos\CNWI-QAAS\CNWI-QAAS-0043%20Uso%20de%20base%20de%20datos%20de%20etiquetas%20(GMLabels).pdf" TargetMode="External"/><Relationship Id="rId331" Type="http://schemas.openxmlformats.org/officeDocument/2006/relationships/hyperlink" Target="file:///\\chno0276\Aseguranza%20de%20Calidad\Control%20de%20Documentos\Doc.%20controlados%20PDF\Formas\CNWI-QAAS%20(aseguranza%20de%20calidad)\CNWI-QAAS-F001%20Record%20de%20Calibracion.xls" TargetMode="External"/><Relationship Id="rId373" Type="http://schemas.openxmlformats.org/officeDocument/2006/relationships/hyperlink" Target="file:///\\chno0276\Aseguranza%20de%20Calidad\Control%20de%20Documentos\Doc.%20controlados%20PDF\Formas\CNWI-QAAS%20(aseguranza%20de%20calidad)\CNWI-QAAS-F057%20Formato%20de%20presentacion%20al%20proveedor.pptx" TargetMode="External"/><Relationship Id="rId429" Type="http://schemas.openxmlformats.org/officeDocument/2006/relationships/hyperlink" Target="file:///\\CHNO0276\Aseguranza%20de%20Calidad\Control%20de%20Documentos\Doc.%20controlados%20PDF\Formas\CNWI-QAAS%20(aseguranza%20de%20calidad)\CNWI-QAAS-F076%20Auditoria%20al%20producto%20UL.xls" TargetMode="External"/><Relationship Id="rId580" Type="http://schemas.openxmlformats.org/officeDocument/2006/relationships/hyperlink" Target="file:///\\CHNO0276\Aseguranza%20de%20Calidad\Control%20de%20Documentos\Doc.%20controlados%20PDF\Ayudas%20visuales\Camarillo\Bonding\VA-BOND-003%20Rev%20F%20%20%20BACC65AKXXXP.ppt" TargetMode="External"/><Relationship Id="rId636" Type="http://schemas.openxmlformats.org/officeDocument/2006/relationships/hyperlink" Target="file:///\\CHNO0276\Aseguranza%20de%20Calidad\Control%20de%20Documentos\Doc.%20controlados%20PDF\Ayudas%20visuales\Camarillo\Bonding\CNWI-VSHP-000045%20Rev.%20A%20(000103-0399).pub" TargetMode="External"/><Relationship Id="rId801" Type="http://schemas.openxmlformats.org/officeDocument/2006/relationships/hyperlink" Target="file:///\\CHNO0276\Aseguranza%20de%20Calidad\Control%20de%20Documentos\Doc.%20controlados%20PDF\Especificaciones%20genericas\Micromini\CHANGE%20OUT\CNWI-ENGI-F019%20Rev.%20A%20Especificaciones%20dedespoje%20de%20chaqueta%20Change%20Out%20Rev.%20A.xlsx" TargetMode="External"/><Relationship Id="rId1017" Type="http://schemas.openxmlformats.org/officeDocument/2006/relationships/hyperlink" Target="file:///\\chno0276\Aseguranza%20de%20Calidad\Control%20de%20Documentos\Doc.%20controlados%20PDF\Flow%20Chart\MICROMINI\CHANGE-OUT\FC-CHGO-016%20%20%20X86521624P.pdf" TargetMode="External"/><Relationship Id="rId1059" Type="http://schemas.openxmlformats.org/officeDocument/2006/relationships/hyperlink" Target="file:///\\chno0276\Control%20de%20Documentos\Doc.%20controlados%20PDF\Flow%20Chart\ITRON\AMSAFE\FC-AMSA-%20018%20004002-0001.pdf" TargetMode="External"/><Relationship Id="rId1" Type="http://schemas.openxmlformats.org/officeDocument/2006/relationships/hyperlink" Target="file:///\\chno0276\Aseguranza%20de%20Calidad\Control%20de%20Documentos\Doc.%20controlados%20PDF\Manual%20de%20Calidad\QM-01%20Quality%20Manual.pdf" TargetMode="External"/><Relationship Id="rId233" Type="http://schemas.openxmlformats.org/officeDocument/2006/relationships/hyperlink" Target="file:///\\chno0276\Aseguranza%20de%20Calidad\Control%20de%20Documentos\Doc.%20controlados%20PDF\Formas\CNWI-MTTO%20(Mantenimiento)\CNWI-MTTO-F018%20Inspeccion%20de%20Montacargas%20Electrico.xls" TargetMode="External"/><Relationship Id="rId440" Type="http://schemas.openxmlformats.org/officeDocument/2006/relationships/hyperlink" Target="file:///\\CHNO0276\Aseguranza%20de%20Calidad\Control%20de%20Documentos\Doc.%20controlados%20PDF\Formas\CNWI-QAAS%20(aseguranza%20de%20calidad)\CNWI-QAAS-F090%20Incoming%20Check%20list.xls" TargetMode="External"/><Relationship Id="rId678" Type="http://schemas.openxmlformats.org/officeDocument/2006/relationships/hyperlink" Target="file:///\\CHNO0276\Aseguranza%20de%20Calidad\Control%20de%20Documentos\Doc.%20controlados%20PDF\Ayudas%20visuales\Camarillo\Moldeo\CNWI-VSHP-000089%20Rev.%20A%20(027-0230-000).pub" TargetMode="External"/><Relationship Id="rId843" Type="http://schemas.openxmlformats.org/officeDocument/2006/relationships/hyperlink" Target="file:///\\chno0276\Aseguranza%20de%20Calidad\Control%20de%20Documentos\Documentos%20controlados\CN-QAAS%20(Aseguranza%20de%20calidad)\Control%20Plans\MICROMINI\MS\CP-MS-007%20Rev.%20A%20568055-H.xlsx" TargetMode="External"/><Relationship Id="rId885" Type="http://schemas.openxmlformats.org/officeDocument/2006/relationships/hyperlink" Target="file:///\\CHNO0276\Aseguranza%20de%20Calidad\Control%20de%20Documentos\Doc.%20controlados%20PDF\Control%20Plans\MICROMINI\POTTED\CP-POTT-005%20Rev.A%20%20CH5041494B.pdf" TargetMode="External"/><Relationship Id="rId1070" Type="http://schemas.openxmlformats.org/officeDocument/2006/relationships/hyperlink" Target="file:///\\chno0276\Aseguranza%20de%20Calidad\Control%20de%20Documentos\Doc.%20controlados%20PDF\FMEA\MICROMINI\MS\FMEA-MS-003%20%2011613668%20&amp;%2011536313.pdf" TargetMode="External"/><Relationship Id="rId1126" Type="http://schemas.openxmlformats.org/officeDocument/2006/relationships/hyperlink" Target="file:///\\CHNO0276\Aseguranza%20de%20Calidad\Control%20de%20Documentos\Doc.%20controlados%20PDF\Quality%20Alerts\ITRON\BONDING\QA-BOND-011%20conectores%20sin%20contactos%20%20000300-0596.pdf" TargetMode="External"/><Relationship Id="rId28" Type="http://schemas.openxmlformats.org/officeDocument/2006/relationships/hyperlink" Target="file:///\\chno0276\Aseguranza%20de%20Calidad\Control%20de%20Documentos\Doc.%20controlados%20PDF\Instructivos\CNWI-SHAE\CNWI-SHAE-0003%20Programa%20de%20Seguridad%20Azul.pdf" TargetMode="External"/><Relationship Id="rId275" Type="http://schemas.openxmlformats.org/officeDocument/2006/relationships/hyperlink" Target="file:///\\chno0276\Aseguranza%20de%20Calidad\Control%20de%20Documentos\Doc.%20controlados%20PDF\Formas\CNWI-PRCS%20(compras)\CNWI-PRCS-F002%20Formato%20de%20orden%20de%20compra%20.xls" TargetMode="External"/><Relationship Id="rId300" Type="http://schemas.openxmlformats.org/officeDocument/2006/relationships/hyperlink" Target="file:///\\chno0276\Aseguranza%20de%20Calidad\Control%20de%20Documentos\Doc.%20controlados%20PDF\Formas\CNWI-ENGI%20(Ingenieria)\CNWI-ENGI-F024%20SQDC%20CHARTS%20PRINTABLE.pub" TargetMode="External"/><Relationship Id="rId482" Type="http://schemas.openxmlformats.org/officeDocument/2006/relationships/hyperlink" Target="file:///\\CHNO0276\Aseguranza%20de%20Calidad\Control%20de%20Documentos\Doc.%20controlados%20PDF\Formas\CNWI-PROD%20(%20Produccion%20)\CNWI-PROD-F011%20Etiqueta%20lighting%202370.xls" TargetMode="External"/><Relationship Id="rId538" Type="http://schemas.openxmlformats.org/officeDocument/2006/relationships/hyperlink" Target="file:///\\chno0276\Aseguranza%20de%20Calidad\Control%20de%20Documentos\Doc.%20controlados%20PDF\Formas\CN-LEAN\Formatos\F-LEAN-01-002%20Rev%20%20A%20Plan%20de%20Eventos%20Kaizen.xlsx" TargetMode="External"/><Relationship Id="rId703" Type="http://schemas.openxmlformats.org/officeDocument/2006/relationships/hyperlink" Target="file:///\\CHNO0276\Aseguranza%20de%20Calidad\Control%20de%20Documentos\Doc.%20controlados%20PDF\Ayudas%20visuales\Micromini\A%20y%20B\CNWI-VSHP-000033%20Rev.A%205000129-X.pub" TargetMode="External"/><Relationship Id="rId745" Type="http://schemas.openxmlformats.org/officeDocument/2006/relationships/hyperlink" Target="file:///\\CHNO0276\Aseguranza%20de%20Calidad\Control%20de%20Documentos\Doc.%20controlados%20PDF\Ayudas%20visuales\Micromini\Potted\CNWI-VSHP-000112%20Rev.%20A%20(ABF-P1R5-C).pub" TargetMode="External"/><Relationship Id="rId910" Type="http://schemas.openxmlformats.org/officeDocument/2006/relationships/hyperlink" Target="file:///\\chno0276\Aseguranza%20de%20Calidad\Control%20de%20Documentos\Doc.%20controlados%20PDF\Control%20Plans\ITRON\AMSAFE\CP-AMSA-018%20%20004062-0001.pdf" TargetMode="External"/><Relationship Id="rId952" Type="http://schemas.openxmlformats.org/officeDocument/2006/relationships/hyperlink" Target="file:///\\chno0276\Aseguranza%20de%20Calidad\Control%20de%20Documentos\Doc.%20controlados%20PDF\Control%20Plans\ITRON\BONDING\CP-BOND-007%20%20%20002367-0121.pdf" TargetMode="External"/><Relationship Id="rId1168" Type="http://schemas.openxmlformats.org/officeDocument/2006/relationships/hyperlink" Target="file:///\\chno0276\Aseguranza%20de%20Calidad\Control%20de%20Documentos\Doc.%20controlados%20PDF\Quality%20Alerts\ITRON\AMSAFE\QA-AMSA-003%20.pdf" TargetMode="External"/><Relationship Id="rId81" Type="http://schemas.openxmlformats.org/officeDocument/2006/relationships/hyperlink" Target="file:///\\chno0276\Aseguranza%20de%20Calidad\Control%20de%20Documentos\Doc.%20controlados%20PDF\Instructivos\CNWI-ENGI\CNWI-ENGI-0038%20Llenado%20de%20cartuchos%20de%20epoxy.pdf" TargetMode="External"/><Relationship Id="rId135" Type="http://schemas.openxmlformats.org/officeDocument/2006/relationships/hyperlink" Target="file:///\\chno0276\Aseguranza%20de%20Calidad\Control%20de%20Documentos\Doc.%20controlados%20PDF\Instructivos\CNWI-QAAS\CNWI-QAAS-0001%20Responsabilidad%20Gerencial.pdf" TargetMode="External"/><Relationship Id="rId177" Type="http://schemas.openxmlformats.org/officeDocument/2006/relationships/hyperlink" Target="file:///\\chno0276\Control%20de%20Documentos\Doc.%20controlados%20PDF\Instructivos\CNWI-QAAS\CNWI-QAAS-0045%20%20Cerrar%20acci&#243;n%20correctiva%20con%20Notificacion%20(Sap).pdf" TargetMode="External"/><Relationship Id="rId342" Type="http://schemas.openxmlformats.org/officeDocument/2006/relationships/hyperlink" Target="file:///\\chno0276\Aseguranza%20de%20Calidad\Control%20de%20Documentos\Doc.%20controlados%20PDF\Formas\CNWI-QAAS%20(aseguranza%20de%20calidad)\CNWI-QAAS-F019%20%20reporte%20de%20prueba%20de%20jalon.xls" TargetMode="External"/><Relationship Id="rId384" Type="http://schemas.openxmlformats.org/officeDocument/2006/relationships/hyperlink" Target="file:///\\chno0276\Aseguranza%20de%20Calidad\Control%20de%20Documentos\Documentos%20controlados\CN-QAAS%20(Aseguranza%20de%20calidad)\FORMAS\CNWI-QAAS-F131%20Rev.%20A%20QMS%20Assessment.xls" TargetMode="External"/><Relationship Id="rId591" Type="http://schemas.openxmlformats.org/officeDocument/2006/relationships/hyperlink" Target="file:///\\CHNO0276\Aseguranza%20de%20Calidad\Control%20de%20Documentos\Doc.%20controlados%20PDF\Ayudas%20visuales\Avenal-Solar\VA-SOL-005%20Rev.%20A%20Proyecto%20NEDCO%20area%20de%20Solar.pptx" TargetMode="External"/><Relationship Id="rId605" Type="http://schemas.openxmlformats.org/officeDocument/2006/relationships/hyperlink" Target="file:///\\chno0276\Control%20de%20Documentos\Doc.%20controlados%20PDF\Ayudas%20visuales\Camarillo\Amsafe\VA-AMSA-021%20Rev%20Doc%20B-%20Drawing%20%20E%20%20%20CABLE%20ASSEMBLY%20509828-201%20%20pag%201%20PART%20004041-0001.ppt" TargetMode="External"/><Relationship Id="rId787" Type="http://schemas.openxmlformats.org/officeDocument/2006/relationships/hyperlink" Target="file:///\\chno0276\Control%20de%20Documentos\Doc.%20controlados%20PDF\Ayudas%20visuales\Camarillo\Itron\MULTICELDA%20B\VA-IMB-008%20Rev%20B%20%20ENSAMBLE%20DE%2028-2306-0001%20(CBA-1300-903).ppt" TargetMode="External"/><Relationship Id="rId812" Type="http://schemas.openxmlformats.org/officeDocument/2006/relationships/hyperlink" Target="file:///\\chno0276\Aseguranza%20de%20Calidad\Control%20de%20Documentos\Doc.%20controlados%20PDF\Especificaciones%20genericas\Micromini\MS\CNWI-ENGI-F019%20Rev%20%20O%20Especificaciones%20de%20insercion%20de%20conductores%20area%20MS.xlsx" TargetMode="External"/><Relationship Id="rId994" Type="http://schemas.openxmlformats.org/officeDocument/2006/relationships/hyperlink" Target="file:///\\chno0276\Aseguranza%20de%20Calidad\Control%20de%20Documentos\Doc.%20controlados%20PDF\Flow%20Chart\MICROMINI\MS\FC-MS-009%20%20SMEA0092010,%20SMEA0092025,%20SMEA0092030,%20SMEA0092040,%20SMEA0092045,%20SMEA0092050.pdf" TargetMode="External"/><Relationship Id="rId1028" Type="http://schemas.openxmlformats.org/officeDocument/2006/relationships/hyperlink" Target="file:///\\chno0276\Aseguranza%20de%20Calidad\Control%20de%20Documentos\Doc.%20controlados%20PDF\Flow%20Chart\ITRON\BONDING\FC-BOND-012%20%20%20%20%20002368-0221A.pdf" TargetMode="External"/><Relationship Id="rId202" Type="http://schemas.openxmlformats.org/officeDocument/2006/relationships/hyperlink" Target="file:///\\chno0276\Aseguranza%20de%20Calidad\Control%20de%20Documentos\Doc.%20controlados%20PDF\Formas\CNWI-QAAS%20(aseguranza%20de%20calidad)\CNWI-QAAS-F127%20Registro%20de%20asistencia%20a%20juntas.xlsx" TargetMode="External"/><Relationship Id="rId244" Type="http://schemas.openxmlformats.org/officeDocument/2006/relationships/hyperlink" Target="file:///\\chno0276\Aseguranza%20de%20Calidad\Control%20de%20Documentos\Doc.%20controlados%20PDF\Formas\CNWI-WRHS%20(Almacen)\CNWI-WRHS-F007%20Checklist%20de%20almacen.pdf" TargetMode="External"/><Relationship Id="rId647" Type="http://schemas.openxmlformats.org/officeDocument/2006/relationships/hyperlink" Target="file:///\\CHNO0276\Aseguranza%20de%20Calidad\Control%20de%20Documentos\Doc.%20controlados%20PDF\Ayudas%20visuales\Camarillo\Bonding\CNWI-VSHP-000155%20Rev.%20A%20(002359-0006).pub" TargetMode="External"/><Relationship Id="rId689" Type="http://schemas.openxmlformats.org/officeDocument/2006/relationships/hyperlink" Target="file:///\\CHNO0276\Aseguranza%20de%20Calidad\Control%20de%20Documentos\Doc.%20controlados%20PDF\Ayudas%20visuales\Micromini\General\CNWI-VSHP-000012%20Rev.%20A%20(PULL%20TEST%20MICRO-MINI).pub" TargetMode="External"/><Relationship Id="rId854" Type="http://schemas.openxmlformats.org/officeDocument/2006/relationships/hyperlink" Target="file:///\\chno0276\Aseguranza%20de%20Calidad\Control%20de%20Documentos\Doc.%20controlados%20PDF\Control%20Plans\MICROMINI\CELDA%20A&amp;B\CP-A&amp;B-023%20%20AT3RC3R.pdf" TargetMode="External"/><Relationship Id="rId896" Type="http://schemas.openxmlformats.org/officeDocument/2006/relationships/hyperlink" Target="file:///\\CHNO0276\Aseguranza%20de%20Calidad\Control%20de%20Documentos\Doc.%20controlados%20PDF\Control%20Plans\ITRON\MILTICELL%20A&amp;B\CP-IMB-001%20Rev.%20A%20(CON-1300-005%20%2000628-2304-0001%20%2028-2305-0001)%20(5).pdf" TargetMode="External"/><Relationship Id="rId1081" Type="http://schemas.openxmlformats.org/officeDocument/2006/relationships/hyperlink" Target="file:///\\chno0276\Aseguranza%20de%20Calidad\Control%20de%20Documentos\Doc.%20controlados%20PDF\FMEA\MICROMINI\MS\FMEA-MS-011%20%20SMEA0114007,%204010,%204015,%204030.pdf" TargetMode="External"/><Relationship Id="rId39" Type="http://schemas.openxmlformats.org/officeDocument/2006/relationships/hyperlink" Target="file:///\\chno0276\Aseguranza%20de%20Calidad\Control%20de%20Documentos\Doc.%20controlados%20PDF\Instructivos\CNWI-PRCS\CNWI-PRCS-0005%20%20Extender%20numeros%20de%20parte%20a%201016.pdf" TargetMode="External"/><Relationship Id="rId286" Type="http://schemas.openxmlformats.org/officeDocument/2006/relationships/hyperlink" Target="file:///\\chno0276\Aseguranza%20de%20Calidad\Control%20de%20Documentos\Doc.%20controlados%20PDF\Formas\CNWI-ENGI%20(Ingenieria)\CNWI-ENGI-F006%20Ajuste%20de%20Parametros.xlsx" TargetMode="External"/><Relationship Id="rId451" Type="http://schemas.openxmlformats.org/officeDocument/2006/relationships/hyperlink" Target="file:///\\CHNO0276\Aseguranza%20de%20Calidad\Control%20de%20Documentos\Doc.%20controlados%20PDF\Formas\CNWI-QAAS%20(aseguranza%20de%20calidad)\CNWI-QAAS-F106%20Formato%20de%20Calibracion%20de%20indicadores.xlsx" TargetMode="External"/><Relationship Id="rId493" Type="http://schemas.openxmlformats.org/officeDocument/2006/relationships/hyperlink" Target="file:///\\CHNO0276\Aseguranza%20de%20Calidad\Control%20de%20Documentos\Doc.%20controlados%20PDF\Formas\CNWI-PROD%20(%20Produccion%20)\CNWI-PROD-F022%20Etiqueta%20relays%208.xls" TargetMode="External"/><Relationship Id="rId507" Type="http://schemas.openxmlformats.org/officeDocument/2006/relationships/hyperlink" Target="file:///\\CHNO0276\Aseguranza%20de%20Calidad\Control%20de%20Documentos\Doc.%20controlados%20PDF\Formas\CNWI-PROD%20(%20Produccion%20)\CNWI-PROD-F036%20REPORTE%20DE%20MICROMINI%20PROBLEMAS%20DIARIOS.xls" TargetMode="External"/><Relationship Id="rId549" Type="http://schemas.openxmlformats.org/officeDocument/2006/relationships/hyperlink" Target="file:///\\chno0276\Aseguranza%20de%20Calidad\Control%20de%20Documentos\Documentos%20controlados\CN-QAAS%20(Aseguranza%20de%20calidad)\FORMAS\F-QAAS-25-002%20%20Rev.%20A%20LOG%20de%20FAI.xlsx" TargetMode="External"/><Relationship Id="rId714" Type="http://schemas.openxmlformats.org/officeDocument/2006/relationships/hyperlink" Target="file:///\\CHNO0276\Aseguranza%20de%20Calidad\Control%20de%20Documentos\Doc.%20controlados%20PDF\Ayudas%20visuales\Micromini\A%20y%20B\CNWI-VSHP-000072%20Rev.%20A%20(5000118-JC).pub" TargetMode="External"/><Relationship Id="rId756" Type="http://schemas.openxmlformats.org/officeDocument/2006/relationships/hyperlink" Target="file:///\\CHNO0276\Aseguranza%20de%20Calidad\Control%20de%20Documentos\Doc.%20controlados%20PDF\Ayudas%20visuales\Avenal-Solar\CNWI-VSHP-000204%20Rev%20A%20Ilustrar%20el%20proceso%20correcto%20de%20aplicaci&#243;n%20de%20goma%20en%20Solar.ppt" TargetMode="External"/><Relationship Id="rId921" Type="http://schemas.openxmlformats.org/officeDocument/2006/relationships/hyperlink" Target="file:///\\chno0276\Aseguranza%20de%20Calidad\Control%20de%20Documentos\Doc.%20controlados%20PDF\Control%20Plans\MICROMINI\MS\CP-MS-020%20%20%20P1526042B130,%20P1529042B130,%20P1532302C21,%20P1532302C27.pdf" TargetMode="External"/><Relationship Id="rId1137" Type="http://schemas.openxmlformats.org/officeDocument/2006/relationships/hyperlink" Target="file:///\\CHNO0276\Aseguranza%20de%20Calidad\Control%20de%20Documentos\Doc.%20controlados%20PDF\Quality%20Alerts\MICROMINI\Potted-%20Plex\QA-PLEX-001%20REV.%20A%2014633392%20Coupler%20-falta%20anodizado%20%5bCompatibility%20Mode%5d.pdf" TargetMode="External"/><Relationship Id="rId1179" Type="http://schemas.openxmlformats.org/officeDocument/2006/relationships/hyperlink" Target="file:///\\chno0276\Control%20de%20Documentos\Doc.%20controlados%20PDF\Especificaciones%20genericas\Camarillo\Ensamble%20General\Rev%20%20D%20Especificaciones%20de%20empaque%20%20de%20ensamble%20general.xls" TargetMode="External"/><Relationship Id="rId50" Type="http://schemas.openxmlformats.org/officeDocument/2006/relationships/hyperlink" Target="file:///\\chno0276\Aseguranza%20de%20Calidad\Control%20de%20Documentos\Doc.%20controlados%20PDF\Instructivos\CNWI-ENGI\CNWI-ENGI-0005%20Maquina%20Moldeadora%20Auto-Jectors%20Modelo%20HS35-S.pdf" TargetMode="External"/><Relationship Id="rId104" Type="http://schemas.openxmlformats.org/officeDocument/2006/relationships/hyperlink" Target="file:///\\chno0276\Aseguranza%20de%20Calidad\Control%20de%20Documentos\Doc.%20controlados%20PDF\Instructivos\CNWI-ENGI\CNWI-ENGI-0062%20Remachado%20de%20cables%20en%20maquina.pdf" TargetMode="External"/><Relationship Id="rId146" Type="http://schemas.openxmlformats.org/officeDocument/2006/relationships/hyperlink" Target="file:///\\chno0276\Aseguranza%20de%20Calidad\Control%20de%20Documentos\Doc.%20controlados%20PDF\Instructivos\CNWI-QAAS\CNWI-QAAS-0017%20Base%20de%20datos%20Calibracion.pdf" TargetMode="External"/><Relationship Id="rId188" Type="http://schemas.openxmlformats.org/officeDocument/2006/relationships/hyperlink" Target="file:///\\chno0276\Aseguranza%20de%20Calidad\Control%20de%20Documentos\Doc.%20controlados%20PDF\Formas\CNWI-QAAS%20(aseguranza%20de%20calidad)\CNWI-QAAS-F009%20Lista%20de%20verificacion%20Espa&#241;ol.doc" TargetMode="External"/><Relationship Id="rId311" Type="http://schemas.openxmlformats.org/officeDocument/2006/relationships/hyperlink" Target="file:///\\chno0276\Aseguranza%20de%20Calidad\Control%20de%20Documentos\Doc.%20controlados%20PDF\Formas\CNWI-ENGI%20(Ingenieria)\CNWI-ENGI-F038%20Ajustes%20de%20parametros.pdf" TargetMode="External"/><Relationship Id="rId353" Type="http://schemas.openxmlformats.org/officeDocument/2006/relationships/hyperlink" Target="file:///\\chno0276\Aseguranza%20de%20Calidad\Control%20de%20Documentos\Doc.%20controlados%20PDF\Formas\CNWI-QAAS%20(aseguranza%20de%20calidad)\CNWI-QAAS-F032%20Plan%20Anual%20de%20Auditoria.xls" TargetMode="External"/><Relationship Id="rId395" Type="http://schemas.openxmlformats.org/officeDocument/2006/relationships/hyperlink" Target="file:///\\CHNO0276\Aseguranza%20de%20Calidad\Control%20de%20Documentos\Doc.%20controlados%20PDF\Formas\CNWI-QAAS%20(aseguranza%20de%20calidad)\CNWI-QAAS-F095%20liberacion%20de%20equipo.docx" TargetMode="External"/><Relationship Id="rId409" Type="http://schemas.openxmlformats.org/officeDocument/2006/relationships/hyperlink" Target="file:///\\chno0276\Aseguranza%20de%20Calidad\Control%20de%20Documentos\Documentos%20controlados\CN-QAAS%20(Aseguranza%20de%20calidad)\FORMAS\CNWI-QAAS-F137%20Rev.A%20Dise&#241;o%20forma%20de%20registro.xlsx" TargetMode="External"/><Relationship Id="rId560" Type="http://schemas.openxmlformats.org/officeDocument/2006/relationships/hyperlink" Target="file:///\\CHNO0276\Aseguranza%20de%20Calidad\Control%20de%20Documentos\Doc.%20controlados%20PDF\Ayudas%20visuales\Micromini\Change%20Out\VA-CHGO-001%20Rev%20B%20%20X8652-CS%20Y%20REFERENCIA%201326304.pptx" TargetMode="External"/><Relationship Id="rId798" Type="http://schemas.openxmlformats.org/officeDocument/2006/relationships/hyperlink" Target="file:///\\CHNO0276\Aseguranza%20de%20Calidad\Control%20de%20Documentos\Doc.%20controlados%20PDF\Especificaciones%20genericas\Micromini\A%20Y%20B\CNWI-ENGI-F019%20Rev%20%20F%20Especificaciones%20remachado%20Celda%20A%20y%20B%20Rev%20%20B.xlsx" TargetMode="External"/><Relationship Id="rId963" Type="http://schemas.openxmlformats.org/officeDocument/2006/relationships/hyperlink" Target="file:///\\chno0276\Aseguranza%20de%20Calidad\Control%20de%20Documentos\Doc.%20controlados%20PDF\Control%20Plans\ITRON\BONDING\CP-BOND-017%20%20%20002379-0001.pdf" TargetMode="External"/><Relationship Id="rId1039" Type="http://schemas.openxmlformats.org/officeDocument/2006/relationships/hyperlink" Target="file:///\\chno0276\Aseguranza%20de%20Calidad\Control%20de%20Documentos\Doc.%20controlados%20PDF\Flow%20Chart\ITRON\BONDING\FC-BOND-003%20%20BACC65-%20TODOS.pdf" TargetMode="External"/><Relationship Id="rId1190" Type="http://schemas.openxmlformats.org/officeDocument/2006/relationships/hyperlink" Target="file:///\\CHNO0276\Aseguranza%20de%20Calidad\Control%20de%20Documentos\Doc.%20controlados%20PDF\Especificaciones%20genericas\Micromini\MS\CNWI-ENGI-F019%20Rev.%20H%20Especificaciones%20dedespoje%20de%20chaqueta%20MS.xlsx" TargetMode="External"/><Relationship Id="rId1204" Type="http://schemas.openxmlformats.org/officeDocument/2006/relationships/hyperlink" Target="file:///\\CHNO0276\Aseguranza%20de%20Calidad\Control%20de%20Documentos\Doc.%20controlados%20PDF\Especificaciones%20genericas\Micromini\PLEX\CNWI-ENGI-F019%20Rev.%20A%20Especificaciones%20de%20empaque%20Plex.xls" TargetMode="External"/><Relationship Id="rId92" Type="http://schemas.openxmlformats.org/officeDocument/2006/relationships/hyperlink" Target="file:///\\chno0276\Aseguranza%20de%20Calidad\Control%20de%20Documentos\Doc.%20controlados%20PDF\Instructivos\CNWI-ENGI\CNWI-ENGI-0049%20Alimentador%20de%20cables%20RTT.pdf" TargetMode="External"/><Relationship Id="rId213" Type="http://schemas.openxmlformats.org/officeDocument/2006/relationships/hyperlink" Target="file:///\\chno0276\Aseguranza%20de%20Calidad\Control%20de%20Documentos\Doc.%20controlados%20PDF\Formas\CNWI-HMRS%20(Recursos%20Humanos)\CNWI-HMRS-F012%20Inventario%20de%20Capacitacion%20de%20proceso.xlsx" TargetMode="External"/><Relationship Id="rId420" Type="http://schemas.openxmlformats.org/officeDocument/2006/relationships/hyperlink" Target="file:///\\CHNO0276\Aseguranza%20de%20Calidad\Control%20de%20Documentos\Doc.%20controlados%20PDF\Formas\CNWI-QAAS%20(aseguranza%20de%20calidad)\CNWI-QAAS-F064%20Boleta%20de%20scrap.xls" TargetMode="External"/><Relationship Id="rId616" Type="http://schemas.openxmlformats.org/officeDocument/2006/relationships/hyperlink" Target="file:///\\CHNO0276\Aseguranza%20de%20Calidad\Control%20de%20Documentos\Doc.%20controlados%20PDF\Ayudas%20visuales\Camarillo\Itron\CNWI-VSHP-000027%20Rev.%20B%20(CBA-0200-010).pub" TargetMode="External"/><Relationship Id="rId658" Type="http://schemas.openxmlformats.org/officeDocument/2006/relationships/hyperlink" Target="file:///\\CHNO0276\Aseguranza%20de%20Calidad\Control%20de%20Documentos\Doc.%20controlados%20PDF\Ayudas%20visuales\Camarillo\Ensamble%20general\CNWI-VSHP-000035%20Rev.%20A.%20(000231-3854).pub" TargetMode="External"/><Relationship Id="rId823" Type="http://schemas.openxmlformats.org/officeDocument/2006/relationships/hyperlink" Target="file:///\\chno0276\Aseguranza%20de%20Calidad\Control%20de%20Documentos\Doc.%20controlados%20PDF\Control%20Plans\MICROMINI\CELDA%20A&amp;B\CP-A&amp;B-002%20%20A89N-F8AF-2.pdf" TargetMode="External"/><Relationship Id="rId865" Type="http://schemas.openxmlformats.org/officeDocument/2006/relationships/hyperlink" Target="file:///\\chno0276\Aseguranza%20de%20Calidad\Control%20de%20Documentos\Doc.%20controlados%20PDF\Control%20Plans\MICROMINI\CELDA%20A&amp;B\CP-A&amp;B-029%20%201326304.pdf" TargetMode="External"/><Relationship Id="rId1050" Type="http://schemas.openxmlformats.org/officeDocument/2006/relationships/hyperlink" Target="file:///\\chno0276\Control%20de%20Documentos\Doc.%20controlados%20PDF\Flow%20Chart\ITRON\AMSAFE\FC-AMSA%20-008%20%2004055-002.pdf" TargetMode="External"/><Relationship Id="rId255" Type="http://schemas.openxmlformats.org/officeDocument/2006/relationships/hyperlink" Target="file:///\\chno0276\Aseguranza%20de%20Calidad\Control%20de%20Documentos\Doc.%20controlados%20PDF\Formas\CNWI-SHAE%20(Seguridad%20e%20higiene%20y%20medio%20ambiente)\CNWI-SHAE-F008%20Formato%20de%20aprobaci&#243;n%20de%20quimico%20nuevo.doc" TargetMode="External"/><Relationship Id="rId297" Type="http://schemas.openxmlformats.org/officeDocument/2006/relationships/hyperlink" Target="file:///\\chno0276\Aseguranza%20de%20Calidad\Control%20de%20Documentos\Doc.%20controlados%20PDF\Formas\CNWI-ENGI%20(Ingenieria)\CNWI-ENGI-F019%20Especificaciones%20de%20empaque.xlsx" TargetMode="External"/><Relationship Id="rId462" Type="http://schemas.openxmlformats.org/officeDocument/2006/relationships/hyperlink" Target="file:///\\CHNO0276\Aseguranza%20de%20Calidad\Control%20de%20Documentos\Doc.%20controlados%20PDF\Formas\CNWI-QAAS%20(aseguranza%20de%20calidad)\CNWI-QAAS-F126%20Rev.%20C%20OOB%20Micromini.pdf" TargetMode="External"/><Relationship Id="rId518" Type="http://schemas.openxmlformats.org/officeDocument/2006/relationships/hyperlink" Target="file:///\\CHNO0276\Aseguranza%20de%20Calidad\Control%20de%20Documentos\Doc.%20controlados%20PDF\Formas\CNWI-SHIP%20(%20Embarques%20)\CNWI-SHIP-F009%20Rev.%20A%20SPECIAL%20REQ%20LOGISTICS.xlsx" TargetMode="External"/><Relationship Id="rId725" Type="http://schemas.openxmlformats.org/officeDocument/2006/relationships/hyperlink" Target="file:///\\CHNO0276\Aseguranza%20de%20Calidad\Control%20de%20Documentos\Doc.%20controlados%20PDF\Ayudas%20visuales\Micromini\Change%20Out\CNWI-VSHP-000060%20Rev.%20A%20(X8653-GV).pub" TargetMode="External"/><Relationship Id="rId932" Type="http://schemas.openxmlformats.org/officeDocument/2006/relationships/hyperlink" Target="file:///\\chno0276\Aseguranza%20de%20Calidad\Control%20de%20Documentos\Doc.%20controlados%20PDF\Control%20Plans\MICROMINI\CHANGE-OUT\CP-CHGO-009%20%20CX8653330.pdf" TargetMode="External"/><Relationship Id="rId1092" Type="http://schemas.openxmlformats.org/officeDocument/2006/relationships/hyperlink" Target="file:///\\chno0276\Aseguranza%20de%20Calidad\Control%20de%20Documentos\Doc.%20controlados%20PDF\FMEA\MICROMINI\CHANGE-OUT\FMEA-CHGO-014%20%20%20%20%20X8653568P.pdf" TargetMode="External"/><Relationship Id="rId1106" Type="http://schemas.openxmlformats.org/officeDocument/2006/relationships/hyperlink" Target="file:///\\chno0276\Aseguranza%20de%20Calidad\Control%20de%20Documentos\Doc.%20controlados%20PDF\Quality%20Alerts\MICROMINI\Change%20Out\QA-CHGO-001%20CH5041597D0360%20Exceso%20de%20goma-burbujas.pdf" TargetMode="External"/><Relationship Id="rId1148" Type="http://schemas.openxmlformats.org/officeDocument/2006/relationships/hyperlink" Target="file:///\\CHNO0276\Aseguranza%20de%20Calidad\Control%20de%20Documentos\Doc.%20controlados%20PDF\Quality%20Alerts\ITRON\MULTICELL%20A&amp;B\QA-IMA-001%20Rev.%20A%20CBA%20&amp;%20CON%20Pines%20mal%20sentados.pdf" TargetMode="External"/><Relationship Id="rId115" Type="http://schemas.openxmlformats.org/officeDocument/2006/relationships/hyperlink" Target="file:///\\chno0276\Aseguranza%20de%20Calidad\Control%20de%20Documentos\Doc.%20controlados%20PDF\Instructivos\CNWI-ENGI\CNWI-ENGI-0073%20Prueba%20El&#233;ctrica%20en%20Equipo%20Megohmmeter.pdf" TargetMode="External"/><Relationship Id="rId157" Type="http://schemas.openxmlformats.org/officeDocument/2006/relationships/hyperlink" Target="file:///\\chno0276\Aseguranza%20de%20Calidad\Control%20de%20Documentos\Doc.%20controlados%20PDF\Instructivos\CNWI-QAAS\CNWI-QAAS-0031%20Calibracion%20de%20Verniers.pdf" TargetMode="External"/><Relationship Id="rId322" Type="http://schemas.openxmlformats.org/officeDocument/2006/relationships/hyperlink" Target="file:///\\chno0276\Aseguranza%20de%20Calidad\Control%20de%20Documentos\Doc.%20controlados%20PDF\Formas\CNWI-ENGI%20(Ingenieria)\CNWI-ENGI-F049%20Itron%20Part%20Number%20Cross%20Reference.xls" TargetMode="External"/><Relationship Id="rId364" Type="http://schemas.openxmlformats.org/officeDocument/2006/relationships/hyperlink" Target="file:///\\chno0276\Aseguranza%20de%20Calidad\Control%20de%20Documentos\Doc.%20controlados%20PDF\Formas\CNWI-QAAS%20(aseguranza%20de%20calidad)\CNWI-QAAS-F046%20Dimensional%20Data%20Sheet%20.xlsx" TargetMode="External"/><Relationship Id="rId767" Type="http://schemas.openxmlformats.org/officeDocument/2006/relationships/hyperlink" Target="file:///\\chno0276\Aseguranza%20de%20Calidad\Control%20de%20Documentos\Doc.%20controlados%20PDF\Ayudas%20visuales\Micromini\General\VA-MGRAL-007%20Rev%20B%20despoje%20jacket%20%20generica%20micromini%20(2).pptx" TargetMode="External"/><Relationship Id="rId974" Type="http://schemas.openxmlformats.org/officeDocument/2006/relationships/hyperlink" Target="file:///\\chno0276\Control%20de%20Documentos\Doc.%20controlados%20PDF\Control%20Plans\MICROMINI\CELDA%20A&amp;B\CP-A&amp;B-043%20Rev.%20A%20.xlsx" TargetMode="External"/><Relationship Id="rId1008" Type="http://schemas.openxmlformats.org/officeDocument/2006/relationships/hyperlink" Target="file:///\\chno0276\Aseguranza%20de%20Calidad\Control%20de%20Documentos\Doc.%20controlados%20PDF\Flow%20Chart\MICROMINI\CHANGE-OUT\FC-CHGO-008%20%20X865316P,%20X865398P.pdf" TargetMode="External"/><Relationship Id="rId61" Type="http://schemas.openxmlformats.org/officeDocument/2006/relationships/hyperlink" Target="file:///\\chno0276\Aseguranza%20de%20Calidad\Control%20de%20Documentos\Doc.%20controlados%20PDF\Instructivos\CNWI-ENGI\CNWI-ENGI-0018%20Perforaci&#243;n%20de%20Riel%20y%20Lifter%20con%20Taladros%20Modelos%20%20%208716-%2097908-36640-86498-36632.pdf" TargetMode="External"/><Relationship Id="rId199" Type="http://schemas.openxmlformats.org/officeDocument/2006/relationships/hyperlink" Target="file:///\\chno0276\Aseguranza%20de%20Calidad\Control%20de%20Documentos\Doc.%20controlados%20PDF\Formas\CNWI-QAAS%20(aseguranza%20de%20calidad)\CNWI-QAAS-F129%20OOB%20Amsafe-bonding.xlsx" TargetMode="External"/><Relationship Id="rId571" Type="http://schemas.openxmlformats.org/officeDocument/2006/relationships/hyperlink" Target="file:///\\CHNO0276\Aseguranza%20de%20Calidad\Control%20de%20Documentos\Doc.%20controlados%20PDF\Ayudas%20visuales\Camarillo\Itron\PLUG\VA-IPLUG-002%20%20Rev%20C%20%20%20CBA-0349-105%20PARTE%2028-2297-0001.ppt" TargetMode="External"/><Relationship Id="rId627" Type="http://schemas.openxmlformats.org/officeDocument/2006/relationships/hyperlink" Target="file:///\\CHNO0276\Aseguranza%20de%20Calidad\Control%20de%20Documentos\Doc.%20controlados%20PDF\Ayudas%20visuales\Camarillo\Itron\CNWI-VSHP-000138%20REV.%20A%20(28-7502-0007M).pub" TargetMode="External"/><Relationship Id="rId669" Type="http://schemas.openxmlformats.org/officeDocument/2006/relationships/hyperlink" Target="file:///\\CHNO0276\Aseguranza%20de%20Calidad\Control%20de%20Documentos\Doc.%20controlados%20PDF\Ayudas%20visuales\Camarillo\Ensamble%20general\CNWI-VSHP-000130%20REV.%20A.pub" TargetMode="External"/><Relationship Id="rId834" Type="http://schemas.openxmlformats.org/officeDocument/2006/relationships/hyperlink" Target="file:///\\chno0276\Aseguranza%20de%20Calidad\Control%20de%20Documentos\Doc.%20controlados%20PDF\Control%20Plans\MICROMINI\MS\CP-MS-003%20%20CHK08022110X.pdf" TargetMode="External"/><Relationship Id="rId876" Type="http://schemas.openxmlformats.org/officeDocument/2006/relationships/hyperlink" Target="file:///\\CHNO0276\Aseguranza%20de%20Calidad\Control%20de%20Documentos\Doc.%20controlados%20PDF\Control%20Plans\MICROMINI\CELDA%20A&amp;B\CP-A&amp;B-038%20Rev.%205000118-JY.pdf" TargetMode="External"/><Relationship Id="rId19" Type="http://schemas.openxmlformats.org/officeDocument/2006/relationships/hyperlink" Target="file:///\\chno0276\Aseguranza%20de%20Calidad\Control%20de%20Documentos\Doc.%20controlados%20PDF\Instructivos\CNWI-WRHS\CNWI-WRHS-0001%20Instruccion%20de%20Almacen.pdf" TargetMode="External"/><Relationship Id="rId224" Type="http://schemas.openxmlformats.org/officeDocument/2006/relationships/hyperlink" Target="file:///\\chno0276\Aseguranza%20de%20Calidad\Control%20de%20Documentos\Doc.%20controlados%20PDF\Formas\CNWI-MTTO%20(Mantenimiento)\CNWI-MTTO-F008%20Orden%20de%20Trabajo%20para%20Mantenimineto.xls" TargetMode="External"/><Relationship Id="rId266" Type="http://schemas.openxmlformats.org/officeDocument/2006/relationships/hyperlink" Target="file:///\\chno0276\Aseguranza%20de%20Calidad\Control%20de%20Documentos\Doc.%20controlados%20PDF\Formas\CNWI-SHAE%20(Seguridad%20e%20higiene%20y%20medio%20ambiente)\CNWI-SHAE-F019%20Checklist%20de%20Grua%20y%20Accesorios%20de%20Izaje.xls" TargetMode="External"/><Relationship Id="rId431" Type="http://schemas.openxmlformats.org/officeDocument/2006/relationships/hyperlink" Target="file:///\\CHNO0276\Aseguranza%20de%20Calidad\Control%20de%20Documentos\Doc.%20controlados%20PDF\Formas\CNWI-QAAS%20(aseguranza%20de%20calidad)\CNWI-QAAS-F078%20forma%20Ethernet%20Serial%20Number.xls" TargetMode="External"/><Relationship Id="rId473" Type="http://schemas.openxmlformats.org/officeDocument/2006/relationships/hyperlink" Target="file:///\\chno0276\Control%20de%20Documentos\Doc.%20controlados%20PDF\Formas\CNWI-SHIP%20(%20Embarques%20)\CNWI-SHIP-F008%20Control%20de%20material%20para%20embarcar.xlsx" TargetMode="External"/><Relationship Id="rId529" Type="http://schemas.openxmlformats.org/officeDocument/2006/relationships/hyperlink" Target="file:///\\chno0276\Control%20de%20Documentos\Doc.%20controlados%20PDF\Formas\CNWI-ENGI%20(Ingenieria)\CNWI-ENGI-F071%20Rev%20%20A%20Registro%20de%20productos%20terminados%20NPI.xlsx" TargetMode="External"/><Relationship Id="rId680" Type="http://schemas.openxmlformats.org/officeDocument/2006/relationships/hyperlink" Target="file:///\\CHNO0276\Aseguranza%20de%20Calidad\Control%20de%20Documentos\Doc.%20controlados%20PDF\Ayudas%20visuales\Camarillo\Moldeo\CNWI-VSHP-000100%20Rev.%20A%20(024-0317-000).pub" TargetMode="External"/><Relationship Id="rId736" Type="http://schemas.openxmlformats.org/officeDocument/2006/relationships/hyperlink" Target="file:///\\CHNO0276\Aseguranza%20de%20Calidad\Control%20de%20Documentos\Doc.%20controlados%20PDF\Ayudas%20visuales\Micromini\Potted\CNWI-VSHP-000070%20Rev.%20A%20(5000108-D).pub" TargetMode="External"/><Relationship Id="rId901" Type="http://schemas.openxmlformats.org/officeDocument/2006/relationships/hyperlink" Target="file:///\\chno0276\Aseguranza%20de%20Calidad\Control%20de%20Documentos\Doc.%20controlados%20PDF\Control%20Plans\ITRON\AMSAFE\CP-AMSA-009%20%200004071-0001.pdf" TargetMode="External"/><Relationship Id="rId1061" Type="http://schemas.openxmlformats.org/officeDocument/2006/relationships/hyperlink" Target="file:///\\chno0276\Control%20de%20Documentos\Doc.%20controlados%20PDF\Flow%20Chart\MICROMINI\CHANGE-OUT\FC-CHGO-001%20CX865237AN.pdf" TargetMode="External"/><Relationship Id="rId1117" Type="http://schemas.openxmlformats.org/officeDocument/2006/relationships/hyperlink" Target="file:///\\chno0276\Aseguranza%20de%20Calidad\Control%20de%20Documentos\Doc.%20controlados%20PDF\Quality%20Alerts\MICROMINI\MS\QA-MS-006%20%20CHMEA0115040%20Pieza%20da&#241;ada-%20Quemada.pdf" TargetMode="External"/><Relationship Id="rId1159" Type="http://schemas.openxmlformats.org/officeDocument/2006/relationships/hyperlink" Target="file:///\\chno0276\Aseguranza%20de%20Calidad\Control%20de%20Documentos\Doc.%20controlados%20PDF\Quality%20Alerts\ITRON\MULTICELL%20A&amp;B\QA-IMA-007%20Rev.%20A%20CBA%20&amp;%20CON%20Contactos%20faltantes.pdf" TargetMode="External"/><Relationship Id="rId30" Type="http://schemas.openxmlformats.org/officeDocument/2006/relationships/hyperlink" Target="file:///\\chno0276\Aseguranza%20de%20Calidad\Control%20de%20Documentos\Doc.%20controlados%20PDF\Instructivos\CNWI-SHAE\CNWI-SHAE-0006%20Plan%20de%20contingencia.pdf" TargetMode="External"/><Relationship Id="rId126" Type="http://schemas.openxmlformats.org/officeDocument/2006/relationships/hyperlink" Target="file:///\\CHNO0276\Aseguranza%20de%20Calidad\Control%20de%20Documentos\Doc.%20controlados%20PDF\Instructivos\CNWI-ENGI\CNWI-ENGI-0007%20Maquina%20remachado%20de%20solar.pdf" TargetMode="External"/><Relationship Id="rId168" Type="http://schemas.openxmlformats.org/officeDocument/2006/relationships/hyperlink" Target="file:///\\CHNO0276\Aseguranza%20de%20Calidad\Control%20de%20Documentos\Doc.%20controlados%20PDF\Instructivos\CNWI-QAAS\CNWI-QAAS-0024%20Procedimiento%20para%20recall%20de%20productos.pdf" TargetMode="External"/><Relationship Id="rId333" Type="http://schemas.openxmlformats.org/officeDocument/2006/relationships/hyperlink" Target="file:///\\CHNO0276\Aseguranza%20de%20Calidad\Control%20de%20Documentos\Doc.%20controlados%20PDF\Formas\CNWI-QAAS%20(aseguranza%20de%20calidad)\CNWI-QAAS-F003-C%20Formato%20oficial%20para%20control%20de%20documentos.doc" TargetMode="External"/><Relationship Id="rId540" Type="http://schemas.openxmlformats.org/officeDocument/2006/relationships/hyperlink" Target="file:///\\chno0276\Control%20de%20Documentos\Doc.%20controlados%20PDF\Formas\CNWI-MTTO%20(Mantenimiento)\CNWI-MTTO-F026%20Rev.%20A%20Tarjetas%20rojas.xlsx" TargetMode="External"/><Relationship Id="rId778" Type="http://schemas.openxmlformats.org/officeDocument/2006/relationships/hyperlink" Target="file:///\\chno0276\Control%20de%20Documentos\Doc.%20controlados%20PDF\Ayudas%20visuales\Avenal-Solar\VA-SOL-006%20Rev%20A%20Ensamble%20para%20IC-B46-SF6-XXXX%20proyecto%20AMEC.ppt" TargetMode="External"/><Relationship Id="rId943" Type="http://schemas.openxmlformats.org/officeDocument/2006/relationships/hyperlink" Target="file:///\\chno0276\Aseguranza%20de%20Calidad\Control%20de%20Documentos\Doc.%20controlados%20PDF\Control%20Plans\MICROMINI\CHANGE-OUT\CP-CHGO-020%20%20%20%20X8653687P.pdf" TargetMode="External"/><Relationship Id="rId985" Type="http://schemas.openxmlformats.org/officeDocument/2006/relationships/hyperlink" Target="file:///\\chno0276\Aseguranza%20de%20Calidad\Control%20de%20Documentos\Doc.%20controlados%20PDF\Flow%20Chart\MICROMINI\MS\FC-MS-002%20%205680551.pdf" TargetMode="External"/><Relationship Id="rId1019" Type="http://schemas.openxmlformats.org/officeDocument/2006/relationships/hyperlink" Target="file:///\\chno0276\Aseguranza%20de%20Calidad\Control%20de%20Documentos\Doc.%20controlados%20PDF\Flow%20Chart\ITRON\BONDING\FC-BOND-003%20%20BACC65-%20TODOS.pdf" TargetMode="External"/><Relationship Id="rId1170" Type="http://schemas.openxmlformats.org/officeDocument/2006/relationships/hyperlink" Target="file:///\\chno0276\Aseguranza%20de%20Calidad\Control%20de%20Documentos\Doc.%20controlados%20PDF\Quality%20Alerts\ITRON\AMSAFE\QA-AMSA-005%20%20004065-0001%20Missing%20Shrink%20Tube.pdf" TargetMode="External"/><Relationship Id="rId72" Type="http://schemas.openxmlformats.org/officeDocument/2006/relationships/hyperlink" Target="file:///\\chno0276\Aseguranza%20de%20Calidad\Control%20de%20Documentos\Doc.%20controlados%20PDF\Instructivos\CNWI-ENGI\CNWI-ENGI-0029%20Preparaci&#243;n%20de%20Pintura%20para%20M&#225;quina%20de%20estampado%20Pad%20Printer.pdf" TargetMode="External"/><Relationship Id="rId375" Type="http://schemas.openxmlformats.org/officeDocument/2006/relationships/hyperlink" Target="file:///\\chno0276\Aseguranza%20de%20Calidad\Control%20de%20Documentos\Doc.%20controlados%20PDF\Formas\CNWI-QAAS%20(aseguranza%20de%20calidad)\CNWI-QAAS-F059%20retrabajos%20micromini.xlsx" TargetMode="External"/><Relationship Id="rId582" Type="http://schemas.openxmlformats.org/officeDocument/2006/relationships/hyperlink" Target="file:///\\CHNO0276\Aseguranza%20de%20Calidad\Control%20de%20Documentos\Doc.%20controlados%20PDF\Ayudas%20visuales\Avenal-Solar\VA-SOL-001%20%20Rev.%20B%20%20Proceso%20ensamble%20del%20area%20de%20solar%20IC-A61-N1.ppt" TargetMode="External"/><Relationship Id="rId638" Type="http://schemas.openxmlformats.org/officeDocument/2006/relationships/hyperlink" Target="file:///\\CHNO0276\Aseguranza%20de%20Calidad\Control%20de%20Documentos\Doc.%20controlados%20PDF\Ayudas%20visuales\Camarillo\Bonding\CNWI-VSHP-000053%20Rev.%20A%20(002315-0000).pub" TargetMode="External"/><Relationship Id="rId803" Type="http://schemas.openxmlformats.org/officeDocument/2006/relationships/hyperlink" Target="file:///\\CHNO0276\Aseguranza%20de%20Calidad\Control%20de%20Documentos\Doc.%20controlados%20PDF\Especificaciones%20genericas\Micromini\CHANGE%20OUT\CNWI-ENGI-F019%20Rev.%20A%20Especificaciones%20remachado%20area%20Change%20out%20Rev.%20A.xlsx" TargetMode="External"/><Relationship Id="rId845" Type="http://schemas.openxmlformats.org/officeDocument/2006/relationships/hyperlink" Target="file:///\\chno0276\Aseguranza%20de%20Calidad\Control%20de%20Documentos\Doc.%20controlados%20PDF\Control%20Plans\MICROMINI\CELDA%20A&amp;B\CP-A&amp;B-013%20%201326304.pdf" TargetMode="External"/><Relationship Id="rId1030" Type="http://schemas.openxmlformats.org/officeDocument/2006/relationships/hyperlink" Target="file:///\\chno0276\Aseguranza%20de%20Calidad\Control%20de%20Documentos\Doc.%20controlados%20PDF\Flow%20Chart\ITRON\BONDING\FC-BOND-014%20%20%20002368-XXXX.pdf" TargetMode="External"/><Relationship Id="rId3" Type="http://schemas.openxmlformats.org/officeDocument/2006/relationships/hyperlink" Target="file:///\\CHNO0276\Aseguranza%20de%20Calidad\Control%20de%20Documentos\Doc.%20controlados%20PDF\TPMs\Moorpark\TPM-MRPK-002%20Rev.%20A%20TP-18%20Tecn.%20de%20Mantto.xlsx" TargetMode="External"/><Relationship Id="rId235" Type="http://schemas.openxmlformats.org/officeDocument/2006/relationships/hyperlink" Target="file:///\\chno0276\Aseguranza%20de%20Calidad\Control%20de%20Documentos\Doc.%20controlados%20PDF\Formas\CNWI-MTTO%20(Mantenimiento)\CNWI-MTTO-F020%20Inspeccion%20de%20Plataforma%20elevadora.xls" TargetMode="External"/><Relationship Id="rId277" Type="http://schemas.openxmlformats.org/officeDocument/2006/relationships/hyperlink" Target="file:///\\chno0276\Aseguranza%20de%20Calidad\Control%20de%20Documentos\Doc.%20controlados%20PDF\Formas\CNWI-PRCS%20(compras)\CNWI-PRCS-F004%20Alta%20Proveedores%20.XLS" TargetMode="External"/><Relationship Id="rId400" Type="http://schemas.openxmlformats.org/officeDocument/2006/relationships/hyperlink" Target="file:///\\CHNO0276\Aseguranza%20de%20Calidad\Control%20de%20Documentos\Doc.%20controlados%20PDF\Formas\CNWI-QAAS%20(aseguranza%20de%20calidad)\CNWI-QAAS-F099%20Gage-R&amp;R.xls" TargetMode="External"/><Relationship Id="rId442" Type="http://schemas.openxmlformats.org/officeDocument/2006/relationships/hyperlink" Target="file:///\\CHNO0276\Aseguranza%20de%20Calidad\Control%20de%20Documentos\Doc.%20controlados%20PDF\Formas\CNWI-QAAS%20(aseguranza%20de%20calidad)\CNWI-QAAS-F093%20%20ID%20Customer%20Owned%20Material.xlsx" TargetMode="External"/><Relationship Id="rId484" Type="http://schemas.openxmlformats.org/officeDocument/2006/relationships/hyperlink" Target="file:///\\CHNO0276\Aseguranza%20de%20Calidad\Control%20de%20Documentos\Doc.%20controlados%20PDF\Formas\CNWI-PROD%20(%20Produccion%20)\CNWI-PROD-F013%20Etiqueta%20macdonalds.xls" TargetMode="External"/><Relationship Id="rId705" Type="http://schemas.openxmlformats.org/officeDocument/2006/relationships/hyperlink" Target="file:///\\CHNO0276\Aseguranza%20de%20Calidad\Control%20de%20Documentos\Doc.%20controlados%20PDF\Ayudas%20visuales\Micromini\A%20y%20B\CNWI-VSHP-000041%20Rev.%20A%20(A89N-F9AF-5).pub" TargetMode="External"/><Relationship Id="rId887" Type="http://schemas.openxmlformats.org/officeDocument/2006/relationships/hyperlink" Target="file:///\\CHNO0276\Aseguranza%20de%20Calidad\Control%20de%20Documentos\Doc.%20controlados%20PDF\Control%20Plans\MICROMINI\POTTED\CP-POTT-008%20Rev.A%20%205000129.pdf" TargetMode="External"/><Relationship Id="rId1072" Type="http://schemas.openxmlformats.org/officeDocument/2006/relationships/hyperlink" Target="file:///\\chno0276\Aseguranza%20de%20Calidad\Control%20de%20Documentos\Doc.%20controlados%20PDF\FMEA\MICROMINI\MS\FMEA-MS-005%20CH5041495B0360.pdf" TargetMode="External"/><Relationship Id="rId1128" Type="http://schemas.openxmlformats.org/officeDocument/2006/relationships/hyperlink" Target="file:///\\CHNO0276\Aseguranza%20de%20Calidad\Control%20de%20Documentos\Doc.%20controlados%20PDF\Quality%20Alerts\ITRON\BONDING\QA-BOND-013%20BACC65AL801SH%20Prob%20de%20Empaque%20%5bRead-Only%5d.pdf" TargetMode="External"/><Relationship Id="rId137" Type="http://schemas.openxmlformats.org/officeDocument/2006/relationships/hyperlink" Target="file:///\\CHNO0276\Aseguranza%20de%20Calidad\Control%20de%20Documentos\Doc.%20controlados%20PDF\Instructivos\CNWI-QAAS\CNWI-QAAS-0004%20Protocolo%20de%20Validacion.pdf" TargetMode="External"/><Relationship Id="rId302" Type="http://schemas.openxmlformats.org/officeDocument/2006/relationships/hyperlink" Target="file:///\\chno0276\Aseguranza%20de%20Calidad\Control%20de%20Documentos\Doc.%20controlados%20PDF\Formas\CNWI-ENGI%20(Ingenieria)\CNWI-ENGI-F029%20Transference%20check%20list.xls" TargetMode="External"/><Relationship Id="rId344" Type="http://schemas.openxmlformats.org/officeDocument/2006/relationships/hyperlink" Target="file:///\\chno0276\Aseguranza%20de%20Calidad\Control%20de%20Documentos\Doc.%20controlados%20PDF\Formas\CNWI-QAAS%20(aseguranza%20de%20calidad)\CNWI-QAAS-F022%20Lista%20Maestra%20de%20Documentos%20controlados%20(Cross%20reference).xlsx" TargetMode="External"/><Relationship Id="rId691" Type="http://schemas.openxmlformats.org/officeDocument/2006/relationships/hyperlink" Target="file:///\\CHNO0276\Aseguranza%20de%20Calidad\Control%20de%20Documentos\Doc.%20controlados%20PDF\Ayudas%20visuales\Micromini\General\CNWI-VSHP-000065%20Rev.%20A%20(Prueba%20electric%20Mayor%20a%202000V%202-12%20cond).pub" TargetMode="External"/><Relationship Id="rId747" Type="http://schemas.openxmlformats.org/officeDocument/2006/relationships/hyperlink" Target="file:///\\CHNO0276\Aseguranza%20de%20Calidad\Control%20de%20Documentos\Doc.%20controlados%20PDF\Ayudas%20visuales\Micromini\Potted\CNWI-VSHP-000140%20REV.%20A%20(ENSAMBLE%20CAP%20AB-A-C1).pub" TargetMode="External"/><Relationship Id="rId789" Type="http://schemas.openxmlformats.org/officeDocument/2006/relationships/hyperlink" Target="file:///\\chno0276\Control%20de%20Documentos\Doc.%20controlados%20PDF\Ayudas%20visuales\Camarillo\Amsafe\VA-AMSA-033%20Rev%20Doc%20%20B-%20Drawing%20D%20%20CABLE%20ASSEMBLY%20INTERFACE%20511125%20Pag%201.ppt" TargetMode="External"/><Relationship Id="rId912" Type="http://schemas.openxmlformats.org/officeDocument/2006/relationships/hyperlink" Target="file:///\\chno0276\Aseguranza%20de%20Calidad\Control%20de%20Documentos\Doc.%20controlados%20PDF\Control%20Plans\ITRON\BONDING\CP-BOND-002%20%20002359-TAB%20002360-TAB%20%20002361-TAB.pdf" TargetMode="External"/><Relationship Id="rId954" Type="http://schemas.openxmlformats.org/officeDocument/2006/relationships/hyperlink" Target="file:///\\chno0276\Aseguranza%20de%20Calidad\Control%20de%20Documentos\Doc.%20controlados%20PDF\Control%20Plans\ITRON\BONDING\CP-BOND-010%20%20%20002368-0221.pdf" TargetMode="External"/><Relationship Id="rId996" Type="http://schemas.openxmlformats.org/officeDocument/2006/relationships/hyperlink" Target="file:///\\chno0276\Aseguranza%20de%20Calidad\Control%20de%20Documentos\Doc.%20controlados%20PDF\Flow%20Chart\MICROMINI\MS\FC-MS-010%20%20SMEA0094007,%20SMEA0094030.pdf" TargetMode="External"/><Relationship Id="rId41" Type="http://schemas.openxmlformats.org/officeDocument/2006/relationships/hyperlink" Target="file:///\\chno0276\Control%20de%20Documentos\Doc.%20controlados%20PDF\Instructivos\CNWI-PRCS\CNWI-PRCS-0006%20%20%20Rev.%20A%20%20Mantenimiento%20de%20numeros%20de%20parte.docx" TargetMode="External"/><Relationship Id="rId83" Type="http://schemas.openxmlformats.org/officeDocument/2006/relationships/hyperlink" Target="file:///\\chno0276\Aseguranza%20de%20Calidad\Control%20de%20Documentos\Doc.%20controlados%20PDF\Instructivos\CNWI-ENGI\CNWI-ENGI-0040%20Alimentador%20de%20cables%20Schleuniger%20Pre-Feeder%202200.pdf" TargetMode="External"/><Relationship Id="rId179" Type="http://schemas.openxmlformats.org/officeDocument/2006/relationships/hyperlink" Target="file:///\\chno0276\Control%20de%20Documentos\Doc.%20controlados%20PDF\Instructivos\CNWI-SHIPPING\CNWI-SHIP-0001%20Instructivo%20de%20envios.pdf" TargetMode="External"/><Relationship Id="rId386" Type="http://schemas.openxmlformats.org/officeDocument/2006/relationships/hyperlink" Target="file:///\\chno0276\Control%20de%20Documentos\Doc.%20controlados%20PDF\Formas\CNWI-WRHS%20(Almacen)\CNWI-WRHS-F012%20Control%20de%20material%20a%20embarcar.pdf" TargetMode="External"/><Relationship Id="rId551" Type="http://schemas.openxmlformats.org/officeDocument/2006/relationships/hyperlink" Target="file:///\\chno0276\Aseguranza%20de%20Calidad\Control%20de%20Documentos\Doc.%20controlados%20PDF\Formas\CNWI-QAAS%20(aseguranza%20de%20calidad)\F-QAAS-09-005%20Rev.%20A%20Control%20de%20Etiquetas%20de%20Quimicos%20.xlsx" TargetMode="External"/><Relationship Id="rId593" Type="http://schemas.openxmlformats.org/officeDocument/2006/relationships/hyperlink" Target="file:///\\chno0276\Aseguranza%20de%20Calidad\Control%20de%20Documentos\Doc.%20controlados%20PDF\Ayudas%20visuales\Camarillo\Amsafe\VA-AMSA-012%20%20REV%20T%20%20004042-0001,%20004042-0002,%20004042-0003,%20004046-0004%20(Rev%20T).pptx" TargetMode="External"/><Relationship Id="rId607" Type="http://schemas.openxmlformats.org/officeDocument/2006/relationships/hyperlink" Target="file:///\\chno0276\Control%20de%20Documentos\Doc.%20controlados%20PDF\Ayudas%20visuales\Camarillo\Amsafe\VA-AMSA-025%20%20Rev%20Doc%20C%20-%20Rev%20Drawing%20K%20%20DRAWNG%20509320%20%20PART%20004002-0001%20Pag%201.ppt" TargetMode="External"/><Relationship Id="rId649" Type="http://schemas.openxmlformats.org/officeDocument/2006/relationships/hyperlink" Target="file:///\\CHNO0276\Aseguranza%20de%20Calidad\Control%20de%20Documentos\Doc.%20controlados%20PDF\Ayudas%20visuales\Camarillo\Amsafe\CNWI-VSHP-000111%20Rev%20%20C%20%20004005-XXXX%20%20(507735).ppt" TargetMode="External"/><Relationship Id="rId814" Type="http://schemas.openxmlformats.org/officeDocument/2006/relationships/hyperlink" Target="file:///\\CHNO0276\Aseguranza%20de%20Calidad\Control%20de%20Documentos\Doc.%20controlados%20PDF\Especificaciones%20genericas\Micromini\POTTED\CNWI-ENGI-F019%20Rev%20%20F%20Especificaciones%20remachado%20area%20Potted.xlsx" TargetMode="External"/><Relationship Id="rId856" Type="http://schemas.openxmlformats.org/officeDocument/2006/relationships/hyperlink" Target="file:///\\chno0276\Aseguranza%20de%20Calidad\Control%20de%20Documentos\Doc.%20controlados%20PDF\Control%20Plans\MICROMINI\CELDA%20A&amp;B\CP-A&amp;B-024%20%20AM3F2MG.pdf" TargetMode="External"/><Relationship Id="rId1181" Type="http://schemas.openxmlformats.org/officeDocument/2006/relationships/hyperlink" Target="file:///\\CHNO0276\Aseguranza%20de%20Calidad\Control%20de%20Documentos\Doc.%20controlados%20PDF\Especificaciones%20genericas\Micromini\A%20Y%20B\CNWI-ENGI-F019%20Rev%20%20G%20Especificaciones%20dedespoje%20de%20chaqueta%20Celda%20A%20y%20B%20Rev%20%20C.xlsx" TargetMode="External"/><Relationship Id="rId190" Type="http://schemas.openxmlformats.org/officeDocument/2006/relationships/hyperlink" Target="file:///\\chno0276\Aseguranza%20de%20Calidad\Control%20de%20Documentos\Doc.%20controlados%20PDF\Formas\CNWI-QAAS%20(aseguranza%20de%20calidad)\CNWI-QAAS-F027%20Lista%20de%20Verificacion%20Final.doc" TargetMode="External"/><Relationship Id="rId204" Type="http://schemas.openxmlformats.org/officeDocument/2006/relationships/hyperlink" Target="file:///\\CHNO0276\Aseguranza%20de%20Calidad\Control%20de%20Documentos\Doc.%20controlados%20PDF\Formas\CNWI-HMRS%20(Recursos%20Humanos)\CNWI-HMRS-F002%20Matriz%20de%20Flexibilidad.xlsx" TargetMode="External"/><Relationship Id="rId246" Type="http://schemas.openxmlformats.org/officeDocument/2006/relationships/hyperlink" Target="file:///\\chno0276\Aseguranza%20de%20Calidad\Control%20de%20Documentos\Doc.%20controlados%20PDF\Formas\CNWI-WRHS%20(Almacen)\CNWI-WRHS-F009%20Reporte%20de%20Recibo%20y%20Discrepancia%20diaria.xlsx" TargetMode="External"/><Relationship Id="rId288" Type="http://schemas.openxmlformats.org/officeDocument/2006/relationships/hyperlink" Target="file:///\\chno0276\Aseguranza%20de%20Calidad\Control%20de%20Documentos\Doc.%20controlados%20PDF\Formas\CNWI-ENGI%20(Ingenieria)\CNWI-ENGI-F009%20Relacion%20de%20Planos%20controlados%20Externos-%20Internos.xls" TargetMode="External"/><Relationship Id="rId411" Type="http://schemas.openxmlformats.org/officeDocument/2006/relationships/hyperlink" Target="file:///\\CHNO0276\Aseguranza%20de%20Calidad\Control%20de%20Documentos\Doc.%20controlados%20PDF\Formas\CNWI-QAAS%20(aseguranza%20de%20calidad)\CNWI-QAAS-F101%20Change%20Request%20form%20(for%20Customer%20approval.pdf" TargetMode="External"/><Relationship Id="rId453" Type="http://schemas.openxmlformats.org/officeDocument/2006/relationships/hyperlink" Target="file:///\\CHNO0276\Aseguranza%20de%20Calidad\Control%20de%20Documentos\Doc.%20controlados%20PDF\Formas\CNWI-QAAS%20(aseguranza%20de%20calidad)\CNWI-QAAS-F110%20Change%20Request%20form%20-Customer%20Notification.doc" TargetMode="External"/><Relationship Id="rId509" Type="http://schemas.openxmlformats.org/officeDocument/2006/relationships/hyperlink" Target="file:///\\CHNO0276\Aseguranza%20de%20Calidad\Control%20de%20Documentos\Doc.%20controlados%20PDF\Formas\CNWI-PROD%20(%20Produccion%20)\CNWI-PROD-F039%20FORMATO%20PRODUCTIVIDAD.pptx" TargetMode="External"/><Relationship Id="rId660" Type="http://schemas.openxmlformats.org/officeDocument/2006/relationships/hyperlink" Target="file:///\\CHNO0276\Aseguranza%20de%20Calidad\Control%20de%20Documentos\Doc.%20controlados%20PDF\Ayudas%20visuales\Camarillo\Ensamble%20general\CNWI-VSHP-000039%20Rev.A%20(004008-0000).pub" TargetMode="External"/><Relationship Id="rId898" Type="http://schemas.openxmlformats.org/officeDocument/2006/relationships/hyperlink" Target="file:///\\chno0276\Aseguranza%20de%20Calidad\Control%20de%20Documentos\Doc.%20controlados%20PDF\Control%20Plans\ITRON\AMSAFE\CP-AMSA-007%20%200004080-0001%20AL%20004080-0012.pdf" TargetMode="External"/><Relationship Id="rId1041" Type="http://schemas.openxmlformats.org/officeDocument/2006/relationships/hyperlink" Target="file:///\\chno0276\Aseguranza%20de%20Calidad\Control%20de%20Documentos\Doc.%20controlados%20PDF\Flow%20Chart\ITRON\BONDING\FC-BOND-023%20%20Rev.%20A%20%20%20BACC65AKXXXP%20&amp;%20BACC65AJXXXS.pdf" TargetMode="External"/><Relationship Id="rId1083" Type="http://schemas.openxmlformats.org/officeDocument/2006/relationships/hyperlink" Target="file:///\\chno0276\Aseguranza%20de%20Calidad\Control%20de%20Documentos\Doc.%20controlados%20PDF\FMEA\MICROMINI\CHANGE-OUT\FMEA-CHGO-003%20%20CX8653316P.pdf" TargetMode="External"/><Relationship Id="rId1139" Type="http://schemas.openxmlformats.org/officeDocument/2006/relationships/hyperlink" Target="file:///\\CHNO0276\Aseguranza%20de%20Calidad\Control%20de%20Documentos\Doc.%20controlados%20PDF\Quality%20Alerts\MICROMINI\Potted-%20Plex\QA-PLEX-003%20Rev.%20A%20A98DP56PTA5%20Falta%20de%20Oring-%20Exceso%20de%20Epoxy.pdf" TargetMode="External"/><Relationship Id="rId106" Type="http://schemas.openxmlformats.org/officeDocument/2006/relationships/hyperlink" Target="file:///\\chno0276\Aseguranza%20de%20Calidad\Control%20de%20Documentos\Doc.%20controlados%20PDF\Instructivos\CNWI-ENGI\CNWI-ENGI-0064%20Despoje%20de%20cables%20en%20m&#225;quina%20Shleuniger%20Modelo%202015.pdf" TargetMode="External"/><Relationship Id="rId313" Type="http://schemas.openxmlformats.org/officeDocument/2006/relationships/hyperlink" Target="file:///\\chno0276\Aseguranza%20de%20Calidad\Control%20de%20Documentos\Doc.%20controlados%20PDF\Formas\CNWI-ENGI%20(Ingenieria)\CNWI-ENGI-F040%20Reporte%20de%20tiempos%20y%20temperaturas.xls" TargetMode="External"/><Relationship Id="rId495" Type="http://schemas.openxmlformats.org/officeDocument/2006/relationships/hyperlink" Target="file:///\\CHNO0276\Aseguranza%20de%20Calidad\Control%20de%20Documentos\Doc.%20controlados%20PDF\Formas\CNWI-PROD%20(%20Produccion%20)\CNWI-PROD-F024%20Etiqueta%20salem.xls" TargetMode="External"/><Relationship Id="rId716" Type="http://schemas.openxmlformats.org/officeDocument/2006/relationships/hyperlink" Target="file:///\\CHNO0276\Aseguranza%20de%20Calidad\Control%20de%20Documentos\Doc.%20controlados%20PDF\Ayudas%20visuales\Micromini\A%20y%20B\CNWI-VSHP-000077%20Rev.%20A%20(A89N-R12AF-5).pub" TargetMode="External"/><Relationship Id="rId758" Type="http://schemas.openxmlformats.org/officeDocument/2006/relationships/hyperlink" Target="file:///\\chno0276\Control%20de%20Documentos\Doc.%20controlados%20PDF\Ayudas%20visuales\Micromini\A%20y%20B\CNWI-VSHP-000021%20Rev.%20A%20(5000117-GP5).pub" TargetMode="External"/><Relationship Id="rId923" Type="http://schemas.openxmlformats.org/officeDocument/2006/relationships/hyperlink" Target="file:///\\chno0276\Aseguranza%20de%20Calidad\Control%20de%20Documentos\Doc.%20controlados%20PDF\Control%20Plans\MICROMINI\MS\CP-MS-021%20%20SMEA0092010,%20SMEA0092025,%20SMEA0092030,%20SMEA0092040,%20SMEA0092045,%20SMEA0092050.pdf" TargetMode="External"/><Relationship Id="rId965" Type="http://schemas.openxmlformats.org/officeDocument/2006/relationships/hyperlink" Target="file:///\\chno0276\Aseguranza%20de%20Calidad\Control%20de%20Documentos\Doc.%20controlados%20PDF\Control%20Plans\ITRON\BONDING\CP-BOND-019%20%20%20002600-000X%20&amp;%20002601-000X.pdf" TargetMode="External"/><Relationship Id="rId1150" Type="http://schemas.openxmlformats.org/officeDocument/2006/relationships/hyperlink" Target="file:///\\CHNO0276\Aseguranza%20de%20Calidad\Control%20de%20Documentos\Doc.%20controlados%20PDF\Quality%20Alerts\ITRON\MULTICELL%20A&amp;B\QA-IMA-004%20Rev.%20A%20CBA-1300-%20Contactos%20doblados.pdf" TargetMode="External"/><Relationship Id="rId10" Type="http://schemas.openxmlformats.org/officeDocument/2006/relationships/hyperlink" Target="file:///\\chno0276\Control%20de%20Documentos\Doc.%20controlados%20PDF\Instructivos\CNWI-HMRS\CNWI-HMRS-0001%20%20Procedimiento%20de%20Desarrollo%20de%20Habilidades%20y%20Competencias.pdf" TargetMode="External"/><Relationship Id="rId52" Type="http://schemas.openxmlformats.org/officeDocument/2006/relationships/hyperlink" Target="file:///\\chno0276\Aseguranza%20de%20Calidad\Control%20de%20Documentos\Doc.%20controlados%20PDF\Instructivos\CNWI-ENGI\CNWI-ENGI-0008%20Operaci&#243;n%20inserci&#243;n%20manual%20de%20Contactos.pdf" TargetMode="External"/><Relationship Id="rId94" Type="http://schemas.openxmlformats.org/officeDocument/2006/relationships/hyperlink" Target="file:///\\chno0276\Aseguranza%20de%20Calidad\Control%20de%20Documentos\Doc.%20controlados%20PDF\Instructivos\CNWI-ENGI\CNWI-ENGI-0051%20Maquina%20Branson.pdf" TargetMode="External"/><Relationship Id="rId148" Type="http://schemas.openxmlformats.org/officeDocument/2006/relationships/hyperlink" Target="file:///\\chno0276\Aseguranza%20de%20Calidad\Control%20de%20Documentos\Doc.%20controlados%20PDF\Instructivos\CNWI-QAAS\CNWI-QAAS-0019%20Calibracion%20micrometros.pdf" TargetMode="External"/><Relationship Id="rId355" Type="http://schemas.openxmlformats.org/officeDocument/2006/relationships/hyperlink" Target="file:///\\chno0276\Aseguranza%20de%20Calidad\Control%20de%20Documentos\Doc.%20controlados%20PDF\Formas\CNWI-QAAS%20(aseguranza%20de%20calidad)\CNWI-QAAS-F034%20Junta%20de%20Apertura-%20Cierre%20de%20Auditoria%20Interna.docx" TargetMode="External"/><Relationship Id="rId397" Type="http://schemas.openxmlformats.org/officeDocument/2006/relationships/hyperlink" Target="file:///\\chno0276\Control%20de%20Documentos\Doc.%20controlados%20PDF\Formas\CNWI-ENGI%20(Ingenieria)\CNWI-ENGI-F065%20Rev.%20A%20Presentacion%20de%20conectores%20que%20se%20utilizan%20en%20Solar.doc" TargetMode="External"/><Relationship Id="rId520" Type="http://schemas.openxmlformats.org/officeDocument/2006/relationships/hyperlink" Target="file:///\\CHNO0276\Aseguranza%20de%20Calidad\Control%20de%20Documentos\Doc.%20controlados%20PDF\Formas\CNWI-MTTO%20(Mantenimiento)\CNWI-MTTO-F031%20Entrega%20y%20recibo%20de%20moldes.pdf" TargetMode="External"/><Relationship Id="rId562" Type="http://schemas.openxmlformats.org/officeDocument/2006/relationships/hyperlink" Target="file:///\\CHNO0276\Aseguranza%20de%20Calidad\Control%20de%20Documentos\Doc.%20controlados%20PDF\Ayudas%20visuales\Camarillo\Itron\RECEPTACULO\VA-IRCPT-001%20Rev%20G%20%20%20RECEPTACLE%2028-3264-0001%2028-3272-050X.ppt" TargetMode="External"/><Relationship Id="rId618" Type="http://schemas.openxmlformats.org/officeDocument/2006/relationships/hyperlink" Target="file:///\\CHNO0276\Aseguranza%20de%20Calidad\Control%20de%20Documentos\Doc.%20controlados%20PDF\Ayudas%20visuales\Camarillo\Itron\CNWI-VSHP-000048%20Rev.%20A%20(003053-0000).pub" TargetMode="External"/><Relationship Id="rId825" Type="http://schemas.openxmlformats.org/officeDocument/2006/relationships/hyperlink" Target="file:///\\chno0276\Aseguranza%20de%20Calidad\Control%20de%20Documentos\Doc.%20controlados%20PDF\Control%20Plans\MICROMINI\CELDA%20A&amp;B\CP-A&amp;B-006%20%20DM4R2ME-C.pdf" TargetMode="External"/><Relationship Id="rId1192" Type="http://schemas.openxmlformats.org/officeDocument/2006/relationships/hyperlink" Target="file:///\\CHNO0276\Aseguranza%20de%20Calidad\Control%20de%20Documentos\Doc.%20controlados%20PDF\Especificaciones%20genericas\Micromini\MS\CNWI-ENGI-F019%20Rev.%20E%20Especificaciones%20remachado%20area%20MS.xlsx" TargetMode="External"/><Relationship Id="rId1206" Type="http://schemas.openxmlformats.org/officeDocument/2006/relationships/hyperlink" Target="file:///\\chno0276\Control%20de%20Documentos\Doc.%20controlados%20PDF\Ayudas%20visuales\Camarillo\Amsafe\VA-AMSA-023%20%20Rev%20Doc%20E%20-%20Drawing%20Rev%20BN%20CABLE%20ASSEMBLY%20INTERFACE%20509976%20Pag%2010.ppt" TargetMode="External"/><Relationship Id="rId215" Type="http://schemas.openxmlformats.org/officeDocument/2006/relationships/hyperlink" Target="file:///\\chno0276\Aseguranza%20de%20Calidad\Control%20de%20Documentos\Doc.%20controlados%20PDF\Formas\CNWI-HMRS%20(Recursos%20Humanos)\CNWI-HMRS-F014%20REGISTRO%20DE%20AMONESTACION%20VERBAL.docx" TargetMode="External"/><Relationship Id="rId257" Type="http://schemas.openxmlformats.org/officeDocument/2006/relationships/hyperlink" Target="file:///\\chno0276\Aseguranza%20de%20Calidad\Control%20de%20Documentos\Doc.%20controlados%20PDF\Formas\CNWI-SHAE%20(Seguridad%20e%20higiene%20y%20medio%20ambiente)\CNWI-SHAE-F011%20Desviaci&#243;n%20EPP.xls" TargetMode="External"/><Relationship Id="rId422" Type="http://schemas.openxmlformats.org/officeDocument/2006/relationships/hyperlink" Target="file:///\\CHNO0276\Aseguranza%20de%20Calidad\Control%20de%20Documentos\Doc.%20controlados%20PDF\Formas\CNWI-QAAS%20(aseguranza%20de%20calidad)\CNWI-QAAS-F068%20Relacion%20de%20documentos%20externos.xls" TargetMode="External"/><Relationship Id="rId464" Type="http://schemas.openxmlformats.org/officeDocument/2006/relationships/hyperlink" Target="file:///\\CHNO0276\Aseguranza%20de%20Calidad\Control%20de%20Documentos\Doc.%20controlados%20PDF\Formas\CNWI-QAAS%20(aseguranza%20de%20calidad)\CNWI-QAAS-F135%20Calendario%20out%20of%20box.xls" TargetMode="External"/><Relationship Id="rId867" Type="http://schemas.openxmlformats.org/officeDocument/2006/relationships/hyperlink" Target="file:///\\chno0276\Aseguranza%20de%20Calidad\Control%20de%20Documentos\Doc.%20controlados%20PDF\Control%20Plans\MICROMINI\MS\CP-MS-008%20%20CH504148B-A.pdf" TargetMode="External"/><Relationship Id="rId1010" Type="http://schemas.openxmlformats.org/officeDocument/2006/relationships/hyperlink" Target="file:///\\chno0276\Aseguranza%20de%20Calidad\Control%20de%20Documentos\Doc.%20controlados%20PDF\Flow%20Chart\MICROMINI\CHANGE-OUT\FC-CHGO-009%20%20X865344P.pdf" TargetMode="External"/><Relationship Id="rId1052" Type="http://schemas.openxmlformats.org/officeDocument/2006/relationships/hyperlink" Target="file:///\\chno0276\Control%20de%20Documentos\Doc.%20controlados%20PDF\Flow%20Chart\ITRON\AMSAFE\FC-%20%20AMSA%20-0010%20%20004035-TAB,%20004034-0001,%20004014-0001%20&amp;%20003082-0001.pdf" TargetMode="External"/><Relationship Id="rId1094" Type="http://schemas.openxmlformats.org/officeDocument/2006/relationships/hyperlink" Target="file:///\\chno0276\Aseguranza%20de%20Calidad\Control%20de%20Documentos\Doc.%20controlados%20PDF\FMEA\MICROMINI\CHANGE-OUT\FMEA-CHGO-017%20%20%20X86531621P.pdf" TargetMode="External"/><Relationship Id="rId1108" Type="http://schemas.openxmlformats.org/officeDocument/2006/relationships/hyperlink" Target="file:///\\chno0276\Aseguranza%20de%20Calidad\Control%20de%20Documentos\Doc.%20controlados%20PDF\Quality%20Alerts\MICROMINI\Celda%20A&amp;%20B\QA-A&amp;B-002%20Varios%20numeros%20-Exceso%20de%20Goma.pdf" TargetMode="External"/><Relationship Id="rId299" Type="http://schemas.openxmlformats.org/officeDocument/2006/relationships/hyperlink" Target="file:///\\chno0276\Aseguranza%20de%20Calidad\Control%20de%20Documentos\Doc.%20controlados%20PDF\Formas\CNWI-ENGI%20(Ingenieria)\CNWI-ENGI-F021%20SQDC%20CHARTS%20(PLANT)%20PRINTABLE.pub" TargetMode="External"/><Relationship Id="rId727" Type="http://schemas.openxmlformats.org/officeDocument/2006/relationships/hyperlink" Target="file:///\\CHNO0276\Aseguranza%20de%20Calidad\Control%20de%20Documentos\Doc.%20controlados%20PDF\Ayudas%20visuales\Micromini\Change%20Out\CNWI-VSHP-000096%20Rev.%20A%20(X8653-DA).pub" TargetMode="External"/><Relationship Id="rId934" Type="http://schemas.openxmlformats.org/officeDocument/2006/relationships/hyperlink" Target="file:///\\chno0276\Aseguranza%20de%20Calidad\Control%20de%20Documentos\Doc.%20controlados%20PDF\Control%20Plans\MICROMINI\CHANGE-OUT\CP-CHGO-011%20%20%20X865248P.pdf" TargetMode="External"/><Relationship Id="rId63" Type="http://schemas.openxmlformats.org/officeDocument/2006/relationships/hyperlink" Target="file:///\\chno0276\Aseguranza%20de%20Calidad\Control%20de%20Documentos\Doc.%20controlados%20PDF\Instructivos\CNWI-ENGI\CNWI-ENGI-0020%20Despoje%20de%20insulaci&#243;n%20de%20cable%20en%20M&#225;quina%20SCHLEUNIGER%20US2500.pdf" TargetMode="External"/><Relationship Id="rId159" Type="http://schemas.openxmlformats.org/officeDocument/2006/relationships/hyperlink" Target="file:///\\chno0276\Aseguranza%20de%20Calidad\Control%20de%20Documentos\Doc.%20controlados%20PDF\Instructivos\CNWI-QAAS\CNWI-QAAS-0034%20Calibracion%20de%20Indicadores.pdf" TargetMode="External"/><Relationship Id="rId366" Type="http://schemas.openxmlformats.org/officeDocument/2006/relationships/hyperlink" Target="file:///\\chno0276\Aseguranza%20de%20Calidad\Control%20de%20Documentos\Doc.%20controlados%20PDF\Formas\CNWI-QAAS%20(aseguranza%20de%20calidad)\CNWI-QAAS-F048%20formato%20de%20entradas%20y%20salidas.xls" TargetMode="External"/><Relationship Id="rId573" Type="http://schemas.openxmlformats.org/officeDocument/2006/relationships/hyperlink" Target="file:///\\chno0276\Aseguranza%20de%20Calidad\Control%20de%20Documentos\Doc.%20controlados%20PDF\Ayudas%20visuales\Micromini\General\VA-MGRAL-002%20Rev%20C%20SOLDADURA%20DE%20CONDUCTORES%20A%20CONECTOR%20GENERICA%20MICROMINI%20(2).pptx" TargetMode="External"/><Relationship Id="rId780" Type="http://schemas.openxmlformats.org/officeDocument/2006/relationships/hyperlink" Target="file:///\\chno0276\Control%20de%20Documentos\Doc.%20controlados%20PDF\Ayudas%20visuales\Camarillo\Bonding\VA-BOND-010%20Rev%20A%20%20INSULATOR%20ASSY%20000300-059X.ppt" TargetMode="External"/><Relationship Id="rId226" Type="http://schemas.openxmlformats.org/officeDocument/2006/relationships/hyperlink" Target="file:///\\chno0276\Aseguranza%20de%20Calidad\Control%20de%20Documentos\Doc.%20controlados%20PDF\Formas\CNWI-MTTO%20(Mantenimiento)\CNWI-MTTO-F011%20Registro%20de%20Mantenimiento%20Preventivo.xls" TargetMode="External"/><Relationship Id="rId433" Type="http://schemas.openxmlformats.org/officeDocument/2006/relationships/hyperlink" Target="file:///\\CHNO0276\Aseguranza%20de%20Calidad\Control%20de%20Documentos\Doc.%20controlados%20PDF\Formas\CNWI-QAAS%20(aseguranza%20de%20calidad)\CNWI-QAAS-F080%20Lista%20para%20Sellos.xls" TargetMode="External"/><Relationship Id="rId878" Type="http://schemas.openxmlformats.org/officeDocument/2006/relationships/hyperlink" Target="file:///\\chno0276\Aseguranza%20de%20Calidad\Control%20de%20Documentos\Doc.%20controlados%20PDF\Control%20Plans\ITRON\BONDING\CP-BOND-001%20%20000100-0113M,%20000100-0179,%20000102-TAB,%20000103-TAB,%20000104-TAB%20&amp;%20000105-TAB..pdf" TargetMode="External"/><Relationship Id="rId1063" Type="http://schemas.openxmlformats.org/officeDocument/2006/relationships/hyperlink" Target="file:///\\chno0276\Control%20de%20Documentos\Doc.%20controlados%20PDF\Flow%20Chart\SOLAR\FC-SOL-001%20%20Diagrama%20de%20flujo%20Solar.pdf" TargetMode="External"/><Relationship Id="rId640" Type="http://schemas.openxmlformats.org/officeDocument/2006/relationships/hyperlink" Target="file:///\\CHNO0276\Aseguranza%20de%20Calidad\Control%20de%20Documentos\Doc.%20controlados%20PDF\Ayudas%20visuales\Camarillo\Bonding\CNWI-VSHP-000059%20Rev.%20A%20(BACT44E-001M).pub" TargetMode="External"/><Relationship Id="rId738" Type="http://schemas.openxmlformats.org/officeDocument/2006/relationships/hyperlink" Target="file:///\\CHNO0276\Aseguranza%20de%20Calidad\Control%20de%20Documentos\Doc.%20controlados%20PDF\Ayudas%20visuales\Micromini\Potted\CNWI-VSHP-000073%20Rev.%20A%20(5000129-CD).pub" TargetMode="External"/><Relationship Id="rId945" Type="http://schemas.openxmlformats.org/officeDocument/2006/relationships/hyperlink" Target="file:///\\chno0276\Aseguranza%20de%20Calidad\Control%20de%20Documentos\Doc.%20controlados%20PDF\Control%20Plans\MICROMINI\CHANGE-OUT\CP-CHGO-022%20%20%20X86531621P.pdf" TargetMode="External"/><Relationship Id="rId74" Type="http://schemas.openxmlformats.org/officeDocument/2006/relationships/hyperlink" Target="file:///\\chno0276\Aseguranza%20de%20Calidad\Control%20de%20Documentos\Doc.%20controlados%20PDF\Instructivos\CNWI-ENGI\CNWI-ENGI-0031%20Maquina%20Moldeadora%20ARBURK.pdf" TargetMode="External"/><Relationship Id="rId377" Type="http://schemas.openxmlformats.org/officeDocument/2006/relationships/hyperlink" Target="file:///\\chno0276\Aseguranza%20de%20Calidad\Control%20de%20Documentos\Documentos%20controlados\CN-QAAS%20(Aseguranza%20de%20calidad)\FORMAS\CNWI-QAAS-F131%20Rev.%20A%20QMS%20Assessment.xls" TargetMode="External"/><Relationship Id="rId500" Type="http://schemas.openxmlformats.org/officeDocument/2006/relationships/hyperlink" Target="file:///\\CHNO0276\Aseguranza%20de%20Calidad\Control%20de%20Documentos\Doc.%20controlados%20PDF\Formas\CNWI-PROD%20(%20Produccion%20)\CNWI-PROD-F029%20%20Etiqueta%20tracks.xls" TargetMode="External"/><Relationship Id="rId584" Type="http://schemas.openxmlformats.org/officeDocument/2006/relationships/hyperlink" Target="file:///\\CHNO0276\Aseguranza%20de%20Calidad\Control%20de%20Documentos\Doc.%20controlados%20PDF\Ayudas%20visuales\Avenal-Solar\VA-SOL-%20003%20Rev%20.B%20%20Proceso%20ensamble%20del%20area%20de%20solar%20IC-A61-P2.pptx" TargetMode="External"/><Relationship Id="rId805" Type="http://schemas.openxmlformats.org/officeDocument/2006/relationships/hyperlink" Target="file:///\\CHNO0276\Aseguranza%20de%20Calidad\Control%20de%20Documentos\Doc.%20controlados%20PDF\Especificaciones%20genericas\Micromini\MS\CNWI-ENGI-F019%20Rev.%20H%20Especificaciones%20dedespoje%20de%20chaqueta%20MS.xlsx" TargetMode="External"/><Relationship Id="rId1130" Type="http://schemas.openxmlformats.org/officeDocument/2006/relationships/hyperlink" Target="file:///\\CHNO0276\Aseguranza%20de%20Calidad\Control%20de%20Documentos\Doc.%20controlados%20PDF\Quality%20Alerts\ITRON\ENSAMBLE%20GENERAL\QA-EGRAL-001%20Rev.%20A%20%20Agregar%20no.%20catalago%20a%20Etiqueta%20%5bCompatibility%20Mode%5d.pdf" TargetMode="External"/><Relationship Id="rId5" Type="http://schemas.openxmlformats.org/officeDocument/2006/relationships/hyperlink" Target="file:///\\chno0276\Aseguranza%20de%20Calidad\Control%20de%20Documentos\Doc.%20controlados%20PDF\Procedimientos\CNSOP-01%20Control%20de%20Documentos%20del%20sistema%20de%20Calidad.pdf" TargetMode="External"/><Relationship Id="rId237" Type="http://schemas.openxmlformats.org/officeDocument/2006/relationships/hyperlink" Target="file:///\\chno0276\Aseguranza%20de%20Calidad\Control%20de%20Documentos\Doc.%20controlados%20PDF\Formas\CNWI-MTTO%20(Mantenimiento)\CNWI-MTTO-F022%20Rev.%20A%20ETIQUETA%20DE%20IDENTIFICACION%20PARA%20%20EQUIPO%20EN%20REPARACION.pptx" TargetMode="External"/><Relationship Id="rId791" Type="http://schemas.openxmlformats.org/officeDocument/2006/relationships/hyperlink" Target="file:///\\chno0276\Control%20de%20Documentos\Doc.%20controlados%20PDF\Especificaciones%20genericas\Camarillo\AMSAFE\Rev%20T%20%20ESPECIFICACIONES%20DE%20CORTE%20AREA%20AMSAFE.xls" TargetMode="External"/><Relationship Id="rId889" Type="http://schemas.openxmlformats.org/officeDocument/2006/relationships/hyperlink" Target="file:///\\CHNO0276\Aseguranza%20de%20Calidad\Control%20de%20Documentos\Doc.%20controlados%20PDF\Control%20Plans\MOLDEO\MOLDEO%20MOORPARK\CP-MRPK-001%20Rev.%20A%20%20%20096-0278-001.pdf" TargetMode="External"/><Relationship Id="rId1074" Type="http://schemas.openxmlformats.org/officeDocument/2006/relationships/hyperlink" Target="file:///\\chno0276\Aseguranza%20de%20Calidad\Control%20de%20Documentos\Doc.%20controlados%20PDF\FMEA\MICROMINI\MS\FMEA-MS-005%20CH5041495B0360.pdf" TargetMode="External"/><Relationship Id="rId444" Type="http://schemas.openxmlformats.org/officeDocument/2006/relationships/hyperlink" Target="file:///\\CHNO0276\Aseguranza%20de%20Calidad\Control%20de%20Documentos\Doc.%20controlados%20PDF\Formas\CNWI-QAAS%20(aseguranza%20de%20calidad)\CNWI-QAAS-F096%20FORMATO%20DE%20CALIDAD%20PPM%60S.pdf" TargetMode="External"/><Relationship Id="rId651" Type="http://schemas.openxmlformats.org/officeDocument/2006/relationships/hyperlink" Target="file:///\\CHNO0276\Aseguranza%20de%20Calidad\Control%20de%20Documentos\Doc.%20controlados%20PDF\Ayudas%20visuales\Camarillo\Amsafe\CNWI-VSHP-000161%20509976-C.pub" TargetMode="External"/><Relationship Id="rId749" Type="http://schemas.openxmlformats.org/officeDocument/2006/relationships/hyperlink" Target="file:///\\CHNO0276\Aseguranza%20de%20Calidad\Control%20de%20Documentos\Doc.%20controlados%20PDF\Ayudas%20visuales\Micromini\Potted\CNWI-VSHP-000186%20%20%20ALTURA%20CONTACTOS%205000111-D.pptx" TargetMode="External"/><Relationship Id="rId290" Type="http://schemas.openxmlformats.org/officeDocument/2006/relationships/hyperlink" Target="file:///\\chno0276\Aseguranza%20de%20Calidad\Control%20de%20Documentos\Doc.%20controlados%20PDF\Formas\CNWI-ENGI%20(Ingenieria)\CNWI-ENGI-F012%20Relacion%20de%20Planos%20controlados%20Internos.xls" TargetMode="External"/><Relationship Id="rId304" Type="http://schemas.openxmlformats.org/officeDocument/2006/relationships/hyperlink" Target="file:///\\chno0276\Aseguranza%20de%20Calidad\Control%20de%20Documentos\Doc.%20controlados%20PDF\Formas\CNWI-ENGI%20(Ingenieria)\CNWI-ENGI-F031%20Arburg%20set-up%20sheet.xls" TargetMode="External"/><Relationship Id="rId388" Type="http://schemas.openxmlformats.org/officeDocument/2006/relationships/hyperlink" Target="file:///\\chno0276\Control%20de%20Documentos\Doc.%20controlados%20PDF\Formas\CNWI-MTTO%20(Mantenimiento)\CNWI-MTTO-F024%20Set%20up%20de%20moldes%20de%20Micromini.xlsx" TargetMode="External"/><Relationship Id="rId511" Type="http://schemas.openxmlformats.org/officeDocument/2006/relationships/hyperlink" Target="file:///\\chno0276\Control%20de%20Documentos\Doc.%20controlados%20PDF\Formas\CNWI-MTTO%20(Mantenimiento)\CNWI-MTTO-F030%20Entregas%20tool%20crip.pdf" TargetMode="External"/><Relationship Id="rId609" Type="http://schemas.openxmlformats.org/officeDocument/2006/relationships/hyperlink" Target="file:///\\chno0276\Control%20de%20Documentos\Doc.%20controlados%20PDF\Ayudas%20visuales\Camarillo\Amsafe\VA-AMSA-028%20%20Rev%20Doc%20C%20-%20Rev%20Drawing%20%20C%20%20T511890%20part%20004080-0001.ppt" TargetMode="External"/><Relationship Id="rId956" Type="http://schemas.openxmlformats.org/officeDocument/2006/relationships/hyperlink" Target="file:///\\chno0276\Aseguranza%20de%20Calidad\Control%20de%20Documentos\Doc.%20controlados%20PDF\Control%20Plans\ITRON\BONDING\CP-BOND-011%20%20%20002368-0221A.pdf" TargetMode="External"/><Relationship Id="rId1141" Type="http://schemas.openxmlformats.org/officeDocument/2006/relationships/hyperlink" Target="file:///\\CHNO0276\Aseguranza%20de%20Calidad\Control%20de%20Documentos\Doc.%20controlados%20PDF\Quality%20Alerts\MICROMINI\Potted-%20Plex\QA-POTT-001%20Rev.%20A%2011695251%20Pieza-%20Faltante.pdf" TargetMode="External"/><Relationship Id="rId85" Type="http://schemas.openxmlformats.org/officeDocument/2006/relationships/hyperlink" Target="file:///\\chno0276\Aseguranza%20de%20Calidad\Control%20de%20Documentos\Doc.%20controlados%20PDF\Instructivos\CNWI-ENGI\CNWI-ENGI-0042%20Maquina%20SCHLEUNIGER%20OmiStrip%209400.pdf" TargetMode="External"/><Relationship Id="rId150" Type="http://schemas.openxmlformats.org/officeDocument/2006/relationships/hyperlink" Target="file:///\\CHNO0276\Aseguranza%20de%20Calidad\Control%20de%20Documentos\Doc.%20controlados%20PDF\Instructivos\CNWI-QAAS\CNWI-QAAS-0021%20%20Procedimiento%20Scrap.pdf" TargetMode="External"/><Relationship Id="rId595" Type="http://schemas.openxmlformats.org/officeDocument/2006/relationships/hyperlink" Target="file:///\\chno0276\Aseguranza%20de%20Calidad\Control%20de%20Documentos\Doc.%20controlados%20PDF\Ayudas%20visuales\Camarillo\Amsafe\VA-AMSA-014%20%20REV%20--%20%20(Es%20revision%20A%20error%20tipografico%20--)%20%20511434%20(004070-0001).ppt" TargetMode="External"/><Relationship Id="rId816" Type="http://schemas.openxmlformats.org/officeDocument/2006/relationships/hyperlink" Target="file:///\\CHNO0276\Aseguranza%20de%20Calidad\Control%20de%20Documentos\Doc.%20controlados%20PDF\Especificaciones%20genericas\Micromini\POTTED\CNWI-ENGI-F019%20Rev%20%20F%20%20Especificaciones%20de%20empaque%20Potted.xls" TargetMode="External"/><Relationship Id="rId1001" Type="http://schemas.openxmlformats.org/officeDocument/2006/relationships/hyperlink" Target="file:///\\chno0276\Aseguranza%20de%20Calidad\Control%20de%20Documentos\Doc.%20controlados%20PDF\Flow%20Chart\MICROMINI\CHANGE-OUT\FC-CHGO-002%20%20CX8653312P.pdf" TargetMode="External"/><Relationship Id="rId248" Type="http://schemas.openxmlformats.org/officeDocument/2006/relationships/hyperlink" Target="file:///\\chno0276\Aseguranza%20de%20Calidad\Control%20de%20Documentos\Doc.%20controlados%20PDF\Formas\CNWI-WRHS%20(Almacen)\CNWI-WRHS-F011%20CONTROL%20DE%20ORDENES%20PARA%20SOLAR.xls" TargetMode="External"/><Relationship Id="rId455" Type="http://schemas.openxmlformats.org/officeDocument/2006/relationships/hyperlink" Target="file:///\\CHNO0276\Aseguranza%20de%20Calidad\Control%20de%20Documentos\Doc.%20controlados%20PDF\Formas\CNWI-QAAS%20(aseguranza%20de%20calidad)\CNWI-QAAS-F113%20First%20Part%20Approval.doc" TargetMode="External"/><Relationship Id="rId662" Type="http://schemas.openxmlformats.org/officeDocument/2006/relationships/hyperlink" Target="file:///\\CHNO0276\Aseguranza%20de%20Calidad\Control%20de%20Documentos\Doc.%20controlados%20PDF\Ayudas%20visuales\Camarillo\Ensamble%20general\CNWI-VSHP-000047%20Rev.%20A%20(000267-0000).pub" TargetMode="External"/><Relationship Id="rId1085" Type="http://schemas.openxmlformats.org/officeDocument/2006/relationships/hyperlink" Target="file:///\\chno0276\Aseguranza%20de%20Calidad\Control%20de%20Documentos\Doc.%20controlados%20PDF\FMEA\MICROMINI\CHANGE-OUT\FMEA-CHGO-006%20%20X865248P.pdf" TargetMode="External"/><Relationship Id="rId12" Type="http://schemas.openxmlformats.org/officeDocument/2006/relationships/hyperlink" Target="file:///\\chno0276\Control%20de%20Documentos\Doc.%20controlados%20PDF\Instructivos\CNWI-HMRS\CNWI-HMRS-0003%20%20%20Rev%20B%20Procedimiento%20de%20reclutamiento%20%20seleccion%20y%20contratacion.docx" TargetMode="External"/><Relationship Id="rId108" Type="http://schemas.openxmlformats.org/officeDocument/2006/relationships/hyperlink" Target="file:///\\chno0276\Aseguranza%20de%20Calidad\Control%20de%20Documentos\Doc.%20controlados%20PDF\Instructivos\CNWI-ENGI\CNWI-ENGI-0066%20Secar%20Humedad%20a%20material%20en%20el%20Sistema%20de%20filtros%20Novatec.pdf" TargetMode="External"/><Relationship Id="rId315" Type="http://schemas.openxmlformats.org/officeDocument/2006/relationships/hyperlink" Target="file:///\\chno0276\Aseguranza%20de%20Calidad\Control%20de%20Documentos\Doc.%20controlados%20PDF\Formas\CNWI-ENGI%20(Ingenieria)\CNWI-ENGI-F042%20Especificaciones%20de%20despoje%20de%20chaqueta.xlsx" TargetMode="External"/><Relationship Id="rId522" Type="http://schemas.openxmlformats.org/officeDocument/2006/relationships/hyperlink" Target="file:///\\chno0276\Control%20de%20Documentos\Doc.%20controlados%20PDF\Formas\CNWI-HMRS%20(Recursos%20Humanos)\CNWI-HMRS-F019%20Rev.%20A%20Organigrama.pptx" TargetMode="External"/><Relationship Id="rId967" Type="http://schemas.openxmlformats.org/officeDocument/2006/relationships/hyperlink" Target="file:///\\chno0276\Aseguranza%20de%20Calidad\Control%20de%20Documentos\Doc.%20controlados%20PDF\Control%20Plans\ITRON\BONDING\CP-BOND-021%20%20%20003004-0001.pdf" TargetMode="External"/><Relationship Id="rId1152" Type="http://schemas.openxmlformats.org/officeDocument/2006/relationships/hyperlink" Target="file:///\\CHNO0276\Aseguranza%20de%20Calidad\Control%20de%20Documentos\Doc.%20controlados%20PDF\Quality%20Alerts\ITRON\MULTICELL%20A&amp;B\QA-IMB-001%20Rev.A%20Pieza%20Moldeada-Color%20diferente%20Compound%2012-002%20%5bCompatibility%20Mode%5d.pdf" TargetMode="External"/><Relationship Id="rId96" Type="http://schemas.openxmlformats.org/officeDocument/2006/relationships/hyperlink" Target="file:///\\chno0276\Aseguranza%20de%20Calidad\Control%20de%20Documentos\Doc.%20controlados%20PDF\Instructivos\CNWI-ENGI\CNWI-ENGI-0054%20Maquina%20Viking%20modelo%20260-4199.pdf" TargetMode="External"/><Relationship Id="rId161" Type="http://schemas.openxmlformats.org/officeDocument/2006/relationships/hyperlink" Target="file:///\\chno0276\Aseguranza%20de%20Calidad\Control%20de%20Documentos\Doc.%20controlados%20PDF\Instructivos\CNWI-QAAS\CNWI-QAAS-0037%20registro%20y%20reastrabilidad%20de%20boletas%20de%20scrap.pdf" TargetMode="External"/><Relationship Id="rId399" Type="http://schemas.openxmlformats.org/officeDocument/2006/relationships/hyperlink" Target="file:///\\chno0276\Control%20de%20Documentos\Doc.%20controlados%20PDF\Formas\CNWI-ENGI%20(Ingenieria)\CNWI-ENGI-F066%20Parametros%20para%20maquina%20Branson%20Solar.xls" TargetMode="External"/><Relationship Id="rId827" Type="http://schemas.openxmlformats.org/officeDocument/2006/relationships/hyperlink" Target="file:///\\chno0276\Aseguranza%20de%20Calidad\Control%20de%20Documentos\Doc.%20controlados%20PDF\Control%20Plans\MICROMINI\CELDA%20A&amp;B\CP-A&amp;B-008%20%20CHDN-TAER-N.pdf" TargetMode="External"/><Relationship Id="rId1012" Type="http://schemas.openxmlformats.org/officeDocument/2006/relationships/hyperlink" Target="file:///\\chno0276\Aseguranza%20de%20Calidad\Control%20de%20Documentos\Doc.%20controlados%20PDF\Flow%20Chart\MICROMINI\CHANGE-OUT\FC-CHGO-011%20%20X8651648P.pdf" TargetMode="External"/><Relationship Id="rId259" Type="http://schemas.openxmlformats.org/officeDocument/2006/relationships/hyperlink" Target="file:///\\chno0276\Aseguranza%20de%20Calidad\Control%20de%20Documentos\Doc.%20controlados%20PDF\Formas\CNWI-SHAE%20(Seguridad%20e%20higiene%20y%20medio%20ambiente)\CNWI-SHAE-F012%20Permiso%20para%20trabajos%20en%20alturas.xls" TargetMode="External"/><Relationship Id="rId466" Type="http://schemas.openxmlformats.org/officeDocument/2006/relationships/hyperlink" Target="file:///\\CHNO0276\Aseguranza%20de%20Calidad\Control%20de%20Documentos\Doc.%20controlados%20PDF\Formas\CNWI-QAAS%20(aseguranza%20de%20calidad)\CNWI-QAAS-F145%20BITACORA%20DE%20MOLDEO.xls" TargetMode="External"/><Relationship Id="rId673" Type="http://schemas.openxmlformats.org/officeDocument/2006/relationships/hyperlink" Target="file:///\\CHNO0276\Aseguranza%20de%20Calidad\Control%20de%20Documentos\Doc.%20controlados%20PDF\Ayudas%20visuales\Camarillo\Ensamble%20general\CNWI-VSHP-000179%20Verificacion%20de%20cumplimiento%20%20%2028-3256-0001.ppt" TargetMode="External"/><Relationship Id="rId880" Type="http://schemas.openxmlformats.org/officeDocument/2006/relationships/hyperlink" Target="file:///\\CHNO0276\Aseguranza%20de%20Calidad\Control%20de%20Documentos\Doc.%20controlados%20PDF\Control%20Plans\MICROMINI\CHANGE-OUT\CP-CHGO-004%20Control%20Plan%20X8653-FN.pdf" TargetMode="External"/><Relationship Id="rId1096" Type="http://schemas.openxmlformats.org/officeDocument/2006/relationships/hyperlink" Target="file:///\\chno0276\Aseguranza%20de%20Calidad\Control%20de%20Documentos\Doc.%20controlados%20PDF\Quality%20Alerts\ITRON\BONDING\QA-BOND-001%20BACC65AK211P%20Housing-Incorrecto.pdf" TargetMode="External"/><Relationship Id="rId23" Type="http://schemas.openxmlformats.org/officeDocument/2006/relationships/hyperlink" Target="file:///\\chno0276\Aseguranza%20de%20Calidad\Control%20de%20Documentos\Doc.%20controlados%20PDF\Instructivos\CNWI-WRHS\CNWI-WHSE-0005%20Procedimiento%20para%20surtir%20ordenes%20de%20trabajo.pdf" TargetMode="External"/><Relationship Id="rId119" Type="http://schemas.openxmlformats.org/officeDocument/2006/relationships/hyperlink" Target="file:///\\chno0276\Control%20de%20Documentos\Doc.%20controlados%20PDF\Instructivos\CNWI-ENGI\CNWI-ENGI-0081%20Procedimiento%20cautines.pdf" TargetMode="External"/><Relationship Id="rId326" Type="http://schemas.openxmlformats.org/officeDocument/2006/relationships/hyperlink" Target="file:///\\chno0276\Aseguranza%20de%20Calidad\Control%20de%20Documentos\Doc.%20controlados%20PDF\Formas\CNWI-ENGI%20(Ingenieria)\CNWI-ENGI-F054%20Cambios%20de%20reviciones.xls" TargetMode="External"/><Relationship Id="rId533" Type="http://schemas.openxmlformats.org/officeDocument/2006/relationships/hyperlink" Target="file:///\\chno0276\Aseguranza%20de%20Calidad\Control%20de%20Documentos\Doc.%20controlados%20PDF\Formas\CNWI-PLNN%20(Planeacion%20)\CNWI-PLNN-F002%20MasterSchedule.xlsx" TargetMode="External"/><Relationship Id="rId978" Type="http://schemas.openxmlformats.org/officeDocument/2006/relationships/hyperlink" Target="file:///\\chno0276\Aseguranza%20de%20Calidad\Control%20de%20Documentos\Doc.%20controlados%20PDF\Flow%20Chart\ITRON\AMSAFE\FC-AMSA-001%20%20004080-0001%20al%200012.pdf" TargetMode="External"/><Relationship Id="rId1163" Type="http://schemas.openxmlformats.org/officeDocument/2006/relationships/hyperlink" Target="file:///\\CHNO0276\Aseguranza%20de%20Calidad\Control%20de%20Documentos\Doc.%20controlados%20PDF\Quality%20Alerts\SOLAR\QA-SOL-001%20Nedco.pdf" TargetMode="External"/><Relationship Id="rId740" Type="http://schemas.openxmlformats.org/officeDocument/2006/relationships/hyperlink" Target="file:///\\CHNO0276\Aseguranza%20de%20Calidad\Control%20de%20Documentos\Doc.%20controlados%20PDF\Ayudas%20visuales\Micromini\Potted\CNWI-VSHP-000076%20Rev.%20A%20(33165821A).pub" TargetMode="External"/><Relationship Id="rId838" Type="http://schemas.openxmlformats.org/officeDocument/2006/relationships/hyperlink" Target="file:///\\chno0276\Aseguranza%20de%20Calidad\Control%20de%20Documentos\Doc.%20controlados%20PDF\Control%20Plans\ITRON\AMSAFE\CP-AMSA-005%20003064-0001.pdf" TargetMode="External"/><Relationship Id="rId1023" Type="http://schemas.openxmlformats.org/officeDocument/2006/relationships/hyperlink" Target="file:///\\chno0276\Aseguranza%20de%20Calidad\Control%20de%20Documentos\Doc.%20controlados%20PDF\Flow%20Chart\ITRON\BONDING\FC-BOND-008%20%20%20002367-0121.pdf" TargetMode="External"/><Relationship Id="rId172" Type="http://schemas.openxmlformats.org/officeDocument/2006/relationships/hyperlink" Target="file:///\\CHNO0276\Aseguranza%20de%20Calidad\Control%20de%20Documentos\Doc.%20controlados%20PDF\Instructivos\CNWI-QAAS\CNWI-QAAS-0027%20Rev.%20A%20Flujo%20de%20proceso%20de%20inspeccion%20de%20engomado%20bacc65xx.doc" TargetMode="External"/><Relationship Id="rId477" Type="http://schemas.openxmlformats.org/officeDocument/2006/relationships/hyperlink" Target="file:///\\CHNO0276\Aseguranza%20de%20Calidad\Control%20de%20Documentos\Doc.%20controlados%20PDF\Formas\CNWI-PROD%20(%20Produccion%20)\CNWI-PROD-F005%20Wire%20pro%20viking%20division.xls" TargetMode="External"/><Relationship Id="rId600" Type="http://schemas.openxmlformats.org/officeDocument/2006/relationships/hyperlink" Target="file:///\\chno0276\Aseguranza%20de%20Calidad\Control%20de%20Documentos\Doc.%20controlados%20PDF\Ayudas%20visuales\Camarillo\Amsafe\VA-AMSA-018%20Rev%20Doc%20B-%20Drawing%20AN%20CABLE%20ASSEMBLY%20INTERFACE%20%20508976%20pag%207.ppt" TargetMode="External"/><Relationship Id="rId684" Type="http://schemas.openxmlformats.org/officeDocument/2006/relationships/hyperlink" Target="file:///\\CHNO0276\Aseguranza%20de%20Calidad\Control%20de%20Documentos\Doc.%20controlados%20PDF\Ayudas%20visuales\Camarillo\Moldeo\CNWI-vshp-000181%20Rev%20A%20%20Acoplamiento%20Dust%20Cap%20009-0537-001.pptx" TargetMode="External"/><Relationship Id="rId337" Type="http://schemas.openxmlformats.org/officeDocument/2006/relationships/hyperlink" Target="file:///\\chno0276\Aseguranza%20de%20Calidad\Control%20de%20Documentos\Doc.%20controlados%20PDF\Formas\CNWI-QAAS%20(aseguranza%20de%20calidad)\CNWI-QAAS-F012%20contact%20insertion%20force.xls" TargetMode="External"/><Relationship Id="rId891" Type="http://schemas.openxmlformats.org/officeDocument/2006/relationships/hyperlink" Target="file:///\\CHNO0276\Aseguranza%20de%20Calidad\Control%20de%20Documentos\Doc.%20controlados%20PDF\Control%20Plans\SOLAR\CP-SOL-002%20Rev.A%20%20ZACHRY.pdf" TargetMode="External"/><Relationship Id="rId905" Type="http://schemas.openxmlformats.org/officeDocument/2006/relationships/hyperlink" Target="file:///\\chno0276\Aseguranza%20de%20Calidad\Control%20de%20Documentos\Doc.%20controlados%20PDF\Control%20Plans\ITRON\AMSAFE\CP-AMSA-011%20004041-0001%20&amp;%20004041-0002.pdf" TargetMode="External"/><Relationship Id="rId989" Type="http://schemas.openxmlformats.org/officeDocument/2006/relationships/hyperlink" Target="file:///\\chno0276\Aseguranza%20de%20Calidad\Control%20de%20Documentos\Doc.%20controlados%20PDF\Flow%20Chart\MICROMINI\MS\FC-MS-006%20CHCCR003P.pdf" TargetMode="External"/><Relationship Id="rId34" Type="http://schemas.openxmlformats.org/officeDocument/2006/relationships/hyperlink" Target="file:///\\chno0276\Aseguranza%20de%20Calidad\Control%20de%20Documentos\Doc.%20controlados%20PDF\Instructivos\CNWI-PRCS\CNWI-PRCS-0002%20Fabricacion%20de%20orden%20del%20cliente.pdf" TargetMode="External"/><Relationship Id="rId544" Type="http://schemas.openxmlformats.org/officeDocument/2006/relationships/hyperlink" Target="file:///\\chno0276\Aseguranza%20de%20Calidad\Control%20de%20Documentos\Doc.%20controlados%20PDF\Formas\CNWI-QAAS%20(aseguranza%20de%20calidad)\F-QAAS-09-004%20Rev.%20A%20Liberacion%20de%20producto.docx" TargetMode="External"/><Relationship Id="rId751" Type="http://schemas.openxmlformats.org/officeDocument/2006/relationships/hyperlink" Target="file:///\\CHNO0276\Aseguranza%20de%20Calidad\Control%20de%20Documentos\Doc.%20controlados%20PDF\Ayudas%20visuales\Micromini\Potted\CNWI-VSHP-000202%20Rev%20A%20%20USO%20DE%20HORNO%20POTTED.pptx" TargetMode="External"/><Relationship Id="rId849" Type="http://schemas.openxmlformats.org/officeDocument/2006/relationships/hyperlink" Target="file:///\\chno0276\Aseguranza%20de%20Calidad\Control%20de%20Documentos\Doc.%20controlados%20PDF\Control%20Plans\MICROMINI\CELDA%20A&amp;B\CP-A&amp;B-016%20%20ML4C4TC.pdf" TargetMode="External"/><Relationship Id="rId1174" Type="http://schemas.openxmlformats.org/officeDocument/2006/relationships/hyperlink" Target="file:///\\chno0276\Aseguranza%20de%20Calidad\Control%20de%20Documentos\Doc.%20controlados%20PDF\Quality%20Alerts\SOLAR\QA-SOL-004%20%20Carretes%20Solar.pdf" TargetMode="External"/><Relationship Id="rId183" Type="http://schemas.openxmlformats.org/officeDocument/2006/relationships/hyperlink" Target="file:///\\chno0276\Aseguranza%20de%20Calidad\Control%20de%20Documentos\Doc.%20controlados%20PDF\Formas\CNWI-QAAS%20(aseguranza%20de%20calidad)\CNWI-QAAS-F004%20Lista%20de%20Verificacion%20de%20AS9100.xls" TargetMode="External"/><Relationship Id="rId390" Type="http://schemas.openxmlformats.org/officeDocument/2006/relationships/hyperlink" Target="file:///\\CHNO0276\Aseguranza%20de%20Calidad\Control%20de%20Documentos\Doc.%20controlados%20PDF\Formas\CNWI-QAAS%20(aseguranza%20de%20calidad)\CNWI-QAAS-F121%20Minuta.doc" TargetMode="External"/><Relationship Id="rId404" Type="http://schemas.openxmlformats.org/officeDocument/2006/relationships/hyperlink" Target="file:///\\CHNO0276\Aseguranza%20de%20Calidad\Control%20de%20Documentos\Doc.%20controlados%20PDF\Formas\CNWI-QAAS%20(aseguranza%20de%20calidad)\CNWI-QAAS-F104%20Codigo%20de%20defectos.doc" TargetMode="External"/><Relationship Id="rId611" Type="http://schemas.openxmlformats.org/officeDocument/2006/relationships/hyperlink" Target="file:///\\CHNO0276\Aseguranza%20de%20Calidad\Control%20de%20Documentos\Doc.%20controlados%20PDF\Ayudas%20visuales\Camarillo\Bonding\VA-BOND-005%20Rev%20C%20%20002359-0000%20EMPAQUE%20%20PLUG%20AIRBORNEMINIATURE%20CIRCULAR%20COLORS%20RED%20WHAITE%20&amp;%20BLUE.ppt" TargetMode="External"/><Relationship Id="rId1034" Type="http://schemas.openxmlformats.org/officeDocument/2006/relationships/hyperlink" Target="file:///\\chno0276\Aseguranza%20de%20Calidad\Control%20de%20Documentos\Doc.%20controlados%20PDF\Flow%20Chart\ITRON\BONDING\FC-BOND-017%20%20%20%20T002379-0001.pdf" TargetMode="External"/><Relationship Id="rId250" Type="http://schemas.openxmlformats.org/officeDocument/2006/relationships/hyperlink" Target="file:///\\chno0276\Aseguranza%20de%20Calidad\Control%20de%20Documentos\Doc.%20controlados%20PDF\Formas\CNWI-SHAE%20(Seguridad%20e%20higiene%20y%20medio%20ambiente)\CNWI-SHAE-F003%20Registro%20de%20visitantes%20.xls" TargetMode="External"/><Relationship Id="rId488" Type="http://schemas.openxmlformats.org/officeDocument/2006/relationships/hyperlink" Target="file:///\\CHNO0276\Aseguranza%20de%20Calidad\Control%20de%20Documentos\Doc.%20controlados%20PDF\Formas\CNWI-PROD%20(%20Produccion%20)\CNWI-PROD-F017%20Etiqueta%20relays%203.xls" TargetMode="External"/><Relationship Id="rId695" Type="http://schemas.openxmlformats.org/officeDocument/2006/relationships/hyperlink" Target="file:///\\CHNO0276\Aseguranza%20de%20Calidad\Control%20de%20Documentos\Doc.%20controlados%20PDF\Ayudas%20visuales\Micromini\General\CNWI-VSHP-000162%20Remocion%20de%20molde.pub" TargetMode="External"/><Relationship Id="rId709" Type="http://schemas.openxmlformats.org/officeDocument/2006/relationships/hyperlink" Target="file:///\\CHNO0276\Aseguranza%20de%20Calidad\Control%20de%20Documentos\Doc.%20controlados%20PDF\Ayudas%20visuales\Micromini\A%20y%20B\CNWI-VSHP-000051%20Rev.%20A%20(5000110-AY).pub" TargetMode="External"/><Relationship Id="rId916" Type="http://schemas.openxmlformats.org/officeDocument/2006/relationships/hyperlink" Target="file:///\\chno0276\Aseguranza%20de%20Calidad\Control%20de%20Documentos\Doc.%20controlados%20PDF\Control%20Plans\MICROMINI\MS\CP-MS-017%20%20CH5041495B0360.pdf" TargetMode="External"/><Relationship Id="rId1101" Type="http://schemas.openxmlformats.org/officeDocument/2006/relationships/hyperlink" Target="file:///\\chno0276\Aseguranza%20de%20Calidad\Control%20de%20Documentos\Doc.%20controlados%20PDF\Quality%20Alerts\ITRON\BONDING\QA-BOND-006%20002359-000X%20Grommet%20despegado.pdf" TargetMode="External"/><Relationship Id="rId45" Type="http://schemas.openxmlformats.org/officeDocument/2006/relationships/hyperlink" Target="file:///\\chno0276\Control%20de%20Documentos\Doc.%20controlados%20PDF\Instructivos\CNWI-ENGI\CNWI-ENGI-0016%20%20Introducci&#243;n%20a%20Nuevos%20Productos%20.pdf" TargetMode="External"/><Relationship Id="rId110" Type="http://schemas.openxmlformats.org/officeDocument/2006/relationships/hyperlink" Target="file:///\\chno0276\Aseguranza%20de%20Calidad\Control%20de%20Documentos\Doc.%20controlados%20PDF\Instructivos\CNWI-ENGI\CNWI-ENGI-0068%20SECADOR%20ARID-X%20%20.pdf" TargetMode="External"/><Relationship Id="rId348" Type="http://schemas.openxmlformats.org/officeDocument/2006/relationships/hyperlink" Target="file:///\\chno0276\Aseguranza%20de%20Calidad\Control%20de%20Documentos\Doc.%20controlados%20PDF\Formas\CNWI-QAAS%20(aseguranza%20de%20calidad)\CNWI-QAAS-F026%20Prueba%20Remachado.doc" TargetMode="External"/><Relationship Id="rId555" Type="http://schemas.openxmlformats.org/officeDocument/2006/relationships/hyperlink" Target="file:///\\chno0276\Control%20de%20Documentos\Doc.%20controlados%20PDF\Ayudas%20visuales\Camarillo\Amsafe\VA-AMSA-001%20Rev%20Doc%20E%20%20Rev%20Draw%20N%20ASSEMBLY%20%20CABLE%20%20INTERFACE%20%20508418%20%20pag%201.ppt" TargetMode="External"/><Relationship Id="rId762" Type="http://schemas.openxmlformats.org/officeDocument/2006/relationships/hyperlink" Target="file:///\\chno0276\Control%20de%20Documentos\Doc.%20controlados%20PDF\Ayudas%20visuales\Camarillo\Itron\MULTICELDA%20B\VA-IMB-007%20Rev%20D%20%20CABLE%20ASSY%2028-3273-0000.ppt" TargetMode="External"/><Relationship Id="rId1185" Type="http://schemas.openxmlformats.org/officeDocument/2006/relationships/hyperlink" Target="file:///\\CHNO0276\Aseguranza%20de%20Calidad\Control%20de%20Documentos\Doc.%20controlados%20PDF\Especificaciones%20genericas\Micromini\A%20Y%20B\CNWI-ENGI-F019%20Rev%20%20F%20Especificaciones%20de%20empaque%20Celda%20A%20Y%20B%20Rev%20%20B.xls" TargetMode="External"/><Relationship Id="rId194" Type="http://schemas.openxmlformats.org/officeDocument/2006/relationships/hyperlink" Target="file:///\\chno0276\Aseguranza%20de%20Calidad\Control%20de%20Documentos\Doc.%20controlados%20PDF\Formas\CNWI-QAAS%20(aseguranza%20de%20calidad)\CNWI-QAAS-F008-C%20Liberacion%20primera%20pieza%20ENGOMADO.pptx" TargetMode="External"/><Relationship Id="rId208" Type="http://schemas.openxmlformats.org/officeDocument/2006/relationships/hyperlink" Target="file:///\\chno0276\Aseguranza%20de%20Calidad\Control%20de%20Documentos\Doc.%20controlados%20PDF\Formas\CNWI-HMRS%20(Recursos%20Humanos)\CNWI-HMRS-F006%20Solicitud%20de%20capacitacion.xls" TargetMode="External"/><Relationship Id="rId415" Type="http://schemas.openxmlformats.org/officeDocument/2006/relationships/hyperlink" Target="file:///\\chno0276\Control%20de%20Documentos\Doc.%20controlados%20PDF\Formas\CNWI-MTTO%20(Mantenimiento)\CNWI-MTTO-F028%20Rev%20A%20%20TPM%20universal.xls" TargetMode="External"/><Relationship Id="rId622" Type="http://schemas.openxmlformats.org/officeDocument/2006/relationships/hyperlink" Target="file:///\\CHNO0276\Aseguranza%20de%20Calidad\Control%20de%20Documentos\Doc.%20controlados%20PDF\Ayudas%20visuales\Camarillo\Itron\CNWI-VSHP-000113%20Rev.%20A%20(CBA-0217-314).pub" TargetMode="External"/><Relationship Id="rId1045" Type="http://schemas.openxmlformats.org/officeDocument/2006/relationships/hyperlink" Target="file:///\\chno0276\Control%20de%20Documentos\Doc.%20controlados%20PDF\Flow%20Chart\ITRON\BONDING\FC-BOND-026%20%20%20BACT44E1S.pdf" TargetMode="External"/><Relationship Id="rId261" Type="http://schemas.openxmlformats.org/officeDocument/2006/relationships/hyperlink" Target="file:///\\chno0276\Aseguranza%20de%20Calidad\Control%20de%20Documentos\Doc.%20controlados%20PDF\Formas\CNWI-SHAE%20(Seguridad%20e%20higiene%20y%20medio%20ambiente)\CNWI-SHAE-F014%20VALE%20DE%20DESCUENTO%20POR%20N&#211;MINA.xls" TargetMode="External"/><Relationship Id="rId499" Type="http://schemas.openxmlformats.org/officeDocument/2006/relationships/hyperlink" Target="file:///\\CHNO0276\Aseguranza%20de%20Calidad\Control%20de%20Documentos\Doc.%20controlados%20PDF\Formas\CNWI-PROD%20(%20Produccion%20)\CNWI-PROD-F028%20Etiqueta%20thorkom.xls" TargetMode="External"/><Relationship Id="rId927" Type="http://schemas.openxmlformats.org/officeDocument/2006/relationships/hyperlink" Target="file:///\\chno0276\Aseguranza%20de%20Calidad\Control%20de%20Documentos\Doc.%20controlados%20PDF\Control%20Plans\MICROMINI\MS\CP-MS-024%20%20SMEA0115010,%205015,%205020,%205030,%205035,%205060.pdf" TargetMode="External"/><Relationship Id="rId1112" Type="http://schemas.openxmlformats.org/officeDocument/2006/relationships/hyperlink" Target="file:///\\chno0276\Aseguranza%20de%20Calidad\Control%20de%20Documentos\Doc.%20controlados%20PDF\Quality%20Alerts\MICROMINI\MS\QA-MS-001%20MEA0092025%20Contactos%20desalineados%20-Deformados.pdf" TargetMode="External"/><Relationship Id="rId56" Type="http://schemas.openxmlformats.org/officeDocument/2006/relationships/hyperlink" Target="file:///\\chno0276\Aseguranza%20de%20Calidad\Control%20de%20Documentos\Doc.%20controlados%20PDF\Instructivos\CNWI-ENGI\CNWI-ENGI-0012%20Operaci&#243;n%20General%20de%20Empaque%20.pdf" TargetMode="External"/><Relationship Id="rId359" Type="http://schemas.openxmlformats.org/officeDocument/2006/relationships/hyperlink" Target="file:///\\chno0276\Aseguranza%20de%20Calidad\Control%20de%20Documentos\Doc.%20controlados%20PDF\Formas\CNWI-QAAS%20(aseguranza%20de%20calidad)\CNWI-QAAS-F038%20reporte%20de%20discrepancia%20%20(DR).doc" TargetMode="External"/><Relationship Id="rId566" Type="http://schemas.openxmlformats.org/officeDocument/2006/relationships/hyperlink" Target="file:///\\chno0276\Control%20de%20Documentos\Doc.%20controlados%20PDF\Ayudas%20visuales\Camarillo\Itron\PLUG\VA-IPLUG-003%20REV%20%20F.ppt" TargetMode="External"/><Relationship Id="rId773" Type="http://schemas.openxmlformats.org/officeDocument/2006/relationships/hyperlink" Target="file:///\\chno0276\Control%20de%20Documentos\Doc.%20controlados%20PDF\Ayudas%20visuales\Camarillo\Amsafe\VA-AMSA-032%20%20REV%20Doc%20D%20Draw%20AG%20508978%20pag%201%20003082-XXXX%20004014-XXXX%20004034-XXXX%20004035-XXXX.ppt" TargetMode="External"/><Relationship Id="rId1196" Type="http://schemas.openxmlformats.org/officeDocument/2006/relationships/hyperlink" Target="file:///\\CHNO0276\Aseguranza%20de%20Calidad\Control%20de%20Documentos\Doc.%20controlados%20PDF\Especificaciones%20genericas\Micromini\PLEX\CNWI-ENGI-F019%20Rev.%20C%20Especificaciones%20dedespoje%20de%20conductores%20plex.xlsx" TargetMode="External"/><Relationship Id="rId121" Type="http://schemas.openxmlformats.org/officeDocument/2006/relationships/hyperlink" Target="file:///\\chno0276\Aseguranza%20de%20Calidad\Control%20de%20Documentos\Doc.%20controlados%20PDF\Instructivos\CNWI-ENGI\CNWI-ENGI-0084%20Sistema%20And&#243;n%20&#225;rea%20ITRON.pdf" TargetMode="External"/><Relationship Id="rId219" Type="http://schemas.openxmlformats.org/officeDocument/2006/relationships/hyperlink" Target="file:///\\chno0276\Aseguranza%20de%20Calidad\Control%20de%20Documentos\Doc.%20controlados%20PDF\Formas\CNWI-MTTO%20(Mantenimiento)\CNWI-MTTO-F001%20Boleta%20de%20Control%20de%20equipo.doc" TargetMode="External"/><Relationship Id="rId426" Type="http://schemas.openxmlformats.org/officeDocument/2006/relationships/hyperlink" Target="file:///\\chno0276\Control%20de%20Documentos\Doc.%20controlados%20PDF\Formas\CNWI-QAAS%20(aseguranza%20de%20calidad)\CNWI-QAAS-F073%20Rev.%20A%20Product%20accontability.xls" TargetMode="External"/><Relationship Id="rId633" Type="http://schemas.openxmlformats.org/officeDocument/2006/relationships/hyperlink" Target="file:///\\CHNO0276\Aseguranza%20de%20Calidad\Control%20de%20Documentos\Doc.%20controlados%20PDF\Ayudas%20visuales\Camarillo\Bonding\CNWI-VSHP-000015%20Rev.%20A%20(000300-1561).pub" TargetMode="External"/><Relationship Id="rId980" Type="http://schemas.openxmlformats.org/officeDocument/2006/relationships/hyperlink" Target="file:///\\chno0276\Control%20de%20Documentos\Doc.%20controlados%20PDF\Flow%20Chart\ITRON\AMSAFE\FC-AMSA%20-003%200044071-0001.pdf" TargetMode="External"/><Relationship Id="rId1056" Type="http://schemas.openxmlformats.org/officeDocument/2006/relationships/hyperlink" Target="file:///\\chno0276\Control%20de%20Documentos\Doc.%20controlados%20PDF\Flow%20Chart\ITRON\AMSAFE\FC-AMSA-014%203076-0001.pdf" TargetMode="External"/><Relationship Id="rId840" Type="http://schemas.openxmlformats.org/officeDocument/2006/relationships/hyperlink" Target="file:///\\chno0276\Aseguranza%20de%20Calidad\Control%20de%20Documentos\Doc.%20controlados%20PDF\Control%20Plans\MICROMINI\CHANGE-OUT\CP-CHGO-002%20%20CX852-CX852-37AN.pdf" TargetMode="External"/><Relationship Id="rId938" Type="http://schemas.openxmlformats.org/officeDocument/2006/relationships/hyperlink" Target="file:///\\chno0276\Aseguranza%20de%20Calidad\Control%20de%20Documentos\Doc.%20controlados%20PDF\Control%20Plans\MICROMINI\CHANGE-OUT\CP-CHGO-015%20%20X865393P.pdf" TargetMode="External"/><Relationship Id="rId67" Type="http://schemas.openxmlformats.org/officeDocument/2006/relationships/hyperlink" Target="file:///\\chno0276\Aseguranza%20de%20Calidad\Control%20de%20Documentos\Doc.%20controlados%20PDF\Instructivos\CNWI-ENGI\CNWI-ENGI-0024%20Prueba%20El&#233;ctrica%20%20CABLE%20EYE.pdf" TargetMode="External"/><Relationship Id="rId272" Type="http://schemas.openxmlformats.org/officeDocument/2006/relationships/hyperlink" Target="file:///\\chno0276\Aseguranza%20de%20Calidad\Control%20de%20Documentos\Doc.%20controlados%20PDF\Formas\CNWI-SHAE%20(Seguridad%20e%20higiene%20y%20medio%20ambiente)\CNWI-SHAE-F027%20Reporte%20de%20investigacion%20de%20accidente.xls" TargetMode="External"/><Relationship Id="rId577" Type="http://schemas.openxmlformats.org/officeDocument/2006/relationships/hyperlink" Target="file:///\\CHNO0276\Aseguranza%20de%20Calidad\Control%20de%20Documentos\Doc.%20controlados%20PDF\Ayudas%20visuales\Camarillo\Bonding\VA-BOND-002%20Rev%20G%20002359-0000%20(AMC02PA03R-%20AMC02PS03W-%20AMC02PA03B).ppt" TargetMode="External"/><Relationship Id="rId700" Type="http://schemas.openxmlformats.org/officeDocument/2006/relationships/hyperlink" Target="file:///\\CHNO0276\Aseguranza%20de%20Calidad\Control%20de%20Documentos\Doc.%20controlados%20PDF\Ayudas%20visuales\Micromini\A%20y%20B\CNWI-VSHP-000023%20Rev.%20A%20(5000129-AZ).pub" TargetMode="External"/><Relationship Id="rId1123" Type="http://schemas.openxmlformats.org/officeDocument/2006/relationships/hyperlink" Target="file:///\\CHNO0276\Aseguranza%20de%20Calidad\Control%20de%20Documentos\Doc.%20controlados%20PDF\Quality%20Alerts\ITRON\BONDING\QA-BOND-001%20Rev.%20A%20ENGOMADO%20002359-0001-0002-0003.pptx" TargetMode="External"/><Relationship Id="rId132" Type="http://schemas.openxmlformats.org/officeDocument/2006/relationships/hyperlink" Target="file:///\\CHNO0276\Aseguranza%20de%20Calidad\Control%20de%20Documentos\Doc.%20controlados%20PDF\Instructivos\CNWI-QAAS\CNWI-QAAS-0039%20Protocolo%20de%20liberacion%20de%20moldeo.pdf" TargetMode="External"/><Relationship Id="rId784" Type="http://schemas.openxmlformats.org/officeDocument/2006/relationships/hyperlink" Target="file:///\\chno0276\Aseguranza%20de%20Calidad\Control%20de%20Documentos\Doc.%20controlados%20PDF\Ayudas%20visuales\Micromini\General\VA-MGRAL-012%20Rev%20N%20aplicacion%20de%20goma%20al%20inserto%20y%20al%20cable.pptx" TargetMode="External"/><Relationship Id="rId991" Type="http://schemas.openxmlformats.org/officeDocument/2006/relationships/hyperlink" Target="file:///\\chno0276\Aseguranza%20de%20Calidad\Control%20de%20Documentos\Doc.%20controlados%20PDF\Flow%20Chart\ITRON\BONDING\FC-BOND-003%20%20BACC65-%20TODOS.pdf" TargetMode="External"/><Relationship Id="rId1067" Type="http://schemas.openxmlformats.org/officeDocument/2006/relationships/hyperlink" Target="file:///\\CHNO0276\Aseguranza%20de%20Calidad\Control%20de%20Documentos\Doc.%20controlados%20PDF\FMEA\ITRON\PLUG\FMEA-IPLUG-002%20%20Rev.%20A%200002359-TAB%20002360-TAB%20%20002361-TAB.pdf" TargetMode="External"/><Relationship Id="rId437" Type="http://schemas.openxmlformats.org/officeDocument/2006/relationships/hyperlink" Target="file:///\\CHNO0276\Aseguranza%20de%20Calidad\Control%20de%20Documentos\Doc.%20controlados%20PDF\Formas\CNWI-QAAS%20(aseguranza%20de%20calidad)\CNWI-QAAS-F087%20Formato%20proceso%20master%20Product.xls" TargetMode="External"/><Relationship Id="rId644" Type="http://schemas.openxmlformats.org/officeDocument/2006/relationships/hyperlink" Target="file:///\\CHNO0276\Aseguranza%20de%20Calidad\Control%20de%20Documentos\Doc.%20controlados%20PDF\Ayudas%20visuales\Camarillo\Bonding\CNWI-VSHP-000120%20Rev%20%20B%20(Empaque%20BACC65XX).pub" TargetMode="External"/><Relationship Id="rId851" Type="http://schemas.openxmlformats.org/officeDocument/2006/relationships/hyperlink" Target="file:///\\chno0276\Aseguranza%20de%20Calidad\Control%20de%20Documentos\Doc.%20controlados%20PDF\Control%20Plans\MICROMINI\CELDA%20A&amp;B\CP-A&amp;B-018%20%20ADM4Q2M24E.pdf" TargetMode="External"/><Relationship Id="rId283" Type="http://schemas.openxmlformats.org/officeDocument/2006/relationships/hyperlink" Target="file:///\\chno0276\Aseguranza%20de%20Calidad\Control%20de%20Documentos\Doc.%20controlados%20PDF\Formas\CNWI-PRCS%20(compras)\CNWI-PRCS-F010%20%20Inventory%20Approval%20Process.xls" TargetMode="External"/><Relationship Id="rId490" Type="http://schemas.openxmlformats.org/officeDocument/2006/relationships/hyperlink" Target="file:///\\CHNO0276\Aseguranza%20de%20Calidad\Control%20de%20Documentos\Doc.%20controlados%20PDF\Formas\CNWI-PROD%20(%20Produccion%20)\CNWI-PROD-F019%20Etiqueta%20relays%205.xls" TargetMode="External"/><Relationship Id="rId504" Type="http://schemas.openxmlformats.org/officeDocument/2006/relationships/hyperlink" Target="file:///\\CHNO0276\Aseguranza%20de%20Calidad\Control%20de%20Documentos\Doc.%20controlados%20PDF\Formas\CNWI-PROD%20(%20Produccion%20)\CNWI-PROD-F033%20Move%20Ticket.xls" TargetMode="External"/><Relationship Id="rId711" Type="http://schemas.openxmlformats.org/officeDocument/2006/relationships/hyperlink" Target="file:///\\CHNO0276\Aseguranza%20de%20Calidad\Control%20de%20Documentos\Doc.%20controlados%20PDF\Ayudas%20visuales\Micromini\A%20y%20B\CNWI-VSHP-000057%20Rev.%20A%20(PC5RADD-A).pub" TargetMode="External"/><Relationship Id="rId949" Type="http://schemas.openxmlformats.org/officeDocument/2006/relationships/hyperlink" Target="file:///\\chno0276\Aseguranza%20de%20Calidad\Control%20de%20Documentos\Doc.%20controlados%20PDF\Control%20Plans\MICROMINI\CELDA%20A&amp;B\CP-A&amp;B-041%20DM2B3JE010M,%20DM3B3JE010M,DM4B3JE010M,DM5B3JE010M.pdf" TargetMode="External"/><Relationship Id="rId1134" Type="http://schemas.openxmlformats.org/officeDocument/2006/relationships/hyperlink" Target="file:///\\CHNO0276\Aseguranza%20de%20Calidad\Control%20de%20Documentos\Doc.%20controlados%20PDF\Quality%20Alerts\ITRON\PLUG\QA-IPLUG-001%20Rev.%20A%20%20035-%200532-00%20Bota%20deforme.pdf" TargetMode="External"/><Relationship Id="rId78" Type="http://schemas.openxmlformats.org/officeDocument/2006/relationships/hyperlink" Target="file:///\\chno0276\Aseguranza%20de%20Calidad\Control%20de%20Documentos\Doc.%20controlados%20PDF\Instructivos\CNWI-ENGI\CNWI-ENGI-0035%20Maquina%20SCHLEUNIGER%20EcoStrip%209300.pdf" TargetMode="External"/><Relationship Id="rId143" Type="http://schemas.openxmlformats.org/officeDocument/2006/relationships/hyperlink" Target="file:///\\chno0276\Aseguranza%20de%20Calidad\Control%20de%20Documentos\Doc.%20controlados%20PDF\Instructivos\CNWI-QAAS\CNWI-QAAS-0014%20Proceso%20outsourcing.pdf" TargetMode="External"/><Relationship Id="rId350" Type="http://schemas.openxmlformats.org/officeDocument/2006/relationships/hyperlink" Target="file:///\\chno0276\Aseguranza%20de%20Calidad\Control%20de%20Documentos\Doc.%20controlados%20PDF\Formas\CNWI-QAAS%20(aseguranza%20de%20calidad)\CNWI-QAAS-F029%20prue%20ba%20de%20conectores%20(AMC)%20.xls" TargetMode="External"/><Relationship Id="rId588" Type="http://schemas.openxmlformats.org/officeDocument/2006/relationships/hyperlink" Target="file:///\\CHNO0276\Aseguranza%20de%20Calidad\Control%20de%20Documentos\Doc.%20controlados%20PDF\Ayudas%20visuales\Micromini\Potted\VA-POTT-001%20%20Rev%20%20C%20%20Pegado%20de%20insert%20a%20shell.pptx" TargetMode="External"/><Relationship Id="rId795" Type="http://schemas.openxmlformats.org/officeDocument/2006/relationships/hyperlink" Target="file:///\\CHNO0276\Aseguranza%20de%20Calidad\Control%20de%20Documentos\Doc.%20controlados%20PDF\Especificaciones%20genericas\Micromini\General\CNWI-ENGI-F019%20Rev.%20J%20Especificaciones%20de%20Corte%20Micro-Mini.xlsx" TargetMode="External"/><Relationship Id="rId809" Type="http://schemas.openxmlformats.org/officeDocument/2006/relationships/hyperlink" Target="file:///\\CHNO0276\Aseguranza%20de%20Calidad\Control%20de%20Documentos\Doc.%20controlados%20PDF\Especificaciones%20genericas\Micromini\POTTED\CNWI-ENGI-F019%20Rev.%20A%20Especificaciones%20dedespoje%20de%20chaqueta%20Potted.xlsx" TargetMode="External"/><Relationship Id="rId1201" Type="http://schemas.openxmlformats.org/officeDocument/2006/relationships/hyperlink" Target="file:///\\CHNO0276\Aseguranza%20de%20Calidad\Control%20de%20Documentos\Doc.%20controlados%20PDF\Especificaciones%20genericas\Micromini\POTTED\CNWI-ENGI-F019%20Rev%20%20F%20%20Especificaciones%20de%20empaque%20Potted.xls" TargetMode="External"/><Relationship Id="rId9" Type="http://schemas.openxmlformats.org/officeDocument/2006/relationships/hyperlink" Target="file:///\\chno0276\Aseguranza%20de%20Calidad\Control%20de%20Documentos\Doc.%20controlados%20PDF\Procedimientos\CNSOP-05%20Acciones%20Correctivas%20y%20Preventivas.pdf" TargetMode="External"/><Relationship Id="rId210" Type="http://schemas.openxmlformats.org/officeDocument/2006/relationships/hyperlink" Target="file:///\\chno0276\Aseguranza%20de%20Calidad\Control%20de%20Documentos\Doc.%20controlados%20PDF\Formas\CNWI-HMRS%20(Recursos%20Humanos)\CNWI-HMRS-F008%20Permiso%20al%20personal%20.xls" TargetMode="External"/><Relationship Id="rId448" Type="http://schemas.openxmlformats.org/officeDocument/2006/relationships/hyperlink" Target="file:///\\chno0276\Control%20de%20Documentos\Doc.%20controlados%20PDF\Formas\CNWI-QAAS%20(aseguranza%20de%20calidad)\CNWI-QAAS-F102%20Formato%20de%20Calipers.xlsx" TargetMode="External"/><Relationship Id="rId655" Type="http://schemas.openxmlformats.org/officeDocument/2006/relationships/hyperlink" Target="file:///\\CHNO0276\Aseguranza%20de%20Calidad\Control%20de%20Documentos\Doc.%20controlados%20PDF\Ayudas%20visuales\Camarillo\Ensamble%20general\CNWI-VSHP-000016%20Rev.%20A%20(000201-4239).pub" TargetMode="External"/><Relationship Id="rId862" Type="http://schemas.openxmlformats.org/officeDocument/2006/relationships/hyperlink" Target="file:///\\chno0276\Control%20de%20Documentos\Doc.%20controlados%20PDF\Control%20Plans\MICROMINI\CELDA%20A&amp;B\CP-A&amp;B-033%20%20A89DF4HEDM-XXX.pdf" TargetMode="External"/><Relationship Id="rId1078" Type="http://schemas.openxmlformats.org/officeDocument/2006/relationships/hyperlink" Target="file:///\\chno0276\Aseguranza%20de%20Calidad\Control%20de%20Documentos\Doc.%20controlados%20PDF\FMEA\MICROMINI\MS\FMEA-MS-005%20CH5041495B0360.pdf" TargetMode="External"/><Relationship Id="rId294" Type="http://schemas.openxmlformats.org/officeDocument/2006/relationships/hyperlink" Target="file:///\\chno0276\Aseguranza%20de%20Calidad\Control%20de%20Documentos\Doc.%20controlados%20PDF\Formas\CNWI-ENGI%20(Ingenieria)\CNWI-ENGI-F016%20Tabla%20de%20codigo%20de%20los%20medidores.xls" TargetMode="External"/><Relationship Id="rId308" Type="http://schemas.openxmlformats.org/officeDocument/2006/relationships/hyperlink" Target="file:///\\chno0276\Aseguranza%20de%20Calidad\Control%20de%20Documentos\Doc.%20controlados%20PDF\Formas\CNWI-ENGI%20(Ingenieria)\CNWI-ENGI-F035%20Equipment%20Transfer%20Sheet.xls" TargetMode="External"/><Relationship Id="rId515" Type="http://schemas.openxmlformats.org/officeDocument/2006/relationships/hyperlink" Target="file:///\\CHNO0276\Aseguranza%20de%20Calidad\Control%20de%20Documentos\Doc.%20controlados%20PDF\Formas\CNWI-QAAS%20(aseguranza%20de%20calidad)\CNWI-QAAS-F082%20Rev.%20A%20%20Retorno%20de%20producto.doc" TargetMode="External"/><Relationship Id="rId722" Type="http://schemas.openxmlformats.org/officeDocument/2006/relationships/hyperlink" Target="file:///\\CHNO0276\Aseguranza%20de%20Calidad\Control%20de%20Documentos\Doc.%20controlados%20PDF\Ayudas%20visuales\Micromini\A%20y%20B\CNWI-VSHP-000188%20Rev%20A%20%20ALTURA%20CONTACTOS%20DM4Q2M24E-A.pptx" TargetMode="External"/><Relationship Id="rId1145" Type="http://schemas.openxmlformats.org/officeDocument/2006/relationships/hyperlink" Target="file:///\\CHNO0276\Aseguranza%20de%20Calidad\Control%20de%20Documentos\Doc.%20controlados%20PDF\Quality%20Alerts\MOLDEO\Moldeo%20Moorpark\QA-MRPK-003%20%20Rev.%20A%20%20128-0074-001%20Pieza%20con%20marcas.pdf" TargetMode="External"/><Relationship Id="rId89" Type="http://schemas.openxmlformats.org/officeDocument/2006/relationships/hyperlink" Target="file:///\\chno0276\Aseguranza%20de%20Calidad\Control%20de%20Documentos\Doc.%20controlados%20PDF\Instructivos\CNWI-ENGI\CNWI-ENGI-0046%20Maquina%20cortadora%20CR-100.pdf" TargetMode="External"/><Relationship Id="rId154" Type="http://schemas.openxmlformats.org/officeDocument/2006/relationships/hyperlink" Target="file:///\\chno0276\Aseguranza%20de%20Calidad\Control%20de%20Documentos\Doc.%20controlados%20PDF\Instructivos\CNWI-QAAS\CNWI-QAAS-0026%20Identificacion%20y%20Rastreabilidad%20del%20producto.pdf" TargetMode="External"/><Relationship Id="rId361" Type="http://schemas.openxmlformats.org/officeDocument/2006/relationships/hyperlink" Target="file:///\\CHNO0276\Aseguranza%20de%20Calidad\Control%20de%20Documentos\Doc.%20controlados%20PDF\Formas\CNWI-QAAS%20(aseguranza%20de%20calidad)\CNWI-QAAS-F043%20%20Flow%20Chart.xlsx" TargetMode="External"/><Relationship Id="rId599" Type="http://schemas.openxmlformats.org/officeDocument/2006/relationships/hyperlink" Target="file:///\\chno0276\Aseguranza%20de%20Calidad\Control%20de%20Documentos\Doc.%20controlados%20PDF\Ayudas%20visuales\Camarillo\Amsafe\VA-AMSA-017%20Rev%20Doc%20B-%20Drawing%20AN%20CABLE%20ASSEMBLY%20INTERFACE%20508976%20pag%204.ppt" TargetMode="External"/><Relationship Id="rId1005" Type="http://schemas.openxmlformats.org/officeDocument/2006/relationships/hyperlink" Target="file:///\\chno0276\Aseguranza%20de%20Calidad\Control%20de%20Documentos\Doc.%20controlados%20PDF\Flow%20Chart\MICROMINI\CHANGE-OUT\FC-CHGO-002%20%20CX8653312P.pdf" TargetMode="External"/><Relationship Id="rId459" Type="http://schemas.openxmlformats.org/officeDocument/2006/relationships/hyperlink" Target="file:///\\CHNO0276\Aseguranza%20de%20Calidad\Control%20de%20Documentos\Doc.%20controlados%20PDF\Formas\CNWI-QAAS%20(aseguranza%20de%20calidad)\CNWI-QAAS-F117%20Diagrama%20de%20Tortuga.xls" TargetMode="External"/><Relationship Id="rId666" Type="http://schemas.openxmlformats.org/officeDocument/2006/relationships/hyperlink" Target="file:///\\CHNO0276\Aseguranza%20de%20Calidad\Control%20de%20Documentos\Doc.%20controlados%20PDF\Ayudas%20visuales\Camarillo\Ensamble%20general\CNWI-VSHP-000126%20REV.A%20(28-7603-0000).pub" TargetMode="External"/><Relationship Id="rId873" Type="http://schemas.openxmlformats.org/officeDocument/2006/relationships/hyperlink" Target="file:///\\chno0276\Control%20de%20Documentos\Doc.%20controlados%20PDF\Control%20Plans\MICROMINI\CELDA%20A&amp;B\CP-A&amp;B-036%20%20PC5QADD0XXM.pdf" TargetMode="External"/><Relationship Id="rId1089" Type="http://schemas.openxmlformats.org/officeDocument/2006/relationships/hyperlink" Target="file:///\\chno0276\Aseguranza%20de%20Calidad\Control%20de%20Documentos\Doc.%20controlados%20PDF\FMEA\MICROMINI\CHANGE-OUT\FMEA-CHGO-011%20%20X8651648P.pdf" TargetMode="External"/><Relationship Id="rId16" Type="http://schemas.openxmlformats.org/officeDocument/2006/relationships/hyperlink" Target="file:///\\chno0276\Control%20de%20Documentos\Doc.%20controlados%20PDF\Instructivos\CNWI-MTTO\CNWI-MTTO-0002%20Almacen%20de%20refacicones%20y%20suplementos.pdf" TargetMode="External"/><Relationship Id="rId221" Type="http://schemas.openxmlformats.org/officeDocument/2006/relationships/hyperlink" Target="file:///\\chno0276\Aseguranza%20de%20Calidad\Control%20de%20Documentos\Doc.%20controlados%20PDF\Formas\CNWI-MTTO%20(Mantenimiento)\CNWI-MTTO-F003%20LISTADO%20DE%20MAQUINAS.xls" TargetMode="External"/><Relationship Id="rId319" Type="http://schemas.openxmlformats.org/officeDocument/2006/relationships/hyperlink" Target="file:///\\chno0276\Aseguranza%20de%20Calidad\Control%20de%20Documentos\Doc.%20controlados%20PDF\Formas\CNWI-ENGI%20(Ingenieria)\CNWI-ENGI-F046%20Temperaturas%20de%20moldeado.xls" TargetMode="External"/><Relationship Id="rId526" Type="http://schemas.openxmlformats.org/officeDocument/2006/relationships/hyperlink" Target="file:///\\chno0276\Control%20de%20Documentos\Doc.%20controlados%20PDF\Formas\CNWI-ENGI%20(Ingenieria)\CNWI-ENGI-F069%20Rev.%20A%20Packaging%20Data%20Form.docx" TargetMode="External"/><Relationship Id="rId1156" Type="http://schemas.openxmlformats.org/officeDocument/2006/relationships/hyperlink" Target="file:///\\CHNO0276\Aseguranza%20de%20Calidad\Control%20de%20Documentos\Doc.%20controlados%20PDF\Quality%20Alerts\ITRON\MULTICELL%20A&amp;B\QA-IMA-004%20Rev.%20A%20CBA-1300-%20Contactos%20doblados.pdf" TargetMode="External"/><Relationship Id="rId733" Type="http://schemas.openxmlformats.org/officeDocument/2006/relationships/hyperlink" Target="file:///\\CHNO0276\Aseguranza%20de%20Calidad\Control%20de%20Documentos\Doc.%20controlados%20PDF\Ayudas%20visuales\Micromini\Potted\CNWI-VSHP-000025%20Rev%20B%20%20EMPAQUE%20POTTED%205000129-CF.pptx" TargetMode="External"/><Relationship Id="rId940" Type="http://schemas.openxmlformats.org/officeDocument/2006/relationships/hyperlink" Target="file:///\\chno0276\Aseguranza%20de%20Calidad\Control%20de%20Documentos\Doc.%20controlados%20PDF\Control%20Plans\MICROMINI\CHANGE-OUT\CP-CHGO-017%20%20X8653325.pdf" TargetMode="External"/><Relationship Id="rId1016" Type="http://schemas.openxmlformats.org/officeDocument/2006/relationships/hyperlink" Target="file:///\\chno0276\Aseguranza%20de%20Calidad\Control%20de%20Documentos\Doc.%20controlados%20PDF\Flow%20Chart\MICROMINI\CHANGE-OUT\FC-CHGO-015%20%20%20%20X8653687P.pdf" TargetMode="External"/><Relationship Id="rId165" Type="http://schemas.openxmlformats.org/officeDocument/2006/relationships/hyperlink" Target="file:///\\CHNO0276\Aseguranza%20de%20Calidad\Control%20de%20Documentos\Doc.%20controlados%20PDF\Instructivos\CNWI-QAAS\CNWI-QAAS-0002%20Control%20de%20sellos%20auditores.pdf" TargetMode="External"/><Relationship Id="rId372" Type="http://schemas.openxmlformats.org/officeDocument/2006/relationships/hyperlink" Target="file:///\\chno0276\Aseguranza%20de%20Calidad\Control%20de%20Documentos\Doc.%20controlados%20PDF\Formas\CNWI-QAAS%20(aseguranza%20de%20calidad)\CNWI-QAAS-F056%20DR%20Reporte%20de%20retrabajo%20ordenes%20%20Recibidas%20Dentro%20Del%20SAP%202011.xlsx" TargetMode="External"/><Relationship Id="rId677" Type="http://schemas.openxmlformats.org/officeDocument/2006/relationships/hyperlink" Target="file:///\\CHNO0276\Aseguranza%20de%20Calidad\Control%20de%20Documentos\Doc.%20controlados%20PDF\Ayudas%20visuales\Camarillo\Moldeo\CNWI-VSHP-000083%20Rev.%20A%20(027-0236-000).pub" TargetMode="External"/><Relationship Id="rId800" Type="http://schemas.openxmlformats.org/officeDocument/2006/relationships/hyperlink" Target="file:///\\CHNO0276\Aseguranza%20de%20Calidad\Control%20de%20Documentos\Doc.%20controlados%20PDF\Especificaciones%20genericas\Micromini\A%20Y%20B\CNWI-ENGI-F019%20Rev%20%20F%20Especificaciones%20de%20empaque%20Celda%20A%20Y%20B%20Rev%20%20B.xls" TargetMode="External"/><Relationship Id="rId232" Type="http://schemas.openxmlformats.org/officeDocument/2006/relationships/hyperlink" Target="file:///\\chno0276\Aseguranza%20de%20Calidad\Control%20de%20Documentos\Doc.%20controlados%20PDF\Formas\CNWI-MTTO%20(Mantenimiento)\CNWI-MTTO-F017%20Inventario%20Mensual%20de%20Suplementos%20y%20Partes.xls" TargetMode="External"/><Relationship Id="rId884" Type="http://schemas.openxmlformats.org/officeDocument/2006/relationships/hyperlink" Target="file:///\\CHNO0276\Aseguranza%20de%20Calidad\Control%20de%20Documentos\Doc.%20controlados%20PDF\Control%20Plans\MICROMINI\POTTED\CP-POTT-004%20Rev.A%20%205000117-%204053R%20y%204054R.pdf" TargetMode="External"/><Relationship Id="rId27" Type="http://schemas.openxmlformats.org/officeDocument/2006/relationships/hyperlink" Target="file:///\\chno0276\Aseguranza%20de%20Calidad\Control%20de%20Documentos\Doc.%20controlados%20PDF\Instructivos\CNWI-SHAE\CNWI-SHAE-0002%20Reglas%20de%20seguridad.pdf" TargetMode="External"/><Relationship Id="rId537" Type="http://schemas.openxmlformats.org/officeDocument/2006/relationships/hyperlink" Target="file:///\\chno0276\Aseguranza%20de%20Calidad\Control%20de%20Documentos\Doc.%20controlados%20PDF\Formas\CN-LEAN\Formatos\F-LEAN-01-003%20Rev%20%20A%20Project%20Deck.xlsx" TargetMode="External"/><Relationship Id="rId744" Type="http://schemas.openxmlformats.org/officeDocument/2006/relationships/hyperlink" Target="file:///\\CHNO0276\Aseguranza%20de%20Calidad\Control%20de%20Documentos\Doc.%20controlados%20PDF\Ayudas%20visuales\Micromini\Potted\CNWI-VSHP-000110%20Rev.%20A%20(1317142).pub" TargetMode="External"/><Relationship Id="rId951" Type="http://schemas.openxmlformats.org/officeDocument/2006/relationships/hyperlink" Target="file:///\\chno0276\Aseguranza%20de%20Calidad\Control%20de%20Documentos\Doc.%20controlados%20PDF\Control%20Plans\ITRON\BONDING\CP-BOND-004%20%20002359-TAB,%20002360-TAB%20&amp;%20002361-TAB..pdf" TargetMode="External"/><Relationship Id="rId1167" Type="http://schemas.openxmlformats.org/officeDocument/2006/relationships/hyperlink" Target="file:///\\chno0276\Aseguranza%20de%20Calidad\Control%20de%20Documentos\Doc.%20controlados%20PDF\Quality%20Alerts\ITRON\AMSAFE\QA-%20AMSA%20-002%20%20Todos%20las%20Bacc-%20Conectores%20mal%20empacados.pdf" TargetMode="External"/><Relationship Id="rId80" Type="http://schemas.openxmlformats.org/officeDocument/2006/relationships/hyperlink" Target="file:///\\chno0276\Aseguranza%20de%20Calidad\Control%20de%20Documentos\Doc.%20controlados%20PDF\Instructivos\CNWI-ENGI\CNWI-ENGI-0037%20Dispensadora%20de%20Epoxy%20EFD%201000%20XL.pdf" TargetMode="External"/><Relationship Id="rId176" Type="http://schemas.openxmlformats.org/officeDocument/2006/relationships/hyperlink" Target="file:///\\chno0276\Control%20de%20Documentos\Doc.%20controlados%20PDF\Instructivos\CNWI-QAAS\CNWI-QAAS-0047%20Proceso%20de%20auditporia%20en%20capas%20(LPA).doc" TargetMode="External"/><Relationship Id="rId383" Type="http://schemas.openxmlformats.org/officeDocument/2006/relationships/hyperlink" Target="file:///\\chno0276\Control%20de%20Documentos\Doc.%20controlados%20PDF\Formas\CNWI-QAAS%20(aseguranza%20de%20calidad)\CNWI-QAAS-F132%20Operacion%20y%20control%20de%20dispositivos%20pokayoke.xlsx" TargetMode="External"/><Relationship Id="rId590" Type="http://schemas.openxmlformats.org/officeDocument/2006/relationships/hyperlink" Target="file:///\\chno0276\Control%20de%20Documentos\Doc.%20controlados%20PDF\Ayudas%20visuales\Camarillo\Amsafe\VA-AMSA-010%20Rev%20Doc%20C%20-%20Rev%20Draw%20%20G%20%20CABLE%20%20ASSEMBLY%20DRAW%20510256%20PART%20004049-0001.pptx" TargetMode="External"/><Relationship Id="rId604" Type="http://schemas.openxmlformats.org/officeDocument/2006/relationships/hyperlink" Target="file:///\\CHNO0276\Aseguranza%20de%20Calidad\Control%20de%20Documentos\Doc.%20controlados%20PDF\Ayudas%20visuales\Micromini\MS\VA-MS-003%20EB1147%20Rev.%20B.pptx" TargetMode="External"/><Relationship Id="rId811" Type="http://schemas.openxmlformats.org/officeDocument/2006/relationships/hyperlink" Target="file:///\\CHNO0276\Aseguranza%20de%20Calidad\Control%20de%20Documentos\Doc.%20controlados%20PDF\Especificaciones%20genericas\Micromini\PLEX\CNWI-ENGI-F019%20Rev.%20C%20Especificaciones%20dedespoje%20de%20conductores%20plex.xlsx" TargetMode="External"/><Relationship Id="rId1027" Type="http://schemas.openxmlformats.org/officeDocument/2006/relationships/hyperlink" Target="file:///\\chno0276\Aseguranza%20de%20Calidad\Control%20de%20Documentos\Doc.%20controlados%20PDF\Flow%20Chart\ITRON\BONDING\FC-BOND-011%20%20%20002368-0221.pdf" TargetMode="External"/><Relationship Id="rId243" Type="http://schemas.openxmlformats.org/officeDocument/2006/relationships/hyperlink" Target="file:///\\chno0276\Aseguranza%20de%20Calidad\Control%20de%20Documentos\Doc.%20controlados%20PDF\Formas\CNWI-WRHS%20(Almacen)\CNWI-WRHS-F006%20Etiqueta%20identificacion%20de%20material%20almacen%20para%20orden%20de%20produccion.xls" TargetMode="External"/><Relationship Id="rId450" Type="http://schemas.openxmlformats.org/officeDocument/2006/relationships/hyperlink" Target="file:///\\CHNO0276\Aseguranza%20de%20Calidad\Control%20de%20Documentos\Doc.%20controlados%20PDF\Formas\CNWI-QAAS%20(aseguranza%20de%20calidad)\CNWI-QAAS-F105%20CERTIFICATE%20OF%20CONFORMANCE%20-RoHs.doc" TargetMode="External"/><Relationship Id="rId688" Type="http://schemas.openxmlformats.org/officeDocument/2006/relationships/hyperlink" Target="file:///\\CHNO0276\Aseguranza%20de%20Calidad\Control%20de%20Documentos\Doc.%20controlados%20PDF\Ayudas%20visuales\Micromini\General\CNWI-VSHP-000011%20Rev.%20A%20(PRUEBA%20MAYOR%20DE%2012%20POLOS).pub" TargetMode="External"/><Relationship Id="rId895" Type="http://schemas.openxmlformats.org/officeDocument/2006/relationships/hyperlink" Target="file:///\\CHNO0276\Aseguranza%20de%20Calidad\Control%20de%20Documentos\Doc.%20controlados%20PDF\Control%20Plans\SOLAR\CP-SOL-006%20Rev.A%20%20%20IC-B29-RL-BLK1%20Secuencia%202-3-4-5-6-7.pdf" TargetMode="External"/><Relationship Id="rId909" Type="http://schemas.openxmlformats.org/officeDocument/2006/relationships/hyperlink" Target="file:///\\chno0276\Aseguranza%20de%20Calidad\Control%20de%20Documentos\Doc.%20controlados%20PDF\Control%20Plans\ITRON\AMSAFE\CP-AMSA-019%20%203084%203085%203086%203087%203088%203093%203095%204000%204001.pdf" TargetMode="External"/><Relationship Id="rId1080" Type="http://schemas.openxmlformats.org/officeDocument/2006/relationships/hyperlink" Target="file:///\\chno0276\Aseguranza%20de%20Calidad\Control%20de%20Documentos\Doc.%20controlados%20PDF\FMEA\MICROMINI\MS\FMEA-MS-013%20SMEA01200010,%200030,%200040,%200045.pdf" TargetMode="External"/><Relationship Id="rId38" Type="http://schemas.openxmlformats.org/officeDocument/2006/relationships/hyperlink" Target="file:///\\chno0276\Control%20de%20Documentos\Doc.%20controlados%20PDF\Instructivos\CNWI-PRCS\CNWI-PRCS-0007%20%20Rev.%20A%20%20Generar%20orden%20de%20Materia%20Prima.docx" TargetMode="External"/><Relationship Id="rId103" Type="http://schemas.openxmlformats.org/officeDocument/2006/relationships/hyperlink" Target="file:///\\chno0276\Aseguranza%20de%20Calidad\Control%20de%20Documentos\Doc.%20controlados%20PDF\Instructivos\CNWI-ENGI\CNWI-ENGI-0061%20Secar%20Humedad%20a%20Resina%20en%20el%20Sistema%20de%20filtros%20Conair.pdf" TargetMode="External"/><Relationship Id="rId310" Type="http://schemas.openxmlformats.org/officeDocument/2006/relationships/hyperlink" Target="file:///\\chno0276\Aseguranza%20de%20Calidad\Control%20de%20Documentos\Doc.%20controlados%20PDF\Formas\CNWI-ENGI%20(Ingenieria)\CNWI-ENGI-F037%20Id%20de%20Ingenieria.doc" TargetMode="External"/><Relationship Id="rId548" Type="http://schemas.openxmlformats.org/officeDocument/2006/relationships/hyperlink" Target="file:///\\chno0276\Aseguranza%20de%20Calidad\Control%20de%20Documentos\Doc.%20controlados%20PDF\Formas\CNWI-QAAS%20(aseguranza%20de%20calidad)\F-QAAS-09-002%20Rev.%20A%20Supplier%20Non-Conformace%20Material%20Notification%20.pptx" TargetMode="External"/><Relationship Id="rId755" Type="http://schemas.openxmlformats.org/officeDocument/2006/relationships/hyperlink" Target="file:///\\CHNO0276\Aseguranza%20de%20Calidad\Control%20de%20Documentos\Doc.%20controlados%20PDF\Ayudas%20visuales\Avenal-Solar\CNWI-VSHP-000203%20Rev%20A%20Proceso%20de%20estacion%20de%20trabajo%20de%20soldadura%20del%20area%20solar.ppt" TargetMode="External"/><Relationship Id="rId962" Type="http://schemas.openxmlformats.org/officeDocument/2006/relationships/hyperlink" Target="file:///\\chno0276\Aseguranza%20de%20Calidad\Control%20de%20Documentos\Doc.%20controlados%20PDF\Control%20Plans\ITRON\BONDING\CP-BOND-016%20%20%20002378-0001.pdf" TargetMode="External"/><Relationship Id="rId1178" Type="http://schemas.openxmlformats.org/officeDocument/2006/relationships/hyperlink" Target="file:///\\CHNO0276\Aseguranza%20de%20Calidad\Control%20de%20Documentos\Doc.%20controlados%20PDF\Especificaciones%20genericas\Camarillo\Itron\CNWI-ENGI-F019%20%20%20Rev%20%20A%20%20Especificaciones%20de%20insercion%20de%20conductores%20%20ITRON.xlsx" TargetMode="External"/><Relationship Id="rId91" Type="http://schemas.openxmlformats.org/officeDocument/2006/relationships/hyperlink" Target="file:///\\chno0276\Aseguranza%20de%20Calidad\Control%20de%20Documentos\Doc.%20controlados%20PDF\Instructivos\CNWI-ENGI\CNWI-ENGI-0048%20M&#225;quina%20Remachadora%20Cambrige.pdf" TargetMode="External"/><Relationship Id="rId187" Type="http://schemas.openxmlformats.org/officeDocument/2006/relationships/hyperlink" Target="file:///\\chno0276\Aseguranza%20de%20Calidad\Control%20de%20Documentos\Doc.%20controlados%20PDF\Formas\CNWI-SHAE%20(Seguridad%20e%20higiene%20y%20medio%20ambiente)\CNWI-SHAE-F020%20Formato%20de%20Control%20de%20Herramientas%20y%20Equipo.xls" TargetMode="External"/><Relationship Id="rId394" Type="http://schemas.openxmlformats.org/officeDocument/2006/relationships/hyperlink" Target="file:///\\CHNO0276\Aseguranza%20de%20Calidad\Control%20de%20Documentos\Doc.%20controlados%20PDF\Formas\CNWI-ENGI%20(Ingenieria)\CNWI-ENGI-F063%20Check%20list%20empaque%20solar.xls" TargetMode="External"/><Relationship Id="rId408" Type="http://schemas.openxmlformats.org/officeDocument/2006/relationships/hyperlink" Target="file:///\\chno0276\Aseguranza%20de%20Calidad\Control%20de%20Documentos\Documentos%20controlados\CN-QAAS%20(Aseguranza%20de%20calidad)\FORMAS\CNWI-QAAS-F136%20Rev.A%20Formato%20para%20AMC.xlsx" TargetMode="External"/><Relationship Id="rId615" Type="http://schemas.openxmlformats.org/officeDocument/2006/relationships/hyperlink" Target="file:///\\CHNO0276\Aseguranza%20de%20Calidad\Control%20de%20Documentos\Doc.%20controlados%20PDF\Ayudas%20visuales\Camarillo\Itron\CNWI-VSHP-000014%20Rev.%20A%20(Retrabajo%20Convertir%2028-3265-0001%20a%2028-3264-0001).pub" TargetMode="External"/><Relationship Id="rId822" Type="http://schemas.openxmlformats.org/officeDocument/2006/relationships/hyperlink" Target="file:///\\chno0276\Aseguranza%20de%20Calidad\Control%20de%20Documentos\Doc.%20controlados%20PDF\Control%20Plans\ITRON\AMSAFE\CP-AMSA-001%20%20004065-0001,%20004065-0002,%20004065-0006,%20004065-0007%20&amp;%20004065-008.pdf" TargetMode="External"/><Relationship Id="rId1038" Type="http://schemas.openxmlformats.org/officeDocument/2006/relationships/hyperlink" Target="file:///\\chno0276\Aseguranza%20de%20Calidad\Control%20de%20Documentos\Doc.%20controlados%20PDF\Flow%20Chart\ITRON\BONDING\FC-BOND-021%20%20%20%20%20%20003004-0001.pdf" TargetMode="External"/><Relationship Id="rId254" Type="http://schemas.openxmlformats.org/officeDocument/2006/relationships/hyperlink" Target="file:///\\chno0276\Aseguranza%20de%20Calidad\Control%20de%20Documentos\Doc.%20controlados%20PDF\Formas\CNWI-SHAE%20(Seguridad%20e%20higiene%20y%20medio%20ambiente)\CNWI-SHAE-F007%20Tarjeta%20de%20hallazgo.xls" TargetMode="External"/><Relationship Id="rId699" Type="http://schemas.openxmlformats.org/officeDocument/2006/relationships/hyperlink" Target="file:///\\CHNO0276\Aseguranza%20de%20Calidad\Control%20de%20Documentos\Doc.%20controlados%20PDF\Ayudas%20visuales\Micromini\A%20y%20B\CNWI-VSHP-000022%20Rev.%20A%20(5000118-A).pub" TargetMode="External"/><Relationship Id="rId1091" Type="http://schemas.openxmlformats.org/officeDocument/2006/relationships/hyperlink" Target="file:///\\chno0276\Aseguranza%20de%20Calidad\Control%20de%20Documentos\Doc.%20controlados%20PDF\FMEA\MICROMINI\CHANGE-OUT\FMEA-CHGO-013%20%20X8653382P.pdf" TargetMode="External"/><Relationship Id="rId1105" Type="http://schemas.openxmlformats.org/officeDocument/2006/relationships/hyperlink" Target="file:///\\chno0276\Aseguranza%20de%20Calidad\Control%20de%20Documentos\Doc.%20controlados%20PDF\Quality%20Alerts\ITRON\SALEM\QA-SALM-002%20Al-329-000-080%20Cont.%20hembra%20sin%20acomplamiento%20-%20Exceso%20de%20epoxy.pdf" TargetMode="External"/><Relationship Id="rId49" Type="http://schemas.openxmlformats.org/officeDocument/2006/relationships/hyperlink" Target="file:///\\chno0276\Aseguranza%20de%20Calidad\Control%20de%20Documentos\Doc.%20controlados%20PDF\Instructivos\CNWI-ENGI\CNWI-ENGI-0004%20Elaboraci&#243;n%20de%20Instrucciones%20de%20Trabajo%20INGENIERIA%20(WI).pdf" TargetMode="External"/><Relationship Id="rId114" Type="http://schemas.openxmlformats.org/officeDocument/2006/relationships/hyperlink" Target="file:///\\chno0276\Aseguranza%20de%20Calidad\Control%20de%20Documentos\Doc.%20controlados%20PDF\Instructivos\CNWI-ENGI\CNWI-ENGI-0072%20Maquina%20para%20Emparejar%20cables.pdf" TargetMode="External"/><Relationship Id="rId461" Type="http://schemas.openxmlformats.org/officeDocument/2006/relationships/hyperlink" Target="file:///\\CHNO0276\Aseguranza%20de%20Calidad\Control%20de%20Documentos\Doc.%20controlados%20PDF\Formas\CNWI-QAAS%20(aseguranza%20de%20calidad)\CNWI-QAAS-F120%20Control%20de%20scrap.xls" TargetMode="External"/><Relationship Id="rId559" Type="http://schemas.openxmlformats.org/officeDocument/2006/relationships/hyperlink" Target="file:///\\CHNO0276\Aseguranza%20de%20Calidad\Control%20de%20Documentos\Doc.%20controlados%20PDF\Ayudas%20visuales\Micromini\A%20y%20B\VA-AYB-001%20Rev%20B%20ALTURA%20DE%20CONTACTOS%20PARA%20DIBUJOS%20A89N-F7AF-2,%20A89N-F7AF5-%20A89N-F8AF2,%20A89B-F8AF-5.pptx" TargetMode="External"/><Relationship Id="rId766" Type="http://schemas.openxmlformats.org/officeDocument/2006/relationships/hyperlink" Target="file:///\\chno0276\Aseguranza%20de%20Calidad\Control%20de%20Documentos\Doc.%20controlados%20PDF\Ayudas%20visuales\Micromini\General\VA-MGRAL-006%20Rev%20B%20corte%20de%20cable%20micro%20mini%20generica%20(2).pptx" TargetMode="External"/><Relationship Id="rId1189" Type="http://schemas.openxmlformats.org/officeDocument/2006/relationships/hyperlink" Target="file:///\\CHNO0276\Aseguranza%20de%20Calidad\Control%20de%20Documentos\Doc.%20controlados%20PDF\Especificaciones%20genericas\Micromini\CHANGE%20OUT\CNWI-ENGI-F019%20Rev.%20A%20Especificaciones%20de%20empaque%20Change%20Out%20Rev.%20A.xls" TargetMode="External"/><Relationship Id="rId198" Type="http://schemas.openxmlformats.org/officeDocument/2006/relationships/hyperlink" Target="file:///\\chno0276\Aseguranza%20de%20Calidad\Control%20de%20Documentos\Doc.%20controlados%20PDF\Formas\CNWI-QAAS%20(aseguranza%20de%20calidad)\CNWI-QAAS-F128%20OOB%20Itron-generales.xlsx" TargetMode="External"/><Relationship Id="rId321" Type="http://schemas.openxmlformats.org/officeDocument/2006/relationships/hyperlink" Target="file:///\\chno0276\Aseguranza%20de%20Calidad\Control%20de%20Documentos\Doc.%20controlados%20PDF\Formas\CNWI-ENGI%20(Ingenieria)\CNWI-ENGI-F048%20HOJA_DE_PARAMETROS%20MOORPARK.xlsx" TargetMode="External"/><Relationship Id="rId419" Type="http://schemas.openxmlformats.org/officeDocument/2006/relationships/hyperlink" Target="file:///\\CHNO0276\Aseguranza%20de%20Calidad\Control%20de%20Documentos\Doc.%20controlados%20PDF\Formas\CNWI-QAAS%20(aseguranza%20de%20calidad)\CNWI-QAAS-F063%20Material%20Freezer%20storage.xls" TargetMode="External"/><Relationship Id="rId626" Type="http://schemas.openxmlformats.org/officeDocument/2006/relationships/hyperlink" Target="file:///\\CHNO0276\Aseguranza%20de%20Calidad\Control%20de%20Documentos\Doc.%20controlados%20PDF\Ayudas%20visuales\Camarillo\Itron\CNWI-VSHP-000136%20%20CBA-1300-905%20REV%20A%20(%2028-2307-0001).pub" TargetMode="External"/><Relationship Id="rId973" Type="http://schemas.openxmlformats.org/officeDocument/2006/relationships/hyperlink" Target="file:///\\chno0276\Aseguranza%20de%20Calidad\Control%20de%20Documentos\Doc.%20controlados%20PDF\Control%20Plans\ITRON\BONDING\CP-BOND-027%20%20BACT44E1S.pdf" TargetMode="External"/><Relationship Id="rId1049" Type="http://schemas.openxmlformats.org/officeDocument/2006/relationships/hyperlink" Target="file:///\\chno0276\Control%20de%20Documentos\Doc.%20controlados%20PDF\Flow%20Chart\ITRON\AMSAFE\FC-AMSA%20-007%20004042-TAB%20%20004031-TAB.pdf" TargetMode="External"/><Relationship Id="rId833" Type="http://schemas.openxmlformats.org/officeDocument/2006/relationships/hyperlink" Target="file:///\\chno0276\Aseguranza%20de%20Calidad\Control%20de%20Documentos\Doc.%20controlados%20PDF\Control%20Plans\MICROMINI\MS\CP-MS-002%20%20568055.pdf" TargetMode="External"/><Relationship Id="rId1116" Type="http://schemas.openxmlformats.org/officeDocument/2006/relationships/hyperlink" Target="file:///\\chno0276\Aseguranza%20de%20Calidad\Control%20de%20Documentos\Doc.%20controlados%20PDF\Quality%20Alerts\MICROMINI\MS\QA-MS-005%20Vario%20Ping%20Gage-Medircion%20profundidad.pdf" TargetMode="External"/><Relationship Id="rId265" Type="http://schemas.openxmlformats.org/officeDocument/2006/relationships/hyperlink" Target="file:///\\chno0276\Aseguranza%20de%20Calidad\Control%20de%20Documentos\Doc.%20controlados%20PDF\Formas\CNWI-SHAE%20(Seguridad%20e%20higiene%20y%20medio%20ambiente)\CNWI-SHAE-F018%20LISTO%20PARA%20CORRER.xls" TargetMode="External"/><Relationship Id="rId472" Type="http://schemas.openxmlformats.org/officeDocument/2006/relationships/hyperlink" Target="file:///\\CHNO0276\Aseguranza%20de%20Calidad\Control%20de%20Documentos\Doc.%20controlados%20PDF\Formas\CNWI-SHIP%20(%20Embarques%20)\CNWI-SHIP-F007%20FORMATO%20ENTREGAS.pptx" TargetMode="External"/><Relationship Id="rId900" Type="http://schemas.openxmlformats.org/officeDocument/2006/relationships/hyperlink" Target="file:///\\chno0276\Aseguranza%20de%20Calidad\Control%20de%20Documentos\Doc.%20controlados%20PDF\Control%20Plans\ITRON\AMSAFE\CP-AMSA-009%20%200004071-0001.pdf" TargetMode="External"/><Relationship Id="rId125" Type="http://schemas.openxmlformats.org/officeDocument/2006/relationships/hyperlink" Target="file:///\\chno0276\Aseguranza%20de%20Calidad\Control%20de%20Documentos\Doc.%20controlados%20PDF\Instructivos\CNWI-ENGI\CNWI-ENGI-0090%20EB%201147.pdf" TargetMode="External"/><Relationship Id="rId332" Type="http://schemas.openxmlformats.org/officeDocument/2006/relationships/hyperlink" Target="file:///\\chno0276\Aseguranza%20de%20Calidad\Control%20de%20Documentos\Documentos%20controlados\CN-QAAS%20(Aseguranza%20de%20calidad)\FORMAS\CNWI-QAAS-002%20Rev.%20D%20Formato%20para%20Instruccion%20de%20trabajo.ppt" TargetMode="External"/><Relationship Id="rId777" Type="http://schemas.openxmlformats.org/officeDocument/2006/relationships/hyperlink" Target="file:///\\chno0276\Control%20de%20Documentos\Doc.%20controlados%20PDF\Ayudas%20visuales\Camarillo\Amsafe\VA-AMSA-031%20Rev%20Doc%20A%20-%20Rev%20Draw%20C%20%20%20ESTAMPADO%20DE%20T511890.ppt" TargetMode="External"/><Relationship Id="rId984" Type="http://schemas.openxmlformats.org/officeDocument/2006/relationships/hyperlink" Target="file:///\\chno0276\Aseguranza%20de%20Calidad\Control%20de%20Documentos\Doc.%20controlados%20PDF\Flow%20Chart\MICROMINI\MS\FC-MS-001%20%20203205A.pdf" TargetMode="External"/><Relationship Id="rId637" Type="http://schemas.openxmlformats.org/officeDocument/2006/relationships/hyperlink" Target="file:///\\CHNO0276\Aseguranza%20de%20Calidad\Control%20de%20Documentos\Doc.%20controlados%20PDF\Ayudas%20visuales\Camarillo\Bonding\CNWI-VSHP-000052%20Rev.%20A%20(002361-0000).pub" TargetMode="External"/><Relationship Id="rId844" Type="http://schemas.openxmlformats.org/officeDocument/2006/relationships/hyperlink" Target="file:///\\chno0276\Aseguranza%20de%20Calidad\Control%20de%20Documentos\Documentos%20controlados\CN-QAAS%20(Aseguranza%20de%20calidad)\Control%20Plans\MICROMINI\CELDA%20A-B\CP-A&amp;B-012%20%20Rev.%20A%20%20PDR1-18.xlsx" TargetMode="External"/><Relationship Id="rId276" Type="http://schemas.openxmlformats.org/officeDocument/2006/relationships/hyperlink" Target="file:///\\chno0276\Aseguranza%20de%20Calidad\Control%20de%20Documentos\Doc.%20controlados%20PDF\Formas\CNWI-PRCS%20(compras)\CNWI-PRCS-F003%20Formato%20de%20Sol%20%20de%20pago.xls" TargetMode="External"/><Relationship Id="rId483" Type="http://schemas.openxmlformats.org/officeDocument/2006/relationships/hyperlink" Target="file:///\\CHNO0276\Aseguranza%20de%20Calidad\Control%20de%20Documentos\Doc.%20controlados%20PDF\Formas\CNWI-PROD%20(%20Produccion%20)\CNWI-PROD-F012%20Etiqueta%20lighting%203004.xlsx" TargetMode="External"/><Relationship Id="rId690" Type="http://schemas.openxmlformats.org/officeDocument/2006/relationships/hyperlink" Target="file:///\\CHNO0276\Aseguranza%20de%20Calidad\Control%20de%20Documentos\Doc.%20controlados%20PDF\Ayudas%20visuales\Micromini\General\CNWI-VSHP-000013%20REV.%20A%20(Uso%20de%20dispenser%20potted).pub" TargetMode="External"/><Relationship Id="rId704" Type="http://schemas.openxmlformats.org/officeDocument/2006/relationships/hyperlink" Target="file:///\\CHNO0276\Aseguranza%20de%20Calidad\Control%20de%20Documentos\Doc.%20controlados%20PDF\Ayudas%20visuales\Micromini\A%20y%20B\CNWI-VSHP-000040%20Rev.%20a%20(A89N-F10AF-5).pub" TargetMode="External"/><Relationship Id="rId911" Type="http://schemas.openxmlformats.org/officeDocument/2006/relationships/hyperlink" Target="file:///\\CHNO0276\Aseguranza%20de%20Calidad\Control%20de%20Documentos\Doc.%20controlados%20PDF\Control%20Plans\SOLAR\CP-SOL-007%20Rev%20A%20Control%20Plan%20IC-B72%20%20%20%20SOLAR.pdf" TargetMode="External"/><Relationship Id="rId1127" Type="http://schemas.openxmlformats.org/officeDocument/2006/relationships/hyperlink" Target="file:///\\CHNO0276\Aseguranza%20de%20Calidad\Control%20de%20Documentos\Doc.%20controlados%20PDF\Quality%20Alerts\ITRON\BONDING\QA-BOND-012%20BACC65AJ121S%20Problemas%20de%20retencion.pdf" TargetMode="External"/><Relationship Id="rId40" Type="http://schemas.openxmlformats.org/officeDocument/2006/relationships/hyperlink" Target="file:///\\chno0276\Control%20de%20Documentos\Doc.%20controlados%20PDF\Instructivos\CNWI-PRCS\CNWI-PRCS-0008%20%20Rev.A%20Nogales%20Inbound%20Routing%20Guide%20-%20WI.docx" TargetMode="External"/><Relationship Id="rId136" Type="http://schemas.openxmlformats.org/officeDocument/2006/relationships/hyperlink" Target="file:///\\chno0276\Aseguranza%20de%20Calidad\Control%20de%20Documentos\Doc.%20controlados%20PDF\Instructivos\CNWI-QAAS\CNWI-QAAS-0003%20Calibracion.pdf" TargetMode="External"/><Relationship Id="rId343" Type="http://schemas.openxmlformats.org/officeDocument/2006/relationships/hyperlink" Target="file:///\\chno0276\Aseguranza%20de%20Calidad\Control%20de%20Documentos\Doc.%20controlados%20PDF\Formas\CNWI-QAAS%20(aseguranza%20de%20calidad)\CNWI-QAAS-F020%20Inspection%20Record%20Card.doc" TargetMode="External"/><Relationship Id="rId550" Type="http://schemas.openxmlformats.org/officeDocument/2006/relationships/hyperlink" Target="file:///\\chno0276\Aseguranza%20de%20Calidad\Control%20de%20Documentos\Documentos%20controlados\CN-QAAS%20(Aseguranza%20de%20calidad)\FORMAS\F-QAAS-25-001%20Check%20list%20de%20componentes.xlsx" TargetMode="External"/><Relationship Id="rId788" Type="http://schemas.openxmlformats.org/officeDocument/2006/relationships/hyperlink" Target="file:///\\chno0276\Control%20de%20Documentos\Doc.%20controlados%20PDF\Ayudas%20visuales\Camarillo\Itron\MULTICELDA%20B\VA-IMB-009%20%20Rev%20A%20%20ENSAMBLE%20DE%2028-2290-000128-2290-0002.ppt" TargetMode="External"/><Relationship Id="rId995" Type="http://schemas.openxmlformats.org/officeDocument/2006/relationships/hyperlink" Target="file:///\\chno0276\Aseguranza%20de%20Calidad\Control%20de%20Documentos\Doc.%20controlados%20PDF\Flow%20Chart\MICROMINI\MS\FC-MS-004%20%2011547793.pdf" TargetMode="External"/><Relationship Id="rId1180" Type="http://schemas.openxmlformats.org/officeDocument/2006/relationships/hyperlink" Target="file:///\\CHNO0276\Aseguranza%20de%20Calidad\Control%20de%20Documentos\Doc.%20controlados%20PDF\Especificaciones%20genericas\Micromini\General\CNWI-ENGI-F019%20Rev.%20J%20Especificaciones%20de%20Corte%20Micro-Mini.xlsx" TargetMode="External"/><Relationship Id="rId203" Type="http://schemas.openxmlformats.org/officeDocument/2006/relationships/hyperlink" Target="file:///\\chno0276\Aseguranza%20de%20Calidad\Control%20de%20Documentos\Doc.%20controlados%20PDF\Formas\CNWI-HMRS%20(Recursos%20Humanos)\CNWI-HMRS-F001%20Lista%20de%20Asistencia%20y%20Entrenamiento%20.pdf" TargetMode="External"/><Relationship Id="rId648" Type="http://schemas.openxmlformats.org/officeDocument/2006/relationships/hyperlink" Target="file:///\\CHNO0276\Aseguranza%20de%20Calidad\Control%20de%20Documentos\Doc.%20controlados%20PDF\Ayudas%20visuales\Camarillo\Bonding\CNWI-VSHP-000158%20(000101-0172M).pub" TargetMode="External"/><Relationship Id="rId855" Type="http://schemas.openxmlformats.org/officeDocument/2006/relationships/hyperlink" Target="file:///\\chno0276\Aseguranza%20de%20Calidad\Control%20de%20Documentos\Doc.%20controlados%20PDF\Control%20Plans\MICROMINI\CELDA%20A&amp;B\CP-A&amp;B-022%20%20CA4P7C09C040MY.pdf" TargetMode="External"/><Relationship Id="rId1040" Type="http://schemas.openxmlformats.org/officeDocument/2006/relationships/hyperlink" Target="file:///\\chno0276\Aseguranza%20de%20Calidad\Control%20de%20Documentos\Doc.%20controlados%20PDF\Flow%20Chart\ITRON\BONDING\FC-BOND-022%20%20%20%20003094-0001.pdf" TargetMode="External"/><Relationship Id="rId287" Type="http://schemas.openxmlformats.org/officeDocument/2006/relationships/hyperlink" Target="file:///\\chno0276\Aseguranza%20de%20Calidad\Control%20de%20Documentos\Doc.%20controlados%20PDF\Formas\CNWI-ENGI%20(Ingenieria)\CNWI-ENGI-F007%20estatus%20ayudas%20visuales.xlsx" TargetMode="External"/><Relationship Id="rId410" Type="http://schemas.openxmlformats.org/officeDocument/2006/relationships/hyperlink" Target="file:///\\chno0276\Control%20de%20Documentos\Doc.%20controlados%20PDF\Formas\CNWI-QAAS%20(aseguranza%20de%20calidad)\CNWI-QAAS-F138%20Rev.%20A%20%203%20UP%20Nogales%20form.xlsx" TargetMode="External"/><Relationship Id="rId494" Type="http://schemas.openxmlformats.org/officeDocument/2006/relationships/hyperlink" Target="file:///\\CHNO0276\Aseguranza%20de%20Calidad\Control%20de%20Documentos\Doc.%20controlados%20PDF\Formas\CNWI-PROD%20(%20Produccion%20)\CNWI-PROD-F023%20Etiqueta%20relays%209.xls" TargetMode="External"/><Relationship Id="rId508" Type="http://schemas.openxmlformats.org/officeDocument/2006/relationships/hyperlink" Target="file:///\\CHNO0276\Aseguranza%20de%20Calidad\Control%20de%20Documentos\Doc.%20controlados%20PDF\Formas\CNWI-PROD%20(%20Produccion%20)\CNWI-PROD-F037%20Gemba%20walk.xls" TargetMode="External"/><Relationship Id="rId715" Type="http://schemas.openxmlformats.org/officeDocument/2006/relationships/hyperlink" Target="file:///\\CHNO0276\Aseguranza%20de%20Calidad\Control%20de%20Documentos\Doc.%20controlados%20PDF\Ayudas%20visuales\Micromini\A%20y%20B\CNWI-VSHP-000074%20Rev.%20A%20(5000135-Z).pub" TargetMode="External"/><Relationship Id="rId922" Type="http://schemas.openxmlformats.org/officeDocument/2006/relationships/hyperlink" Target="file:///\\chno0276\Aseguranza%20de%20Calidad\Control%20de%20Documentos\Doc.%20controlados%20PDF\Control%20Plans\MICROMINI\MS\CP-MS-018%20CHCCR003P.pdf" TargetMode="External"/><Relationship Id="rId1138" Type="http://schemas.openxmlformats.org/officeDocument/2006/relationships/hyperlink" Target="file:///\\CHNO0276\Aseguranza%20de%20Calidad\Control%20de%20Documentos\Doc.%20controlados%20PDF\Quality%20Alerts\MICROMINI\Potted-%20Plex\QA-PLEX-002%20Rev.%20A%20ABPP4R5D5%20Coupler%20Rayado%20%5bCompatibility%20Mode%5d.pdf" TargetMode="External"/><Relationship Id="rId147" Type="http://schemas.openxmlformats.org/officeDocument/2006/relationships/hyperlink" Target="file:///\\chno0276\Aseguranza%20de%20Calidad\Control%20de%20Documentos\Doc.%20controlados%20PDF\Instructivos\CNWI-QAAS\CNWI-QAAS-0018%20calibracion%20de%20basculas.pdf" TargetMode="External"/><Relationship Id="rId354" Type="http://schemas.openxmlformats.org/officeDocument/2006/relationships/hyperlink" Target="file:///\\chno0276\Aseguranza%20de%20Calidad\Control%20de%20Documentos\Doc.%20controlados%20PDF\Formas\CNWI-QAAS%20(aseguranza%20de%20calidad)\CNWI-QAAS-F033%20Auditores%20Internos%20y%20Procesos%20que%20pueden%20Auditar%20.xls" TargetMode="External"/><Relationship Id="rId799" Type="http://schemas.openxmlformats.org/officeDocument/2006/relationships/hyperlink" Target="file:///\\chno0276\Aseguranza%20de%20Calidad\Control%20de%20Documentos\Doc.%20controlados%20PDF\Especificaciones%20genericas\Micromini\A%20Y%20B\CNWI-ENGI-F019%20Rev%20P%20Especificaciones%20de%20insercion%20de%20conductores%20Celda%20A%20y%20B.xlsx" TargetMode="External"/><Relationship Id="rId1191" Type="http://schemas.openxmlformats.org/officeDocument/2006/relationships/hyperlink" Target="file:///\\CHNO0276\Aseguranza%20de%20Calidad\Control%20de%20Documentos\Doc.%20controlados%20PDF\Especificaciones%20genericas\Micromini\MS\CNWI-ENGI-F019%20Rev.%20H%20Especificaciones%20dedespoje%20de%20conductores%20MS.xlsx" TargetMode="External"/><Relationship Id="rId1205" Type="http://schemas.openxmlformats.org/officeDocument/2006/relationships/hyperlink" Target="file:///\\chno0276\Aseguranza%20de%20Calidad\Control%20de%20Documentos\Doc.%20controlados%20PDF\Especificaciones%20genericas\Micromini\CHANGE%20OUT\CNWI-ENGI-F019%20Rev%20N%20Especificaciones%20de%20insercion%20de%20conductores%20area%20Change%20Out.xlsx" TargetMode="External"/><Relationship Id="rId51" Type="http://schemas.openxmlformats.org/officeDocument/2006/relationships/hyperlink" Target="file:///\\chno0276\Aseguranza%20de%20Calidad\Control%20de%20Documentos\Doc.%20controlados%20PDF\Instructivos\CNWI-ENGI\CNWI-ENGI-0006%20Preparaci&#243;n%20y%20Aplicaci&#243;n%20de%20la%20goma%20%20(Chemlok).pdf" TargetMode="External"/><Relationship Id="rId561" Type="http://schemas.openxmlformats.org/officeDocument/2006/relationships/hyperlink" Target="file:///\\CHNO0276\Aseguranza%20de%20Calidad\Control%20de%20Documentos\Doc.%20controlados%20PDF\Ayudas%20visuales\Micromini\A%20y%20B\VA-AYB-002%20Rev%20B%20%20ALTURA%20DE%20CONTACTOS%20TEE%20DIBUJO%20CHDN-TAER%20Y%20%20CHDN-TAER-N%20Y%20A98N-43PB-N4.pptx" TargetMode="External"/><Relationship Id="rId659" Type="http://schemas.openxmlformats.org/officeDocument/2006/relationships/hyperlink" Target="file:///\\CHNO0276\Aseguranza%20de%20Calidad\Control%20de%20Documentos\Doc.%20controlados%20PDF\Ayudas%20visuales\Camarillo\Ensamble%20general\CNWI-VSHP-000036%20Rev.%20A%20(004006-0000).pub" TargetMode="External"/><Relationship Id="rId866" Type="http://schemas.openxmlformats.org/officeDocument/2006/relationships/hyperlink" Target="file:///\\chno0276\Aseguranza%20de%20Calidad\Control%20de%20Documentos\Doc.%20controlados%20PDF\Control%20Plans\ITRON\AMSAFE\CP-AMSA-006%20%20004005-TAB.pdf" TargetMode="External"/><Relationship Id="rId214" Type="http://schemas.openxmlformats.org/officeDocument/2006/relationships/hyperlink" Target="file:///\\chno0276\Aseguranza%20de%20Calidad\Control%20de%20Documentos\Doc.%20controlados%20PDF\Formas\CNWI-HMRS%20(Recursos%20Humanos)\CNWI-HMRS-F013%20Formato%20de%20MODIFICACION%20AL%20PERSONAL.xls" TargetMode="External"/><Relationship Id="rId298" Type="http://schemas.openxmlformats.org/officeDocument/2006/relationships/hyperlink" Target="file:///\\chno0276\Aseguranza%20de%20Calidad\Control%20de%20Documentos\Doc.%20controlados%20PDF\Formas\CNWI-ENGI%20(Ingenieria)\CNWI-ENGI-F020%20QRB%20PRINTABLE.PUB" TargetMode="External"/><Relationship Id="rId421" Type="http://schemas.openxmlformats.org/officeDocument/2006/relationships/hyperlink" Target="file:///\\CHNO0276\Aseguranza%20de%20Calidad\Control%20de%20Documentos\Doc.%20controlados%20PDF\Formas\CNWI-QAAS%20(aseguranza%20de%20calidad)\CNWI-QAAS-F067%20Registro%20de%20Goma.xls" TargetMode="External"/><Relationship Id="rId519" Type="http://schemas.openxmlformats.org/officeDocument/2006/relationships/hyperlink" Target="file:///\\chno0276\Control%20de%20Documentos\Documentos%20controlados\Temporales\CNWI-ENGI-F061%20Check%20list%20para%20implementacion%20de%20ECN.xlsx" TargetMode="External"/><Relationship Id="rId1051" Type="http://schemas.openxmlformats.org/officeDocument/2006/relationships/hyperlink" Target="file:///\\chno0276\Control%20de%20Documentos\Doc.%20controlados%20PDF\Flow%20Chart\ITRON\AMSAFE\FC-AMSA%20-009%20004065-TAB.pdf" TargetMode="External"/><Relationship Id="rId1149" Type="http://schemas.openxmlformats.org/officeDocument/2006/relationships/hyperlink" Target="file:///\\CHNO0276\Aseguranza%20de%20Calidad\Control%20de%20Documentos\Doc.%20controlados%20PDF\Quality%20Alerts\ITRON\MULTICELL%20A&amp;B\QA-IMA-002%20Rev.%20A%20%20CON-%20contacto%20da&#241;ado_).pdf" TargetMode="External"/><Relationship Id="rId158" Type="http://schemas.openxmlformats.org/officeDocument/2006/relationships/hyperlink" Target="file:///\\chno0276\Aseguranza%20de%20Calidad\Control%20de%20Documentos\Doc.%20controlados%20PDF\Instructivos\CNWI-QAAS\CNWI-QAAS-0032%20Instructivo%20de%20calibracion%20de%20%20hornos.pdf" TargetMode="External"/><Relationship Id="rId726" Type="http://schemas.openxmlformats.org/officeDocument/2006/relationships/hyperlink" Target="file:///\\CHNO0276\Aseguranza%20de%20Calidad\Control%20de%20Documentos\Doc.%20controlados%20PDF\Ayudas%20visuales\Micromini\Change%20Out\CNWI-VSHP-000062%20Rev.%20A%20(X8653-KL).pub" TargetMode="External"/><Relationship Id="rId933" Type="http://schemas.openxmlformats.org/officeDocument/2006/relationships/hyperlink" Target="file:///\\chno0276\Aseguranza%20de%20Calidad\Control%20de%20Documentos\Doc.%20controlados%20PDF\Control%20Plans\MICROMINI\CHANGE-OUT\CP-CHGO-010%20%20CX8653346P.pdf" TargetMode="External"/><Relationship Id="rId1009" Type="http://schemas.openxmlformats.org/officeDocument/2006/relationships/hyperlink" Target="file:///\\chno0276\Aseguranza%20de%20Calidad\Control%20de%20Documentos\Doc.%20controlados%20PDF\Flow%20Chart\MICROMINI\CHANGE-OUT\FC-CHGO-002%20%20CX8653312P.pdf" TargetMode="External"/><Relationship Id="rId62" Type="http://schemas.openxmlformats.org/officeDocument/2006/relationships/hyperlink" Target="file:///\\chno0276\Aseguranza%20de%20Calidad\Control%20de%20Documentos\Doc.%20controlados%20PDF\Instructivos\CNWI-ENGI\CNWI-ENGI-0019%20Despoje%20de%20insulaci&#243;n%20de%20cable%20en%20M&#225;quina%20Schleuniger%202600%20y5400.pdf" TargetMode="External"/><Relationship Id="rId365" Type="http://schemas.openxmlformats.org/officeDocument/2006/relationships/hyperlink" Target="file:///\\chno0276\Aseguranza%20de%20Calidad\Control%20de%20Documentos\Doc.%20controlados%20PDF\Formas\CNWI-QAAS%20(aseguranza%20de%20calidad)\CNWI-QAAS-F047%20BOM.xlsx" TargetMode="External"/><Relationship Id="rId572" Type="http://schemas.openxmlformats.org/officeDocument/2006/relationships/hyperlink" Target="file:///\\CHNO0276\Aseguranza%20de%20Calidad\Control%20de%20Documentos\Doc.%20controlados%20PDF\Ayudas%20visuales\Micromini\General\VA-MGRAL-001%20Rev%20B%20%20COLOCACION%20DE%20FACE%20GASKET.pptx" TargetMode="External"/><Relationship Id="rId225" Type="http://schemas.openxmlformats.org/officeDocument/2006/relationships/hyperlink" Target="file:///\\chno0276\Aseguranza%20de%20Calidad\Control%20de%20Documentos\Doc.%20controlados%20PDF\Formas\CNWI-MTTO%20(Mantenimiento)\CNWI-MTTO-F010%20Etiqueta%20de%20Mantenimiento.doc" TargetMode="External"/><Relationship Id="rId432" Type="http://schemas.openxmlformats.org/officeDocument/2006/relationships/hyperlink" Target="file:///\\CHNO0276\Aseguranza%20de%20Calidad\Control%20de%20Documentos\Doc.%20controlados%20PDF\Formas\CNWI-QAAS%20(aseguranza%20de%20calidad)\CNWI-QAAS-F079%20Certificate%20of%20Compliance%20(LABINAL).xls" TargetMode="External"/><Relationship Id="rId877" Type="http://schemas.openxmlformats.org/officeDocument/2006/relationships/hyperlink" Target="file:///\\CHNO0276\Aseguranza%20de%20Calidad\Control%20de%20Documentos\Documentos%20controlados\CN-QAAS%20(Aseguranza%20de%20calidad)\Control%20Plans\MICROMINI\CELDA%20A-B\CP-A&amp;B-039%20Rev.%20A%205000118-DM.xlsx" TargetMode="External"/><Relationship Id="rId1062" Type="http://schemas.openxmlformats.org/officeDocument/2006/relationships/hyperlink" Target="file:///\\chno0276\Control%20de%20Documentos\Doc.%20controlados%20PDF\Flow%20Chart\MICROMINI\CHANGE-OUT\FC-CHGO-014%20%20%20%20X8653568P.pdf" TargetMode="External"/><Relationship Id="rId737" Type="http://schemas.openxmlformats.org/officeDocument/2006/relationships/hyperlink" Target="file:///\\CHNO0276\Aseguranza%20de%20Calidad\Control%20de%20Documentos\Doc.%20controlados%20PDF\Ayudas%20visuales\Micromini\Potted\CNWI-VSHP-000071%20Rev.%20A%20(5000111-GZ).pub" TargetMode="External"/><Relationship Id="rId944" Type="http://schemas.openxmlformats.org/officeDocument/2006/relationships/hyperlink" Target="file:///\\chno0276\Aseguranza%20de%20Calidad\Control%20de%20Documentos\Doc.%20controlados%20PDF\Control%20Plans\MICROMINI\CHANGE-OUT\CP-CHGO-021%20%20%20X86521624P.pdf" TargetMode="External"/><Relationship Id="rId73" Type="http://schemas.openxmlformats.org/officeDocument/2006/relationships/hyperlink" Target="file:///\\chno0276\Aseguranza%20de%20Calidad\Control%20de%20Documentos\Doc.%20controlados%20PDF\Instructivos\CNWI-ENGI\CNWI-ENGI-0030%20M&#225;quina%20Trituradora%20de%20Material.pdf" TargetMode="External"/><Relationship Id="rId169" Type="http://schemas.openxmlformats.org/officeDocument/2006/relationships/hyperlink" Target="file:///\\CHNO0276\Aseguranza%20de%20Calidad\Control%20de%20Documentos\Documentos%20controlados\CN-QAAS%20(Aseguranza%20de%20calidad)\WI\CNWI-QAAS-0029%20Rev.%20A%20Procedimiento%20para%20cerrar%20en%20SAP%20las%20notificaciones%20de%20Customer%20Complaints.docx" TargetMode="External"/><Relationship Id="rId376" Type="http://schemas.openxmlformats.org/officeDocument/2006/relationships/hyperlink" Target="file:///\\chno0276\Aseguranza%20de%20Calidad\Control%20de%20Documentos\Documentos%20controlados\CN-QAAS%20(Aseguranza%20de%20calidad)\FORMAS\CNWI-QAAS-F130%20Rev.%20A%20Action%20Plan.xlsx" TargetMode="External"/><Relationship Id="rId583" Type="http://schemas.openxmlformats.org/officeDocument/2006/relationships/hyperlink" Target="file:///\\CHNO0276\Aseguranza%20de%20Calidad\Control%20de%20Documentos\Doc.%20controlados%20PDF\Ayudas%20visuales\Avenal-Solar\VA-SOL-002%20%20Rev%20.B%20Proceso%20ensamble%20del%20area%20de%20solar%20IC-A61-N2%20.pptx" TargetMode="External"/><Relationship Id="rId790" Type="http://schemas.openxmlformats.org/officeDocument/2006/relationships/hyperlink" Target="file:///\\chno0276\Control%20de%20Documentos\Doc.%20controlados%20PDF\Formas\CNWI-ENGI%20(Ingenieria)\F-ENGI-03-001%20%20Rev.%20A%20Production%20Feasability%20Agreement%20Form%20PFA%20100208%20Rev%20A.xls" TargetMode="External"/><Relationship Id="rId804" Type="http://schemas.openxmlformats.org/officeDocument/2006/relationships/hyperlink" Target="file:///\\CHNO0276\Aseguranza%20de%20Calidad\Control%20de%20Documentos\Doc.%20controlados%20PDF\Especificaciones%20genericas\Micromini\CHANGE%20OUT\CNWI-ENGI-F019%20Rev.%20A%20Especificaciones%20de%20empaque%20Change%20Out%20Rev.%20A.xls" TargetMode="External"/><Relationship Id="rId4" Type="http://schemas.openxmlformats.org/officeDocument/2006/relationships/hyperlink" Target="file:///\\CHNO0276\Aseguranza%20de%20Calidad\Control%20de%20Documentos\Doc.%20controlados%20PDF\TPMs\Moorpark\TPM-MRPK-002%20Rev.%20A%20TP-18%20Tecn.%20de%20Mantto.xlsx" TargetMode="External"/><Relationship Id="rId236" Type="http://schemas.openxmlformats.org/officeDocument/2006/relationships/hyperlink" Target="file:///\\chno0276\Aseguranza%20de%20Calidad\Control%20de%20Documentos\Doc.%20controlados%20PDF\Formas\CNWI-MTTO%20(Mantenimiento)\CNWI-MTTO-F021%20Plan%20de%20actividades%20Mecanicos.xls" TargetMode="External"/><Relationship Id="rId443" Type="http://schemas.openxmlformats.org/officeDocument/2006/relationships/hyperlink" Target="file:///\\CHNO0276\Aseguranza%20de%20Calidad\Control%20de%20Documentos\Doc.%20controlados%20PDF\Formas\CNWI-QAAS%20(aseguranza%20de%20calidad)\CNWI-QAAS-F094%20Analisis%20de%20piezas%20Rechazadas%20por%20cliente.xls" TargetMode="External"/><Relationship Id="rId650" Type="http://schemas.openxmlformats.org/officeDocument/2006/relationships/hyperlink" Target="file:///\\CHNO0276\Aseguranza%20de%20Calidad\Control%20de%20Documentos\Doc.%20controlados%20PDF\Ayudas%20visuales\Camarillo\Amsafe\CNWI-VSHP-000159%20REV%20C%20508978-C.ppt" TargetMode="External"/><Relationship Id="rId888" Type="http://schemas.openxmlformats.org/officeDocument/2006/relationships/hyperlink" Target="file:///\\CHNO0276\Aseguranza%20de%20Calidad\Control%20de%20Documentos\Doc.%20controlados%20PDF\Control%20Plans\MICROMINI\POTTED\CP-POTT-009%20Rev.%20A%205000117-EN.pdf" TargetMode="External"/><Relationship Id="rId1073" Type="http://schemas.openxmlformats.org/officeDocument/2006/relationships/hyperlink" Target="file:///\\chno0276\Aseguranza%20de%20Calidad\Control%20de%20Documentos\Doc.%20controlados%20PDF\FMEA\MICROMINI\MS\FMEA-MS-006%20CHCCR003P.pdf" TargetMode="External"/><Relationship Id="rId303" Type="http://schemas.openxmlformats.org/officeDocument/2006/relationships/hyperlink" Target="file:///\\chno0276\Aseguranza%20de%20Calidad\Control%20de%20Documentos\Doc.%20controlados%20PDF\Formas\CNWI-ENGI%20(Ingenieria)\CNWI-ENGI-F030%20Lista%20de%20distribuccion%20de%20especificaciones%20de%20corte.xls" TargetMode="External"/><Relationship Id="rId748" Type="http://schemas.openxmlformats.org/officeDocument/2006/relationships/hyperlink" Target="file:///\\CHNO0276\Aseguranza%20de%20Calidad\Control%20de%20Documentos\Doc.%20controlados%20PDF\Ayudas%20visuales\Micromini\Potted\CNWI-VSHP-000169%20Rev%20A%20(5000109-GR1).pptx" TargetMode="External"/><Relationship Id="rId955" Type="http://schemas.openxmlformats.org/officeDocument/2006/relationships/hyperlink" Target="file:///\\chno0276\Aseguranza%20de%20Calidad\Control%20de%20Documentos\Doc.%20controlados%20PDF\Control%20Plans\ITRON\BONDING\CP-BOND-003%20%20Conector%20BACC65%20TODOS.pdf" TargetMode="External"/><Relationship Id="rId1140" Type="http://schemas.openxmlformats.org/officeDocument/2006/relationships/hyperlink" Target="file:///\\CHNO0276\Aseguranza%20de%20Calidad\Control%20de%20Documentos\Doc.%20controlados%20PDF\Quality%20Alerts\MICROMINI\Potted-%20Plex\QA-PLEX-004%20Rev.%20A%20Utilizacion%20de%20etiquetas.pdf" TargetMode="External"/><Relationship Id="rId84" Type="http://schemas.openxmlformats.org/officeDocument/2006/relationships/hyperlink" Target="file:///\\chno0276\Aseguranza%20de%20Calidad\Control%20de%20Documentos\Doc.%20controlados%20PDF\Instructivos\CNWI-ENGI\CNWI-ENGI-0041%20Alimentador%20de%20cables%20ARTOS%20PF-.pdf" TargetMode="External"/><Relationship Id="rId387" Type="http://schemas.openxmlformats.org/officeDocument/2006/relationships/hyperlink" Target="file:///\\chno0276\Control%20de%20Documentos\Doc.%20controlados%20PDF\Formas\CNWI-MTTO%20(Mantenimiento)\CNWI-MTTO-F023%20Set%20up%20de%20moldes%20Moorpark.xlsx" TargetMode="External"/><Relationship Id="rId510" Type="http://schemas.openxmlformats.org/officeDocument/2006/relationships/hyperlink" Target="file:///\\CHNO0276\Aseguranza%20de%20Calidad\Control%20de%20Documentos\Doc.%20controlados%20PDF\Formas\CNWI-PROD%20(%20Produccion%20)\CNWI-PROD-F040%20Past%20Due.xls" TargetMode="External"/><Relationship Id="rId594" Type="http://schemas.openxmlformats.org/officeDocument/2006/relationships/hyperlink" Target="file:///\\chno0276\Control%20de%20Documentos\Doc.%20controlados%20PDF\Ayudas%20visuales\Camarillo\Amsafe\VA-AMSA-013%20Rev%20Doc%20AI%20-%20Rev%20Draw%20AG%20%20%20CABLE%20INTERFACE%20508978%20%20pag%202%20PART%20003089-XXXX%20Y%20004035-XXXX.ppt" TargetMode="External"/><Relationship Id="rId608" Type="http://schemas.openxmlformats.org/officeDocument/2006/relationships/hyperlink" Target="file:///\\CHNO0276\Aseguranza%20de%20Calidad\Control%20de%20Documentos\Doc.%20controlados%20PDF\Ayudas%20visuales\Camarillo\Itron\MULTICELDA%20B\VA-IMB-005%20%20Rev%20B%20%2028-2266-0000%2028-2266-000X.ppt" TargetMode="External"/><Relationship Id="rId815" Type="http://schemas.openxmlformats.org/officeDocument/2006/relationships/hyperlink" Target="file:///\\chno0276\Aseguranza%20de%20Calidad\Control%20de%20Documentos\Doc.%20controlados%20PDF\Especificaciones%20genericas\Micromini\POTTED\CNWI-ENGI-F019%20Rev%20%20J%20%20Especificaciones%20de%20insercion%20de%20conductores%20area%20Potted.xls" TargetMode="External"/><Relationship Id="rId247" Type="http://schemas.openxmlformats.org/officeDocument/2006/relationships/hyperlink" Target="file:///\\chno0276\Aseguranza%20de%20Calidad\Control%20de%20Documentos\Doc.%20controlados%20PDF\Formas\CNWI-WRHS%20(Almacen)\CNWI-WRHS-F010%20LSW.xls" TargetMode="External"/><Relationship Id="rId899" Type="http://schemas.openxmlformats.org/officeDocument/2006/relationships/hyperlink" Target="file:///\\chno0276\Aseguranza%20de%20Calidad\Control%20de%20Documentos\Doc.%20controlados%20PDF\Control%20Plans\ITRON\AMSAFE\CP-AMSA-008%20%204004070-0001.pdf" TargetMode="External"/><Relationship Id="rId1000" Type="http://schemas.openxmlformats.org/officeDocument/2006/relationships/hyperlink" Target="file:///\\chno0276\Aseguranza%20de%20Calidad\Control%20de%20Documentos\Doc.%20controlados%20PDF\Flow%20Chart\MICROMINI\CHANGE-OUT\FC-CHGO-002%20%20CX8653312P.pdf" TargetMode="External"/><Relationship Id="rId1084" Type="http://schemas.openxmlformats.org/officeDocument/2006/relationships/hyperlink" Target="file:///\\chno0276\Aseguranza%20de%20Calidad\Control%20de%20Documentos\Doc.%20controlados%20PDF\FMEA\MICROMINI\CHANGE-OUT\FMEA-CHGO-005%20%20CX8653346P.pdf" TargetMode="External"/><Relationship Id="rId107" Type="http://schemas.openxmlformats.org/officeDocument/2006/relationships/hyperlink" Target="file:///\\chno0276\Aseguranza%20de%20Calidad\Control%20de%20Documentos\Doc.%20controlados%20PDF\Instructivos\CNWI-ENGI\CNWI-ENGI-0065%20M&#225;quina%20Autom&#225;tica%20IFS.pdf" TargetMode="External"/><Relationship Id="rId454" Type="http://schemas.openxmlformats.org/officeDocument/2006/relationships/hyperlink" Target="file:///\\CHNO0276\Aseguranza%20de%20Calidad\Control%20de%20Documentos\Doc.%20controlados%20PDF\Formas\CNWI-QAAS%20(aseguranza%20de%20calidad)\CNWI-QAAS-F112%20A3%20%20Format%20.pptx" TargetMode="External"/><Relationship Id="rId661" Type="http://schemas.openxmlformats.org/officeDocument/2006/relationships/hyperlink" Target="file:///\\CHNO0276\Aseguranza%20de%20Calidad\Control%20de%20Documentos\Doc.%20controlados%20PDF\Ayudas%20visuales\Camarillo\Ensamble%20general\CNWI-VSHP-000046%20Rev.%20A%20(002104-0000).pub" TargetMode="External"/><Relationship Id="rId759" Type="http://schemas.openxmlformats.org/officeDocument/2006/relationships/hyperlink" Target="file:///\\chno0276\Control%20de%20Documentos\Doc.%20controlados%20PDF\Ayudas%20visuales\Micromini\A%20y%20B\CNWI-VSHP-000061%20Rev.%20A%20(PC5QADD-A).pub" TargetMode="External"/><Relationship Id="rId966" Type="http://schemas.openxmlformats.org/officeDocument/2006/relationships/hyperlink" Target="file:///\\chno0276\Aseguranza%20de%20Calidad\Control%20de%20Documentos\Doc.%20controlados%20PDF\Control%20Plans\ITRON\BONDING\CP-BOND-020%20%20002701-0001%20al%200010.pdf" TargetMode="External"/><Relationship Id="rId11" Type="http://schemas.openxmlformats.org/officeDocument/2006/relationships/hyperlink" Target="file:///\\chno0276\Aseguranza%20de%20Calidad\Control%20de%20Documentos\Doc.%20controlados%20PDF\Instructivos\CNWI-HMRS\CNWI-HMRS-0002%20Procediminento%20de%20solicitud%20de%20capacitacion.pdf" TargetMode="External"/><Relationship Id="rId314" Type="http://schemas.openxmlformats.org/officeDocument/2006/relationships/hyperlink" Target="file:///\\chno0276\Aseguranza%20de%20Calidad\Control%20de%20Documentos\Doc.%20controlados%20PDF\Formas\CNWI-ENGI%20(Ingenieria)\CNWI-ENGI-F041%20Especificaciones%20de%20insercion.xlsx" TargetMode="External"/><Relationship Id="rId398" Type="http://schemas.openxmlformats.org/officeDocument/2006/relationships/hyperlink" Target="file:///\\CHNO0276\Aseguranza%20de%20Calidad\Control%20de%20Documentos\Doc.%20controlados%20PDF\Formas\CNWI-QAAS%20(aseguranza%20de%20calidad)\CNWI-QAAS-F107%20Production%20Process%20Verification%20Checklist.doc" TargetMode="External"/><Relationship Id="rId521" Type="http://schemas.openxmlformats.org/officeDocument/2006/relationships/hyperlink" Target="file:///\\chno0276\Aseguranza%20de%20Calidad\Control%20de%20Documentos\Doc.%20controlados%20PDF\Formas\CNWI-QAAS%20(aseguranza%20de%20calidad)\CNWI-QAAS-F148%20Formato%20de%20Presentaciones.pdf" TargetMode="External"/><Relationship Id="rId619" Type="http://schemas.openxmlformats.org/officeDocument/2006/relationships/hyperlink" Target="file:///\\CHNO0276\Aseguranza%20de%20Calidad\Control%20de%20Documentos\Doc.%20controlados%20PDF\Ayudas%20visuales\Camarillo\Itron\CNWI-VSHP-000049%20Rev.%20A%20(009-0542-300M).pub" TargetMode="External"/><Relationship Id="rId1151" Type="http://schemas.openxmlformats.org/officeDocument/2006/relationships/hyperlink" Target="file:///\\CHNO0276\Aseguranza%20de%20Calidad\Control%20de%20Documentos\Doc.%20controlados%20PDF\Quality%20Alerts\ITRON\MULTICELL%20A&amp;B\QA-IMA-004%20Rev.%20A%20CBA-1300-%20Contactos%20doblados.pdf" TargetMode="External"/><Relationship Id="rId95" Type="http://schemas.openxmlformats.org/officeDocument/2006/relationships/hyperlink" Target="file:///\\chno0276\Aseguranza%20de%20Calidad\Control%20de%20Documentos\Doc.%20controlados%20PDF\Instructivos\CNWI-ENGI\CNWI-ENGI-0052%20Maquina%20PULL%20HOME.pdf" TargetMode="External"/><Relationship Id="rId160" Type="http://schemas.openxmlformats.org/officeDocument/2006/relationships/hyperlink" Target="file:///\\chno0276\Aseguranza%20de%20Calidad\Control%20de%20Documentos\Doc.%20controlados%20PDF\Instructivos\CNWI-QAAS\CNWI-QAAS-0035%20Requerimientos%20Aeroespacial%20para%20ins.%20FIA.pdf" TargetMode="External"/><Relationship Id="rId826" Type="http://schemas.openxmlformats.org/officeDocument/2006/relationships/hyperlink" Target="file:///\\chno0276\Aseguranza%20de%20Calidad\Control%20de%20Documentos\Doc.%20controlados%20PDF\Control%20Plans\MICROMINI\CELDA%20A&amp;B\CP-A&amp;B-007%20%20A98N-43PB-N4.pdf" TargetMode="External"/><Relationship Id="rId1011" Type="http://schemas.openxmlformats.org/officeDocument/2006/relationships/hyperlink" Target="file:///\\chno0276\Aseguranza%20de%20Calidad\Control%20de%20Documentos\Doc.%20controlados%20PDF\Flow%20Chart\MICROMINI\CHANGE-OUT\FC-CHGO-010%20%20%20X865393P.pdf" TargetMode="External"/><Relationship Id="rId1109" Type="http://schemas.openxmlformats.org/officeDocument/2006/relationships/hyperlink" Target="file:///\\chno0276\Aseguranza%20de%20Calidad\Control%20de%20Documentos\Doc.%20controlados%20PDF\Quality%20Alerts\MICROMINI\Celda%20A&amp;%20B\QA-A&amp;B-003%20DM4C3HO2S360A1%20Pieza%20sin%20goma-exceso-problemas%20con%20insert.pdf" TargetMode="External"/><Relationship Id="rId258" Type="http://schemas.openxmlformats.org/officeDocument/2006/relationships/hyperlink" Target="file:///\\chno0276\Aseguranza%20de%20Calidad\Control%20de%20Documentos\Doc.%20controlados%20PDF\Formas\CNWI-SHAE%20(Seguridad%20e%20higiene%20y%20medio%20ambiente)\CNWI-SHAE-F010%20Checklist%20de%20Montacarga.XLS" TargetMode="External"/><Relationship Id="rId465" Type="http://schemas.openxmlformats.org/officeDocument/2006/relationships/hyperlink" Target="file:///\\CHNO0276\Aseguranza%20de%20Calidad\Control%20de%20Documentos\Doc.%20controlados%20PDF\Formas\CNWI-QAAS%20(aseguranza%20de%20calidad)\CNWI-QAAS-F139%20%20%20Formato%20Functional%20Test.pdf" TargetMode="External"/><Relationship Id="rId672" Type="http://schemas.openxmlformats.org/officeDocument/2006/relationships/hyperlink" Target="file:///\\CHNO0276\Aseguranza%20de%20Calidad\Control%20de%20Documentos\Doc.%20controlados%20PDF\Ayudas%20visuales\Camarillo\Ensamble%20general\CNWI-VSHP-000166%20%20001-0130-001.pub" TargetMode="External"/><Relationship Id="rId1095" Type="http://schemas.openxmlformats.org/officeDocument/2006/relationships/hyperlink" Target="file:///\\CHNO0276\Aseguranza%20de%20Calidad\Control%20de%20Documentos\Documentos%20controlados\CN-QAAS%20(Aseguranza%20de%20calidad)\Quality%20Alerts\ITRON\SALEM\QA-SALE-001%20Rev.%20A%20AL-329-0000-080%20Alambre%20expuesto%20-%20Exceso%20de%20epoxy.pptx" TargetMode="External"/><Relationship Id="rId22" Type="http://schemas.openxmlformats.org/officeDocument/2006/relationships/hyperlink" Target="file:///\\chno0276\Aseguranza%20de%20Calidad\Control%20de%20Documentos\Doc.%20controlados%20PDF\Instructivos\CNWI-WRHS\CNWI-WHSE-0004%20Recibo%20de%20Materiales.pdf" TargetMode="External"/><Relationship Id="rId118" Type="http://schemas.openxmlformats.org/officeDocument/2006/relationships/hyperlink" Target="file:///\\chno0276\Aseguranza%20de%20Calidad\Control%20de%20Documentos\Doc.%20controlados%20PDF\Instructivos\CNWI-ENGI\CNWI-ENGI-0079%20Soldar%20contactos%20con%20Caut&#237;n%20de%20pinza%20HOTIP-H10A.pdf" TargetMode="External"/><Relationship Id="rId325" Type="http://schemas.openxmlformats.org/officeDocument/2006/relationships/hyperlink" Target="file:///\\chno0276\Aseguranza%20de%20Calidad\Control%20de%20Documentos\Doc.%20controlados%20PDF\Formas\CNWI-ENGI%20(Ingenieria)\CNWI-ENGI-F052%20Inspection%20report.xls" TargetMode="External"/><Relationship Id="rId532" Type="http://schemas.openxmlformats.org/officeDocument/2006/relationships/hyperlink" Target="file:///\\chno0276\Aseguranza%20de%20Calidad\Control%20de%20Documentos\Documentos%20controlados\CN-HMRS%20(Recursos%20Humanos)\FORMAS\CNWI-HMRS-F022%20Rev.%20A%20HOJA%20DE%20VERIFICACION%20DE%20RENUNCIA%20TERMINACION.xlsx" TargetMode="External"/><Relationship Id="rId977" Type="http://schemas.openxmlformats.org/officeDocument/2006/relationships/hyperlink" Target="file:///\\chno0276\Aseguranza%20de%20Calidad\Control%20de%20Documentos\Doc.%20controlados%20PDF\Flow%20Chart\ITRON\AMSAFE\FC-AMSA-001%20%20004080-0001%20al%200012.pdf" TargetMode="External"/><Relationship Id="rId1162" Type="http://schemas.openxmlformats.org/officeDocument/2006/relationships/hyperlink" Target="file:///\\chno0276\Aseguranza%20de%20Calidad\Control%20de%20Documentos\Doc.%20controlados%20PDF\Quality%20Alerts\ITRON\BONDING\QA-BOND-016%20Consolidaci&#243;n.pdf" TargetMode="External"/><Relationship Id="rId171" Type="http://schemas.openxmlformats.org/officeDocument/2006/relationships/hyperlink" Target="file:///\\chno0276\Aseguranza%20de%20Calidad\Control%20de%20Documentos\Doc.%20controlados%20PDF\Instructivos\CNWI-QAAS\CNWI-QAAS-041%20Rev.%20A%20Proceso%20de%20auditoria%20out%20of%20box.pdf" TargetMode="External"/><Relationship Id="rId837" Type="http://schemas.openxmlformats.org/officeDocument/2006/relationships/hyperlink" Target="file:///\\chno0276\Aseguranza%20de%20Calidad\Control%20de%20Documentos\Doc.%20controlados%20PDF\Control%20Plans\ITRON\AMSAFE\CP-AMSA-004%20A%20004035-TAB%20004034-0001%20004014-0001%20%20003082-0001.pdf" TargetMode="External"/><Relationship Id="rId1022" Type="http://schemas.openxmlformats.org/officeDocument/2006/relationships/hyperlink" Target="file:///\\chno0276\Aseguranza%20de%20Calidad\Control%20de%20Documentos\Doc.%20controlados%20PDF\Flow%20Chart\ITRON\BONDING\FC-BOND-006%20%20%20002314%20&amp;%20002315.pdf" TargetMode="External"/><Relationship Id="rId269" Type="http://schemas.openxmlformats.org/officeDocument/2006/relationships/hyperlink" Target="file:///\\chno0276\Aseguranza%20de%20Calidad\Control%20de%20Documentos\Doc.%20controlados%20PDF\Formas\CNWI-SHAE%20(Seguridad%20e%20higiene%20y%20medio%20ambiente)\CNWI-SHAE-F024%20Lista%20de%20verificaci&#243;n%20EHS.xls" TargetMode="External"/><Relationship Id="rId476" Type="http://schemas.openxmlformats.org/officeDocument/2006/relationships/hyperlink" Target="file:///\\CHNO0276\Aseguranza%20de%20Calidad\Control%20de%20Documentos\Doc.%20controlados%20PDF\Formas\CNWI-PROD%20(%20Produccion%20)\CNWI-PROD-F004%20lot%20control%20traveler.doc" TargetMode="External"/><Relationship Id="rId683" Type="http://schemas.openxmlformats.org/officeDocument/2006/relationships/hyperlink" Target="file:///\\CHNO0276\Aseguranza%20de%20Calidad\Control%20de%20Documentos\Doc.%20controlados%20PDF\Ayudas%20visuales\Camarillo\Moldeo\CNWI-VSHP-000172%20AMC02PA03R.ppt" TargetMode="External"/><Relationship Id="rId890" Type="http://schemas.openxmlformats.org/officeDocument/2006/relationships/hyperlink" Target="file:///\\CHNO0276\Aseguranza%20de%20Calidad\Control%20de%20Documentos\Doc.%20controlados%20PDF\Control%20Plans\SOLAR\CP-SOL-001%20Rev.A%20Plan%20First%20Solar.pdf" TargetMode="External"/><Relationship Id="rId904" Type="http://schemas.openxmlformats.org/officeDocument/2006/relationships/hyperlink" Target="file:///\\chno0276\Aseguranza%20de%20Calidad\Control%20de%20Documentos\Doc.%20controlados%20PDF\Control%20Plans\ITRON\AMSAFE\CP-AMSA-010%20%20004049-0001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chno0276\Aseguranza%20de%20Calidad\Control%20de%20Documentos\Doc.%20controlados%20PDF\Control%20Plans\MICROMINI\CELDA%20A&amp;B\CP-A&amp;B-040%20%20AM2C2MG030F,%20AM3C2MG030F,%20AM4C2MG030F,%20AM5C2MG030F.pdf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file:///\\chno0276\Aseguranza%20de%20Calidad\Control%20de%20Documentos\Doc.%20controlados%20PDF\Control%20Plans\MICROMINI\CELDA%20A&amp;B\CP-A&amp;B-040%20%20AM2C2MG030F,%20AM3C2MG030F,%20AM4C2MG030F,%20AM5C2MG030F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160"/>
  <sheetViews>
    <sheetView topLeftCell="C1035" workbookViewId="0">
      <selection activeCell="A1061" sqref="A1061:XFD1062"/>
    </sheetView>
  </sheetViews>
  <sheetFormatPr defaultRowHeight="12.75"/>
  <cols>
    <col min="1" max="1" width="19.7109375" style="10" customWidth="1"/>
    <col min="2" max="2" width="39.42578125" style="10" customWidth="1"/>
    <col min="3" max="3" width="8.42578125" style="10" bestFit="1" customWidth="1"/>
    <col min="4" max="4" width="9.42578125" style="46" bestFit="1" customWidth="1"/>
    <col min="5" max="5" width="27.42578125" style="47" customWidth="1"/>
    <col min="6" max="6" width="18.140625" style="47" customWidth="1"/>
    <col min="7" max="7" width="8.85546875" style="48" bestFit="1" customWidth="1"/>
    <col min="8" max="8" width="6.42578125" style="48" bestFit="1" customWidth="1"/>
    <col min="9" max="10" width="6" style="48" customWidth="1"/>
    <col min="11" max="12" width="6.5703125" style="48" customWidth="1"/>
    <col min="13" max="13" width="23.5703125" style="47" customWidth="1"/>
    <col min="14" max="14" width="81.5703125" style="10" customWidth="1"/>
    <col min="15" max="15" width="12.140625" style="49" customWidth="1"/>
    <col min="16" max="16" width="21.42578125" style="4" customWidth="1"/>
    <col min="17" max="17" width="17.5703125" style="4" customWidth="1"/>
    <col min="18" max="18" width="27.7109375" style="49" bestFit="1" customWidth="1"/>
    <col min="19" max="19" width="27.7109375" style="50" customWidth="1"/>
    <col min="20" max="20" width="23.7109375" style="49" customWidth="1"/>
    <col min="21" max="22" width="16" style="49" customWidth="1"/>
    <col min="23" max="16384" width="9.140625" style="10"/>
  </cols>
  <sheetData>
    <row r="1" spans="1:22" s="4" customFormat="1" ht="54.75" customHeight="1">
      <c r="A1" s="1" t="s">
        <v>0</v>
      </c>
      <c r="B1" s="1"/>
      <c r="C1" s="1"/>
      <c r="D1" s="2" t="s">
        <v>1</v>
      </c>
      <c r="E1" s="1" t="s">
        <v>2</v>
      </c>
      <c r="F1" s="1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1" t="s">
        <v>10</v>
      </c>
      <c r="N1" s="3" t="s">
        <v>11</v>
      </c>
      <c r="O1" s="1" t="s">
        <v>12</v>
      </c>
      <c r="P1" s="1" t="s">
        <v>13</v>
      </c>
      <c r="Q1" s="3" t="s">
        <v>14</v>
      </c>
      <c r="R1" s="1" t="s">
        <v>15</v>
      </c>
      <c r="S1" s="2" t="s">
        <v>16</v>
      </c>
      <c r="T1" s="1" t="s">
        <v>17</v>
      </c>
      <c r="U1" s="1" t="s">
        <v>18</v>
      </c>
      <c r="V1" s="1" t="s">
        <v>19</v>
      </c>
    </row>
    <row r="2" spans="1:22" s="4" customFormat="1" ht="13.9" customHeight="1">
      <c r="A2" s="5" t="s">
        <v>264</v>
      </c>
      <c r="B2" s="5" t="str">
        <f>GetAddress(A2)</f>
        <v>\\chno0276\Aseguranza de Calidad\Control de Documentos\Doc. controlados PDF\Procedimientos\CNSOP-01 Control de Documentos del sistema de Calidad.pdf</v>
      </c>
      <c r="C2" s="5" t="str">
        <f>MID(B2,LEN(B2) - FIND(".",REVERSETEXT(B2))+2,1000)</f>
        <v>pdf</v>
      </c>
      <c r="D2" s="6">
        <v>3</v>
      </c>
      <c r="E2" s="7" t="s">
        <v>265</v>
      </c>
      <c r="F2" s="7" t="s">
        <v>256</v>
      </c>
      <c r="G2" s="8" t="s">
        <v>266</v>
      </c>
      <c r="H2" s="8">
        <v>9</v>
      </c>
      <c r="I2" s="8" t="s">
        <v>267</v>
      </c>
      <c r="J2" s="8">
        <v>23</v>
      </c>
      <c r="K2" s="8"/>
      <c r="L2" s="8"/>
      <c r="M2" s="7" t="s">
        <v>268</v>
      </c>
      <c r="N2" s="7" t="s">
        <v>269</v>
      </c>
      <c r="O2" s="9">
        <v>40962</v>
      </c>
      <c r="P2" s="7" t="s">
        <v>159</v>
      </c>
      <c r="Q2" s="9" t="s">
        <v>28</v>
      </c>
      <c r="R2" s="7" t="s">
        <v>221</v>
      </c>
      <c r="S2" s="8" t="s">
        <v>222</v>
      </c>
      <c r="T2" s="7"/>
      <c r="U2" s="13"/>
      <c r="V2" s="17"/>
    </row>
    <row r="3" spans="1:22" s="4" customFormat="1" ht="13.9" customHeight="1">
      <c r="A3" s="5" t="s">
        <v>270</v>
      </c>
      <c r="B3" s="5" t="str">
        <f>GetAddress(A3)</f>
        <v>\\chno0276\Aseguranza de Calidad\Control de Documentos\Doc. controlados PDF\Procedimientos\CNSOP-02 Control de Registros de Calidad.pdf</v>
      </c>
      <c r="C3" s="5" t="str">
        <f>MID(B3,LEN(B3) - FIND(".",REVERSETEXT(B3))+2,1000)</f>
        <v>pdf</v>
      </c>
      <c r="D3" s="6">
        <v>3</v>
      </c>
      <c r="E3" s="7" t="s">
        <v>265</v>
      </c>
      <c r="F3" s="7" t="s">
        <v>256</v>
      </c>
      <c r="G3" s="8" t="s">
        <v>266</v>
      </c>
      <c r="H3" s="8">
        <v>9</v>
      </c>
      <c r="I3" s="8" t="s">
        <v>267</v>
      </c>
      <c r="J3" s="8">
        <v>23</v>
      </c>
      <c r="K3" s="8"/>
      <c r="L3" s="8"/>
      <c r="M3" s="7" t="s">
        <v>268</v>
      </c>
      <c r="N3" s="7" t="s">
        <v>271</v>
      </c>
      <c r="O3" s="9">
        <v>40949</v>
      </c>
      <c r="P3" s="7" t="s">
        <v>38</v>
      </c>
      <c r="Q3" s="9" t="s">
        <v>28</v>
      </c>
      <c r="R3" s="7" t="s">
        <v>221</v>
      </c>
      <c r="S3" s="8" t="s">
        <v>222</v>
      </c>
      <c r="T3" s="7"/>
      <c r="U3" s="13"/>
      <c r="V3" s="13"/>
    </row>
    <row r="4" spans="1:22" s="4" customFormat="1" ht="13.9" customHeight="1">
      <c r="A4" s="5" t="s">
        <v>272</v>
      </c>
      <c r="B4" s="5" t="str">
        <f>GetAddress(A4)</f>
        <v>\\chno0276\Aseguranza de Calidad\Control de Documentos\Doc. controlados PDF\Procedimientos\CNSOP-03 Auditorias Internas.pdf</v>
      </c>
      <c r="C4" s="5" t="str">
        <f>MID(B4,LEN(B4) - FIND(".",REVERSETEXT(B4))+2,1000)</f>
        <v>pdf</v>
      </c>
      <c r="D4" s="6">
        <v>3</v>
      </c>
      <c r="E4" s="7" t="s">
        <v>265</v>
      </c>
      <c r="F4" s="7" t="s">
        <v>256</v>
      </c>
      <c r="G4" s="8" t="s">
        <v>266</v>
      </c>
      <c r="H4" s="8">
        <v>9</v>
      </c>
      <c r="I4" s="8" t="s">
        <v>267</v>
      </c>
      <c r="J4" s="8">
        <v>23</v>
      </c>
      <c r="K4" s="8"/>
      <c r="L4" s="8"/>
      <c r="M4" s="7" t="s">
        <v>268</v>
      </c>
      <c r="N4" s="7" t="s">
        <v>273</v>
      </c>
      <c r="O4" s="9">
        <v>40959</v>
      </c>
      <c r="P4" s="7" t="s">
        <v>159</v>
      </c>
      <c r="Q4" s="9" t="s">
        <v>28</v>
      </c>
      <c r="R4" s="7" t="s">
        <v>221</v>
      </c>
      <c r="S4" s="8" t="s">
        <v>222</v>
      </c>
      <c r="T4" s="7"/>
      <c r="U4" s="13"/>
      <c r="V4" s="13"/>
    </row>
    <row r="5" spans="1:22" s="4" customFormat="1" ht="13.9" customHeight="1">
      <c r="A5" s="5" t="s">
        <v>274</v>
      </c>
      <c r="B5" s="5" t="str">
        <f>GetAddress(A5)</f>
        <v>\\chno0276\Aseguranza de Calidad\Control de Documentos\Doc. controlados PDF\Procedimientos\CNSOP-04 Manejo de material no conformante.pdf</v>
      </c>
      <c r="C5" s="5" t="str">
        <f>MID(B5,LEN(B5) - FIND(".",REVERSETEXT(B5))+2,1000)</f>
        <v>pdf</v>
      </c>
      <c r="D5" s="6">
        <v>3</v>
      </c>
      <c r="E5" s="7" t="s">
        <v>265</v>
      </c>
      <c r="F5" s="7" t="s">
        <v>256</v>
      </c>
      <c r="G5" s="8" t="s">
        <v>266</v>
      </c>
      <c r="H5" s="8">
        <v>9</v>
      </c>
      <c r="I5" s="8" t="s">
        <v>267</v>
      </c>
      <c r="J5" s="8">
        <v>23</v>
      </c>
      <c r="K5" s="8"/>
      <c r="L5" s="8"/>
      <c r="M5" s="7" t="s">
        <v>268</v>
      </c>
      <c r="N5" s="7" t="s">
        <v>275</v>
      </c>
      <c r="O5" s="9">
        <v>40857</v>
      </c>
      <c r="P5" s="7" t="s">
        <v>159</v>
      </c>
      <c r="Q5" s="9" t="s">
        <v>28</v>
      </c>
      <c r="R5" s="7" t="s">
        <v>221</v>
      </c>
      <c r="S5" s="8" t="s">
        <v>222</v>
      </c>
      <c r="T5" s="7"/>
      <c r="U5" s="13"/>
      <c r="V5" s="13"/>
    </row>
    <row r="6" spans="1:22" s="4" customFormat="1" ht="13.9" customHeight="1">
      <c r="A6" s="5" t="s">
        <v>276</v>
      </c>
      <c r="B6" s="5" t="str">
        <f>GetAddress(A6)</f>
        <v>\\chno0276\Aseguranza de Calidad\Control de Documentos\Doc. controlados PDF\Procedimientos\CNSOP-05 Acciones Correctivas y Preventivas.pdf</v>
      </c>
      <c r="C6" s="5" t="str">
        <f>MID(B6,LEN(B6) - FIND(".",REVERSETEXT(B6))+2,1000)</f>
        <v>pdf</v>
      </c>
      <c r="D6" s="6">
        <v>3</v>
      </c>
      <c r="E6" s="7" t="s">
        <v>265</v>
      </c>
      <c r="F6" s="7" t="s">
        <v>256</v>
      </c>
      <c r="G6" s="8" t="s">
        <v>266</v>
      </c>
      <c r="H6" s="8">
        <v>9</v>
      </c>
      <c r="I6" s="8" t="s">
        <v>267</v>
      </c>
      <c r="J6" s="8">
        <v>23</v>
      </c>
      <c r="K6" s="8"/>
      <c r="L6" s="8"/>
      <c r="M6" s="7" t="s">
        <v>268</v>
      </c>
      <c r="N6" s="7" t="s">
        <v>277</v>
      </c>
      <c r="O6" s="9">
        <v>40939</v>
      </c>
      <c r="P6" s="7" t="s">
        <v>38</v>
      </c>
      <c r="Q6" s="9" t="s">
        <v>28</v>
      </c>
      <c r="R6" s="7" t="s">
        <v>221</v>
      </c>
      <c r="S6" s="8" t="s">
        <v>222</v>
      </c>
      <c r="T6" s="7"/>
      <c r="U6" s="13"/>
      <c r="V6" s="13"/>
    </row>
    <row r="7" spans="1:22">
      <c r="A7" s="5" t="s">
        <v>219</v>
      </c>
      <c r="B7" s="5" t="str">
        <f>GetAddress(A7)</f>
        <v>\\chno0276\Aseguranza de Calidad\Control de Documentos\Doc. controlados PDF\Instructivos\CNWI-ENGI\CNWI-ENGI-0001 Control de Documentos y Datos.pdf</v>
      </c>
      <c r="C7" s="5" t="str">
        <f>MID(B7,LEN(B7) - FIND(".",REVERSETEXT(B7))+2,1000)</f>
        <v>pdf</v>
      </c>
      <c r="D7" s="6">
        <v>4</v>
      </c>
      <c r="E7" s="7" t="s">
        <v>33</v>
      </c>
      <c r="F7" s="7" t="s">
        <v>22</v>
      </c>
      <c r="G7" s="8" t="s">
        <v>60</v>
      </c>
      <c r="H7" s="8">
        <v>4</v>
      </c>
      <c r="I7" s="8"/>
      <c r="J7" s="8"/>
      <c r="K7" s="8"/>
      <c r="L7" s="8"/>
      <c r="M7" s="7" t="s">
        <v>22</v>
      </c>
      <c r="N7" s="7" t="s">
        <v>220</v>
      </c>
      <c r="O7" s="9">
        <v>40633</v>
      </c>
      <c r="P7" s="7" t="s">
        <v>27</v>
      </c>
      <c r="Q7" s="9" t="s">
        <v>28</v>
      </c>
      <c r="R7" s="7" t="s">
        <v>221</v>
      </c>
      <c r="S7" s="8" t="s">
        <v>222</v>
      </c>
      <c r="T7" s="7"/>
      <c r="U7" s="7"/>
      <c r="V7" s="7"/>
    </row>
    <row r="8" spans="1:22" s="4" customFormat="1" ht="16.5" customHeight="1">
      <c r="A8" s="5" t="s">
        <v>223</v>
      </c>
      <c r="B8" s="5" t="str">
        <f>GetAddress(A8)</f>
        <v>\\chno0276\Aseguranza de Calidad\Control de Documentos\Doc. controlados PDF\Instructivos\CNWI-ENGI\CNWI-ENGI-0002 Recibo y Distribuccion de dibujos.pdf</v>
      </c>
      <c r="C8" s="5" t="str">
        <f>MID(B8,LEN(B8) - FIND(".",REVERSETEXT(B8))+2,1000)</f>
        <v>pdf</v>
      </c>
      <c r="D8" s="6">
        <v>4</v>
      </c>
      <c r="E8" s="7" t="s">
        <v>33</v>
      </c>
      <c r="F8" s="7" t="s">
        <v>22</v>
      </c>
      <c r="G8" s="8" t="s">
        <v>60</v>
      </c>
      <c r="H8" s="8">
        <v>4</v>
      </c>
      <c r="I8" s="8"/>
      <c r="J8" s="8"/>
      <c r="K8" s="8"/>
      <c r="L8" s="8"/>
      <c r="M8" s="7" t="s">
        <v>22</v>
      </c>
      <c r="N8" s="7" t="s">
        <v>224</v>
      </c>
      <c r="O8" s="9">
        <v>40633</v>
      </c>
      <c r="P8" s="7" t="s">
        <v>27</v>
      </c>
      <c r="Q8" s="9" t="s">
        <v>28</v>
      </c>
      <c r="R8" s="7" t="s">
        <v>221</v>
      </c>
      <c r="S8" s="8" t="s">
        <v>222</v>
      </c>
      <c r="T8" s="7"/>
      <c r="U8" s="7"/>
      <c r="V8" s="7"/>
    </row>
    <row r="9" spans="1:22">
      <c r="A9" s="5" t="s">
        <v>225</v>
      </c>
      <c r="B9" s="5" t="str">
        <f>GetAddress(A9)</f>
        <v>\\chno0276\Control de Documentos\Doc. controlados PDF\Instructivos\CNWI-ENGI\CNWI-ENGI-0003 Cambios de Ingeniería _ECR-ECN_.pdf</v>
      </c>
      <c r="C9" s="5" t="str">
        <f>MID(B9,LEN(B9) - FIND(".",REVERSETEXT(B9))+2,1000)</f>
        <v>pdf</v>
      </c>
      <c r="D9" s="6">
        <v>4</v>
      </c>
      <c r="E9" s="7" t="s">
        <v>33</v>
      </c>
      <c r="F9" s="7" t="s">
        <v>22</v>
      </c>
      <c r="G9" s="8" t="s">
        <v>60</v>
      </c>
      <c r="H9" s="8">
        <v>4</v>
      </c>
      <c r="I9" s="8"/>
      <c r="J9" s="8"/>
      <c r="K9" s="8"/>
      <c r="L9" s="8"/>
      <c r="M9" s="7" t="s">
        <v>22</v>
      </c>
      <c r="N9" s="7" t="s">
        <v>226</v>
      </c>
      <c r="O9" s="9">
        <v>41114</v>
      </c>
      <c r="P9" s="7" t="s">
        <v>159</v>
      </c>
      <c r="Q9" s="9" t="s">
        <v>28</v>
      </c>
      <c r="R9" s="7" t="s">
        <v>221</v>
      </c>
      <c r="S9" s="8" t="s">
        <v>222</v>
      </c>
      <c r="T9" s="7"/>
      <c r="U9" s="7"/>
      <c r="V9" s="7"/>
    </row>
    <row r="10" spans="1:22">
      <c r="A10" s="5" t="s">
        <v>1885</v>
      </c>
      <c r="B10" s="5" t="str">
        <f>GetAddress(A10)</f>
        <v>\\chno0276\Aseguranza de Calidad\Control de Documentos\Doc. controlados PDF\Instructivos\CNWI-ENGI\CNWI-ENGI-0004 Elaboración de Instrucciones de Trabajo INGENIERIA (WI).pdf</v>
      </c>
      <c r="C10" s="5" t="str">
        <f>MID(B10,LEN(B10) - FIND(".",REVERSETEXT(B10))+2,1000)</f>
        <v>pdf</v>
      </c>
      <c r="D10" s="6">
        <v>4</v>
      </c>
      <c r="E10" s="7" t="s">
        <v>33</v>
      </c>
      <c r="F10" s="7" t="s">
        <v>22</v>
      </c>
      <c r="G10" s="8" t="s">
        <v>60</v>
      </c>
      <c r="H10" s="8">
        <v>4</v>
      </c>
      <c r="I10" s="8"/>
      <c r="J10" s="8"/>
      <c r="K10" s="8"/>
      <c r="L10" s="8"/>
      <c r="M10" s="7" t="s">
        <v>22</v>
      </c>
      <c r="N10" s="7" t="s">
        <v>1886</v>
      </c>
      <c r="O10" s="9">
        <v>40632</v>
      </c>
      <c r="P10" s="7" t="s">
        <v>27</v>
      </c>
      <c r="Q10" s="9" t="s">
        <v>28</v>
      </c>
      <c r="R10" s="7" t="s">
        <v>1887</v>
      </c>
      <c r="S10" s="8" t="s">
        <v>1888</v>
      </c>
      <c r="T10" s="7"/>
      <c r="U10" s="7"/>
      <c r="V10" s="7"/>
    </row>
    <row r="11" spans="1:22">
      <c r="A11" s="5" t="s">
        <v>1889</v>
      </c>
      <c r="B11" s="5" t="str">
        <f>GetAddress(A11)</f>
        <v>\\chno0276\Aseguranza de Calidad\Control de Documentos\Doc. controlados PDF\Instructivos\CNWI-ENGI\CNWI-ENGI-0005 Maquina Moldeadora Auto-Jectors Modelo HS35-S.pdf</v>
      </c>
      <c r="C11" s="5" t="str">
        <f>MID(B11,LEN(B11) - FIND(".",REVERSETEXT(B11))+2,1000)</f>
        <v>pdf</v>
      </c>
      <c r="D11" s="6">
        <v>4</v>
      </c>
      <c r="E11" s="7" t="s">
        <v>33</v>
      </c>
      <c r="F11" s="7" t="s">
        <v>22</v>
      </c>
      <c r="G11" s="8" t="s">
        <v>60</v>
      </c>
      <c r="H11" s="8">
        <v>4</v>
      </c>
      <c r="I11" s="8"/>
      <c r="J11" s="8"/>
      <c r="K11" s="8"/>
      <c r="L11" s="8"/>
      <c r="M11" s="7" t="s">
        <v>22</v>
      </c>
      <c r="N11" s="7" t="s">
        <v>1890</v>
      </c>
      <c r="O11" s="9">
        <v>40731</v>
      </c>
      <c r="P11" s="7" t="s">
        <v>27</v>
      </c>
      <c r="Q11" s="9" t="s">
        <v>28</v>
      </c>
      <c r="R11" s="7" t="s">
        <v>1887</v>
      </c>
      <c r="S11" s="8" t="s">
        <v>1888</v>
      </c>
      <c r="T11" s="7"/>
      <c r="U11" s="7"/>
      <c r="V11" s="7"/>
    </row>
    <row r="12" spans="1:22" s="4" customFormat="1" ht="13.9" customHeight="1">
      <c r="A12" s="5" t="s">
        <v>1891</v>
      </c>
      <c r="B12" s="5" t="str">
        <f>GetAddress(A12)</f>
        <v>\\chno0276\Aseguranza de Calidad\Control de Documentos\Doc. controlados PDF\Instructivos\CNWI-ENGI\CNWI-ENGI-0006 Preparación y Aplicación de la goma  (Chemlok).pdf</v>
      </c>
      <c r="C12" s="5" t="str">
        <f>MID(B12,LEN(B12) - FIND(".",REVERSETEXT(B12))+2,1000)</f>
        <v>pdf</v>
      </c>
      <c r="D12" s="6">
        <v>4</v>
      </c>
      <c r="E12" s="7" t="s">
        <v>33</v>
      </c>
      <c r="F12" s="7" t="s">
        <v>22</v>
      </c>
      <c r="G12" s="8" t="s">
        <v>60</v>
      </c>
      <c r="H12" s="8">
        <v>4</v>
      </c>
      <c r="I12" s="8"/>
      <c r="J12" s="8"/>
      <c r="K12" s="8"/>
      <c r="L12" s="8"/>
      <c r="M12" s="7" t="s">
        <v>22</v>
      </c>
      <c r="N12" s="7" t="s">
        <v>1892</v>
      </c>
      <c r="O12" s="9">
        <v>41074</v>
      </c>
      <c r="P12" s="7" t="s">
        <v>159</v>
      </c>
      <c r="Q12" s="9" t="s">
        <v>28</v>
      </c>
      <c r="R12" s="7" t="s">
        <v>1887</v>
      </c>
      <c r="S12" s="8" t="s">
        <v>1888</v>
      </c>
      <c r="T12" s="7"/>
      <c r="U12" s="7"/>
      <c r="V12" s="7"/>
    </row>
    <row r="13" spans="1:22" s="4" customFormat="1" ht="13.9" customHeight="1">
      <c r="A13" s="5" t="s">
        <v>59</v>
      </c>
      <c r="B13" s="5" t="str">
        <f>GetAddress(A13)</f>
        <v>\\CHNO0276\Aseguranza de Calidad\Control de Documentos\Doc. controlados PDF\Instructivos\CNWI-ENGI\CNWI-ENGI-0007 Maquina remachado de solar.pdf</v>
      </c>
      <c r="C13" s="5" t="str">
        <f>MID(B13,LEN(B13) - FIND(".",REVERSETEXT(B13))+2,1000)</f>
        <v>pdf</v>
      </c>
      <c r="D13" s="6">
        <v>4</v>
      </c>
      <c r="E13" s="7" t="s">
        <v>33</v>
      </c>
      <c r="F13" s="7" t="s">
        <v>22</v>
      </c>
      <c r="G13" s="8" t="s">
        <v>60</v>
      </c>
      <c r="H13" s="8">
        <v>4</v>
      </c>
      <c r="I13" s="8"/>
      <c r="J13" s="8"/>
      <c r="K13" s="8"/>
      <c r="L13" s="8"/>
      <c r="M13" s="7" t="s">
        <v>22</v>
      </c>
      <c r="N13" s="7" t="s">
        <v>61</v>
      </c>
      <c r="O13" s="9">
        <v>41061</v>
      </c>
      <c r="P13" s="7" t="s">
        <v>27</v>
      </c>
      <c r="Q13" s="9" t="s">
        <v>28</v>
      </c>
      <c r="R13" s="7" t="s">
        <v>62</v>
      </c>
      <c r="S13" s="8" t="s">
        <v>63</v>
      </c>
      <c r="T13" s="11"/>
      <c r="U13" s="11"/>
      <c r="V13" s="7"/>
    </row>
    <row r="14" spans="1:22" s="4" customFormat="1" ht="13.9" customHeight="1">
      <c r="A14" s="5" t="s">
        <v>1893</v>
      </c>
      <c r="B14" s="5" t="str">
        <f>GetAddress(A14)</f>
        <v>\\chno0276\Aseguranza de Calidad\Control de Documentos\Doc. controlados PDF\Instructivos\CNWI-ENGI\CNWI-ENGI-0008 Operación inserción manual de Contactos.pdf</v>
      </c>
      <c r="C14" s="5" t="str">
        <f>MID(B14,LEN(B14) - FIND(".",REVERSETEXT(B14))+2,1000)</f>
        <v>pdf</v>
      </c>
      <c r="D14" s="6">
        <v>4</v>
      </c>
      <c r="E14" s="7" t="s">
        <v>33</v>
      </c>
      <c r="F14" s="7" t="s">
        <v>22</v>
      </c>
      <c r="G14" s="8" t="s">
        <v>60</v>
      </c>
      <c r="H14" s="8">
        <v>4</v>
      </c>
      <c r="I14" s="8"/>
      <c r="J14" s="8"/>
      <c r="K14" s="8"/>
      <c r="L14" s="8"/>
      <c r="M14" s="7" t="s">
        <v>22</v>
      </c>
      <c r="N14" s="7" t="s">
        <v>1894</v>
      </c>
      <c r="O14" s="9">
        <v>40634</v>
      </c>
      <c r="P14" s="7" t="s">
        <v>27</v>
      </c>
      <c r="Q14" s="9" t="s">
        <v>28</v>
      </c>
      <c r="R14" s="7" t="s">
        <v>1887</v>
      </c>
      <c r="S14" s="8" t="s">
        <v>1888</v>
      </c>
      <c r="T14" s="7"/>
      <c r="U14" s="7"/>
      <c r="V14" s="7"/>
    </row>
    <row r="15" spans="1:22" s="4" customFormat="1" ht="13.9" customHeight="1">
      <c r="A15" s="5" t="s">
        <v>1895</v>
      </c>
      <c r="B15" s="5" t="str">
        <f>GetAddress(A15)</f>
        <v>\\chno0276\Aseguranza de Calidad\Control de Documentos\Doc. controlados PDF\Instructivos\CNWI-ENGI\CNWI-ENGI-0009 Operación de cortadora Schleuniger 9500 A.pdf</v>
      </c>
      <c r="C15" s="5" t="str">
        <f>MID(B15,LEN(B15) - FIND(".",REVERSETEXT(B15))+2,1000)</f>
        <v>pdf</v>
      </c>
      <c r="D15" s="6">
        <v>4</v>
      </c>
      <c r="E15" s="7" t="s">
        <v>33</v>
      </c>
      <c r="F15" s="7" t="s">
        <v>22</v>
      </c>
      <c r="G15" s="8" t="s">
        <v>60</v>
      </c>
      <c r="H15" s="8">
        <v>4</v>
      </c>
      <c r="I15" s="8"/>
      <c r="J15" s="8"/>
      <c r="K15" s="8"/>
      <c r="L15" s="8"/>
      <c r="M15" s="7" t="s">
        <v>22</v>
      </c>
      <c r="N15" s="7" t="s">
        <v>1896</v>
      </c>
      <c r="O15" s="9">
        <v>40634</v>
      </c>
      <c r="P15" s="7" t="s">
        <v>27</v>
      </c>
      <c r="Q15" s="9" t="s">
        <v>28</v>
      </c>
      <c r="R15" s="7" t="s">
        <v>1887</v>
      </c>
      <c r="S15" s="8" t="s">
        <v>1888</v>
      </c>
      <c r="T15" s="7"/>
      <c r="U15" s="7"/>
      <c r="V15" s="7"/>
    </row>
    <row r="16" spans="1:22">
      <c r="A16" s="5" t="s">
        <v>1897</v>
      </c>
      <c r="B16" s="5" t="str">
        <f>GetAddress(A16)</f>
        <v>\\chno0276\Aseguranza de Calidad\Control de Documentos\Doc. controlados PDF\Instructivos\CNWI-ENGI\CNWI-ENGI-0010 Prueba Eléctrica de la Maquina Horizón 1500 volts.pdf</v>
      </c>
      <c r="C16" s="5" t="str">
        <f>MID(B16,LEN(B16) - FIND(".",REVERSETEXT(B16))+2,1000)</f>
        <v>pdf</v>
      </c>
      <c r="D16" s="6">
        <v>4</v>
      </c>
      <c r="E16" s="7" t="s">
        <v>33</v>
      </c>
      <c r="F16" s="7" t="s">
        <v>22</v>
      </c>
      <c r="G16" s="8" t="s">
        <v>60</v>
      </c>
      <c r="H16" s="8">
        <v>4</v>
      </c>
      <c r="I16" s="8"/>
      <c r="J16" s="8"/>
      <c r="K16" s="8"/>
      <c r="L16" s="8"/>
      <c r="M16" s="7" t="s">
        <v>22</v>
      </c>
      <c r="N16" s="7" t="s">
        <v>1898</v>
      </c>
      <c r="O16" s="9">
        <v>40639</v>
      </c>
      <c r="P16" s="7" t="s">
        <v>27</v>
      </c>
      <c r="Q16" s="9" t="s">
        <v>28</v>
      </c>
      <c r="R16" s="7" t="s">
        <v>1887</v>
      </c>
      <c r="S16" s="8" t="s">
        <v>1888</v>
      </c>
      <c r="T16" s="7"/>
      <c r="U16" s="7"/>
      <c r="V16" s="7"/>
    </row>
    <row r="17" spans="1:22">
      <c r="A17" s="5" t="s">
        <v>1899</v>
      </c>
      <c r="B17" s="5" t="str">
        <f>GetAddress(A17)</f>
        <v>\\chno0276\Aseguranza de Calidad\Control de Documentos\Doc. controlados PDF\Instructivos\CNWI-ENGI\CNWI-ENGI-0011 Remachado de cables en  máquina Daniels Modelos WA27F, WA22, WA27-309-2C, WA27-300BT-EP..pdf</v>
      </c>
      <c r="C17" s="5" t="str">
        <f>MID(B17,LEN(B17) - FIND(".",REVERSETEXT(B17))+2,1000)</f>
        <v>pdf</v>
      </c>
      <c r="D17" s="6">
        <v>4</v>
      </c>
      <c r="E17" s="7" t="s">
        <v>33</v>
      </c>
      <c r="F17" s="7" t="s">
        <v>22</v>
      </c>
      <c r="G17" s="8" t="s">
        <v>60</v>
      </c>
      <c r="H17" s="8">
        <v>4</v>
      </c>
      <c r="I17" s="8"/>
      <c r="J17" s="8"/>
      <c r="K17" s="8"/>
      <c r="L17" s="8"/>
      <c r="M17" s="7" t="s">
        <v>22</v>
      </c>
      <c r="N17" s="7" t="s">
        <v>1900</v>
      </c>
      <c r="O17" s="9">
        <v>40735</v>
      </c>
      <c r="P17" s="7" t="s">
        <v>46</v>
      </c>
      <c r="Q17" s="9" t="s">
        <v>28</v>
      </c>
      <c r="R17" s="7" t="s">
        <v>1887</v>
      </c>
      <c r="S17" s="8" t="s">
        <v>1888</v>
      </c>
      <c r="T17" s="7"/>
      <c r="U17" s="7"/>
      <c r="V17" s="7"/>
    </row>
    <row r="18" spans="1:22" s="4" customFormat="1" ht="15.75" customHeight="1">
      <c r="A18" s="5" t="s">
        <v>1901</v>
      </c>
      <c r="B18" s="5" t="str">
        <f>GetAddress(A18)</f>
        <v>\\chno0276\Aseguranza de Calidad\Control de Documentos\Doc. controlados PDF\Instructivos\CNWI-ENGI\CNWI-ENGI-0012 Operación General de Empaque .pdf</v>
      </c>
      <c r="C18" s="5" t="str">
        <f>MID(B18,LEN(B18) - FIND(".",REVERSETEXT(B18))+2,1000)</f>
        <v>pdf</v>
      </c>
      <c r="D18" s="6">
        <v>4</v>
      </c>
      <c r="E18" s="7" t="s">
        <v>33</v>
      </c>
      <c r="F18" s="7" t="s">
        <v>22</v>
      </c>
      <c r="G18" s="8" t="s">
        <v>60</v>
      </c>
      <c r="H18" s="8">
        <v>4</v>
      </c>
      <c r="I18" s="8"/>
      <c r="J18" s="8"/>
      <c r="K18" s="8"/>
      <c r="L18" s="8"/>
      <c r="M18" s="7" t="s">
        <v>22</v>
      </c>
      <c r="N18" s="7" t="s">
        <v>1902</v>
      </c>
      <c r="O18" s="9">
        <v>40640</v>
      </c>
      <c r="P18" s="7" t="s">
        <v>27</v>
      </c>
      <c r="Q18" s="9" t="s">
        <v>28</v>
      </c>
      <c r="R18" s="7" t="s">
        <v>1887</v>
      </c>
      <c r="S18" s="8" t="s">
        <v>1888</v>
      </c>
      <c r="T18" s="7"/>
      <c r="U18" s="7"/>
      <c r="V18" s="7"/>
    </row>
    <row r="19" spans="1:22" s="4" customFormat="1" ht="13.9" customHeight="1">
      <c r="A19" s="5" t="s">
        <v>1903</v>
      </c>
      <c r="B19" s="5" t="str">
        <f>GetAddress(A19)</f>
        <v>\\chno0276\Aseguranza de Calidad\Control de Documentos\Doc. controlados PDF\Instructivos\CNWI-ENGI\CNWI-ENGI-0013 Maquina Moldeadora Ahi-Top Modelo AHT.pdf</v>
      </c>
      <c r="C19" s="5" t="str">
        <f>MID(B19,LEN(B19) - FIND(".",REVERSETEXT(B19))+2,1000)</f>
        <v>pdf</v>
      </c>
      <c r="D19" s="6">
        <v>4</v>
      </c>
      <c r="E19" s="7" t="s">
        <v>33</v>
      </c>
      <c r="F19" s="7" t="s">
        <v>22</v>
      </c>
      <c r="G19" s="8" t="s">
        <v>60</v>
      </c>
      <c r="H19" s="8">
        <v>4</v>
      </c>
      <c r="I19" s="8"/>
      <c r="J19" s="8"/>
      <c r="K19" s="8"/>
      <c r="L19" s="8"/>
      <c r="M19" s="7" t="s">
        <v>22</v>
      </c>
      <c r="N19" s="7" t="s">
        <v>1904</v>
      </c>
      <c r="O19" s="9">
        <v>40638</v>
      </c>
      <c r="P19" s="7" t="s">
        <v>27</v>
      </c>
      <c r="Q19" s="9" t="s">
        <v>28</v>
      </c>
      <c r="R19" s="7" t="s">
        <v>1887</v>
      </c>
      <c r="S19" s="8" t="s">
        <v>1888</v>
      </c>
      <c r="T19" s="7"/>
      <c r="U19" s="7"/>
      <c r="V19" s="7"/>
    </row>
    <row r="20" spans="1:22" s="4" customFormat="1" ht="13.9" customHeight="1">
      <c r="A20" s="5" t="s">
        <v>1905</v>
      </c>
      <c r="B20" s="5" t="str">
        <f>GetAddress(A20)</f>
        <v>\\chno0276\Aseguranza de Calidad\Control de Documentos\Doc. controlados PDF\Instructivos\CNWI-ENGI\CNWI-ENGI-0014 Prueba Eléctrica de 2000 Volts en Máquina Sotcher .pdf</v>
      </c>
      <c r="C20" s="5" t="str">
        <f>MID(B20,LEN(B20) - FIND(".",REVERSETEXT(B20))+2,1000)</f>
        <v>pdf</v>
      </c>
      <c r="D20" s="6">
        <v>4</v>
      </c>
      <c r="E20" s="7" t="s">
        <v>33</v>
      </c>
      <c r="F20" s="7" t="s">
        <v>22</v>
      </c>
      <c r="G20" s="8" t="s">
        <v>60</v>
      </c>
      <c r="H20" s="8">
        <v>4</v>
      </c>
      <c r="I20" s="8"/>
      <c r="J20" s="8"/>
      <c r="K20" s="8"/>
      <c r="L20" s="8"/>
      <c r="M20" s="7" t="s">
        <v>22</v>
      </c>
      <c r="N20" s="7" t="s">
        <v>1906</v>
      </c>
      <c r="O20" s="9">
        <v>40647</v>
      </c>
      <c r="P20" s="7" t="s">
        <v>27</v>
      </c>
      <c r="Q20" s="9" t="s">
        <v>28</v>
      </c>
      <c r="R20" s="7" t="s">
        <v>1887</v>
      </c>
      <c r="S20" s="8" t="s">
        <v>1888</v>
      </c>
      <c r="T20" s="7"/>
      <c r="U20" s="7"/>
      <c r="V20" s="7"/>
    </row>
    <row r="21" spans="1:22" s="4" customFormat="1" ht="13.9" customHeight="1">
      <c r="A21" s="5" t="s">
        <v>1907</v>
      </c>
      <c r="B21" s="5" t="str">
        <f>GetAddress(A21)</f>
        <v>\\chno0276\Aseguranza de Calidad\Control de Documentos\Doc. controlados PDF\Instructivos\CNWI-ENGI\CNWI-ENGI-0015 Maquina Moldeadora TR-13, TR-14, TR-15..pdf</v>
      </c>
      <c r="C21" s="5" t="str">
        <f>MID(B21,LEN(B21) - FIND(".",REVERSETEXT(B21))+2,1000)</f>
        <v>pdf</v>
      </c>
      <c r="D21" s="6">
        <v>4</v>
      </c>
      <c r="E21" s="7" t="s">
        <v>33</v>
      </c>
      <c r="F21" s="7" t="s">
        <v>22</v>
      </c>
      <c r="G21" s="8" t="s">
        <v>60</v>
      </c>
      <c r="H21" s="8">
        <v>4</v>
      </c>
      <c r="I21" s="8"/>
      <c r="J21" s="8"/>
      <c r="K21" s="8"/>
      <c r="L21" s="8"/>
      <c r="M21" s="7" t="s">
        <v>22</v>
      </c>
      <c r="N21" s="7" t="s">
        <v>1908</v>
      </c>
      <c r="O21" s="9">
        <v>40638</v>
      </c>
      <c r="P21" s="7" t="s">
        <v>27</v>
      </c>
      <c r="Q21" s="9" t="s">
        <v>28</v>
      </c>
      <c r="R21" s="7" t="s">
        <v>1887</v>
      </c>
      <c r="S21" s="8" t="s">
        <v>1888</v>
      </c>
      <c r="T21" s="7"/>
      <c r="U21" s="7"/>
      <c r="V21" s="7"/>
    </row>
    <row r="22" spans="1:22" s="4" customFormat="1" ht="13.9" customHeight="1">
      <c r="A22" s="5" t="s">
        <v>1458</v>
      </c>
      <c r="B22" s="5" t="str">
        <f>GetAddress(A22)</f>
        <v>\\chno0276\Control de Documentos\Doc. controlados PDF\Instructivos\CNWI-ENGI\CNWI-ENGI-0016  Introducción a Nuevos Productos .pdf</v>
      </c>
      <c r="C22" s="5" t="str">
        <f>MID(B22,LEN(B22) - FIND(".",REVERSETEXT(B22))+2,1000)</f>
        <v>pdf</v>
      </c>
      <c r="D22" s="6">
        <v>4</v>
      </c>
      <c r="E22" s="7" t="s">
        <v>33</v>
      </c>
      <c r="F22" s="7" t="s">
        <v>22</v>
      </c>
      <c r="G22" s="8" t="s">
        <v>60</v>
      </c>
      <c r="H22" s="8">
        <v>4</v>
      </c>
      <c r="I22" s="8"/>
      <c r="J22" s="8"/>
      <c r="K22" s="8"/>
      <c r="L22" s="8"/>
      <c r="M22" s="7" t="s">
        <v>22</v>
      </c>
      <c r="N22" s="7" t="s">
        <v>1459</v>
      </c>
      <c r="O22" s="9">
        <v>41162</v>
      </c>
      <c r="P22" s="7" t="s">
        <v>159</v>
      </c>
      <c r="Q22" s="9" t="s">
        <v>28</v>
      </c>
      <c r="R22" s="7" t="s">
        <v>1460</v>
      </c>
      <c r="S22" s="8" t="s">
        <v>1461</v>
      </c>
      <c r="T22" s="7"/>
      <c r="U22" s="7"/>
      <c r="V22" s="7"/>
    </row>
    <row r="23" spans="1:22" s="4" customFormat="1" ht="13.9" customHeight="1">
      <c r="A23" s="5" t="s">
        <v>1909</v>
      </c>
      <c r="B23" s="5" t="str">
        <f>GetAddress(A23)</f>
        <v>\\chno0276\Aseguranza de Calidad\Control de Documentos\Doc. controlados PDF\Instructivos\CNWI-ENGI\CNWI-ENGI-0017 Inserción Automática de Contactos en Remachadoras.pdf</v>
      </c>
      <c r="C23" s="5" t="str">
        <f>MID(B23,LEN(B23) - FIND(".",REVERSETEXT(B23))+2,1000)</f>
        <v>pdf</v>
      </c>
      <c r="D23" s="6">
        <v>4</v>
      </c>
      <c r="E23" s="7" t="s">
        <v>33</v>
      </c>
      <c r="F23" s="7" t="s">
        <v>22</v>
      </c>
      <c r="G23" s="8" t="s">
        <v>60</v>
      </c>
      <c r="H23" s="8">
        <v>4</v>
      </c>
      <c r="I23" s="8"/>
      <c r="J23" s="8"/>
      <c r="K23" s="8"/>
      <c r="L23" s="8"/>
      <c r="M23" s="7" t="s">
        <v>22</v>
      </c>
      <c r="N23" s="7" t="s">
        <v>1910</v>
      </c>
      <c r="O23" s="9">
        <v>40778</v>
      </c>
      <c r="P23" s="7" t="s">
        <v>46</v>
      </c>
      <c r="Q23" s="9" t="s">
        <v>28</v>
      </c>
      <c r="R23" s="7" t="s">
        <v>1887</v>
      </c>
      <c r="S23" s="8" t="s">
        <v>1888</v>
      </c>
      <c r="T23" s="7"/>
      <c r="U23" s="7"/>
      <c r="V23" s="7"/>
    </row>
    <row r="24" spans="1:22" s="14" customFormat="1">
      <c r="A24" s="5" t="s">
        <v>1911</v>
      </c>
      <c r="B24" s="5" t="str">
        <f>GetAddress(A24)</f>
        <v>\\chno0276\Aseguranza de Calidad\Control de Documentos\Doc. controlados PDF\Instructivos\CNWI-ENGI\CNWI-ENGI-0018 Perforación de Riel y Lifter con Taladros Modelos   8716- 97908-36640-86498-36632.pdf</v>
      </c>
      <c r="C24" s="5" t="str">
        <f>MID(B24,LEN(B24) - FIND(".",REVERSETEXT(B24))+2,1000)</f>
        <v>pdf</v>
      </c>
      <c r="D24" s="6">
        <v>4</v>
      </c>
      <c r="E24" s="7" t="s">
        <v>33</v>
      </c>
      <c r="F24" s="7" t="s">
        <v>22</v>
      </c>
      <c r="G24" s="8" t="s">
        <v>60</v>
      </c>
      <c r="H24" s="8">
        <v>4</v>
      </c>
      <c r="I24" s="8"/>
      <c r="J24" s="8"/>
      <c r="K24" s="8"/>
      <c r="L24" s="8"/>
      <c r="M24" s="7" t="s">
        <v>22</v>
      </c>
      <c r="N24" s="7" t="s">
        <v>1912</v>
      </c>
      <c r="O24" s="9">
        <v>40659</v>
      </c>
      <c r="P24" s="7" t="s">
        <v>27</v>
      </c>
      <c r="Q24" s="9" t="s">
        <v>28</v>
      </c>
      <c r="R24" s="7" t="s">
        <v>1887</v>
      </c>
      <c r="S24" s="8" t="s">
        <v>1888</v>
      </c>
      <c r="T24" s="7"/>
      <c r="U24" s="7"/>
      <c r="V24" s="7"/>
    </row>
    <row r="25" spans="1:22" s="14" customFormat="1">
      <c r="A25" s="5" t="s">
        <v>1913</v>
      </c>
      <c r="B25" s="5" t="str">
        <f>GetAddress(A25)</f>
        <v>\\chno0276\Aseguranza de Calidad\Control de Documentos\Doc. controlados PDF\Instructivos\CNWI-ENGI\CNWI-ENGI-0019 Despoje de insulación de cable en Máquina Schleuniger 2600 y5400.pdf</v>
      </c>
      <c r="C25" s="5" t="str">
        <f>MID(B25,LEN(B25) - FIND(".",REVERSETEXT(B25))+2,1000)</f>
        <v>pdf</v>
      </c>
      <c r="D25" s="6">
        <v>4</v>
      </c>
      <c r="E25" s="7" t="s">
        <v>33</v>
      </c>
      <c r="F25" s="7" t="s">
        <v>22</v>
      </c>
      <c r="G25" s="8" t="s">
        <v>60</v>
      </c>
      <c r="H25" s="8">
        <v>4</v>
      </c>
      <c r="I25" s="8"/>
      <c r="J25" s="8"/>
      <c r="K25" s="8"/>
      <c r="L25" s="8"/>
      <c r="M25" s="7" t="s">
        <v>22</v>
      </c>
      <c r="N25" s="7" t="s">
        <v>1914</v>
      </c>
      <c r="O25" s="9">
        <v>40648</v>
      </c>
      <c r="P25" s="7" t="s">
        <v>27</v>
      </c>
      <c r="Q25" s="9" t="s">
        <v>28</v>
      </c>
      <c r="R25" s="7" t="s">
        <v>1887</v>
      </c>
      <c r="S25" s="8" t="s">
        <v>1888</v>
      </c>
      <c r="T25" s="7"/>
      <c r="U25" s="7"/>
      <c r="V25" s="7"/>
    </row>
    <row r="26" spans="1:22" s="14" customFormat="1">
      <c r="A26" s="5" t="s">
        <v>1915</v>
      </c>
      <c r="B26" s="5" t="str">
        <f>GetAddress(A26)</f>
        <v>\\chno0276\Aseguranza de Calidad\Control de Documentos\Doc. controlados PDF\Instructivos\CNWI-ENGI\CNWI-ENGI-0020 Despoje de insulación de cable en Máquina SCHLEUNIGER US2500.pdf</v>
      </c>
      <c r="C26" s="5" t="str">
        <f>MID(B26,LEN(B26) - FIND(".",REVERSETEXT(B26))+2,1000)</f>
        <v>pdf</v>
      </c>
      <c r="D26" s="6">
        <v>4</v>
      </c>
      <c r="E26" s="7" t="s">
        <v>33</v>
      </c>
      <c r="F26" s="7" t="s">
        <v>22</v>
      </c>
      <c r="G26" s="8" t="s">
        <v>60</v>
      </c>
      <c r="H26" s="8">
        <v>4</v>
      </c>
      <c r="I26" s="8"/>
      <c r="J26" s="8"/>
      <c r="K26" s="8"/>
      <c r="L26" s="8"/>
      <c r="M26" s="7" t="s">
        <v>22</v>
      </c>
      <c r="N26" s="7" t="s">
        <v>1916</v>
      </c>
      <c r="O26" s="9">
        <v>40648</v>
      </c>
      <c r="P26" s="7" t="s">
        <v>27</v>
      </c>
      <c r="Q26" s="9" t="s">
        <v>28</v>
      </c>
      <c r="R26" s="7" t="s">
        <v>1887</v>
      </c>
      <c r="S26" s="8" t="s">
        <v>1888</v>
      </c>
      <c r="T26" s="7"/>
      <c r="U26" s="7"/>
      <c r="V26" s="7"/>
    </row>
    <row r="27" spans="1:22" s="14" customFormat="1">
      <c r="A27" s="5" t="s">
        <v>1917</v>
      </c>
      <c r="B27" s="5" t="str">
        <f>GetAddress(A27)</f>
        <v>\\chno0276\Aseguranza de Calidad\Control de Documentos\Doc. controlados PDF\Instructivos\CNWI-ENGI\CNWI-ENGI-0021 Despoje de insulacion de cable en maquina Komax delta 50.pdf</v>
      </c>
      <c r="C27" s="5" t="str">
        <f>MID(B27,LEN(B27) - FIND(".",REVERSETEXT(B27))+2,1000)</f>
        <v>pdf</v>
      </c>
      <c r="D27" s="6">
        <v>4</v>
      </c>
      <c r="E27" s="7" t="s">
        <v>33</v>
      </c>
      <c r="F27" s="7" t="s">
        <v>22</v>
      </c>
      <c r="G27" s="8" t="s">
        <v>60</v>
      </c>
      <c r="H27" s="8">
        <v>4</v>
      </c>
      <c r="I27" s="8"/>
      <c r="J27" s="8"/>
      <c r="K27" s="8"/>
      <c r="L27" s="8"/>
      <c r="M27" s="7" t="s">
        <v>22</v>
      </c>
      <c r="N27" s="7" t="s">
        <v>1918</v>
      </c>
      <c r="O27" s="9">
        <v>40651</v>
      </c>
      <c r="P27" s="7" t="s">
        <v>27</v>
      </c>
      <c r="Q27" s="9" t="s">
        <v>28</v>
      </c>
      <c r="R27" s="7" t="s">
        <v>1887</v>
      </c>
      <c r="S27" s="8" t="s">
        <v>1888</v>
      </c>
      <c r="T27" s="7"/>
      <c r="U27" s="7"/>
      <c r="V27" s="7"/>
    </row>
    <row r="28" spans="1:22" s="14" customFormat="1">
      <c r="A28" s="5" t="s">
        <v>1919</v>
      </c>
      <c r="B28" s="5" t="str">
        <f>GetAddress(A28)</f>
        <v>\\chno0276\Aseguranza de Calidad\Control de Documentos\Doc. controlados PDF\Instructivos\CNWI-ENGI\CNWI-ENGI-0022 Remache de terminales en maquina remachadora AMP.pdf</v>
      </c>
      <c r="C28" s="5" t="str">
        <f>MID(B28,LEN(B28) - FIND(".",REVERSETEXT(B28))+2,1000)</f>
        <v>pdf</v>
      </c>
      <c r="D28" s="6">
        <v>4</v>
      </c>
      <c r="E28" s="7" t="s">
        <v>33</v>
      </c>
      <c r="F28" s="7" t="s">
        <v>22</v>
      </c>
      <c r="G28" s="8" t="s">
        <v>60</v>
      </c>
      <c r="H28" s="8">
        <v>4</v>
      </c>
      <c r="I28" s="8"/>
      <c r="J28" s="8"/>
      <c r="K28" s="8"/>
      <c r="L28" s="8"/>
      <c r="M28" s="7" t="s">
        <v>22</v>
      </c>
      <c r="N28" s="7" t="s">
        <v>1920</v>
      </c>
      <c r="O28" s="9">
        <v>40654</v>
      </c>
      <c r="P28" s="7" t="s">
        <v>27</v>
      </c>
      <c r="Q28" s="9" t="s">
        <v>28</v>
      </c>
      <c r="R28" s="7" t="s">
        <v>1887</v>
      </c>
      <c r="S28" s="8" t="s">
        <v>1888</v>
      </c>
      <c r="T28" s="7"/>
      <c r="U28" s="7"/>
      <c r="V28" s="7"/>
    </row>
    <row r="29" spans="1:22" s="14" customFormat="1">
      <c r="A29" s="5" t="s">
        <v>1921</v>
      </c>
      <c r="B29" s="5" t="str">
        <f>GetAddress(A29)</f>
        <v>\\chno0276\Aseguranza de Calidad\Control de Documentos\Doc. controlados PDF\Instructivos\CNWI-ENGI\CNWI-ENGI-0023 Estampado en maquina Jan-Tech.pdf</v>
      </c>
      <c r="C29" s="5" t="str">
        <f>MID(B29,LEN(B29) - FIND(".",REVERSETEXT(B29))+2,1000)</f>
        <v>pdf</v>
      </c>
      <c r="D29" s="6">
        <v>4</v>
      </c>
      <c r="E29" s="7" t="s">
        <v>33</v>
      </c>
      <c r="F29" s="7" t="s">
        <v>22</v>
      </c>
      <c r="G29" s="8" t="s">
        <v>60</v>
      </c>
      <c r="H29" s="8">
        <v>4</v>
      </c>
      <c r="I29" s="8"/>
      <c r="J29" s="8"/>
      <c r="K29" s="8"/>
      <c r="L29" s="8"/>
      <c r="M29" s="7" t="s">
        <v>22</v>
      </c>
      <c r="N29" s="7" t="s">
        <v>1922</v>
      </c>
      <c r="O29" s="9">
        <v>40653</v>
      </c>
      <c r="P29" s="7" t="s">
        <v>27</v>
      </c>
      <c r="Q29" s="9" t="s">
        <v>28</v>
      </c>
      <c r="R29" s="7" t="s">
        <v>1887</v>
      </c>
      <c r="S29" s="8" t="s">
        <v>1888</v>
      </c>
      <c r="T29" s="7"/>
      <c r="U29" s="7"/>
      <c r="V29" s="7"/>
    </row>
    <row r="30" spans="1:22" s="14" customFormat="1">
      <c r="A30" s="5" t="s">
        <v>1923</v>
      </c>
      <c r="B30" s="5" t="str">
        <f>GetAddress(A30)</f>
        <v>\\chno0276\Aseguranza de Calidad\Control de Documentos\Doc. controlados PDF\Instructivos\CNWI-ENGI\CNWI-ENGI-0024 Prueba Eléctrica  CABLE EYE.pdf</v>
      </c>
      <c r="C30" s="5" t="str">
        <f>MID(B30,LEN(B30) - FIND(".",REVERSETEXT(B30))+2,1000)</f>
        <v>pdf</v>
      </c>
      <c r="D30" s="6">
        <v>4</v>
      </c>
      <c r="E30" s="7" t="s">
        <v>33</v>
      </c>
      <c r="F30" s="7" t="s">
        <v>22</v>
      </c>
      <c r="G30" s="8" t="s">
        <v>60</v>
      </c>
      <c r="H30" s="8">
        <v>4</v>
      </c>
      <c r="I30" s="8"/>
      <c r="J30" s="8"/>
      <c r="K30" s="8"/>
      <c r="L30" s="8"/>
      <c r="M30" s="7" t="s">
        <v>22</v>
      </c>
      <c r="N30" s="7" t="s">
        <v>1924</v>
      </c>
      <c r="O30" s="9">
        <v>40658</v>
      </c>
      <c r="P30" s="7" t="s">
        <v>27</v>
      </c>
      <c r="Q30" s="9" t="s">
        <v>28</v>
      </c>
      <c r="R30" s="7" t="s">
        <v>1887</v>
      </c>
      <c r="S30" s="8" t="s">
        <v>1888</v>
      </c>
      <c r="T30" s="7"/>
      <c r="U30" s="7"/>
      <c r="V30" s="7"/>
    </row>
    <row r="31" spans="1:22" s="14" customFormat="1">
      <c r="A31" s="5" t="s">
        <v>1925</v>
      </c>
      <c r="B31" s="5" t="str">
        <f>GetAddress(A31)</f>
        <v>\\chno0276\Aseguranza de Calidad\Control de Documentos\Doc. controlados PDF\Instructivos\CNWI-ENGI\CNWI-ENGI-0025 Prueba de Fuga de Aire  en Máquina QT-11179-A.pdf</v>
      </c>
      <c r="C31" s="5" t="str">
        <f>MID(B31,LEN(B31) - FIND(".",REVERSETEXT(B31))+2,1000)</f>
        <v>pdf</v>
      </c>
      <c r="D31" s="6">
        <v>4</v>
      </c>
      <c r="E31" s="7" t="s">
        <v>33</v>
      </c>
      <c r="F31" s="7" t="s">
        <v>22</v>
      </c>
      <c r="G31" s="8" t="s">
        <v>60</v>
      </c>
      <c r="H31" s="8">
        <v>4</v>
      </c>
      <c r="I31" s="8"/>
      <c r="J31" s="8"/>
      <c r="K31" s="8"/>
      <c r="L31" s="8"/>
      <c r="M31" s="7" t="s">
        <v>22</v>
      </c>
      <c r="N31" s="7" t="s">
        <v>1926</v>
      </c>
      <c r="O31" s="9">
        <v>40658</v>
      </c>
      <c r="P31" s="7" t="s">
        <v>27</v>
      </c>
      <c r="Q31" s="9" t="s">
        <v>28</v>
      </c>
      <c r="R31" s="7" t="s">
        <v>1887</v>
      </c>
      <c r="S31" s="8" t="s">
        <v>1888</v>
      </c>
      <c r="T31" s="7"/>
      <c r="U31" s="7"/>
      <c r="V31" s="7"/>
    </row>
    <row r="32" spans="1:22" s="14" customFormat="1">
      <c r="A32" s="5" t="s">
        <v>1927</v>
      </c>
      <c r="B32" s="5" t="str">
        <f>GetAddress(A32)</f>
        <v>\\chno0276\Aseguranza de Calidad\Control de Documentos\Doc. controlados PDF\Instructivos\CNWI-ENGI\CNWI-ENGI-0026 Estampado en Máquina Pad Printer.pdf</v>
      </c>
      <c r="C32" s="5" t="str">
        <f>MID(B32,LEN(B32) - FIND(".",REVERSETEXT(B32))+2,1000)</f>
        <v>pdf</v>
      </c>
      <c r="D32" s="6">
        <v>4</v>
      </c>
      <c r="E32" s="7" t="s">
        <v>33</v>
      </c>
      <c r="F32" s="7" t="s">
        <v>22</v>
      </c>
      <c r="G32" s="8" t="s">
        <v>60</v>
      </c>
      <c r="H32" s="8">
        <v>4</v>
      </c>
      <c r="I32" s="8"/>
      <c r="J32" s="8"/>
      <c r="K32" s="8"/>
      <c r="L32" s="8"/>
      <c r="M32" s="7" t="s">
        <v>22</v>
      </c>
      <c r="N32" s="7" t="s">
        <v>1928</v>
      </c>
      <c r="O32" s="9">
        <v>40731</v>
      </c>
      <c r="P32" s="7" t="s">
        <v>46</v>
      </c>
      <c r="Q32" s="9" t="s">
        <v>28</v>
      </c>
      <c r="R32" s="7" t="s">
        <v>1887</v>
      </c>
      <c r="S32" s="8" t="s">
        <v>1888</v>
      </c>
      <c r="T32" s="7"/>
      <c r="U32" s="7"/>
      <c r="V32" s="7"/>
    </row>
    <row r="33" spans="1:22" s="14" customFormat="1">
      <c r="A33" s="5" t="s">
        <v>1929</v>
      </c>
      <c r="B33" s="5" t="str">
        <f>GetAddress(A33)</f>
        <v>\\chno0276\Control de Documentos\Doc. controlados PDF\Instructivos\CNWI-ENGI\CNWI-ENGI-0027 Curado de partes en Hornos Num  21 25 24 27 22.pdf</v>
      </c>
      <c r="C33" s="5" t="str">
        <f>MID(B33,LEN(B33) - FIND(".",REVERSETEXT(B33))+2,1000)</f>
        <v>pdf</v>
      </c>
      <c r="D33" s="6">
        <v>4</v>
      </c>
      <c r="E33" s="7" t="s">
        <v>33</v>
      </c>
      <c r="F33" s="7" t="s">
        <v>22</v>
      </c>
      <c r="G33" s="8" t="s">
        <v>60</v>
      </c>
      <c r="H33" s="8">
        <v>4</v>
      </c>
      <c r="I33" s="8"/>
      <c r="J33" s="8"/>
      <c r="K33" s="8"/>
      <c r="L33" s="8"/>
      <c r="M33" s="7" t="s">
        <v>22</v>
      </c>
      <c r="N33" s="7" t="s">
        <v>1930</v>
      </c>
      <c r="O33" s="9">
        <v>40665</v>
      </c>
      <c r="P33" s="7" t="s">
        <v>27</v>
      </c>
      <c r="Q33" s="9" t="s">
        <v>28</v>
      </c>
      <c r="R33" s="7" t="s">
        <v>1887</v>
      </c>
      <c r="S33" s="8" t="s">
        <v>1888</v>
      </c>
      <c r="T33" s="7"/>
      <c r="U33" s="7"/>
      <c r="V33" s="7"/>
    </row>
    <row r="34" spans="1:22" s="14" customFormat="1">
      <c r="A34" s="5" t="s">
        <v>1931</v>
      </c>
      <c r="B34" s="5" t="str">
        <f>GetAddress(A34)</f>
        <v>\\chno0276\Aseguranza de Calidad\Control de Documentos\Doc. controlados PDF\Instructivos\CNWI-ENGI\CNWI-ENGI-0028 Grabado de Placas  Máquina HERMES VANGUARD XM.pdf</v>
      </c>
      <c r="C34" s="5" t="str">
        <f>MID(B34,LEN(B34) - FIND(".",REVERSETEXT(B34))+2,1000)</f>
        <v>pdf</v>
      </c>
      <c r="D34" s="6">
        <v>4</v>
      </c>
      <c r="E34" s="7" t="s">
        <v>33</v>
      </c>
      <c r="F34" s="7" t="s">
        <v>22</v>
      </c>
      <c r="G34" s="8" t="s">
        <v>60</v>
      </c>
      <c r="H34" s="8">
        <v>4</v>
      </c>
      <c r="I34" s="8"/>
      <c r="J34" s="8"/>
      <c r="K34" s="8"/>
      <c r="L34" s="8"/>
      <c r="M34" s="7" t="s">
        <v>22</v>
      </c>
      <c r="N34" s="7" t="s">
        <v>1932</v>
      </c>
      <c r="O34" s="9">
        <v>40668</v>
      </c>
      <c r="P34" s="7" t="s">
        <v>27</v>
      </c>
      <c r="Q34" s="9" t="s">
        <v>28</v>
      </c>
      <c r="R34" s="7" t="s">
        <v>1887</v>
      </c>
      <c r="S34" s="8" t="s">
        <v>1888</v>
      </c>
      <c r="T34" s="7"/>
      <c r="U34" s="7"/>
      <c r="V34" s="7"/>
    </row>
    <row r="35" spans="1:22" s="14" customFormat="1">
      <c r="A35" s="5" t="s">
        <v>1933</v>
      </c>
      <c r="B35" s="5" t="str">
        <f>GetAddress(A35)</f>
        <v>\\chno0276\Aseguranza de Calidad\Control de Documentos\Doc. controlados PDF\Instructivos\CNWI-ENGI\CNWI-ENGI-0029 Preparación de Pintura para Máquina de estampado Pad Printer.pdf</v>
      </c>
      <c r="C35" s="5" t="str">
        <f>MID(B35,LEN(B35) - FIND(".",REVERSETEXT(B35))+2,1000)</f>
        <v>pdf</v>
      </c>
      <c r="D35" s="6">
        <v>4</v>
      </c>
      <c r="E35" s="7" t="s">
        <v>33</v>
      </c>
      <c r="F35" s="7" t="s">
        <v>22</v>
      </c>
      <c r="G35" s="8" t="s">
        <v>60</v>
      </c>
      <c r="H35" s="8">
        <v>4</v>
      </c>
      <c r="I35" s="8"/>
      <c r="J35" s="8"/>
      <c r="K35" s="8"/>
      <c r="L35" s="8"/>
      <c r="M35" s="7" t="s">
        <v>22</v>
      </c>
      <c r="N35" s="7" t="s">
        <v>1934</v>
      </c>
      <c r="O35" s="9">
        <v>40666</v>
      </c>
      <c r="P35" s="7" t="s">
        <v>27</v>
      </c>
      <c r="Q35" s="9" t="s">
        <v>28</v>
      </c>
      <c r="R35" s="7" t="s">
        <v>1887</v>
      </c>
      <c r="S35" s="8" t="s">
        <v>1888</v>
      </c>
      <c r="T35" s="7"/>
      <c r="U35" s="7"/>
      <c r="V35" s="7"/>
    </row>
    <row r="36" spans="1:22" s="14" customFormat="1">
      <c r="A36" s="5" t="s">
        <v>1935</v>
      </c>
      <c r="B36" s="5" t="str">
        <f>GetAddress(A36)</f>
        <v>\\chno0276\Aseguranza de Calidad\Control de Documentos\Doc. controlados PDF\Instructivos\CNWI-ENGI\CNWI-ENGI-0030 Máquina Trituradora de Material.pdf</v>
      </c>
      <c r="C36" s="5" t="str">
        <f>MID(B36,LEN(B36) - FIND(".",REVERSETEXT(B36))+2,1000)</f>
        <v>pdf</v>
      </c>
      <c r="D36" s="6">
        <v>4</v>
      </c>
      <c r="E36" s="7" t="s">
        <v>33</v>
      </c>
      <c r="F36" s="7" t="s">
        <v>22</v>
      </c>
      <c r="G36" s="8" t="s">
        <v>60</v>
      </c>
      <c r="H36" s="8">
        <v>4</v>
      </c>
      <c r="I36" s="8"/>
      <c r="J36" s="8"/>
      <c r="K36" s="8"/>
      <c r="L36" s="8"/>
      <c r="M36" s="7" t="s">
        <v>22</v>
      </c>
      <c r="N36" s="7" t="s">
        <v>1936</v>
      </c>
      <c r="O36" s="9">
        <v>40675</v>
      </c>
      <c r="P36" s="7" t="s">
        <v>27</v>
      </c>
      <c r="Q36" s="9" t="s">
        <v>28</v>
      </c>
      <c r="R36" s="7" t="s">
        <v>1887</v>
      </c>
      <c r="S36" s="8" t="s">
        <v>1888</v>
      </c>
      <c r="T36" s="7"/>
      <c r="U36" s="7"/>
      <c r="V36" s="7"/>
    </row>
    <row r="37" spans="1:22" s="14" customFormat="1">
      <c r="A37" s="5" t="s">
        <v>1937</v>
      </c>
      <c r="B37" s="5" t="str">
        <f>GetAddress(A37)</f>
        <v>\\chno0276\Aseguranza de Calidad\Control de Documentos\Doc. controlados PDF\Instructivos\CNWI-PRCS\CNWI-PRCS-0003 Instructivo de compras.pdf</v>
      </c>
      <c r="C37" s="5" t="str">
        <f>MID(B37,LEN(B37) - FIND(".",REVERSETEXT(B37))+2,1000)</f>
        <v>pdf</v>
      </c>
      <c r="D37" s="6">
        <v>4</v>
      </c>
      <c r="E37" s="7" t="s">
        <v>33</v>
      </c>
      <c r="F37" s="7" t="s">
        <v>22</v>
      </c>
      <c r="G37" s="8" t="s">
        <v>60</v>
      </c>
      <c r="H37" s="8">
        <v>4</v>
      </c>
      <c r="I37" s="8"/>
      <c r="J37" s="8"/>
      <c r="K37" s="8"/>
      <c r="L37" s="8"/>
      <c r="M37" s="7" t="s">
        <v>22</v>
      </c>
      <c r="N37" s="7" t="s">
        <v>1938</v>
      </c>
      <c r="O37" s="9">
        <v>40686</v>
      </c>
      <c r="P37" s="7" t="s">
        <v>27</v>
      </c>
      <c r="Q37" s="9" t="s">
        <v>28</v>
      </c>
      <c r="R37" s="7" t="s">
        <v>1887</v>
      </c>
      <c r="S37" s="8" t="s">
        <v>1888</v>
      </c>
      <c r="T37" s="7"/>
      <c r="U37" s="7"/>
      <c r="V37" s="7"/>
    </row>
    <row r="38" spans="1:22" s="14" customFormat="1">
      <c r="A38" s="5" t="s">
        <v>1939</v>
      </c>
      <c r="B38" s="5" t="str">
        <f>GetAddress(A38)</f>
        <v>\\chno0276\Aseguranza de Calidad\Control de Documentos\Doc. controlados PDF\Instructivos\CNWI-PRCS\CNWI-PRCS-0003 Instructivo de compras.pdf</v>
      </c>
      <c r="C38" s="5" t="str">
        <f>MID(B38,LEN(B38) - FIND(".",REVERSETEXT(B38))+2,1000)</f>
        <v>pdf</v>
      </c>
      <c r="D38" s="6">
        <v>4</v>
      </c>
      <c r="E38" s="7" t="s">
        <v>33</v>
      </c>
      <c r="F38" s="7" t="s">
        <v>22</v>
      </c>
      <c r="G38" s="8" t="s">
        <v>60</v>
      </c>
      <c r="H38" s="8">
        <v>4</v>
      </c>
      <c r="I38" s="8"/>
      <c r="J38" s="8"/>
      <c r="K38" s="8"/>
      <c r="L38" s="8"/>
      <c r="M38" s="7" t="s">
        <v>22</v>
      </c>
      <c r="N38" s="7" t="s">
        <v>1940</v>
      </c>
      <c r="O38" s="9">
        <v>40675</v>
      </c>
      <c r="P38" s="7" t="s">
        <v>27</v>
      </c>
      <c r="Q38" s="9" t="s">
        <v>28</v>
      </c>
      <c r="R38" s="7" t="s">
        <v>1887</v>
      </c>
      <c r="S38" s="8" t="s">
        <v>1888</v>
      </c>
      <c r="T38" s="7"/>
      <c r="U38" s="7"/>
      <c r="V38" s="7"/>
    </row>
    <row r="39" spans="1:22" s="14" customFormat="1">
      <c r="A39" s="5" t="s">
        <v>1941</v>
      </c>
      <c r="B39" s="5" t="str">
        <f>GetAddress(A39)</f>
        <v>\\chno0276\Aseguranza de Calidad\Control de Documentos\Doc. controlados PDF\Instructivos\CNWI-ENGI\CNWI-ENGI-0033 Maquina Dispensadora de Epoxy SHOT GUN.pdf</v>
      </c>
      <c r="C39" s="5" t="str">
        <f>MID(B39,LEN(B39) - FIND(".",REVERSETEXT(B39))+2,1000)</f>
        <v>pdf</v>
      </c>
      <c r="D39" s="6">
        <v>4</v>
      </c>
      <c r="E39" s="7" t="s">
        <v>33</v>
      </c>
      <c r="F39" s="7" t="s">
        <v>22</v>
      </c>
      <c r="G39" s="8" t="s">
        <v>60</v>
      </c>
      <c r="H39" s="8">
        <v>4</v>
      </c>
      <c r="I39" s="8"/>
      <c r="J39" s="8"/>
      <c r="K39" s="8"/>
      <c r="L39" s="8"/>
      <c r="M39" s="7" t="s">
        <v>22</v>
      </c>
      <c r="N39" s="7" t="s">
        <v>1942</v>
      </c>
      <c r="O39" s="9">
        <v>40687</v>
      </c>
      <c r="P39" s="7" t="s">
        <v>27</v>
      </c>
      <c r="Q39" s="9" t="s">
        <v>28</v>
      </c>
      <c r="R39" s="7" t="s">
        <v>1887</v>
      </c>
      <c r="S39" s="8" t="s">
        <v>1888</v>
      </c>
      <c r="T39" s="7"/>
      <c r="U39" s="7"/>
      <c r="V39" s="7"/>
    </row>
    <row r="40" spans="1:22" s="14" customFormat="1">
      <c r="A40" s="5" t="s">
        <v>64</v>
      </c>
      <c r="B40" s="5" t="str">
        <f>GetAddress(A40)</f>
        <v>\\chno0276\Aseguranza de Calidad\Control de Documentos\Doc. controlados PDF\Instructivos\CNWI-ENGI\CNWI-ENGI-0034 Elaboracion de routing.pdf</v>
      </c>
      <c r="C40" s="5" t="str">
        <f>MID(B40,LEN(B40) - FIND(".",REVERSETEXT(B40))+2,1000)</f>
        <v>pdf</v>
      </c>
      <c r="D40" s="6">
        <v>4</v>
      </c>
      <c r="E40" s="7" t="s">
        <v>33</v>
      </c>
      <c r="F40" s="7" t="s">
        <v>22</v>
      </c>
      <c r="G40" s="8" t="s">
        <v>60</v>
      </c>
      <c r="H40" s="8">
        <v>4</v>
      </c>
      <c r="I40" s="8"/>
      <c r="J40" s="8"/>
      <c r="K40" s="8"/>
      <c r="L40" s="8"/>
      <c r="M40" s="7" t="s">
        <v>22</v>
      </c>
      <c r="N40" s="7" t="s">
        <v>65</v>
      </c>
      <c r="O40" s="9">
        <v>40717</v>
      </c>
      <c r="P40" s="7" t="s">
        <v>46</v>
      </c>
      <c r="Q40" s="9" t="s">
        <v>28</v>
      </c>
      <c r="R40" s="7" t="s">
        <v>62</v>
      </c>
      <c r="S40" s="8" t="s">
        <v>63</v>
      </c>
      <c r="T40" s="7"/>
      <c r="U40" s="7"/>
      <c r="V40" s="7"/>
    </row>
    <row r="41" spans="1:22" s="14" customFormat="1">
      <c r="A41" s="5" t="s">
        <v>1943</v>
      </c>
      <c r="B41" s="5" t="str">
        <f>GetAddress(A41)</f>
        <v>\\chno0276\Aseguranza de Calidad\Control de Documentos\Doc. controlados PDF\Instructivos\CNWI-ENGI\CNWI-ENGI-0035 Maquina SCHLEUNIGER EcoStrip 9300.pdf</v>
      </c>
      <c r="C41" s="5" t="str">
        <f>MID(B41,LEN(B41) - FIND(".",REVERSETEXT(B41))+2,1000)</f>
        <v>pdf</v>
      </c>
      <c r="D41" s="6">
        <v>4</v>
      </c>
      <c r="E41" s="7" t="s">
        <v>33</v>
      </c>
      <c r="F41" s="7" t="s">
        <v>22</v>
      </c>
      <c r="G41" s="8" t="s">
        <v>60</v>
      </c>
      <c r="H41" s="8">
        <v>4</v>
      </c>
      <c r="I41" s="8"/>
      <c r="J41" s="8"/>
      <c r="K41" s="8"/>
      <c r="L41" s="8"/>
      <c r="M41" s="7" t="s">
        <v>22</v>
      </c>
      <c r="N41" s="7" t="s">
        <v>1944</v>
      </c>
      <c r="O41" s="9">
        <v>40723</v>
      </c>
      <c r="P41" s="7" t="s">
        <v>46</v>
      </c>
      <c r="Q41" s="9" t="s">
        <v>28</v>
      </c>
      <c r="R41" s="7" t="s">
        <v>1887</v>
      </c>
      <c r="S41" s="8" t="s">
        <v>1888</v>
      </c>
      <c r="T41" s="7"/>
      <c r="U41" s="7"/>
      <c r="V41" s="7"/>
    </row>
    <row r="42" spans="1:22" s="14" customFormat="1">
      <c r="A42" s="5" t="s">
        <v>1945</v>
      </c>
      <c r="B42" s="5" t="str">
        <f>GetAddress(A42)</f>
        <v>\\chno0276\Aseguranza de Calidad\Control de Documentos\Doc. controlados PDF\Instructivos\CNWI-ENGI\CNWI-ENGI-0036 Maquina Dispensadora Mezcladara de Epoxy DTIC.pdf</v>
      </c>
      <c r="C42" s="5" t="str">
        <f>MID(B42,LEN(B42) - FIND(".",REVERSETEXT(B42))+2,1000)</f>
        <v>pdf</v>
      </c>
      <c r="D42" s="6">
        <v>4</v>
      </c>
      <c r="E42" s="7" t="s">
        <v>33</v>
      </c>
      <c r="F42" s="7" t="s">
        <v>22</v>
      </c>
      <c r="G42" s="8" t="s">
        <v>60</v>
      </c>
      <c r="H42" s="8">
        <v>4</v>
      </c>
      <c r="I42" s="8"/>
      <c r="J42" s="8"/>
      <c r="K42" s="8"/>
      <c r="L42" s="8"/>
      <c r="M42" s="7" t="s">
        <v>22</v>
      </c>
      <c r="N42" s="7" t="s">
        <v>1946</v>
      </c>
      <c r="O42" s="9">
        <v>40687</v>
      </c>
      <c r="P42" s="7" t="s">
        <v>27</v>
      </c>
      <c r="Q42" s="9" t="s">
        <v>28</v>
      </c>
      <c r="R42" s="7" t="s">
        <v>1887</v>
      </c>
      <c r="S42" s="8" t="s">
        <v>1888</v>
      </c>
      <c r="T42" s="7"/>
      <c r="U42" s="7"/>
      <c r="V42" s="7"/>
    </row>
    <row r="43" spans="1:22" s="14" customFormat="1">
      <c r="A43" s="5" t="s">
        <v>1947</v>
      </c>
      <c r="B43" s="5" t="str">
        <f>GetAddress(A43)</f>
        <v>\\chno0276\Aseguranza de Calidad\Control de Documentos\Doc. controlados PDF\Instructivos\CNWI-ENGI\CNWI-ENGI-0037 Dispensadora de Epoxy EFD 1000 XL.pdf</v>
      </c>
      <c r="C43" s="5" t="str">
        <f>MID(B43,LEN(B43) - FIND(".",REVERSETEXT(B43))+2,1000)</f>
        <v>pdf</v>
      </c>
      <c r="D43" s="6">
        <v>4</v>
      </c>
      <c r="E43" s="7" t="s">
        <v>33</v>
      </c>
      <c r="F43" s="7" t="s">
        <v>22</v>
      </c>
      <c r="G43" s="8" t="s">
        <v>60</v>
      </c>
      <c r="H43" s="8">
        <v>4</v>
      </c>
      <c r="I43" s="8"/>
      <c r="J43" s="8"/>
      <c r="K43" s="8"/>
      <c r="L43" s="8"/>
      <c r="M43" s="7" t="s">
        <v>22</v>
      </c>
      <c r="N43" s="7" t="s">
        <v>1948</v>
      </c>
      <c r="O43" s="9">
        <v>40693</v>
      </c>
      <c r="P43" s="7" t="s">
        <v>27</v>
      </c>
      <c r="Q43" s="9" t="s">
        <v>28</v>
      </c>
      <c r="R43" s="7" t="s">
        <v>1887</v>
      </c>
      <c r="S43" s="8" t="s">
        <v>1888</v>
      </c>
      <c r="T43" s="7"/>
      <c r="U43" s="7"/>
      <c r="V43" s="7"/>
    </row>
    <row r="44" spans="1:22" s="16" customFormat="1">
      <c r="A44" s="5" t="s">
        <v>1949</v>
      </c>
      <c r="B44" s="5" t="str">
        <f>GetAddress(A44)</f>
        <v>\\chno0276\Aseguranza de Calidad\Control de Documentos\Doc. controlados PDF\Instructivos\CNWI-ENGI\CNWI-ENGI-0038 Llenado de cartuchos de epoxy.pdf</v>
      </c>
      <c r="C44" s="5" t="str">
        <f>MID(B44,LEN(B44) - FIND(".",REVERSETEXT(B44))+2,1000)</f>
        <v>pdf</v>
      </c>
      <c r="D44" s="6">
        <v>4</v>
      </c>
      <c r="E44" s="7" t="s">
        <v>33</v>
      </c>
      <c r="F44" s="7" t="s">
        <v>22</v>
      </c>
      <c r="G44" s="8" t="s">
        <v>60</v>
      </c>
      <c r="H44" s="8">
        <v>4</v>
      </c>
      <c r="I44" s="8"/>
      <c r="J44" s="8"/>
      <c r="K44" s="8"/>
      <c r="L44" s="8"/>
      <c r="M44" s="7" t="s">
        <v>22</v>
      </c>
      <c r="N44" s="7" t="s">
        <v>1950</v>
      </c>
      <c r="O44" s="9">
        <v>41144</v>
      </c>
      <c r="P44" s="7" t="s">
        <v>159</v>
      </c>
      <c r="Q44" s="9" t="s">
        <v>28</v>
      </c>
      <c r="R44" s="7" t="s">
        <v>1887</v>
      </c>
      <c r="S44" s="8" t="s">
        <v>1888</v>
      </c>
      <c r="T44" s="7"/>
      <c r="U44" s="7"/>
      <c r="V44" s="7"/>
    </row>
    <row r="45" spans="1:22">
      <c r="A45" s="5" t="s">
        <v>1951</v>
      </c>
      <c r="B45" s="5" t="str">
        <f>GetAddress(A45)</f>
        <v>\\chno0276\Aseguranza de Calidad\Control de Documentos\Doc. controlados PDF\Instructivos\CNWI-ENGI\CNWI-ENGI-0039 Lavado de Cartuchos de Epoxy en acetona.pdf</v>
      </c>
      <c r="C45" s="5" t="str">
        <f>MID(B45,LEN(B45) - FIND(".",REVERSETEXT(B45))+2,1000)</f>
        <v>pdf</v>
      </c>
      <c r="D45" s="6">
        <v>4</v>
      </c>
      <c r="E45" s="7" t="s">
        <v>33</v>
      </c>
      <c r="F45" s="7" t="s">
        <v>22</v>
      </c>
      <c r="G45" s="8" t="s">
        <v>60</v>
      </c>
      <c r="H45" s="8">
        <v>4</v>
      </c>
      <c r="I45" s="8"/>
      <c r="J45" s="8"/>
      <c r="K45" s="8"/>
      <c r="L45" s="8"/>
      <c r="M45" s="7" t="s">
        <v>22</v>
      </c>
      <c r="N45" s="7" t="s">
        <v>1952</v>
      </c>
      <c r="O45" s="9">
        <v>40815</v>
      </c>
      <c r="P45" s="7" t="s">
        <v>46</v>
      </c>
      <c r="Q45" s="9" t="s">
        <v>28</v>
      </c>
      <c r="R45" s="7" t="s">
        <v>1887</v>
      </c>
      <c r="S45" s="8" t="s">
        <v>1888</v>
      </c>
      <c r="T45" s="7"/>
      <c r="U45" s="7"/>
      <c r="V45" s="7"/>
    </row>
    <row r="46" spans="1:22">
      <c r="A46" s="5" t="s">
        <v>1953</v>
      </c>
      <c r="B46" s="5" t="str">
        <f>GetAddress(A46)</f>
        <v>\\chno0276\Aseguranza de Calidad\Control de Documentos\Doc. controlados PDF\Instructivos\CNWI-ENGI\CNWI-ENGI-0040 Alimentador de cables Schleuniger Pre-Feeder 2200.pdf</v>
      </c>
      <c r="C46" s="5" t="str">
        <f>MID(B46,LEN(B46) - FIND(".",REVERSETEXT(B46))+2,1000)</f>
        <v>pdf</v>
      </c>
      <c r="D46" s="6">
        <v>4</v>
      </c>
      <c r="E46" s="7" t="s">
        <v>33</v>
      </c>
      <c r="F46" s="7" t="s">
        <v>22</v>
      </c>
      <c r="G46" s="8" t="s">
        <v>60</v>
      </c>
      <c r="H46" s="8">
        <v>4</v>
      </c>
      <c r="I46" s="8"/>
      <c r="J46" s="8"/>
      <c r="K46" s="8"/>
      <c r="L46" s="8"/>
      <c r="M46" s="7" t="s">
        <v>22</v>
      </c>
      <c r="N46" s="7" t="s">
        <v>1954</v>
      </c>
      <c r="O46" s="9">
        <v>40687</v>
      </c>
      <c r="P46" s="7" t="s">
        <v>27</v>
      </c>
      <c r="Q46" s="9" t="s">
        <v>28</v>
      </c>
      <c r="R46" s="7" t="s">
        <v>1887</v>
      </c>
      <c r="S46" s="8" t="s">
        <v>1888</v>
      </c>
      <c r="T46" s="7"/>
      <c r="U46" s="7"/>
      <c r="V46" s="7"/>
    </row>
    <row r="47" spans="1:22" s="14" customFormat="1">
      <c r="A47" s="5" t="s">
        <v>1955</v>
      </c>
      <c r="B47" s="5" t="str">
        <f>GetAddress(A47)</f>
        <v>\\chno0276\Aseguranza de Calidad\Control de Documentos\Doc. controlados PDF\Instructivos\CNWI-ENGI\CNWI-ENGI-0041 Alimentador de cables ARTOS PF-.pdf</v>
      </c>
      <c r="C47" s="5" t="str">
        <f>MID(B47,LEN(B47) - FIND(".",REVERSETEXT(B47))+2,1000)</f>
        <v>pdf</v>
      </c>
      <c r="D47" s="6">
        <v>4</v>
      </c>
      <c r="E47" s="7" t="s">
        <v>33</v>
      </c>
      <c r="F47" s="7" t="s">
        <v>22</v>
      </c>
      <c r="G47" s="8" t="s">
        <v>60</v>
      </c>
      <c r="H47" s="8">
        <v>4</v>
      </c>
      <c r="I47" s="8"/>
      <c r="J47" s="8"/>
      <c r="K47" s="8"/>
      <c r="L47" s="8"/>
      <c r="M47" s="7" t="s">
        <v>22</v>
      </c>
      <c r="N47" s="7" t="s">
        <v>1956</v>
      </c>
      <c r="O47" s="9">
        <v>40694</v>
      </c>
      <c r="P47" s="7" t="s">
        <v>27</v>
      </c>
      <c r="Q47" s="9" t="s">
        <v>28</v>
      </c>
      <c r="R47" s="7" t="s">
        <v>1887</v>
      </c>
      <c r="S47" s="8" t="s">
        <v>1888</v>
      </c>
      <c r="T47" s="7"/>
      <c r="U47" s="7"/>
      <c r="V47" s="7"/>
    </row>
    <row r="48" spans="1:22" s="14" customFormat="1">
      <c r="A48" s="5" t="s">
        <v>1957</v>
      </c>
      <c r="B48" s="5" t="str">
        <f>GetAddress(A48)</f>
        <v>\\chno0276\Aseguranza de Calidad\Control de Documentos\Doc. controlados PDF\Instructivos\CNWI-ENGI\CNWI-ENGI-0042 Maquina SCHLEUNIGER OmiStrip 9400.pdf</v>
      </c>
      <c r="C48" s="5" t="str">
        <f>MID(B48,LEN(B48) - FIND(".",REVERSETEXT(B48))+2,1000)</f>
        <v>pdf</v>
      </c>
      <c r="D48" s="6">
        <v>4</v>
      </c>
      <c r="E48" s="7" t="s">
        <v>33</v>
      </c>
      <c r="F48" s="7" t="s">
        <v>22</v>
      </c>
      <c r="G48" s="8" t="s">
        <v>60</v>
      </c>
      <c r="H48" s="8">
        <v>4</v>
      </c>
      <c r="I48" s="8"/>
      <c r="J48" s="8"/>
      <c r="K48" s="8"/>
      <c r="L48" s="8"/>
      <c r="M48" s="7" t="s">
        <v>22</v>
      </c>
      <c r="N48" s="7" t="s">
        <v>1958</v>
      </c>
      <c r="O48" s="9">
        <v>40693</v>
      </c>
      <c r="P48" s="7" t="s">
        <v>27</v>
      </c>
      <c r="Q48" s="9" t="s">
        <v>28</v>
      </c>
      <c r="R48" s="7" t="s">
        <v>1887</v>
      </c>
      <c r="S48" s="8" t="s">
        <v>1888</v>
      </c>
      <c r="T48" s="7"/>
      <c r="U48" s="7"/>
      <c r="V48" s="7"/>
    </row>
    <row r="49" spans="1:22" s="14" customFormat="1">
      <c r="A49" s="5" t="s">
        <v>1959</v>
      </c>
      <c r="B49" s="5" t="str">
        <f>GetAddress(A49)</f>
        <v>\\chno0276\Aseguranza de Calidad\Control de Documentos\Doc. controlados PDF\Instructivos\CNWI-ENGI\CNWI-ENGI-0043 Horno con conveyor Gruenberg.pdf</v>
      </c>
      <c r="C49" s="5" t="str">
        <f>MID(B49,LEN(B49) - FIND(".",REVERSETEXT(B49))+2,1000)</f>
        <v>pdf</v>
      </c>
      <c r="D49" s="6">
        <v>4</v>
      </c>
      <c r="E49" s="7" t="s">
        <v>33</v>
      </c>
      <c r="F49" s="7" t="s">
        <v>22</v>
      </c>
      <c r="G49" s="8" t="s">
        <v>60</v>
      </c>
      <c r="H49" s="8">
        <v>4</v>
      </c>
      <c r="I49" s="8"/>
      <c r="J49" s="8"/>
      <c r="K49" s="8"/>
      <c r="L49" s="8"/>
      <c r="M49" s="7" t="s">
        <v>22</v>
      </c>
      <c r="N49" s="7" t="s">
        <v>1960</v>
      </c>
      <c r="O49" s="9">
        <v>40697</v>
      </c>
      <c r="P49" s="7" t="s">
        <v>27</v>
      </c>
      <c r="Q49" s="9" t="s">
        <v>28</v>
      </c>
      <c r="R49" s="7" t="s">
        <v>1887</v>
      </c>
      <c r="S49" s="8" t="s">
        <v>1888</v>
      </c>
      <c r="T49" s="7"/>
      <c r="U49" s="7"/>
      <c r="V49" s="7"/>
    </row>
    <row r="50" spans="1:22">
      <c r="A50" s="5" t="s">
        <v>1961</v>
      </c>
      <c r="B50" s="5" t="str">
        <f>GetAddress(A50)</f>
        <v>\\chno0276\Aseguranza de Calidad\Control de Documentos\Doc. controlados PDF\Instructivos\CNWI-ENGI\CNWI-ENGI-0044 Maquina SCHLEUNIGER CS-9100.pdf</v>
      </c>
      <c r="C50" s="5" t="str">
        <f>MID(B50,LEN(B50) - FIND(".",REVERSETEXT(B50))+2,1000)</f>
        <v>pdf</v>
      </c>
      <c r="D50" s="6">
        <v>4</v>
      </c>
      <c r="E50" s="7" t="s">
        <v>33</v>
      </c>
      <c r="F50" s="7" t="s">
        <v>22</v>
      </c>
      <c r="G50" s="8" t="s">
        <v>60</v>
      </c>
      <c r="H50" s="8">
        <v>4</v>
      </c>
      <c r="I50" s="8"/>
      <c r="J50" s="8"/>
      <c r="K50" s="8"/>
      <c r="L50" s="8"/>
      <c r="M50" s="7" t="s">
        <v>22</v>
      </c>
      <c r="N50" s="7" t="s">
        <v>1962</v>
      </c>
      <c r="O50" s="9">
        <v>40700</v>
      </c>
      <c r="P50" s="7" t="s">
        <v>27</v>
      </c>
      <c r="Q50" s="9" t="s">
        <v>28</v>
      </c>
      <c r="R50" s="7" t="s">
        <v>1887</v>
      </c>
      <c r="S50" s="8" t="s">
        <v>1888</v>
      </c>
      <c r="T50" s="7"/>
      <c r="U50" s="7"/>
      <c r="V50" s="7"/>
    </row>
    <row r="51" spans="1:22" ht="48" customHeight="1">
      <c r="A51" s="5" t="s">
        <v>1963</v>
      </c>
      <c r="B51" s="5" t="str">
        <f>GetAddress(A51)</f>
        <v>\\chno0276\Aseguranza de Calidad\Control de Documentos\Doc. controlados PDF\Instructivos\CNWI-ENGI\CNWI-ENGI-0045 Maquina RIDGID cortadora de conduit.pdf</v>
      </c>
      <c r="C51" s="5" t="str">
        <f>MID(B51,LEN(B51) - FIND(".",REVERSETEXT(B51))+2,1000)</f>
        <v>pdf</v>
      </c>
      <c r="D51" s="6">
        <v>4</v>
      </c>
      <c r="E51" s="7" t="s">
        <v>33</v>
      </c>
      <c r="F51" s="7" t="s">
        <v>22</v>
      </c>
      <c r="G51" s="8" t="s">
        <v>60</v>
      </c>
      <c r="H51" s="8">
        <v>4</v>
      </c>
      <c r="I51" s="8"/>
      <c r="J51" s="8"/>
      <c r="K51" s="8"/>
      <c r="L51" s="8"/>
      <c r="M51" s="7" t="s">
        <v>22</v>
      </c>
      <c r="N51" s="7" t="s">
        <v>1964</v>
      </c>
      <c r="O51" s="9">
        <v>40696</v>
      </c>
      <c r="P51" s="7" t="s">
        <v>27</v>
      </c>
      <c r="Q51" s="9" t="s">
        <v>28</v>
      </c>
      <c r="R51" s="7" t="s">
        <v>1887</v>
      </c>
      <c r="S51" s="8" t="s">
        <v>1888</v>
      </c>
      <c r="T51" s="7"/>
      <c r="U51" s="7"/>
      <c r="V51" s="7"/>
    </row>
    <row r="52" spans="1:22">
      <c r="A52" s="5" t="s">
        <v>1965</v>
      </c>
      <c r="B52" s="5" t="str">
        <f>GetAddress(A52)</f>
        <v>\\chno0276\Aseguranza de Calidad\Control de Documentos\Doc. controlados PDF\Instructivos\CNWI-ENGI\CNWI-ENGI-0046 Maquina cortadora CR-100.pdf</v>
      </c>
      <c r="C52" s="5" t="str">
        <f>MID(B52,LEN(B52) - FIND(".",REVERSETEXT(B52))+2,1000)</f>
        <v>pdf</v>
      </c>
      <c r="D52" s="6">
        <v>4</v>
      </c>
      <c r="E52" s="7" t="s">
        <v>33</v>
      </c>
      <c r="F52" s="7" t="s">
        <v>22</v>
      </c>
      <c r="G52" s="8" t="s">
        <v>60</v>
      </c>
      <c r="H52" s="8">
        <v>4</v>
      </c>
      <c r="I52" s="8"/>
      <c r="J52" s="8"/>
      <c r="K52" s="8"/>
      <c r="L52" s="8"/>
      <c r="M52" s="7" t="s">
        <v>22</v>
      </c>
      <c r="N52" s="7" t="s">
        <v>1966</v>
      </c>
      <c r="O52" s="9">
        <v>40700</v>
      </c>
      <c r="P52" s="7" t="s">
        <v>27</v>
      </c>
      <c r="Q52" s="9" t="s">
        <v>28</v>
      </c>
      <c r="R52" s="7" t="s">
        <v>1887</v>
      </c>
      <c r="S52" s="8" t="s">
        <v>1888</v>
      </c>
      <c r="T52" s="7"/>
      <c r="U52" s="7"/>
      <c r="V52" s="7"/>
    </row>
    <row r="53" spans="1:22">
      <c r="A53" s="5" t="s">
        <v>1967</v>
      </c>
      <c r="B53" s="5" t="str">
        <f>GetAddress(A53)</f>
        <v>\\chno0276\Aseguranza de Calidad\Control de Documentos\Doc. controlados PDF\Instructivos\CNWI-ENGI\CNWI-ENGI-0047 Horno Blue M.pdf</v>
      </c>
      <c r="C53" s="5" t="str">
        <f>MID(B53,LEN(B53) - FIND(".",REVERSETEXT(B53))+2,1000)</f>
        <v>pdf</v>
      </c>
      <c r="D53" s="6">
        <v>4</v>
      </c>
      <c r="E53" s="7" t="s">
        <v>33</v>
      </c>
      <c r="F53" s="7" t="s">
        <v>22</v>
      </c>
      <c r="G53" s="8" t="s">
        <v>60</v>
      </c>
      <c r="H53" s="8">
        <v>4</v>
      </c>
      <c r="I53" s="8"/>
      <c r="J53" s="8"/>
      <c r="K53" s="8"/>
      <c r="L53" s="8"/>
      <c r="M53" s="7" t="s">
        <v>22</v>
      </c>
      <c r="N53" s="7" t="s">
        <v>1968</v>
      </c>
      <c r="O53" s="9">
        <v>40575</v>
      </c>
      <c r="P53" s="7" t="s">
        <v>46</v>
      </c>
      <c r="Q53" s="9" t="s">
        <v>28</v>
      </c>
      <c r="R53" s="7" t="s">
        <v>1887</v>
      </c>
      <c r="S53" s="8" t="s">
        <v>1888</v>
      </c>
      <c r="T53" s="7"/>
      <c r="U53" s="7"/>
      <c r="V53" s="7"/>
    </row>
    <row r="54" spans="1:22">
      <c r="A54" s="5" t="s">
        <v>1969</v>
      </c>
      <c r="B54" s="5" t="str">
        <f>GetAddress(A54)</f>
        <v>\\chno0276\Aseguranza de Calidad\Control de Documentos\Doc. controlados PDF\Instructivos\CNWI-ENGI\CNWI-ENGI-0048 Máquina Remachadora Cambrige.pdf</v>
      </c>
      <c r="C54" s="5" t="str">
        <f>MID(B54,LEN(B54) - FIND(".",REVERSETEXT(B54))+2,1000)</f>
        <v>pdf</v>
      </c>
      <c r="D54" s="6">
        <v>4</v>
      </c>
      <c r="E54" s="7" t="s">
        <v>33</v>
      </c>
      <c r="F54" s="7" t="s">
        <v>22</v>
      </c>
      <c r="G54" s="8" t="s">
        <v>60</v>
      </c>
      <c r="H54" s="8">
        <v>4</v>
      </c>
      <c r="I54" s="8"/>
      <c r="J54" s="8"/>
      <c r="K54" s="8"/>
      <c r="L54" s="8"/>
      <c r="M54" s="7" t="s">
        <v>22</v>
      </c>
      <c r="N54" s="7" t="s">
        <v>1970</v>
      </c>
      <c r="O54" s="9">
        <v>40702</v>
      </c>
      <c r="P54" s="7" t="s">
        <v>27</v>
      </c>
      <c r="Q54" s="9" t="s">
        <v>28</v>
      </c>
      <c r="R54" s="7" t="s">
        <v>1887</v>
      </c>
      <c r="S54" s="8" t="s">
        <v>1888</v>
      </c>
      <c r="T54" s="7"/>
      <c r="U54" s="7"/>
      <c r="V54" s="7"/>
    </row>
    <row r="55" spans="1:22">
      <c r="A55" s="5" t="s">
        <v>1971</v>
      </c>
      <c r="B55" s="5" t="str">
        <f>GetAddress(A55)</f>
        <v>\\chno0276\Aseguranza de Calidad\Control de Documentos\Doc. controlados PDF\Instructivos\CNWI-ENGI\CNWI-ENGI-0049 Alimentador de cables RTT.pdf</v>
      </c>
      <c r="C55" s="5" t="str">
        <f>MID(B55,LEN(B55) - FIND(".",REVERSETEXT(B55))+2,1000)</f>
        <v>pdf</v>
      </c>
      <c r="D55" s="6">
        <v>4</v>
      </c>
      <c r="E55" s="7" t="s">
        <v>33</v>
      </c>
      <c r="F55" s="7" t="s">
        <v>22</v>
      </c>
      <c r="G55" s="8" t="s">
        <v>60</v>
      </c>
      <c r="H55" s="8">
        <v>4</v>
      </c>
      <c r="I55" s="8"/>
      <c r="J55" s="8"/>
      <c r="K55" s="8"/>
      <c r="L55" s="8"/>
      <c r="M55" s="7" t="s">
        <v>22</v>
      </c>
      <c r="N55" s="7" t="s">
        <v>1972</v>
      </c>
      <c r="O55" s="9">
        <v>40722</v>
      </c>
      <c r="P55" s="7" t="s">
        <v>27</v>
      </c>
      <c r="Q55" s="9" t="s">
        <v>28</v>
      </c>
      <c r="R55" s="7" t="s">
        <v>1887</v>
      </c>
      <c r="S55" s="8" t="s">
        <v>1888</v>
      </c>
      <c r="T55" s="7"/>
      <c r="U55" s="7"/>
      <c r="V55" s="7"/>
    </row>
    <row r="56" spans="1:22">
      <c r="A56" s="5" t="s">
        <v>1973</v>
      </c>
      <c r="B56" s="5" t="str">
        <f>GetAddress(A56)</f>
        <v>\\chno0276\Aseguranza de Calidad\Control de Documentos\Doc. controlados PDF\Instructivos\CNWI-ENGI\CNWI-ENGI-0050 Maquina ALPHATRON Modelo MPT-200A.pdf</v>
      </c>
      <c r="C56" s="5" t="str">
        <f>MID(B56,LEN(B56) - FIND(".",REVERSETEXT(B56))+2,1000)</f>
        <v>pdf</v>
      </c>
      <c r="D56" s="6">
        <v>4</v>
      </c>
      <c r="E56" s="7" t="s">
        <v>33</v>
      </c>
      <c r="F56" s="7" t="s">
        <v>22</v>
      </c>
      <c r="G56" s="8" t="s">
        <v>60</v>
      </c>
      <c r="H56" s="8">
        <v>4</v>
      </c>
      <c r="I56" s="8"/>
      <c r="J56" s="8"/>
      <c r="K56" s="8"/>
      <c r="L56" s="8"/>
      <c r="M56" s="7" t="s">
        <v>22</v>
      </c>
      <c r="N56" s="7" t="s">
        <v>1974</v>
      </c>
      <c r="O56" s="9">
        <v>40718</v>
      </c>
      <c r="P56" s="7" t="s">
        <v>27</v>
      </c>
      <c r="Q56" s="9" t="s">
        <v>28</v>
      </c>
      <c r="R56" s="7" t="s">
        <v>1887</v>
      </c>
      <c r="S56" s="8" t="s">
        <v>1888</v>
      </c>
      <c r="T56" s="7"/>
      <c r="U56" s="7"/>
      <c r="V56" s="7"/>
    </row>
    <row r="57" spans="1:22">
      <c r="A57" s="5" t="s">
        <v>1975</v>
      </c>
      <c r="B57" s="5" t="str">
        <f>GetAddress(A57)</f>
        <v>\\chno0276\Aseguranza de Calidad\Control de Documentos\Doc. controlados PDF\Instructivos\CNWI-ENGI\CNWI-ENGI-0051 Maquina Branson.pdf</v>
      </c>
      <c r="C57" s="5" t="str">
        <f>MID(B57,LEN(B57) - FIND(".",REVERSETEXT(B57))+2,1000)</f>
        <v>pdf</v>
      </c>
      <c r="D57" s="6">
        <v>4</v>
      </c>
      <c r="E57" s="7" t="s">
        <v>33</v>
      </c>
      <c r="F57" s="7" t="s">
        <v>22</v>
      </c>
      <c r="G57" s="8" t="s">
        <v>60</v>
      </c>
      <c r="H57" s="8">
        <v>4</v>
      </c>
      <c r="I57" s="8"/>
      <c r="J57" s="8"/>
      <c r="K57" s="8"/>
      <c r="L57" s="8"/>
      <c r="M57" s="7" t="s">
        <v>22</v>
      </c>
      <c r="N57" s="7" t="s">
        <v>1976</v>
      </c>
      <c r="O57" s="9">
        <v>40718</v>
      </c>
      <c r="P57" s="7" t="s">
        <v>27</v>
      </c>
      <c r="Q57" s="9" t="s">
        <v>28</v>
      </c>
      <c r="R57" s="7" t="s">
        <v>1887</v>
      </c>
      <c r="S57" s="8" t="s">
        <v>1888</v>
      </c>
      <c r="T57" s="7"/>
      <c r="U57" s="7"/>
      <c r="V57" s="7"/>
    </row>
    <row r="58" spans="1:22">
      <c r="A58" s="5" t="s">
        <v>1977</v>
      </c>
      <c r="B58" s="5" t="str">
        <f>GetAddress(A58)</f>
        <v>\\chno0276\Aseguranza de Calidad\Control de Documentos\Doc. controlados PDF\Instructivos\CNWI-ENGI\CNWI-ENGI-0052 Maquina PULL HOME.pdf</v>
      </c>
      <c r="C58" s="5" t="str">
        <f>MID(B58,LEN(B58) - FIND(".",REVERSETEXT(B58))+2,1000)</f>
        <v>pdf</v>
      </c>
      <c r="D58" s="6">
        <v>4</v>
      </c>
      <c r="E58" s="7" t="s">
        <v>33</v>
      </c>
      <c r="F58" s="7" t="s">
        <v>22</v>
      </c>
      <c r="G58" s="8" t="s">
        <v>60</v>
      </c>
      <c r="H58" s="8">
        <v>4</v>
      </c>
      <c r="I58" s="8"/>
      <c r="J58" s="8"/>
      <c r="K58" s="8"/>
      <c r="L58" s="8"/>
      <c r="M58" s="7" t="s">
        <v>22</v>
      </c>
      <c r="N58" s="7" t="s">
        <v>1978</v>
      </c>
      <c r="O58" s="9">
        <v>40731</v>
      </c>
      <c r="P58" s="7" t="s">
        <v>27</v>
      </c>
      <c r="Q58" s="9" t="s">
        <v>28</v>
      </c>
      <c r="R58" s="7" t="s">
        <v>1887</v>
      </c>
      <c r="S58" s="8" t="s">
        <v>1888</v>
      </c>
      <c r="T58" s="7"/>
      <c r="U58" s="7"/>
      <c r="V58" s="7"/>
    </row>
    <row r="59" spans="1:22" ht="88.9" customHeight="1">
      <c r="A59" s="5" t="s">
        <v>66</v>
      </c>
      <c r="B59" s="5" t="str">
        <f>GetAddress(A59)</f>
        <v>\\CHNO0276\Aseguranza de Calidad\Control de Documentos\Doc. controlados PDF\Instructivos\CNWI-ENGI\CNWI-ENGI-0053 Maquina Branson Solar.pdf</v>
      </c>
      <c r="C59" s="5" t="str">
        <f>MID(B59,LEN(B59) - FIND(".",REVERSETEXT(B59))+2,1000)</f>
        <v>pdf</v>
      </c>
      <c r="D59" s="6">
        <v>4</v>
      </c>
      <c r="E59" s="7" t="s">
        <v>33</v>
      </c>
      <c r="F59" s="7" t="s">
        <v>22</v>
      </c>
      <c r="G59" s="8" t="s">
        <v>60</v>
      </c>
      <c r="H59" s="8">
        <v>4</v>
      </c>
      <c r="I59" s="8"/>
      <c r="J59" s="8"/>
      <c r="K59" s="8"/>
      <c r="L59" s="8"/>
      <c r="M59" s="7" t="s">
        <v>22</v>
      </c>
      <c r="N59" s="7" t="s">
        <v>67</v>
      </c>
      <c r="O59" s="9">
        <v>41061</v>
      </c>
      <c r="P59" s="11" t="s">
        <v>27</v>
      </c>
      <c r="Q59" s="9" t="s">
        <v>28</v>
      </c>
      <c r="R59" s="7" t="s">
        <v>62</v>
      </c>
      <c r="S59" s="8" t="s">
        <v>63</v>
      </c>
      <c r="T59" s="11"/>
      <c r="U59" s="11"/>
      <c r="V59" s="7"/>
    </row>
    <row r="60" spans="1:22">
      <c r="A60" s="5" t="s">
        <v>1979</v>
      </c>
      <c r="B60" s="5" t="str">
        <f>GetAddress(A60)</f>
        <v>\\chno0276\Aseguranza de Calidad\Control de Documentos\Doc. controlados PDF\Instructivos\CNWI-ENGI\CNWI-ENGI-0054 Maquina Viking modelo 260-4199.pdf</v>
      </c>
      <c r="C60" s="5" t="str">
        <f>MID(B60,LEN(B60) - FIND(".",REVERSETEXT(B60))+2,1000)</f>
        <v>pdf</v>
      </c>
      <c r="D60" s="6">
        <v>4</v>
      </c>
      <c r="E60" s="7" t="s">
        <v>33</v>
      </c>
      <c r="F60" s="7" t="s">
        <v>22</v>
      </c>
      <c r="G60" s="8" t="s">
        <v>60</v>
      </c>
      <c r="H60" s="8">
        <v>4</v>
      </c>
      <c r="I60" s="8"/>
      <c r="J60" s="8"/>
      <c r="K60" s="8"/>
      <c r="L60" s="8"/>
      <c r="M60" s="7" t="s">
        <v>22</v>
      </c>
      <c r="N60" s="7" t="s">
        <v>1980</v>
      </c>
      <c r="O60" s="9">
        <v>40736</v>
      </c>
      <c r="P60" s="7" t="s">
        <v>27</v>
      </c>
      <c r="Q60" s="9" t="s">
        <v>28</v>
      </c>
      <c r="R60" s="7" t="s">
        <v>1887</v>
      </c>
      <c r="S60" s="8" t="s">
        <v>1888</v>
      </c>
      <c r="T60" s="7"/>
      <c r="U60" s="7"/>
      <c r="V60" s="7"/>
    </row>
    <row r="61" spans="1:22">
      <c r="A61" s="5" t="s">
        <v>1981</v>
      </c>
      <c r="B61" s="5" t="str">
        <f>GetAddress(A61)</f>
        <v>\\chno0276\Aseguranza de Calidad\Control de Documentos\Doc. controlados PDF\Instructivos\CNWI-ENGI\CNWI-ENGI-0055 Remachado de Contactos en Maquina Astron.pdf</v>
      </c>
      <c r="C61" s="5" t="str">
        <f>MID(B61,LEN(B61) - FIND(".",REVERSETEXT(B61))+2,1000)</f>
        <v>pdf</v>
      </c>
      <c r="D61" s="6">
        <v>4</v>
      </c>
      <c r="E61" s="7" t="s">
        <v>33</v>
      </c>
      <c r="F61" s="7" t="s">
        <v>22</v>
      </c>
      <c r="G61" s="8" t="s">
        <v>60</v>
      </c>
      <c r="H61" s="8">
        <v>4</v>
      </c>
      <c r="I61" s="8"/>
      <c r="J61" s="8"/>
      <c r="K61" s="8"/>
      <c r="L61" s="8"/>
      <c r="M61" s="7" t="s">
        <v>22</v>
      </c>
      <c r="N61" s="7" t="s">
        <v>1982</v>
      </c>
      <c r="O61" s="9">
        <v>40731</v>
      </c>
      <c r="P61" s="7" t="s">
        <v>27</v>
      </c>
      <c r="Q61" s="9" t="s">
        <v>28</v>
      </c>
      <c r="R61" s="7" t="s">
        <v>1887</v>
      </c>
      <c r="S61" s="8" t="s">
        <v>1888</v>
      </c>
      <c r="T61" s="7"/>
      <c r="U61" s="7"/>
      <c r="V61" s="7"/>
    </row>
    <row r="62" spans="1:22">
      <c r="A62" s="5" t="s">
        <v>1983</v>
      </c>
      <c r="B62" s="5" t="str">
        <f>GetAddress(A62)</f>
        <v>\\chno0276\Aseguranza de Calidad\Control de Documentos\Doc. controlados PDF\Instructivos\CNWI-ENGI\CNWI-ENGI-0056 Estañado de Conductores en plato Crisol.pdf</v>
      </c>
      <c r="C62" s="5" t="str">
        <f>MID(B62,LEN(B62) - FIND(".",REVERSETEXT(B62))+2,1000)</f>
        <v>pdf</v>
      </c>
      <c r="D62" s="6">
        <v>4</v>
      </c>
      <c r="E62" s="7" t="s">
        <v>33</v>
      </c>
      <c r="F62" s="7" t="s">
        <v>22</v>
      </c>
      <c r="G62" s="8" t="s">
        <v>60</v>
      </c>
      <c r="H62" s="8">
        <v>4</v>
      </c>
      <c r="I62" s="8"/>
      <c r="J62" s="8"/>
      <c r="K62" s="8"/>
      <c r="L62" s="8"/>
      <c r="M62" s="7" t="s">
        <v>22</v>
      </c>
      <c r="N62" s="7" t="s">
        <v>1984</v>
      </c>
      <c r="O62" s="9">
        <v>40722</v>
      </c>
      <c r="P62" s="7" t="s">
        <v>27</v>
      </c>
      <c r="Q62" s="9" t="s">
        <v>28</v>
      </c>
      <c r="R62" s="7" t="s">
        <v>1887</v>
      </c>
      <c r="S62" s="8" t="s">
        <v>1888</v>
      </c>
      <c r="T62" s="7" t="s">
        <v>1985</v>
      </c>
      <c r="U62" s="7" t="s">
        <v>611</v>
      </c>
      <c r="V62" s="7"/>
    </row>
    <row r="63" spans="1:22">
      <c r="A63" s="5" t="s">
        <v>1986</v>
      </c>
      <c r="B63" s="5" t="str">
        <f>GetAddress(A63)</f>
        <v>\\chno0276\Aseguranza de Calidad\Control de Documentos\Doc. controlados PDF\Instructivos\CNWI-ENGI\CNWI-ENGI-0057 Prueba Electrica en Maquina VITREK V53 ACDC.pdf</v>
      </c>
      <c r="C63" s="5" t="str">
        <f>MID(B63,LEN(B63) - FIND(".",REVERSETEXT(B63))+2,1000)</f>
        <v>pdf</v>
      </c>
      <c r="D63" s="6">
        <v>4</v>
      </c>
      <c r="E63" s="7" t="s">
        <v>33</v>
      </c>
      <c r="F63" s="7" t="s">
        <v>22</v>
      </c>
      <c r="G63" s="8" t="s">
        <v>60</v>
      </c>
      <c r="H63" s="8">
        <v>4</v>
      </c>
      <c r="I63" s="8"/>
      <c r="J63" s="8"/>
      <c r="K63" s="8"/>
      <c r="L63" s="8"/>
      <c r="M63" s="7" t="s">
        <v>22</v>
      </c>
      <c r="N63" s="7" t="s">
        <v>1987</v>
      </c>
      <c r="O63" s="9">
        <v>40808</v>
      </c>
      <c r="P63" s="7" t="s">
        <v>27</v>
      </c>
      <c r="Q63" s="9" t="s">
        <v>28</v>
      </c>
      <c r="R63" s="7" t="s">
        <v>1887</v>
      </c>
      <c r="S63" s="8" t="s">
        <v>1888</v>
      </c>
      <c r="T63" s="7"/>
      <c r="U63" s="7"/>
      <c r="V63" s="7"/>
    </row>
    <row r="64" spans="1:22">
      <c r="A64" s="5" t="s">
        <v>1988</v>
      </c>
      <c r="B64" s="5" t="str">
        <f>GetAddress(A64)</f>
        <v>\\chno0276\Aseguranza de Calidad\Control de Documentos\Doc. controlados PDF\Instructivos\CNWI-ENGI\CNWI-ENGI-0058 Prueba de continuidad y presencia  O-Ring.pdf</v>
      </c>
      <c r="C64" s="5" t="str">
        <f>MID(B64,LEN(B64) - FIND(".",REVERSETEXT(B64))+2,1000)</f>
        <v>pdf</v>
      </c>
      <c r="D64" s="6">
        <v>4</v>
      </c>
      <c r="E64" s="7" t="s">
        <v>33</v>
      </c>
      <c r="F64" s="7" t="s">
        <v>22</v>
      </c>
      <c r="G64" s="8" t="s">
        <v>60</v>
      </c>
      <c r="H64" s="8">
        <v>4</v>
      </c>
      <c r="I64" s="8"/>
      <c r="J64" s="8"/>
      <c r="K64" s="8"/>
      <c r="L64" s="8"/>
      <c r="M64" s="7" t="s">
        <v>22</v>
      </c>
      <c r="N64" s="7" t="s">
        <v>1989</v>
      </c>
      <c r="O64" s="9">
        <v>40739</v>
      </c>
      <c r="P64" s="7" t="s">
        <v>27</v>
      </c>
      <c r="Q64" s="9" t="s">
        <v>28</v>
      </c>
      <c r="R64" s="7" t="s">
        <v>1887</v>
      </c>
      <c r="S64" s="8" t="s">
        <v>1888</v>
      </c>
      <c r="T64" s="7"/>
      <c r="U64" s="7"/>
      <c r="V64" s="7"/>
    </row>
    <row r="65" spans="1:22">
      <c r="A65" s="5" t="s">
        <v>1990</v>
      </c>
      <c r="B65" s="5" t="str">
        <f>GetAddress(A65)</f>
        <v>\\chno0276\Aseguranza de Calidad\Control de Documentos\Doc. controlados PDF\Instructivos\CNWI-ENGI\CNWI-ENGI-0059 Prueba Electrica en Maquina CIRRIS.pdf</v>
      </c>
      <c r="C65" s="5" t="str">
        <f>MID(B65,LEN(B65) - FIND(".",REVERSETEXT(B65))+2,1000)</f>
        <v>pdf</v>
      </c>
      <c r="D65" s="6">
        <v>4</v>
      </c>
      <c r="E65" s="7" t="s">
        <v>33</v>
      </c>
      <c r="F65" s="7" t="s">
        <v>22</v>
      </c>
      <c r="G65" s="8" t="s">
        <v>60</v>
      </c>
      <c r="H65" s="8">
        <v>4</v>
      </c>
      <c r="I65" s="8"/>
      <c r="J65" s="8"/>
      <c r="K65" s="8"/>
      <c r="L65" s="8"/>
      <c r="M65" s="7" t="s">
        <v>22</v>
      </c>
      <c r="N65" s="7" t="s">
        <v>1991</v>
      </c>
      <c r="O65" s="9">
        <v>40808</v>
      </c>
      <c r="P65" s="7" t="s">
        <v>27</v>
      </c>
      <c r="Q65" s="9" t="s">
        <v>28</v>
      </c>
      <c r="R65" s="7" t="s">
        <v>1887</v>
      </c>
      <c r="S65" s="8" t="s">
        <v>1888</v>
      </c>
      <c r="T65" s="7"/>
      <c r="U65" s="7"/>
      <c r="V65" s="7"/>
    </row>
    <row r="66" spans="1:22">
      <c r="A66" s="5" t="s">
        <v>1992</v>
      </c>
      <c r="B66" s="5" t="str">
        <f>GetAddress(A66)</f>
        <v>\\chno0276\Aseguranza de Calidad\Control de Documentos\Doc. controlados PDF\Instructivos\CNWI-ENGI\CNWI-ENGI-0060 Despojado de Jacket en Maquina Schleuniger Modelo JS-8300.pdf</v>
      </c>
      <c r="C66" s="5" t="str">
        <f>MID(B66,LEN(B66) - FIND(".",REVERSETEXT(B66))+2,1000)</f>
        <v>pdf</v>
      </c>
      <c r="D66" s="6">
        <v>4</v>
      </c>
      <c r="E66" s="7" t="s">
        <v>33</v>
      </c>
      <c r="F66" s="7" t="s">
        <v>22</v>
      </c>
      <c r="G66" s="8" t="s">
        <v>60</v>
      </c>
      <c r="H66" s="8">
        <v>4</v>
      </c>
      <c r="I66" s="8"/>
      <c r="J66" s="8"/>
      <c r="K66" s="8"/>
      <c r="L66" s="8"/>
      <c r="M66" s="7" t="s">
        <v>22</v>
      </c>
      <c r="N66" s="7" t="s">
        <v>1993</v>
      </c>
      <c r="O66" s="9">
        <v>40752</v>
      </c>
      <c r="P66" s="7" t="s">
        <v>27</v>
      </c>
      <c r="Q66" s="9" t="s">
        <v>28</v>
      </c>
      <c r="R66" s="7" t="s">
        <v>1887</v>
      </c>
      <c r="S66" s="8" t="s">
        <v>1888</v>
      </c>
      <c r="T66" s="7"/>
      <c r="U66" s="7"/>
      <c r="V66" s="7"/>
    </row>
    <row r="67" spans="1:22">
      <c r="A67" s="5" t="s">
        <v>1994</v>
      </c>
      <c r="B67" s="5" t="str">
        <f>GetAddress(A67)</f>
        <v>\\chno0276\Aseguranza de Calidad\Control de Documentos\Doc. controlados PDF\Instructivos\CNWI-ENGI\CNWI-ENGI-0061 Secar Humedad a Resina en el Sistema de filtros Conair.pdf</v>
      </c>
      <c r="C67" s="5" t="str">
        <f>MID(B67,LEN(B67) - FIND(".",REVERSETEXT(B67))+2,1000)</f>
        <v>pdf</v>
      </c>
      <c r="D67" s="6">
        <v>4</v>
      </c>
      <c r="E67" s="7" t="s">
        <v>33</v>
      </c>
      <c r="F67" s="7" t="s">
        <v>22</v>
      </c>
      <c r="G67" s="8" t="s">
        <v>60</v>
      </c>
      <c r="H67" s="8">
        <v>4</v>
      </c>
      <c r="I67" s="8"/>
      <c r="J67" s="8"/>
      <c r="K67" s="8"/>
      <c r="L67" s="8"/>
      <c r="M67" s="7" t="s">
        <v>22</v>
      </c>
      <c r="N67" s="7" t="s">
        <v>1995</v>
      </c>
      <c r="O67" s="9">
        <v>40739</v>
      </c>
      <c r="P67" s="7" t="s">
        <v>27</v>
      </c>
      <c r="Q67" s="9" t="s">
        <v>28</v>
      </c>
      <c r="R67" s="7" t="s">
        <v>1887</v>
      </c>
      <c r="S67" s="8" t="s">
        <v>1888</v>
      </c>
      <c r="T67" s="7"/>
      <c r="U67" s="7"/>
      <c r="V67" s="7"/>
    </row>
    <row r="68" spans="1:22">
      <c r="A68" s="5" t="s">
        <v>1996</v>
      </c>
      <c r="B68" s="5" t="str">
        <f>GetAddress(A68)</f>
        <v>\\chno0276\Aseguranza de Calidad\Control de Documentos\Doc. controlados PDF\Instructivos\CNWI-ENGI\CNWI-ENGI-0062 Remachado de cables en maquina.pdf</v>
      </c>
      <c r="C68" s="5" t="str">
        <f>MID(B68,LEN(B68) - FIND(".",REVERSETEXT(B68))+2,1000)</f>
        <v>pdf</v>
      </c>
      <c r="D68" s="6">
        <v>4</v>
      </c>
      <c r="E68" s="7" t="s">
        <v>33</v>
      </c>
      <c r="F68" s="7" t="s">
        <v>22</v>
      </c>
      <c r="G68" s="8" t="s">
        <v>60</v>
      </c>
      <c r="H68" s="8">
        <v>4</v>
      </c>
      <c r="I68" s="8"/>
      <c r="J68" s="8"/>
      <c r="K68" s="8"/>
      <c r="L68" s="8"/>
      <c r="M68" s="7" t="s">
        <v>22</v>
      </c>
      <c r="N68" s="7" t="s">
        <v>1997</v>
      </c>
      <c r="O68" s="9">
        <v>40752</v>
      </c>
      <c r="P68" s="7" t="s">
        <v>27</v>
      </c>
      <c r="Q68" s="9" t="s">
        <v>28</v>
      </c>
      <c r="R68" s="7" t="s">
        <v>1887</v>
      </c>
      <c r="S68" s="8" t="s">
        <v>1888</v>
      </c>
      <c r="T68" s="7"/>
      <c r="U68" s="7"/>
      <c r="V68" s="7"/>
    </row>
    <row r="69" spans="1:22">
      <c r="A69" s="5" t="s">
        <v>1998</v>
      </c>
      <c r="B69" s="5" t="str">
        <f>GetAddress(A69)</f>
        <v>\\chno0276\Aseguranza de Calidad\Control de Documentos\Doc. controlados PDF\Instructivos\CNWI-ENGI\CNWI-ENGI-0063  Maquina Cable Coiler 500.pdf</v>
      </c>
      <c r="C69" s="5" t="str">
        <f>MID(B69,LEN(B69) - FIND(".",REVERSETEXT(B69))+2,1000)</f>
        <v>pdf</v>
      </c>
      <c r="D69" s="6">
        <v>4</v>
      </c>
      <c r="E69" s="7" t="s">
        <v>33</v>
      </c>
      <c r="F69" s="7" t="s">
        <v>22</v>
      </c>
      <c r="G69" s="8" t="s">
        <v>60</v>
      </c>
      <c r="H69" s="8">
        <v>4</v>
      </c>
      <c r="I69" s="8"/>
      <c r="J69" s="8"/>
      <c r="K69" s="8"/>
      <c r="L69" s="8"/>
      <c r="M69" s="7" t="s">
        <v>22</v>
      </c>
      <c r="N69" s="7" t="s">
        <v>1999</v>
      </c>
      <c r="O69" s="9">
        <v>40752</v>
      </c>
      <c r="P69" s="7" t="s">
        <v>27</v>
      </c>
      <c r="Q69" s="9" t="s">
        <v>28</v>
      </c>
      <c r="R69" s="7" t="s">
        <v>1887</v>
      </c>
      <c r="S69" s="8" t="s">
        <v>1888</v>
      </c>
      <c r="T69" s="7"/>
      <c r="U69" s="7"/>
      <c r="V69" s="7"/>
    </row>
    <row r="70" spans="1:22">
      <c r="A70" s="5" t="s">
        <v>2000</v>
      </c>
      <c r="B70" s="5" t="str">
        <f>GetAddress(A70)</f>
        <v>\\chno0276\Aseguranza de Calidad\Control de Documentos\Doc. controlados PDF\Instructivos\CNWI-ENGI\CNWI-ENGI-0064 Despoje de cables en máquina Shleuniger Modelo 2015.pdf</v>
      </c>
      <c r="C70" s="5" t="str">
        <f>MID(B70,LEN(B70) - FIND(".",REVERSETEXT(B70))+2,1000)</f>
        <v>pdf</v>
      </c>
      <c r="D70" s="6">
        <v>4</v>
      </c>
      <c r="E70" s="7" t="s">
        <v>33</v>
      </c>
      <c r="F70" s="7" t="s">
        <v>22</v>
      </c>
      <c r="G70" s="8" t="s">
        <v>60</v>
      </c>
      <c r="H70" s="8">
        <v>4</v>
      </c>
      <c r="I70" s="8"/>
      <c r="J70" s="8"/>
      <c r="K70" s="8"/>
      <c r="L70" s="8"/>
      <c r="M70" s="7" t="s">
        <v>22</v>
      </c>
      <c r="N70" s="7" t="s">
        <v>2001</v>
      </c>
      <c r="O70" s="9">
        <v>40739</v>
      </c>
      <c r="P70" s="7" t="s">
        <v>27</v>
      </c>
      <c r="Q70" s="9" t="s">
        <v>28</v>
      </c>
      <c r="R70" s="7" t="s">
        <v>1887</v>
      </c>
      <c r="S70" s="8" t="s">
        <v>1888</v>
      </c>
      <c r="T70" s="7"/>
      <c r="U70" s="7"/>
      <c r="V70" s="7"/>
    </row>
    <row r="71" spans="1:22">
      <c r="A71" s="5" t="s">
        <v>2002</v>
      </c>
      <c r="B71" s="5" t="str">
        <f>GetAddress(A71)</f>
        <v>\\chno0276\Aseguranza de Calidad\Control de Documentos\Doc. controlados PDF\Instructivos\CNWI-ENGI\CNWI-ENGI-0065 Máquina Automática IFS.pdf</v>
      </c>
      <c r="C71" s="5" t="str">
        <f>MID(B71,LEN(B71) - FIND(".",REVERSETEXT(B71))+2,1000)</f>
        <v>pdf</v>
      </c>
      <c r="D71" s="6">
        <v>4</v>
      </c>
      <c r="E71" s="7" t="s">
        <v>33</v>
      </c>
      <c r="F71" s="7" t="s">
        <v>22</v>
      </c>
      <c r="G71" s="8" t="s">
        <v>60</v>
      </c>
      <c r="H71" s="8">
        <v>4</v>
      </c>
      <c r="I71" s="8"/>
      <c r="J71" s="8"/>
      <c r="K71" s="8"/>
      <c r="L71" s="8"/>
      <c r="M71" s="7" t="s">
        <v>22</v>
      </c>
      <c r="N71" s="7" t="s">
        <v>2003</v>
      </c>
      <c r="O71" s="9">
        <v>40801</v>
      </c>
      <c r="P71" s="7" t="s">
        <v>27</v>
      </c>
      <c r="Q71" s="9" t="s">
        <v>28</v>
      </c>
      <c r="R71" s="7" t="s">
        <v>1887</v>
      </c>
      <c r="S71" s="8" t="s">
        <v>1888</v>
      </c>
      <c r="T71" s="7"/>
      <c r="U71" s="7"/>
      <c r="V71" s="7"/>
    </row>
    <row r="72" spans="1:22">
      <c r="A72" s="5" t="s">
        <v>2004</v>
      </c>
      <c r="B72" s="5" t="str">
        <f>GetAddress(A72)</f>
        <v>\\chno0276\Aseguranza de Calidad\Control de Documentos\Doc. controlados PDF\Instructivos\CNWI-ENGI\CNWI-ENGI-0066 Secar Humedad a material en el Sistema de filtros Novatec.pdf</v>
      </c>
      <c r="C72" s="5" t="str">
        <f>MID(B72,LEN(B72) - FIND(".",REVERSETEXT(B72))+2,1000)</f>
        <v>pdf</v>
      </c>
      <c r="D72" s="6">
        <v>4</v>
      </c>
      <c r="E72" s="7" t="s">
        <v>33</v>
      </c>
      <c r="F72" s="7" t="s">
        <v>22</v>
      </c>
      <c r="G72" s="8" t="s">
        <v>60</v>
      </c>
      <c r="H72" s="8">
        <v>4</v>
      </c>
      <c r="I72" s="8"/>
      <c r="J72" s="8"/>
      <c r="K72" s="8"/>
      <c r="L72" s="8"/>
      <c r="M72" s="7" t="s">
        <v>22</v>
      </c>
      <c r="N72" s="7" t="s">
        <v>2005</v>
      </c>
      <c r="O72" s="9">
        <v>40752</v>
      </c>
      <c r="P72" s="7" t="s">
        <v>27</v>
      </c>
      <c r="Q72" s="9" t="s">
        <v>28</v>
      </c>
      <c r="R72" s="7" t="s">
        <v>1887</v>
      </c>
      <c r="S72" s="8" t="s">
        <v>1888</v>
      </c>
      <c r="T72" s="7"/>
      <c r="U72" s="7"/>
      <c r="V72" s="7"/>
    </row>
    <row r="73" spans="1:22">
      <c r="A73" s="5" t="s">
        <v>2006</v>
      </c>
      <c r="B73" s="5" t="str">
        <f>GetAddress(A73)</f>
        <v>\\chno0276\Aseguranza de Calidad\Control de Documentos\Doc. controlados PDF\Instructivos\CNWI-ENGI\CNWI-ENGI-0067 Enfriador de material  Movin-Cool.pdf</v>
      </c>
      <c r="C73" s="5" t="str">
        <f>MID(B73,LEN(B73) - FIND(".",REVERSETEXT(B73))+2,1000)</f>
        <v>pdf</v>
      </c>
      <c r="D73" s="6">
        <v>4</v>
      </c>
      <c r="E73" s="7" t="s">
        <v>33</v>
      </c>
      <c r="F73" s="7" t="s">
        <v>22</v>
      </c>
      <c r="G73" s="8" t="s">
        <v>60</v>
      </c>
      <c r="H73" s="8">
        <v>4</v>
      </c>
      <c r="I73" s="8"/>
      <c r="J73" s="8"/>
      <c r="K73" s="8"/>
      <c r="L73" s="8"/>
      <c r="M73" s="7" t="s">
        <v>22</v>
      </c>
      <c r="N73" s="7" t="s">
        <v>2007</v>
      </c>
      <c r="O73" s="9">
        <v>40752</v>
      </c>
      <c r="P73" s="7" t="s">
        <v>27</v>
      </c>
      <c r="Q73" s="9" t="s">
        <v>28</v>
      </c>
      <c r="R73" s="7" t="s">
        <v>1887</v>
      </c>
      <c r="S73" s="8" t="s">
        <v>1888</v>
      </c>
      <c r="T73" s="7"/>
      <c r="U73" s="7"/>
      <c r="V73" s="7"/>
    </row>
    <row r="74" spans="1:22">
      <c r="A74" s="5" t="s">
        <v>2008</v>
      </c>
      <c r="B74" s="5" t="str">
        <f>GetAddress(A74)</f>
        <v>\\chno0276\Aseguranza de Calidad\Control de Documentos\Doc. controlados PDF\Instructivos\CNWI-ENGI\CNWI-ENGI-0068 SECADOR ARID-X  .pdf</v>
      </c>
      <c r="C74" s="5" t="str">
        <f>MID(B74,LEN(B74) - FIND(".",REVERSETEXT(B74))+2,1000)</f>
        <v>pdf</v>
      </c>
      <c r="D74" s="6">
        <v>4</v>
      </c>
      <c r="E74" s="7" t="s">
        <v>33</v>
      </c>
      <c r="F74" s="7" t="s">
        <v>22</v>
      </c>
      <c r="G74" s="8" t="s">
        <v>60</v>
      </c>
      <c r="H74" s="8">
        <v>4</v>
      </c>
      <c r="I74" s="8"/>
      <c r="J74" s="8"/>
      <c r="K74" s="8"/>
      <c r="L74" s="8"/>
      <c r="M74" s="7" t="s">
        <v>22</v>
      </c>
      <c r="N74" s="7" t="s">
        <v>2009</v>
      </c>
      <c r="O74" s="9">
        <v>40770</v>
      </c>
      <c r="P74" s="7" t="s">
        <v>27</v>
      </c>
      <c r="Q74" s="9" t="s">
        <v>28</v>
      </c>
      <c r="R74" s="7" t="s">
        <v>1887</v>
      </c>
      <c r="S74" s="8" t="s">
        <v>1888</v>
      </c>
      <c r="T74" s="7"/>
      <c r="U74" s="7"/>
      <c r="V74" s="7"/>
    </row>
    <row r="75" spans="1:22">
      <c r="A75" s="5" t="s">
        <v>2010</v>
      </c>
      <c r="B75" s="5" t="str">
        <f>GetAddress(A75)</f>
        <v>\\chno0276\Aseguranza de Calidad\Control de Documentos\Doc. controlados PDF\Instructivos\CNWI-ENGI\CNWI-ENGI-0069 Remachado de contactos en Maquina Salem.pdf</v>
      </c>
      <c r="C75" s="5" t="str">
        <f>MID(B75,LEN(B75) - FIND(".",REVERSETEXT(B75))+2,1000)</f>
        <v>pdf</v>
      </c>
      <c r="D75" s="6">
        <v>4</v>
      </c>
      <c r="E75" s="7" t="s">
        <v>33</v>
      </c>
      <c r="F75" s="7" t="s">
        <v>22</v>
      </c>
      <c r="G75" s="8" t="s">
        <v>60</v>
      </c>
      <c r="H75" s="8">
        <v>4</v>
      </c>
      <c r="I75" s="8"/>
      <c r="J75" s="8"/>
      <c r="K75" s="8"/>
      <c r="L75" s="8"/>
      <c r="M75" s="7" t="s">
        <v>22</v>
      </c>
      <c r="N75" s="7" t="s">
        <v>2011</v>
      </c>
      <c r="O75" s="9">
        <v>40767</v>
      </c>
      <c r="P75" s="7" t="s">
        <v>27</v>
      </c>
      <c r="Q75" s="9" t="s">
        <v>28</v>
      </c>
      <c r="R75" s="7" t="s">
        <v>1887</v>
      </c>
      <c r="S75" s="8" t="s">
        <v>1888</v>
      </c>
      <c r="T75" s="7"/>
      <c r="U75" s="7"/>
      <c r="V75" s="7"/>
    </row>
    <row r="76" spans="1:22">
      <c r="A76" s="5" t="s">
        <v>1154</v>
      </c>
      <c r="B76" s="5" t="str">
        <f>GetAddress(A76)</f>
        <v>\\chno0276\Aseguranza de Calidad\Control de Documentos\Doc. controlados PDF\Instructivos\CNWI-ENGI\CNWI-ENGI-0070 Test plan for solar.pdf</v>
      </c>
      <c r="C76" s="5" t="str">
        <f>MID(B76,LEN(B76) - FIND(".",REVERSETEXT(B76))+2,1000)</f>
        <v>pdf</v>
      </c>
      <c r="D76" s="6">
        <v>4</v>
      </c>
      <c r="E76" s="7" t="s">
        <v>33</v>
      </c>
      <c r="F76" s="7" t="s">
        <v>22</v>
      </c>
      <c r="G76" s="8" t="s">
        <v>60</v>
      </c>
      <c r="H76" s="8">
        <v>4</v>
      </c>
      <c r="I76" s="8"/>
      <c r="J76" s="8"/>
      <c r="K76" s="8"/>
      <c r="L76" s="8"/>
      <c r="M76" s="7" t="s">
        <v>22</v>
      </c>
      <c r="N76" s="7" t="s">
        <v>1155</v>
      </c>
      <c r="O76" s="9">
        <v>40949</v>
      </c>
      <c r="P76" s="7" t="s">
        <v>159</v>
      </c>
      <c r="Q76" s="9" t="s">
        <v>28</v>
      </c>
      <c r="R76" s="7" t="s">
        <v>1156</v>
      </c>
      <c r="S76" s="8" t="s">
        <v>1157</v>
      </c>
      <c r="T76" s="7"/>
      <c r="U76" s="7"/>
      <c r="V76" s="7"/>
    </row>
    <row r="77" spans="1:22">
      <c r="A77" s="5" t="s">
        <v>2012</v>
      </c>
      <c r="B77" s="5" t="str">
        <f>GetAddress(A77)</f>
        <v>\\chno0276\Aseguranza de Calidad\Control de Documentos\Doc. controlados PDF\Instructivos\CNWI-ENGI\CNWI-ENGI-0071 Maquina para sellar Banda a Snaplock.pdf</v>
      </c>
      <c r="C77" s="5" t="str">
        <f>MID(B77,LEN(B77) - FIND(".",REVERSETEXT(B77))+2,1000)</f>
        <v>pdf</v>
      </c>
      <c r="D77" s="6">
        <v>4</v>
      </c>
      <c r="E77" s="7" t="s">
        <v>33</v>
      </c>
      <c r="F77" s="7" t="s">
        <v>22</v>
      </c>
      <c r="G77" s="8" t="s">
        <v>60</v>
      </c>
      <c r="H77" s="8">
        <v>4</v>
      </c>
      <c r="I77" s="8"/>
      <c r="J77" s="8"/>
      <c r="K77" s="8"/>
      <c r="L77" s="8"/>
      <c r="M77" s="7" t="s">
        <v>22</v>
      </c>
      <c r="N77" s="7" t="s">
        <v>2013</v>
      </c>
      <c r="O77" s="9">
        <v>40753</v>
      </c>
      <c r="P77" s="7" t="s">
        <v>27</v>
      </c>
      <c r="Q77" s="9" t="s">
        <v>28</v>
      </c>
      <c r="R77" s="7" t="s">
        <v>1887</v>
      </c>
      <c r="S77" s="8" t="s">
        <v>1888</v>
      </c>
      <c r="T77" s="7"/>
      <c r="U77" s="7"/>
      <c r="V77" s="7"/>
    </row>
    <row r="78" spans="1:22">
      <c r="A78" s="5" t="s">
        <v>2014</v>
      </c>
      <c r="B78" s="5" t="str">
        <f>GetAddress(A78)</f>
        <v>\\chno0276\Aseguranza de Calidad\Control de Documentos\Doc. controlados PDF\Instructivos\CNWI-ENGI\CNWI-ENGI-0072 Maquina para Emparejar cables.pdf</v>
      </c>
      <c r="C78" s="5" t="str">
        <f>MID(B78,LEN(B78) - FIND(".",REVERSETEXT(B78))+2,1000)</f>
        <v>pdf</v>
      </c>
      <c r="D78" s="6">
        <v>4</v>
      </c>
      <c r="E78" s="7" t="s">
        <v>33</v>
      </c>
      <c r="F78" s="7" t="s">
        <v>22</v>
      </c>
      <c r="G78" s="8" t="s">
        <v>60</v>
      </c>
      <c r="H78" s="8">
        <v>4</v>
      </c>
      <c r="I78" s="8"/>
      <c r="J78" s="8"/>
      <c r="K78" s="8"/>
      <c r="L78" s="8"/>
      <c r="M78" s="7" t="s">
        <v>22</v>
      </c>
      <c r="N78" s="7" t="s">
        <v>2015</v>
      </c>
      <c r="O78" s="9">
        <v>40757</v>
      </c>
      <c r="P78" s="7" t="s">
        <v>27</v>
      </c>
      <c r="Q78" s="9" t="s">
        <v>28</v>
      </c>
      <c r="R78" s="7" t="s">
        <v>1887</v>
      </c>
      <c r="S78" s="8" t="s">
        <v>1888</v>
      </c>
      <c r="T78" s="7"/>
      <c r="U78" s="7"/>
      <c r="V78" s="7"/>
    </row>
    <row r="79" spans="1:22">
      <c r="A79" s="5" t="s">
        <v>2016</v>
      </c>
      <c r="B79" s="5" t="str">
        <f>GetAddress(A79)</f>
        <v>\\chno0276\Aseguranza de Calidad\Control de Documentos\Doc. controlados PDF\Instructivos\CNWI-ENGI\CNWI-ENGI-0073 Prueba Eléctrica en Equipo Megohmmeter.pdf</v>
      </c>
      <c r="C79" s="5" t="str">
        <f>MID(B79,LEN(B79) - FIND(".",REVERSETEXT(B79))+2,1000)</f>
        <v>pdf</v>
      </c>
      <c r="D79" s="6">
        <v>4</v>
      </c>
      <c r="E79" s="7" t="s">
        <v>33</v>
      </c>
      <c r="F79" s="7" t="s">
        <v>22</v>
      </c>
      <c r="G79" s="8" t="s">
        <v>60</v>
      </c>
      <c r="H79" s="8">
        <v>4</v>
      </c>
      <c r="I79" s="8"/>
      <c r="J79" s="8"/>
      <c r="K79" s="8"/>
      <c r="L79" s="8"/>
      <c r="M79" s="7" t="s">
        <v>22</v>
      </c>
      <c r="N79" s="7" t="s">
        <v>2017</v>
      </c>
      <c r="O79" s="9">
        <v>40785</v>
      </c>
      <c r="P79" s="7" t="s">
        <v>27</v>
      </c>
      <c r="Q79" s="9" t="s">
        <v>28</v>
      </c>
      <c r="R79" s="7" t="s">
        <v>1887</v>
      </c>
      <c r="S79" s="8" t="s">
        <v>1888</v>
      </c>
      <c r="T79" s="7"/>
      <c r="U79" s="7"/>
      <c r="V79" s="7"/>
    </row>
    <row r="80" spans="1:22">
      <c r="A80" s="5" t="s">
        <v>2018</v>
      </c>
      <c r="B80" s="5" t="str">
        <f>GetAddress(A80)</f>
        <v>\\chno0276\Control de Documentos\Doc. controlados PDF\Instructivos\CNWI-ENGI\CNWI-ENGI-0074 Rev. A Prueba de Resistencia 129-0029-001, 002, 003 docx.docx</v>
      </c>
      <c r="C80" s="5" t="str">
        <f>MID(B80,LEN(B80) - FIND(".",REVERSETEXT(B80))+2,1000)</f>
        <v>docx</v>
      </c>
      <c r="D80" s="6">
        <v>4</v>
      </c>
      <c r="E80" s="7" t="s">
        <v>33</v>
      </c>
      <c r="F80" s="7" t="s">
        <v>22</v>
      </c>
      <c r="G80" s="8" t="s">
        <v>60</v>
      </c>
      <c r="H80" s="8">
        <v>4</v>
      </c>
      <c r="I80" s="8"/>
      <c r="J80" s="8"/>
      <c r="K80" s="8"/>
      <c r="L80" s="8"/>
      <c r="M80" s="7" t="s">
        <v>22</v>
      </c>
      <c r="N80" s="7" t="s">
        <v>2019</v>
      </c>
      <c r="O80" s="9">
        <v>41145</v>
      </c>
      <c r="P80" s="7" t="s">
        <v>27</v>
      </c>
      <c r="Q80" s="9" t="s">
        <v>28</v>
      </c>
      <c r="R80" s="7" t="s">
        <v>1887</v>
      </c>
      <c r="S80" s="8" t="s">
        <v>1888</v>
      </c>
      <c r="T80" s="7"/>
      <c r="U80" s="7"/>
      <c r="V80" s="7"/>
    </row>
    <row r="81" spans="1:22">
      <c r="A81" s="5" t="s">
        <v>602</v>
      </c>
      <c r="B81" s="5" t="str">
        <f>GetAddress(A81)</f>
        <v>\\chno0276\Control de Documentos\Doc. controlados PDF\Instructivos\CNWI-ENGI\CNWI-ENGI-0075  Documentacion de Produccion.pdf</v>
      </c>
      <c r="C81" s="5" t="str">
        <f>MID(B81,LEN(B81) - FIND(".",REVERSETEXT(B81))+2,1000)</f>
        <v>pdf</v>
      </c>
      <c r="D81" s="6">
        <v>4</v>
      </c>
      <c r="E81" s="7" t="s">
        <v>33</v>
      </c>
      <c r="F81" s="7" t="s">
        <v>22</v>
      </c>
      <c r="G81" s="8" t="s">
        <v>60</v>
      </c>
      <c r="H81" s="8">
        <v>4</v>
      </c>
      <c r="I81" s="8"/>
      <c r="J81" s="8"/>
      <c r="K81" s="8"/>
      <c r="L81" s="8"/>
      <c r="M81" s="7" t="s">
        <v>22</v>
      </c>
      <c r="N81" s="7" t="s">
        <v>603</v>
      </c>
      <c r="O81" s="9">
        <v>41094</v>
      </c>
      <c r="P81" s="7" t="s">
        <v>27</v>
      </c>
      <c r="Q81" s="9" t="s">
        <v>28</v>
      </c>
      <c r="R81" s="7" t="s">
        <v>604</v>
      </c>
      <c r="S81" s="8" t="s">
        <v>605</v>
      </c>
      <c r="T81" s="7"/>
      <c r="U81" s="7"/>
      <c r="V81" s="7"/>
    </row>
    <row r="82" spans="1:22">
      <c r="A82" s="5" t="s">
        <v>606</v>
      </c>
      <c r="B82" s="5" t="str">
        <f>GetAddress(A82)</f>
        <v>\\chno0276\Aseguranza de Calidad\Control de Documentos\Doc. controlados PDF\Instructivos\CNWI-ENGI\CNWI-ENGI-0076  Procedimiento Maquina Komax Kappa 220225.pdf</v>
      </c>
      <c r="C82" s="5" t="str">
        <f>MID(B82,LEN(B82) - FIND(".",REVERSETEXT(B82))+2,1000)</f>
        <v>pdf</v>
      </c>
      <c r="D82" s="6">
        <v>4</v>
      </c>
      <c r="E82" s="7" t="s">
        <v>33</v>
      </c>
      <c r="F82" s="7" t="s">
        <v>22</v>
      </c>
      <c r="G82" s="8" t="s">
        <v>60</v>
      </c>
      <c r="H82" s="8">
        <v>4</v>
      </c>
      <c r="I82" s="8"/>
      <c r="J82" s="8"/>
      <c r="K82" s="8"/>
      <c r="L82" s="8"/>
      <c r="M82" s="7" t="s">
        <v>22</v>
      </c>
      <c r="N82" s="7" t="s">
        <v>607</v>
      </c>
      <c r="O82" s="9">
        <v>41163</v>
      </c>
      <c r="P82" s="7" t="s">
        <v>27</v>
      </c>
      <c r="Q82" s="9" t="s">
        <v>28</v>
      </c>
      <c r="R82" s="7" t="s">
        <v>604</v>
      </c>
      <c r="S82" s="8" t="s">
        <v>605</v>
      </c>
      <c r="T82" s="7"/>
      <c r="U82" s="7"/>
      <c r="V82" s="7"/>
    </row>
    <row r="83" spans="1:22">
      <c r="A83" s="5" t="s">
        <v>2020</v>
      </c>
      <c r="B83" s="5" t="str">
        <f>GetAddress(A83)</f>
        <v>\\chno0276\Aseguranza de Calidad\Control de Documentos\Doc. controlados PDF\Instructivos\CNWI-ENGI\CNWI-ENGI-0077 Maquina remachadora para aplastar cable .pdf</v>
      </c>
      <c r="C83" s="5" t="str">
        <f>MID(B83,LEN(B83) - FIND(".",REVERSETEXT(B83))+2,1000)</f>
        <v>pdf</v>
      </c>
      <c r="D83" s="6">
        <v>4</v>
      </c>
      <c r="E83" s="7" t="s">
        <v>33</v>
      </c>
      <c r="F83" s="7" t="s">
        <v>22</v>
      </c>
      <c r="G83" s="8" t="s">
        <v>60</v>
      </c>
      <c r="H83" s="8">
        <v>4</v>
      </c>
      <c r="I83" s="8"/>
      <c r="J83" s="8"/>
      <c r="K83" s="8"/>
      <c r="L83" s="8"/>
      <c r="M83" s="7" t="s">
        <v>22</v>
      </c>
      <c r="N83" s="7" t="s">
        <v>2021</v>
      </c>
      <c r="O83" s="9">
        <v>40779</v>
      </c>
      <c r="P83" s="7" t="s">
        <v>27</v>
      </c>
      <c r="Q83" s="9" t="s">
        <v>28</v>
      </c>
      <c r="R83" s="7" t="s">
        <v>1887</v>
      </c>
      <c r="S83" s="8" t="s">
        <v>1888</v>
      </c>
      <c r="T83" s="7"/>
      <c r="U83" s="7"/>
      <c r="V83" s="7"/>
    </row>
    <row r="84" spans="1:22">
      <c r="A84" s="5" t="s">
        <v>2022</v>
      </c>
      <c r="B84" s="5" t="str">
        <f>GetAddress(A84)</f>
        <v>\\chno0276\Aseguranza de Calidad\Control de Documentos\Doc. controlados PDF\Instructivos\CNWI-ENGI\CNWI-ENGI-0078 Máquina para pintar Shell.pdf</v>
      </c>
      <c r="C84" s="5" t="str">
        <f>MID(B84,LEN(B84) - FIND(".",REVERSETEXT(B84))+2,1000)</f>
        <v>pdf</v>
      </c>
      <c r="D84" s="6">
        <v>4</v>
      </c>
      <c r="E84" s="7" t="s">
        <v>33</v>
      </c>
      <c r="F84" s="7" t="s">
        <v>22</v>
      </c>
      <c r="G84" s="8" t="s">
        <v>60</v>
      </c>
      <c r="H84" s="8">
        <v>4</v>
      </c>
      <c r="I84" s="8"/>
      <c r="J84" s="8"/>
      <c r="K84" s="8"/>
      <c r="L84" s="8"/>
      <c r="M84" s="7" t="s">
        <v>22</v>
      </c>
      <c r="N84" s="7" t="s">
        <v>2023</v>
      </c>
      <c r="O84" s="9">
        <v>40780</v>
      </c>
      <c r="P84" s="7" t="s">
        <v>27</v>
      </c>
      <c r="Q84" s="9" t="s">
        <v>28</v>
      </c>
      <c r="R84" s="7" t="s">
        <v>1887</v>
      </c>
      <c r="S84" s="8" t="s">
        <v>1888</v>
      </c>
      <c r="T84" s="7"/>
      <c r="U84" s="7"/>
      <c r="V84" s="7"/>
    </row>
    <row r="85" spans="1:22">
      <c r="A85" s="5" t="s">
        <v>2024</v>
      </c>
      <c r="B85" s="5" t="str">
        <f>GetAddress(A85)</f>
        <v>\\chno0276\Aseguranza de Calidad\Control de Documentos\Doc. controlados PDF\Instructivos\CNWI-ENGI\CNWI-ENGI-0079 Soldar contactos con Cautín de pinza HOTIP-H10A.pdf</v>
      </c>
      <c r="C85" s="5" t="str">
        <f>MID(B85,LEN(B85) - FIND(".",REVERSETEXT(B85))+2,1000)</f>
        <v>pdf</v>
      </c>
      <c r="D85" s="6">
        <v>4</v>
      </c>
      <c r="E85" s="7" t="s">
        <v>33</v>
      </c>
      <c r="F85" s="7" t="s">
        <v>22</v>
      </c>
      <c r="G85" s="8" t="s">
        <v>60</v>
      </c>
      <c r="H85" s="8">
        <v>4</v>
      </c>
      <c r="I85" s="8"/>
      <c r="J85" s="8"/>
      <c r="K85" s="8"/>
      <c r="L85" s="8"/>
      <c r="M85" s="7" t="s">
        <v>22</v>
      </c>
      <c r="N85" s="7" t="s">
        <v>2025</v>
      </c>
      <c r="O85" s="9">
        <v>40779</v>
      </c>
      <c r="P85" s="7" t="s">
        <v>27</v>
      </c>
      <c r="Q85" s="9" t="s">
        <v>28</v>
      </c>
      <c r="R85" s="7" t="s">
        <v>1887</v>
      </c>
      <c r="S85" s="8" t="s">
        <v>1888</v>
      </c>
      <c r="T85" s="7"/>
      <c r="U85" s="7"/>
      <c r="V85" s="7"/>
    </row>
    <row r="86" spans="1:22">
      <c r="A86" s="5" t="s">
        <v>2026</v>
      </c>
      <c r="B86" s="5" t="str">
        <f>GetAddress(A86)</f>
        <v>\\chno0276\Aseguranza de Calidad\Control de Documentos\Doc. controlados PDF\Instructivos\CNWI-ENGI\CNWI-ENGI-0080 Remachadora de Banda a Shell.pdf</v>
      </c>
      <c r="C86" s="5" t="str">
        <f>MID(B86,LEN(B86) - FIND(".",REVERSETEXT(B86))+2,1000)</f>
        <v>pdf</v>
      </c>
      <c r="D86" s="6">
        <v>4</v>
      </c>
      <c r="E86" s="7" t="s">
        <v>33</v>
      </c>
      <c r="F86" s="7" t="s">
        <v>22</v>
      </c>
      <c r="G86" s="8" t="s">
        <v>60</v>
      </c>
      <c r="H86" s="8">
        <v>4</v>
      </c>
      <c r="I86" s="8"/>
      <c r="J86" s="8"/>
      <c r="K86" s="8"/>
      <c r="L86" s="8"/>
      <c r="M86" s="7" t="s">
        <v>22</v>
      </c>
      <c r="N86" s="7" t="s">
        <v>2027</v>
      </c>
      <c r="O86" s="9">
        <v>40814</v>
      </c>
      <c r="P86" s="7" t="s">
        <v>27</v>
      </c>
      <c r="Q86" s="9" t="s">
        <v>28</v>
      </c>
      <c r="R86" s="7" t="s">
        <v>1887</v>
      </c>
      <c r="S86" s="8" t="s">
        <v>1888</v>
      </c>
      <c r="T86" s="7"/>
      <c r="U86" s="7"/>
      <c r="V86" s="7"/>
    </row>
    <row r="87" spans="1:22">
      <c r="A87" s="5" t="s">
        <v>608</v>
      </c>
      <c r="B87" s="5" t="str">
        <f>GetAddress(A87)</f>
        <v>\\chno0276\Control de Documentos\Doc. controlados PDF\Instructivos\CNWI-ENGI\CNWI-ENGI-0081 Procedimiento cautines.pdf</v>
      </c>
      <c r="C87" s="5" t="str">
        <f>MID(B87,LEN(B87) - FIND(".",REVERSETEXT(B87))+2,1000)</f>
        <v>pdf</v>
      </c>
      <c r="D87" s="6">
        <v>4</v>
      </c>
      <c r="E87" s="7" t="s">
        <v>33</v>
      </c>
      <c r="F87" s="7" t="s">
        <v>22</v>
      </c>
      <c r="G87" s="8" t="s">
        <v>60</v>
      </c>
      <c r="H87" s="8">
        <v>4</v>
      </c>
      <c r="I87" s="8"/>
      <c r="J87" s="8"/>
      <c r="K87" s="8"/>
      <c r="L87" s="8"/>
      <c r="M87" s="7" t="s">
        <v>22</v>
      </c>
      <c r="N87" s="7" t="s">
        <v>609</v>
      </c>
      <c r="O87" s="9">
        <v>41137</v>
      </c>
      <c r="P87" s="7" t="s">
        <v>46</v>
      </c>
      <c r="Q87" s="9" t="s">
        <v>28</v>
      </c>
      <c r="R87" s="7" t="s">
        <v>604</v>
      </c>
      <c r="S87" s="8" t="s">
        <v>605</v>
      </c>
      <c r="T87" s="7" t="s">
        <v>610</v>
      </c>
      <c r="U87" s="7" t="s">
        <v>611</v>
      </c>
      <c r="V87" s="7"/>
    </row>
    <row r="88" spans="1:22">
      <c r="A88" s="5" t="s">
        <v>2028</v>
      </c>
      <c r="B88" s="5" t="str">
        <f>GetAddress(A88)</f>
        <v>\\chno0276\Aseguranza de Calidad\Control de Documentos\Doc. controlados PDF\Instructivos\CNWI-ENGI\CNWI-ENGI-0083 Impresoras  Zebra Z4MPLUS ZM600.pdf</v>
      </c>
      <c r="C88" s="5" t="str">
        <f>MID(B88,LEN(B88) - FIND(".",REVERSETEXT(B88))+2,1000)</f>
        <v>pdf</v>
      </c>
      <c r="D88" s="6">
        <v>4</v>
      </c>
      <c r="E88" s="7" t="s">
        <v>33</v>
      </c>
      <c r="F88" s="7" t="s">
        <v>22</v>
      </c>
      <c r="G88" s="8" t="s">
        <v>60</v>
      </c>
      <c r="H88" s="8">
        <v>4</v>
      </c>
      <c r="I88" s="8"/>
      <c r="J88" s="8"/>
      <c r="K88" s="8"/>
      <c r="L88" s="8"/>
      <c r="M88" s="7" t="s">
        <v>22</v>
      </c>
      <c r="N88" s="7" t="s">
        <v>2029</v>
      </c>
      <c r="O88" s="9">
        <v>40785</v>
      </c>
      <c r="P88" s="7" t="s">
        <v>27</v>
      </c>
      <c r="Q88" s="9" t="s">
        <v>28</v>
      </c>
      <c r="R88" s="7" t="s">
        <v>1887</v>
      </c>
      <c r="S88" s="8" t="s">
        <v>1888</v>
      </c>
      <c r="T88" s="7"/>
      <c r="U88" s="7"/>
      <c r="V88" s="7"/>
    </row>
    <row r="89" spans="1:22">
      <c r="A89" s="5" t="s">
        <v>2030</v>
      </c>
      <c r="B89" s="5" t="str">
        <f>GetAddress(A89)</f>
        <v>\\chno0276\Aseguranza de Calidad\Control de Documentos\Doc. controlados PDF\Instructivos\CNWI-ENGI\CNWI-ENGI-0084 Sistema Andón área ITRON.pdf</v>
      </c>
      <c r="C89" s="5" t="str">
        <f>MID(B89,LEN(B89) - FIND(".",REVERSETEXT(B89))+2,1000)</f>
        <v>pdf</v>
      </c>
      <c r="D89" s="6">
        <v>4</v>
      </c>
      <c r="E89" s="7" t="s">
        <v>33</v>
      </c>
      <c r="F89" s="7" t="s">
        <v>22</v>
      </c>
      <c r="G89" s="8" t="s">
        <v>60</v>
      </c>
      <c r="H89" s="8">
        <v>4</v>
      </c>
      <c r="I89" s="8"/>
      <c r="J89" s="8"/>
      <c r="K89" s="8"/>
      <c r="L89" s="8"/>
      <c r="M89" s="7" t="s">
        <v>22</v>
      </c>
      <c r="N89" s="7" t="s">
        <v>2031</v>
      </c>
      <c r="O89" s="9">
        <v>40849</v>
      </c>
      <c r="P89" s="7" t="s">
        <v>27</v>
      </c>
      <c r="Q89" s="9" t="s">
        <v>28</v>
      </c>
      <c r="R89" s="7" t="s">
        <v>1887</v>
      </c>
      <c r="S89" s="8" t="s">
        <v>1888</v>
      </c>
      <c r="T89" s="7"/>
      <c r="U89" s="7"/>
      <c r="V89" s="7"/>
    </row>
    <row r="90" spans="1:22">
      <c r="A90" s="5" t="s">
        <v>68</v>
      </c>
      <c r="B90" s="5" t="str">
        <f>GetAddress(A90)</f>
        <v>\\chno0276\Aseguranza de Calidad\Control de Documentos\Doc. controlados PDF\Instructivos\CNWI-ENGI\CNWI-ENGI-0086 Elaboracion de BOM.pdf</v>
      </c>
      <c r="C90" s="5" t="str">
        <f>MID(B90,LEN(B90) - FIND(".",REVERSETEXT(B90))+2,1000)</f>
        <v>pdf</v>
      </c>
      <c r="D90" s="6">
        <v>4</v>
      </c>
      <c r="E90" s="7" t="s">
        <v>33</v>
      </c>
      <c r="F90" s="7" t="s">
        <v>22</v>
      </c>
      <c r="G90" s="8" t="s">
        <v>60</v>
      </c>
      <c r="H90" s="8">
        <v>4</v>
      </c>
      <c r="I90" s="8"/>
      <c r="J90" s="8"/>
      <c r="K90" s="8"/>
      <c r="L90" s="8"/>
      <c r="M90" s="7" t="s">
        <v>22</v>
      </c>
      <c r="N90" s="7" t="s">
        <v>69</v>
      </c>
      <c r="O90" s="9">
        <v>40821</v>
      </c>
      <c r="P90" s="7" t="s">
        <v>27</v>
      </c>
      <c r="Q90" s="9" t="s">
        <v>28</v>
      </c>
      <c r="R90" s="7" t="s">
        <v>62</v>
      </c>
      <c r="S90" s="8" t="s">
        <v>63</v>
      </c>
      <c r="T90" s="7"/>
      <c r="U90" s="7"/>
      <c r="V90" s="7"/>
    </row>
    <row r="91" spans="1:22">
      <c r="A91" s="5" t="s">
        <v>133</v>
      </c>
      <c r="B91" s="5" t="str">
        <f>GetAddress(A91)</f>
        <v>\\chno0276\Aseguranza de Calidad\Control de Documentos\Doc. controlados PDF\Instructivos\CNWI-ENGI\CNWI-ENGI-0087 Instruccion de Impresión de etiquetas de embarque de Solar.pdf</v>
      </c>
      <c r="C91" s="5" t="str">
        <f>MID(B91,LEN(B91) - FIND(".",REVERSETEXT(B91))+2,1000)</f>
        <v>pdf</v>
      </c>
      <c r="D91" s="6">
        <v>4</v>
      </c>
      <c r="E91" s="7" t="s">
        <v>33</v>
      </c>
      <c r="F91" s="7" t="s">
        <v>22</v>
      </c>
      <c r="G91" s="8" t="s">
        <v>60</v>
      </c>
      <c r="H91" s="8">
        <v>4</v>
      </c>
      <c r="I91" s="8"/>
      <c r="J91" s="8"/>
      <c r="K91" s="8"/>
      <c r="L91" s="8"/>
      <c r="M91" s="7" t="s">
        <v>22</v>
      </c>
      <c r="N91" s="7" t="s">
        <v>134</v>
      </c>
      <c r="O91" s="9">
        <v>40869</v>
      </c>
      <c r="P91" s="7" t="s">
        <v>27</v>
      </c>
      <c r="Q91" s="9" t="s">
        <v>28</v>
      </c>
      <c r="R91" s="7" t="s">
        <v>97</v>
      </c>
      <c r="S91" s="8" t="s">
        <v>135</v>
      </c>
      <c r="T91" s="7"/>
      <c r="U91" s="7"/>
      <c r="V91" s="7"/>
    </row>
    <row r="92" spans="1:22">
      <c r="A92" s="5" t="s">
        <v>588</v>
      </c>
      <c r="B92" s="5" t="str">
        <f>GetAddress(A92)</f>
        <v>\\chno0276\Aseguranza de Calidad\Control de Documentos\Doc. controlados PDF\Instructivos\CNWI-ENGI\CNWI-ENGI-0088 Maquina Jalapines.pdf</v>
      </c>
      <c r="C92" s="5" t="str">
        <f>MID(B92,LEN(B92) - FIND(".",REVERSETEXT(B92))+2,1000)</f>
        <v>pdf</v>
      </c>
      <c r="D92" s="6">
        <v>4</v>
      </c>
      <c r="E92" s="7" t="s">
        <v>33</v>
      </c>
      <c r="F92" s="7" t="s">
        <v>22</v>
      </c>
      <c r="G92" s="8" t="s">
        <v>23</v>
      </c>
      <c r="H92" s="8">
        <v>5</v>
      </c>
      <c r="I92" s="8" t="s">
        <v>84</v>
      </c>
      <c r="J92" s="8">
        <v>33</v>
      </c>
      <c r="K92" s="8" t="s">
        <v>85</v>
      </c>
      <c r="L92" s="8">
        <v>28</v>
      </c>
      <c r="M92" s="7" t="s">
        <v>589</v>
      </c>
      <c r="N92" s="7" t="s">
        <v>590</v>
      </c>
      <c r="O92" s="9">
        <v>40897</v>
      </c>
      <c r="P92" s="7" t="s">
        <v>27</v>
      </c>
      <c r="Q92" s="9" t="s">
        <v>28</v>
      </c>
      <c r="R92" s="7" t="s">
        <v>591</v>
      </c>
      <c r="S92" s="8" t="s">
        <v>592</v>
      </c>
      <c r="T92" s="7"/>
      <c r="U92" s="7"/>
      <c r="V92" s="7"/>
    </row>
    <row r="93" spans="1:22">
      <c r="A93" s="5" t="s">
        <v>593</v>
      </c>
      <c r="B93" s="5" t="str">
        <f>GetAddress(A93)</f>
        <v>\\chno0276\Aseguranza de Calidad\Control de Documentos\Doc. controlados PDF\Instructivos\CNWI-ENGI\CNWI-ENGI-0090 EB 1147.pdf</v>
      </c>
      <c r="C93" s="5" t="str">
        <f>MID(B93,LEN(B93) - FIND(".",REVERSETEXT(B93))+2,1000)</f>
        <v>pdf</v>
      </c>
      <c r="D93" s="6">
        <v>4</v>
      </c>
      <c r="E93" s="7" t="s">
        <v>33</v>
      </c>
      <c r="F93" s="7" t="s">
        <v>22</v>
      </c>
      <c r="G93" s="8" t="s">
        <v>23</v>
      </c>
      <c r="H93" s="8">
        <v>5</v>
      </c>
      <c r="I93" s="8" t="s">
        <v>84</v>
      </c>
      <c r="J93" s="8">
        <v>33</v>
      </c>
      <c r="K93" s="8" t="s">
        <v>85</v>
      </c>
      <c r="L93" s="8">
        <v>28</v>
      </c>
      <c r="M93" s="7" t="s">
        <v>589</v>
      </c>
      <c r="N93" s="7" t="s">
        <v>594</v>
      </c>
      <c r="O93" s="9">
        <v>40932</v>
      </c>
      <c r="P93" s="7" t="s">
        <v>27</v>
      </c>
      <c r="Q93" s="9" t="s">
        <v>28</v>
      </c>
      <c r="R93" s="7" t="s">
        <v>591</v>
      </c>
      <c r="S93" s="8" t="s">
        <v>592</v>
      </c>
      <c r="T93" s="7"/>
      <c r="U93" s="7"/>
      <c r="V93" s="7"/>
    </row>
    <row r="94" spans="1:22">
      <c r="A94" s="5" t="s">
        <v>227</v>
      </c>
      <c r="B94" s="5" t="str">
        <f>GetAddress(A94)</f>
        <v>\\chno0276\Aseguranza de Calidad\Control de Documentos\Doc. controlados PDF\Formas\CNWI-ENGI (Ingenieria)\CNWI-ENGI-F004 Registros control doc. Engi.xls</v>
      </c>
      <c r="C94" s="5" t="str">
        <f>MID(B94,LEN(B94) - FIND(".",REVERSETEXT(B94))+2,1000)</f>
        <v>xls</v>
      </c>
      <c r="D94" s="6">
        <v>5</v>
      </c>
      <c r="E94" s="7" t="s">
        <v>42</v>
      </c>
      <c r="F94" s="7" t="s">
        <v>22</v>
      </c>
      <c r="G94" s="8" t="s">
        <v>60</v>
      </c>
      <c r="H94" s="8">
        <v>4</v>
      </c>
      <c r="I94" s="8"/>
      <c r="J94" s="8"/>
      <c r="K94" s="8"/>
      <c r="L94" s="8"/>
      <c r="M94" s="7" t="s">
        <v>22</v>
      </c>
      <c r="N94" s="13" t="s">
        <v>228</v>
      </c>
      <c r="O94" s="9">
        <v>40590</v>
      </c>
      <c r="P94" s="7" t="s">
        <v>27</v>
      </c>
      <c r="Q94" s="9" t="s">
        <v>28</v>
      </c>
      <c r="R94" s="7" t="s">
        <v>221</v>
      </c>
      <c r="S94" s="8" t="s">
        <v>222</v>
      </c>
      <c r="T94" s="7"/>
      <c r="U94" s="7"/>
      <c r="V94" s="7"/>
    </row>
    <row r="95" spans="1:22">
      <c r="A95" s="5" t="s">
        <v>229</v>
      </c>
      <c r="B95" s="5" t="str">
        <f>GetAddress(A95)</f>
        <v>\\chno0276\Aseguranza de Calidad\Control de Documentos\Doc. controlados PDF\Formas\CNWI-ENGI (Ingenieria)\CNWI-ENGI-F005 Registro de ayudas visuales entregadas a produccion.xlsx</v>
      </c>
      <c r="C95" s="5" t="str">
        <f>MID(B95,LEN(B95) - FIND(".",REVERSETEXT(B95))+2,1000)</f>
        <v>xlsx</v>
      </c>
      <c r="D95" s="6">
        <v>5</v>
      </c>
      <c r="E95" s="7" t="s">
        <v>42</v>
      </c>
      <c r="F95" s="7" t="s">
        <v>22</v>
      </c>
      <c r="G95" s="8" t="s">
        <v>60</v>
      </c>
      <c r="H95" s="8">
        <v>4</v>
      </c>
      <c r="I95" s="8"/>
      <c r="J95" s="8"/>
      <c r="K95" s="8"/>
      <c r="L95" s="8"/>
      <c r="M95" s="7" t="s">
        <v>22</v>
      </c>
      <c r="N95" s="13" t="s">
        <v>230</v>
      </c>
      <c r="O95" s="9" t="s">
        <v>231</v>
      </c>
      <c r="P95" s="7" t="s">
        <v>27</v>
      </c>
      <c r="Q95" s="9" t="s">
        <v>28</v>
      </c>
      <c r="R95" s="7" t="s">
        <v>221</v>
      </c>
      <c r="S95" s="8" t="s">
        <v>222</v>
      </c>
      <c r="T95" s="7"/>
      <c r="U95" s="7"/>
      <c r="V95" s="7"/>
    </row>
    <row r="96" spans="1:22">
      <c r="A96" s="5" t="s">
        <v>434</v>
      </c>
      <c r="B96" s="5" t="str">
        <f>GetAddress(A96)</f>
        <v>\\chno0276\Aseguranza de Calidad\Control de Documentos\Doc. controlados PDF\Formas\CNWI-ENGI (Ingenieria)\CNWI-ENGI-F006 Ajuste de Parametros.xlsx</v>
      </c>
      <c r="C96" s="5" t="str">
        <f>MID(B96,LEN(B96) - FIND(".",REVERSETEXT(B96))+2,1000)</f>
        <v>xlsx</v>
      </c>
      <c r="D96" s="6">
        <v>5</v>
      </c>
      <c r="E96" s="7" t="s">
        <v>42</v>
      </c>
      <c r="F96" s="7" t="s">
        <v>22</v>
      </c>
      <c r="G96" s="8" t="s">
        <v>60</v>
      </c>
      <c r="H96" s="8">
        <v>4</v>
      </c>
      <c r="I96" s="8"/>
      <c r="J96" s="8"/>
      <c r="K96" s="8"/>
      <c r="L96" s="8"/>
      <c r="M96" s="7" t="s">
        <v>22</v>
      </c>
      <c r="N96" s="13" t="s">
        <v>435</v>
      </c>
      <c r="O96" s="9" t="s">
        <v>436</v>
      </c>
      <c r="P96" s="7" t="s">
        <v>46</v>
      </c>
      <c r="Q96" s="9" t="s">
        <v>28</v>
      </c>
      <c r="R96" s="7" t="s">
        <v>437</v>
      </c>
      <c r="S96" s="8" t="s">
        <v>438</v>
      </c>
      <c r="T96" s="7"/>
      <c r="U96" s="7"/>
      <c r="V96" s="7"/>
    </row>
    <row r="97" spans="1:22">
      <c r="A97" s="5" t="s">
        <v>232</v>
      </c>
      <c r="B97" s="5" t="str">
        <f>GetAddress(A97)</f>
        <v>\\chno0276\Aseguranza de Calidad\Control de Documentos\Doc. controlados PDF\Formas\CNWI-ENGI (Ingenieria)\CNWI-ENGI-F007 estatus ayudas visuales.xlsx</v>
      </c>
      <c r="C97" s="5" t="str">
        <f>MID(B97,LEN(B97) - FIND(".",REVERSETEXT(B97))+2,1000)</f>
        <v>xlsx</v>
      </c>
      <c r="D97" s="6">
        <v>5</v>
      </c>
      <c r="E97" s="7" t="s">
        <v>42</v>
      </c>
      <c r="F97" s="7" t="s">
        <v>22</v>
      </c>
      <c r="G97" s="8" t="s">
        <v>60</v>
      </c>
      <c r="H97" s="8">
        <v>4</v>
      </c>
      <c r="I97" s="8"/>
      <c r="J97" s="8"/>
      <c r="K97" s="8"/>
      <c r="L97" s="8"/>
      <c r="M97" s="7" t="s">
        <v>22</v>
      </c>
      <c r="N97" s="13" t="s">
        <v>233</v>
      </c>
      <c r="O97" s="9">
        <v>40604</v>
      </c>
      <c r="P97" s="7" t="s">
        <v>27</v>
      </c>
      <c r="Q97" s="9" t="s">
        <v>28</v>
      </c>
      <c r="R97" s="7" t="s">
        <v>221</v>
      </c>
      <c r="S97" s="8" t="s">
        <v>222</v>
      </c>
      <c r="T97" s="7"/>
      <c r="U97" s="7"/>
      <c r="V97" s="7"/>
    </row>
    <row r="98" spans="1:22">
      <c r="A98" s="5" t="s">
        <v>234</v>
      </c>
      <c r="B98" s="5" t="str">
        <f>GetAddress(A98)</f>
        <v>\\chno0276\Aseguranza de Calidad\Control de Documentos\Doc. controlados PDF\Formas\CNWI-ENGI (Ingenieria)\CNWI-ENGI-F009 Relacion de Planos controlados Externos- Internos.xls</v>
      </c>
      <c r="C98" s="5" t="str">
        <f>MID(B98,LEN(B98) - FIND(".",REVERSETEXT(B98))+2,1000)</f>
        <v>xls</v>
      </c>
      <c r="D98" s="6">
        <v>5</v>
      </c>
      <c r="E98" s="7" t="s">
        <v>42</v>
      </c>
      <c r="F98" s="7" t="s">
        <v>22</v>
      </c>
      <c r="G98" s="8" t="s">
        <v>60</v>
      </c>
      <c r="H98" s="8">
        <v>4</v>
      </c>
      <c r="I98" s="8"/>
      <c r="J98" s="8"/>
      <c r="K98" s="8"/>
      <c r="L98" s="8"/>
      <c r="M98" s="7" t="s">
        <v>22</v>
      </c>
      <c r="N98" s="13" t="s">
        <v>235</v>
      </c>
      <c r="O98" s="9">
        <v>40819</v>
      </c>
      <c r="P98" s="7" t="s">
        <v>27</v>
      </c>
      <c r="Q98" s="9" t="s">
        <v>28</v>
      </c>
      <c r="R98" s="7" t="s">
        <v>221</v>
      </c>
      <c r="S98" s="8" t="s">
        <v>222</v>
      </c>
      <c r="T98" s="7"/>
      <c r="U98" s="7"/>
      <c r="V98" s="7"/>
    </row>
    <row r="99" spans="1:22">
      <c r="A99" s="5" t="s">
        <v>2281</v>
      </c>
      <c r="B99" s="5" t="str">
        <f>GetAddress(A99)</f>
        <v>\\chno0276\Aseguranza de Calidad\Control de Documentos\Doc. controlados PDF\Formas\CNWI-ENGI (Ingenieria)\CNWI-ENGI-F011 Lista de empaques.xlsx</v>
      </c>
      <c r="C99" s="5" t="str">
        <f>MID(B99,LEN(B99) - FIND(".",REVERSETEXT(B99))+2,1000)</f>
        <v>xlsx</v>
      </c>
      <c r="D99" s="6">
        <v>5</v>
      </c>
      <c r="E99" s="7" t="s">
        <v>42</v>
      </c>
      <c r="F99" s="7" t="s">
        <v>22</v>
      </c>
      <c r="G99" s="8" t="s">
        <v>60</v>
      </c>
      <c r="H99" s="8">
        <v>4</v>
      </c>
      <c r="I99" s="8"/>
      <c r="J99" s="8"/>
      <c r="K99" s="8"/>
      <c r="L99" s="8"/>
      <c r="M99" s="7" t="s">
        <v>22</v>
      </c>
      <c r="N99" s="13" t="s">
        <v>2282</v>
      </c>
      <c r="O99" s="9">
        <v>40850</v>
      </c>
      <c r="P99" s="7" t="s">
        <v>27</v>
      </c>
      <c r="Q99" s="9" t="s">
        <v>28</v>
      </c>
      <c r="R99" s="7" t="s">
        <v>2283</v>
      </c>
      <c r="S99" s="8" t="s">
        <v>2284</v>
      </c>
      <c r="T99" s="7"/>
      <c r="U99" s="7"/>
      <c r="V99" s="7"/>
    </row>
    <row r="100" spans="1:22">
      <c r="A100" s="5" t="s">
        <v>236</v>
      </c>
      <c r="B100" s="5" t="str">
        <f>GetAddress(A100)</f>
        <v>\\chno0276\Aseguranza de Calidad\Control de Documentos\Doc. controlados PDF\Formas\CNWI-ENGI (Ingenieria)\CNWI-ENGI-F012 Relacion de Planos controlados Internos.xls</v>
      </c>
      <c r="C100" s="5" t="str">
        <f>MID(B100,LEN(B100) - FIND(".",REVERSETEXT(B100))+2,1000)</f>
        <v>xls</v>
      </c>
      <c r="D100" s="6">
        <v>5</v>
      </c>
      <c r="E100" s="7" t="s">
        <v>42</v>
      </c>
      <c r="F100" s="7" t="s">
        <v>22</v>
      </c>
      <c r="G100" s="8" t="s">
        <v>60</v>
      </c>
      <c r="H100" s="8">
        <v>4</v>
      </c>
      <c r="I100" s="8"/>
      <c r="J100" s="8"/>
      <c r="K100" s="8"/>
      <c r="L100" s="8"/>
      <c r="M100" s="7" t="s">
        <v>22</v>
      </c>
      <c r="N100" s="13" t="s">
        <v>237</v>
      </c>
      <c r="O100" s="9">
        <v>40616</v>
      </c>
      <c r="P100" s="7" t="s">
        <v>27</v>
      </c>
      <c r="Q100" s="9" t="s">
        <v>28</v>
      </c>
      <c r="R100" s="7" t="s">
        <v>221</v>
      </c>
      <c r="S100" s="8" t="s">
        <v>222</v>
      </c>
      <c r="T100" s="7"/>
      <c r="U100" s="7"/>
      <c r="V100" s="7"/>
    </row>
    <row r="101" spans="1:22">
      <c r="A101" s="5" t="s">
        <v>238</v>
      </c>
      <c r="B101" s="5" t="str">
        <f>GetAddress(A101)</f>
        <v>\\chno0276\Aseguranza de Calidad\Control de Documentos\Doc. controlados PDF\Formas\CNWI-ENGI (Ingenieria)\CNWI-ENGI-F013 Relacion de Planos Obsoletos.xls</v>
      </c>
      <c r="C101" s="5" t="str">
        <f>MID(B101,LEN(B101) - FIND(".",REVERSETEXT(B101))+2,1000)</f>
        <v>xls</v>
      </c>
      <c r="D101" s="6">
        <v>5</v>
      </c>
      <c r="E101" s="7" t="s">
        <v>42</v>
      </c>
      <c r="F101" s="7" t="s">
        <v>22</v>
      </c>
      <c r="G101" s="8" t="s">
        <v>60</v>
      </c>
      <c r="H101" s="8">
        <v>4</v>
      </c>
      <c r="I101" s="8"/>
      <c r="J101" s="8"/>
      <c r="K101" s="8"/>
      <c r="L101" s="8"/>
      <c r="M101" s="7" t="s">
        <v>22</v>
      </c>
      <c r="N101" s="13" t="s">
        <v>239</v>
      </c>
      <c r="O101" s="9">
        <v>40616</v>
      </c>
      <c r="P101" s="7" t="s">
        <v>27</v>
      </c>
      <c r="Q101" s="9" t="s">
        <v>28</v>
      </c>
      <c r="R101" s="7" t="s">
        <v>221</v>
      </c>
      <c r="S101" s="8" t="s">
        <v>222</v>
      </c>
      <c r="T101" s="7"/>
      <c r="U101" s="7"/>
      <c r="V101" s="7"/>
    </row>
    <row r="102" spans="1:22">
      <c r="A102" s="5" t="s">
        <v>2285</v>
      </c>
      <c r="B102" s="5" t="str">
        <f>GetAddress(A102)</f>
        <v>\\chno0276\Aseguranza de Calidad\Control de Documentos\Doc. controlados PDF\Formas\CNWI-ENGI (Ingenieria)\CNWI-ENGI-F014 Identificacion de material en proceso .doc</v>
      </c>
      <c r="C102" s="5" t="str">
        <f>MID(B102,LEN(B102) - FIND(".",REVERSETEXT(B102))+2,1000)</f>
        <v>doc</v>
      </c>
      <c r="D102" s="6">
        <v>5</v>
      </c>
      <c r="E102" s="7" t="s">
        <v>42</v>
      </c>
      <c r="F102" s="7" t="s">
        <v>22</v>
      </c>
      <c r="G102" s="8" t="s">
        <v>60</v>
      </c>
      <c r="H102" s="8">
        <v>4</v>
      </c>
      <c r="I102" s="8"/>
      <c r="J102" s="8"/>
      <c r="K102" s="8"/>
      <c r="L102" s="8"/>
      <c r="M102" s="7" t="s">
        <v>22</v>
      </c>
      <c r="N102" s="13" t="s">
        <v>2286</v>
      </c>
      <c r="O102" s="9">
        <v>40616</v>
      </c>
      <c r="P102" s="7" t="s">
        <v>27</v>
      </c>
      <c r="Q102" s="9" t="s">
        <v>28</v>
      </c>
      <c r="R102" s="7" t="s">
        <v>2283</v>
      </c>
      <c r="S102" s="8" t="s">
        <v>2284</v>
      </c>
      <c r="T102" s="7"/>
      <c r="U102" s="7"/>
      <c r="V102" s="7"/>
    </row>
    <row r="103" spans="1:22">
      <c r="A103" s="5" t="s">
        <v>2287</v>
      </c>
      <c r="B103" s="5" t="str">
        <f>GetAddress(A103)</f>
        <v>\\chno0276\Aseguranza de Calidad\Control de Documentos\Doc. controlados PDF\Formas\CNWI-ENGI (Ingenieria)\CNWI-ENGI-F015 forma para caducidad de la goma (chemlok).xls</v>
      </c>
      <c r="C103" s="5" t="str">
        <f>MID(B103,LEN(B103) - FIND(".",REVERSETEXT(B103))+2,1000)</f>
        <v>xls</v>
      </c>
      <c r="D103" s="6">
        <v>5</v>
      </c>
      <c r="E103" s="7" t="s">
        <v>42</v>
      </c>
      <c r="F103" s="7" t="s">
        <v>22</v>
      </c>
      <c r="G103" s="8" t="s">
        <v>60</v>
      </c>
      <c r="H103" s="8">
        <v>4</v>
      </c>
      <c r="I103" s="8"/>
      <c r="J103" s="8"/>
      <c r="K103" s="8"/>
      <c r="L103" s="8"/>
      <c r="M103" s="7" t="s">
        <v>22</v>
      </c>
      <c r="N103" s="13" t="s">
        <v>2288</v>
      </c>
      <c r="O103" s="9">
        <v>40617</v>
      </c>
      <c r="P103" s="7" t="s">
        <v>27</v>
      </c>
      <c r="Q103" s="9" t="s">
        <v>28</v>
      </c>
      <c r="R103" s="7" t="s">
        <v>2283</v>
      </c>
      <c r="S103" s="8" t="s">
        <v>2284</v>
      </c>
      <c r="T103" s="7"/>
      <c r="U103" s="7"/>
      <c r="V103" s="7"/>
    </row>
    <row r="104" spans="1:22">
      <c r="A104" s="5" t="s">
        <v>2289</v>
      </c>
      <c r="B104" s="5" t="str">
        <f>GetAddress(A104)</f>
        <v>\\chno0276\Aseguranza de Calidad\Control de Documentos\Doc. controlados PDF\Formas\CNWI-ENGI (Ingenieria)\CNWI-ENGI-F016 Tabla de codigo de los medidores.xls</v>
      </c>
      <c r="C104" s="5" t="str">
        <f>MID(B104,LEN(B104) - FIND(".",REVERSETEXT(B104))+2,1000)</f>
        <v>xls</v>
      </c>
      <c r="D104" s="6">
        <v>5</v>
      </c>
      <c r="E104" s="7" t="s">
        <v>42</v>
      </c>
      <c r="F104" s="7" t="s">
        <v>22</v>
      </c>
      <c r="G104" s="8" t="s">
        <v>60</v>
      </c>
      <c r="H104" s="8">
        <v>4</v>
      </c>
      <c r="I104" s="8"/>
      <c r="J104" s="8"/>
      <c r="K104" s="8"/>
      <c r="L104" s="8"/>
      <c r="M104" s="7" t="s">
        <v>22</v>
      </c>
      <c r="N104" s="13" t="s">
        <v>2290</v>
      </c>
      <c r="O104" s="9">
        <v>40619</v>
      </c>
      <c r="P104" s="7" t="s">
        <v>27</v>
      </c>
      <c r="Q104" s="9" t="s">
        <v>28</v>
      </c>
      <c r="R104" s="7" t="s">
        <v>2283</v>
      </c>
      <c r="S104" s="8" t="s">
        <v>2284</v>
      </c>
      <c r="T104" s="7"/>
      <c r="U104" s="7"/>
      <c r="V104" s="7"/>
    </row>
    <row r="105" spans="1:22">
      <c r="A105" s="5" t="s">
        <v>2291</v>
      </c>
      <c r="B105" s="5" t="str">
        <f>GetAddress(A105)</f>
        <v>\\chno0276\Aseguranza de Calidad\Control de Documentos\Doc. controlados PDF\Formas\CNWI-ENGI (Ingenieria)\CNWI-ENGI-F017 Lista de posicionadores.xls</v>
      </c>
      <c r="C105" s="5" t="str">
        <f>MID(B105,LEN(B105) - FIND(".",REVERSETEXT(B105))+2,1000)</f>
        <v>xls</v>
      </c>
      <c r="D105" s="6">
        <v>5</v>
      </c>
      <c r="E105" s="7" t="s">
        <v>42</v>
      </c>
      <c r="F105" s="7" t="s">
        <v>22</v>
      </c>
      <c r="G105" s="8" t="s">
        <v>60</v>
      </c>
      <c r="H105" s="8">
        <v>4</v>
      </c>
      <c r="I105" s="8"/>
      <c r="J105" s="8"/>
      <c r="K105" s="8"/>
      <c r="L105" s="8"/>
      <c r="M105" s="7" t="s">
        <v>22</v>
      </c>
      <c r="N105" s="13" t="s">
        <v>2292</v>
      </c>
      <c r="O105" s="9">
        <v>40620</v>
      </c>
      <c r="P105" s="7" t="s">
        <v>27</v>
      </c>
      <c r="Q105" s="9" t="s">
        <v>28</v>
      </c>
      <c r="R105" s="7" t="s">
        <v>2283</v>
      </c>
      <c r="S105" s="8" t="s">
        <v>2284</v>
      </c>
      <c r="T105" s="7"/>
      <c r="U105" s="7"/>
      <c r="V105" s="7"/>
    </row>
    <row r="106" spans="1:22">
      <c r="A106" s="5" t="s">
        <v>2293</v>
      </c>
      <c r="B106" s="5" t="str">
        <f>GetAddress(A106)</f>
        <v>\\chno0276\Aseguranza de Calidad\Control de Documentos\Doc. controlados PDF\Formas\CNWI-ENGI (Ingenieria)\CNWI-ENGI-F018 Copia controlada a incoming inspection.xls</v>
      </c>
      <c r="C106" s="5" t="str">
        <f>MID(B106,LEN(B106) - FIND(".",REVERSETEXT(B106))+2,1000)</f>
        <v>xls</v>
      </c>
      <c r="D106" s="6">
        <v>5</v>
      </c>
      <c r="E106" s="7" t="s">
        <v>42</v>
      </c>
      <c r="F106" s="7" t="s">
        <v>22</v>
      </c>
      <c r="G106" s="8" t="s">
        <v>60</v>
      </c>
      <c r="H106" s="8">
        <v>4</v>
      </c>
      <c r="I106" s="8"/>
      <c r="J106" s="8"/>
      <c r="K106" s="8"/>
      <c r="L106" s="8"/>
      <c r="M106" s="7" t="s">
        <v>22</v>
      </c>
      <c r="N106" s="13" t="s">
        <v>2294</v>
      </c>
      <c r="O106" s="9">
        <v>40631</v>
      </c>
      <c r="P106" s="7" t="s">
        <v>27</v>
      </c>
      <c r="Q106" s="9" t="s">
        <v>28</v>
      </c>
      <c r="R106" s="7" t="s">
        <v>2283</v>
      </c>
      <c r="S106" s="8" t="s">
        <v>2284</v>
      </c>
      <c r="T106" s="7"/>
      <c r="U106" s="7"/>
      <c r="V106" s="7"/>
    </row>
    <row r="107" spans="1:22">
      <c r="A107" s="5" t="s">
        <v>2295</v>
      </c>
      <c r="B107" s="5" t="str">
        <f>GetAddress(A107)</f>
        <v>\\chno0276\Aseguranza de Calidad\Control de Documentos\Doc. controlados PDF\Formas\CNWI-ENGI (Ingenieria)\CNWI-ENGI-F019 Especificaciones de empaque.xlsx</v>
      </c>
      <c r="C107" s="5" t="str">
        <f>MID(B107,LEN(B107) - FIND(".",REVERSETEXT(B107))+2,1000)</f>
        <v>xlsx</v>
      </c>
      <c r="D107" s="6">
        <v>5</v>
      </c>
      <c r="E107" s="7" t="s">
        <v>42</v>
      </c>
      <c r="F107" s="7" t="s">
        <v>22</v>
      </c>
      <c r="G107" s="8" t="s">
        <v>60</v>
      </c>
      <c r="H107" s="8">
        <v>4</v>
      </c>
      <c r="I107" s="8"/>
      <c r="J107" s="8"/>
      <c r="K107" s="8"/>
      <c r="L107" s="8"/>
      <c r="M107" s="7" t="s">
        <v>22</v>
      </c>
      <c r="N107" s="13" t="s">
        <v>2296</v>
      </c>
      <c r="O107" s="9">
        <v>40912</v>
      </c>
      <c r="P107" s="7" t="s">
        <v>46</v>
      </c>
      <c r="Q107" s="9" t="s">
        <v>28</v>
      </c>
      <c r="R107" s="7" t="s">
        <v>2283</v>
      </c>
      <c r="S107" s="8" t="s">
        <v>2284</v>
      </c>
      <c r="T107" s="7"/>
      <c r="U107" s="7"/>
      <c r="V107" s="7"/>
    </row>
    <row r="108" spans="1:22">
      <c r="A108" s="5" t="s">
        <v>2297</v>
      </c>
      <c r="B108" s="5" t="str">
        <f>GetAddress(A108)</f>
        <v>\\chno0276\Aseguranza de Calidad\Control de Documentos\Doc. controlados PDF\Formas\CNWI-ENGI (Ingenieria)\CNWI-ENGI-F020 QRB PRINTABLE.PUB</v>
      </c>
      <c r="C108" s="5" t="str">
        <f>MID(B108,LEN(B108) - FIND(".",REVERSETEXT(B108))+2,1000)</f>
        <v>PUB</v>
      </c>
      <c r="D108" s="6">
        <v>5</v>
      </c>
      <c r="E108" s="7" t="s">
        <v>42</v>
      </c>
      <c r="F108" s="7" t="s">
        <v>22</v>
      </c>
      <c r="G108" s="8" t="s">
        <v>60</v>
      </c>
      <c r="H108" s="8">
        <v>4</v>
      </c>
      <c r="I108" s="8"/>
      <c r="J108" s="8"/>
      <c r="K108" s="8"/>
      <c r="L108" s="8"/>
      <c r="M108" s="7" t="s">
        <v>22</v>
      </c>
      <c r="N108" s="13" t="s">
        <v>2298</v>
      </c>
      <c r="O108" s="9">
        <v>40632</v>
      </c>
      <c r="P108" s="7" t="s">
        <v>27</v>
      </c>
      <c r="Q108" s="9" t="s">
        <v>28</v>
      </c>
      <c r="R108" s="7" t="s">
        <v>2283</v>
      </c>
      <c r="S108" s="8" t="s">
        <v>2284</v>
      </c>
      <c r="T108" s="7"/>
      <c r="U108" s="7"/>
      <c r="V108" s="7"/>
    </row>
    <row r="109" spans="1:22">
      <c r="A109" s="5" t="s">
        <v>2299</v>
      </c>
      <c r="B109" s="5" t="str">
        <f>GetAddress(A109)</f>
        <v>\\chno0276\Aseguranza de Calidad\Control de Documentos\Doc. controlados PDF\Formas\CNWI-ENGI (Ingenieria)\CNWI-ENGI-F021 SQDC CHARTS (PLANT) PRINTABLE.pub</v>
      </c>
      <c r="C109" s="5" t="str">
        <f>MID(B109,LEN(B109) - FIND(".",REVERSETEXT(B109))+2,1000)</f>
        <v>pub</v>
      </c>
      <c r="D109" s="6">
        <v>5</v>
      </c>
      <c r="E109" s="7" t="s">
        <v>42</v>
      </c>
      <c r="F109" s="7" t="s">
        <v>22</v>
      </c>
      <c r="G109" s="8" t="s">
        <v>60</v>
      </c>
      <c r="H109" s="8">
        <v>4</v>
      </c>
      <c r="I109" s="8"/>
      <c r="J109" s="8"/>
      <c r="K109" s="8"/>
      <c r="L109" s="8"/>
      <c r="M109" s="7" t="s">
        <v>22</v>
      </c>
      <c r="N109" s="13" t="s">
        <v>2300</v>
      </c>
      <c r="O109" s="9">
        <v>40632</v>
      </c>
      <c r="P109" s="7" t="s">
        <v>27</v>
      </c>
      <c r="Q109" s="9" t="s">
        <v>28</v>
      </c>
      <c r="R109" s="7" t="s">
        <v>2283</v>
      </c>
      <c r="S109" s="8" t="s">
        <v>2284</v>
      </c>
      <c r="T109" s="7"/>
      <c r="U109" s="7"/>
      <c r="V109" s="7"/>
    </row>
    <row r="110" spans="1:22">
      <c r="A110" s="5" t="s">
        <v>2301</v>
      </c>
      <c r="B110" s="5" t="str">
        <f>GetAddress(A110)</f>
        <v>\\chno0276\Aseguranza de Calidad\Control de Documentos\Doc. controlados PDF\Formas\CNWI-ENGI (Ingenieria)\CNWI-ENGI-F024 SQDC CHARTS PRINTABLE.pub</v>
      </c>
      <c r="C110" s="5" t="str">
        <f>MID(B110,LEN(B110) - FIND(".",REVERSETEXT(B110))+2,1000)</f>
        <v>pub</v>
      </c>
      <c r="D110" s="6">
        <v>5</v>
      </c>
      <c r="E110" s="7" t="s">
        <v>42</v>
      </c>
      <c r="F110" s="7" t="s">
        <v>22</v>
      </c>
      <c r="G110" s="8" t="s">
        <v>60</v>
      </c>
      <c r="H110" s="8">
        <v>4</v>
      </c>
      <c r="I110" s="8"/>
      <c r="J110" s="8"/>
      <c r="K110" s="8"/>
      <c r="L110" s="8"/>
      <c r="M110" s="7" t="s">
        <v>22</v>
      </c>
      <c r="N110" s="13" t="s">
        <v>2302</v>
      </c>
      <c r="O110" s="9">
        <v>40632</v>
      </c>
      <c r="P110" s="7" t="s">
        <v>27</v>
      </c>
      <c r="Q110" s="9" t="s">
        <v>28</v>
      </c>
      <c r="R110" s="7" t="s">
        <v>2283</v>
      </c>
      <c r="S110" s="8" t="s">
        <v>2284</v>
      </c>
      <c r="T110" s="7"/>
      <c r="U110" s="7"/>
      <c r="V110" s="7"/>
    </row>
    <row r="111" spans="1:22" s="4" customFormat="1" ht="13.9" customHeight="1">
      <c r="A111" s="5" t="s">
        <v>2303</v>
      </c>
      <c r="B111" s="5" t="str">
        <f>GetAddress(A111)</f>
        <v>\\chno0276\Aseguranza de Calidad\Control de Documentos\Doc. controlados PDF\Formas\CNWI-ENGI (Ingenieria)\CNWI-ENGI-F028 Control 15 Hoja 1.xls</v>
      </c>
      <c r="C111" s="5" t="str">
        <f>MID(B111,LEN(B111) - FIND(".",REVERSETEXT(B111))+2,1000)</f>
        <v>xls</v>
      </c>
      <c r="D111" s="6">
        <v>5</v>
      </c>
      <c r="E111" s="7" t="s">
        <v>42</v>
      </c>
      <c r="F111" s="7" t="s">
        <v>22</v>
      </c>
      <c r="G111" s="8" t="s">
        <v>60</v>
      </c>
      <c r="H111" s="8">
        <v>4</v>
      </c>
      <c r="I111" s="8"/>
      <c r="J111" s="8"/>
      <c r="K111" s="8"/>
      <c r="L111" s="8"/>
      <c r="M111" s="7" t="s">
        <v>22</v>
      </c>
      <c r="N111" s="13" t="s">
        <v>2304</v>
      </c>
      <c r="O111" s="9">
        <v>40648</v>
      </c>
      <c r="P111" s="7" t="s">
        <v>27</v>
      </c>
      <c r="Q111" s="9" t="s">
        <v>28</v>
      </c>
      <c r="R111" s="7" t="s">
        <v>2283</v>
      </c>
      <c r="S111" s="8" t="s">
        <v>2284</v>
      </c>
      <c r="T111" s="7"/>
      <c r="U111" s="7"/>
      <c r="V111" s="7"/>
    </row>
    <row r="112" spans="1:22">
      <c r="A112" s="5" t="s">
        <v>2305</v>
      </c>
      <c r="B112" s="5" t="str">
        <f>GetAddress(A112)</f>
        <v>\\chno0276\Aseguranza de Calidad\Control de Documentos\Doc. controlados PDF\Formas\CNWI-ENGI (Ingenieria)\CNWI-ENGI-F029 Transference check list.xls</v>
      </c>
      <c r="C112" s="5" t="str">
        <f>MID(B112,LEN(B112) - FIND(".",REVERSETEXT(B112))+2,1000)</f>
        <v>xls</v>
      </c>
      <c r="D112" s="6">
        <v>5</v>
      </c>
      <c r="E112" s="7" t="s">
        <v>42</v>
      </c>
      <c r="F112" s="7" t="s">
        <v>22</v>
      </c>
      <c r="G112" s="8" t="s">
        <v>60</v>
      </c>
      <c r="H112" s="8">
        <v>4</v>
      </c>
      <c r="I112" s="8"/>
      <c r="J112" s="8"/>
      <c r="K112" s="8"/>
      <c r="L112" s="8"/>
      <c r="M112" s="7" t="s">
        <v>22</v>
      </c>
      <c r="N112" s="7" t="s">
        <v>2306</v>
      </c>
      <c r="O112" s="9">
        <v>40648</v>
      </c>
      <c r="P112" s="7" t="s">
        <v>27</v>
      </c>
      <c r="Q112" s="9" t="s">
        <v>28</v>
      </c>
      <c r="R112" s="7" t="s">
        <v>2283</v>
      </c>
      <c r="S112" s="8" t="s">
        <v>2284</v>
      </c>
      <c r="T112" s="7"/>
      <c r="U112" s="7"/>
      <c r="V112" s="7"/>
    </row>
    <row r="113" spans="1:22" s="4" customFormat="1" ht="13.9" customHeight="1">
      <c r="A113" s="5" t="s">
        <v>240</v>
      </c>
      <c r="B113" s="5" t="str">
        <f>GetAddress(A113)</f>
        <v>\\chno0276\Aseguranza de Calidad\Control de Documentos\Doc. controlados PDF\Formas\CNWI-ENGI (Ingenieria)\CNWI-ENGI-F030 Lista de distribuccion de especificaciones de corte.xls</v>
      </c>
      <c r="C113" s="5" t="str">
        <f>MID(B113,LEN(B113) - FIND(".",REVERSETEXT(B113))+2,1000)</f>
        <v>xls</v>
      </c>
      <c r="D113" s="6">
        <v>5</v>
      </c>
      <c r="E113" s="7" t="s">
        <v>42</v>
      </c>
      <c r="F113" s="7" t="s">
        <v>22</v>
      </c>
      <c r="G113" s="8" t="s">
        <v>60</v>
      </c>
      <c r="H113" s="8">
        <v>4</v>
      </c>
      <c r="I113" s="8"/>
      <c r="J113" s="8"/>
      <c r="K113" s="8"/>
      <c r="L113" s="8"/>
      <c r="M113" s="7" t="s">
        <v>22</v>
      </c>
      <c r="N113" s="7" t="s">
        <v>241</v>
      </c>
      <c r="O113" s="9">
        <v>40653</v>
      </c>
      <c r="P113" s="7" t="s">
        <v>27</v>
      </c>
      <c r="Q113" s="9" t="s">
        <v>28</v>
      </c>
      <c r="R113" s="7" t="s">
        <v>221</v>
      </c>
      <c r="S113" s="8" t="s">
        <v>222</v>
      </c>
      <c r="T113" s="7"/>
      <c r="U113" s="7"/>
      <c r="V113" s="7"/>
    </row>
    <row r="114" spans="1:22">
      <c r="A114" s="5" t="s">
        <v>439</v>
      </c>
      <c r="B114" s="5" t="str">
        <f>GetAddress(A114)</f>
        <v>\\chno0276\Aseguranza de Calidad\Control de Documentos\Doc. controlados PDF\Formas\CNWI-ENGI (Ingenieria)\CNWI-ENGI-F031 Arburg set-up sheet.xls</v>
      </c>
      <c r="C114" s="5" t="str">
        <f>MID(B114,LEN(B114) - FIND(".",REVERSETEXT(B114))+2,1000)</f>
        <v>xls</v>
      </c>
      <c r="D114" s="6">
        <v>5</v>
      </c>
      <c r="E114" s="7" t="s">
        <v>42</v>
      </c>
      <c r="F114" s="7" t="s">
        <v>22</v>
      </c>
      <c r="G114" s="8" t="s">
        <v>60</v>
      </c>
      <c r="H114" s="8">
        <v>4</v>
      </c>
      <c r="I114" s="8"/>
      <c r="J114" s="8"/>
      <c r="K114" s="8"/>
      <c r="L114" s="8"/>
      <c r="M114" s="7" t="s">
        <v>22</v>
      </c>
      <c r="N114" s="7" t="s">
        <v>440</v>
      </c>
      <c r="O114" s="9">
        <v>40653</v>
      </c>
      <c r="P114" s="7" t="s">
        <v>27</v>
      </c>
      <c r="Q114" s="9" t="s">
        <v>28</v>
      </c>
      <c r="R114" s="7" t="s">
        <v>437</v>
      </c>
      <c r="S114" s="8" t="s">
        <v>438</v>
      </c>
      <c r="T114" s="7"/>
      <c r="U114" s="7"/>
      <c r="V114" s="7"/>
    </row>
    <row r="115" spans="1:22" s="4" customFormat="1" ht="13.9" customHeight="1">
      <c r="A115" s="5" t="s">
        <v>2307</v>
      </c>
      <c r="B115" s="5" t="str">
        <f>GetAddress(A115)</f>
        <v>\\chno0276\Aseguranza de Calidad\Control de Documentos\Doc. controlados PDF\Formas\CNWI-ENGI (Ingenieria)\CNWI-ENGI-F032 INSTRUCCION DE RETRABAJO.xls</v>
      </c>
      <c r="C115" s="5" t="str">
        <f>MID(B115,LEN(B115) - FIND(".",REVERSETEXT(B115))+2,1000)</f>
        <v>xls</v>
      </c>
      <c r="D115" s="6">
        <v>5</v>
      </c>
      <c r="E115" s="7" t="s">
        <v>42</v>
      </c>
      <c r="F115" s="7" t="s">
        <v>22</v>
      </c>
      <c r="G115" s="8" t="s">
        <v>60</v>
      </c>
      <c r="H115" s="8">
        <v>4</v>
      </c>
      <c r="I115" s="8"/>
      <c r="J115" s="8"/>
      <c r="K115" s="8"/>
      <c r="L115" s="8"/>
      <c r="M115" s="7" t="s">
        <v>22</v>
      </c>
      <c r="N115" s="7" t="s">
        <v>2308</v>
      </c>
      <c r="O115" s="9">
        <v>40659</v>
      </c>
      <c r="P115" s="7" t="s">
        <v>27</v>
      </c>
      <c r="Q115" s="9" t="s">
        <v>28</v>
      </c>
      <c r="R115" s="7" t="s">
        <v>2283</v>
      </c>
      <c r="S115" s="8" t="s">
        <v>2284</v>
      </c>
      <c r="T115" s="7"/>
      <c r="U115" s="7"/>
      <c r="V115" s="7"/>
    </row>
    <row r="116" spans="1:22">
      <c r="A116" s="5" t="s">
        <v>2309</v>
      </c>
      <c r="B116" s="5" t="str">
        <f>GetAddress(A116)</f>
        <v>\\chno0276\Aseguranza de Calidad\Control de Documentos\Doc. controlados PDF\Formas\CNWI-ENGI (Ingenieria)\CNWI-ENGI-F033 Estudios de Tiempo.xls</v>
      </c>
      <c r="C116" s="5" t="str">
        <f>MID(B116,LEN(B116) - FIND(".",REVERSETEXT(B116))+2,1000)</f>
        <v>xls</v>
      </c>
      <c r="D116" s="6">
        <v>5</v>
      </c>
      <c r="E116" s="7" t="s">
        <v>42</v>
      </c>
      <c r="F116" s="7" t="s">
        <v>22</v>
      </c>
      <c r="G116" s="8" t="s">
        <v>60</v>
      </c>
      <c r="H116" s="8">
        <v>4</v>
      </c>
      <c r="I116" s="8"/>
      <c r="J116" s="8"/>
      <c r="K116" s="8"/>
      <c r="L116" s="8"/>
      <c r="M116" s="7" t="s">
        <v>22</v>
      </c>
      <c r="N116" s="7" t="s">
        <v>2310</v>
      </c>
      <c r="O116" s="9">
        <v>40668</v>
      </c>
      <c r="P116" s="7" t="s">
        <v>46</v>
      </c>
      <c r="Q116" s="9" t="s">
        <v>28</v>
      </c>
      <c r="R116" s="7" t="s">
        <v>2283</v>
      </c>
      <c r="S116" s="8" t="s">
        <v>2284</v>
      </c>
      <c r="T116" s="7"/>
      <c r="U116" s="7"/>
      <c r="V116" s="7"/>
    </row>
    <row r="117" spans="1:22">
      <c r="A117" s="5" t="s">
        <v>441</v>
      </c>
      <c r="B117" s="5" t="str">
        <f>GetAddress(A117)</f>
        <v>\\chno0276\Aseguranza de Calidad\Control de Documentos\Doc. controlados PDF\Formas\CNWI-ENGI (Ingenieria)\CNWI-ENGI-F034 Registro de Tiempos de Purga y Set-Up de Moldeadoras.xls</v>
      </c>
      <c r="C117" s="5" t="str">
        <f>MID(B117,LEN(B117) - FIND(".",REVERSETEXT(B117))+2,1000)</f>
        <v>xls</v>
      </c>
      <c r="D117" s="6">
        <v>5</v>
      </c>
      <c r="E117" s="7" t="s">
        <v>42</v>
      </c>
      <c r="F117" s="7" t="s">
        <v>22</v>
      </c>
      <c r="G117" s="8" t="s">
        <v>60</v>
      </c>
      <c r="H117" s="8">
        <v>4</v>
      </c>
      <c r="I117" s="8"/>
      <c r="J117" s="8"/>
      <c r="K117" s="8"/>
      <c r="L117" s="8"/>
      <c r="M117" s="7" t="s">
        <v>22</v>
      </c>
      <c r="N117" s="7" t="s">
        <v>442</v>
      </c>
      <c r="O117" s="9">
        <v>40668</v>
      </c>
      <c r="P117" s="7" t="s">
        <v>27</v>
      </c>
      <c r="Q117" s="9" t="s">
        <v>28</v>
      </c>
      <c r="R117" s="7" t="s">
        <v>437</v>
      </c>
      <c r="S117" s="8" t="s">
        <v>438</v>
      </c>
      <c r="T117" s="7"/>
      <c r="U117" s="7"/>
      <c r="V117" s="7"/>
    </row>
    <row r="118" spans="1:22">
      <c r="A118" s="5" t="s">
        <v>2311</v>
      </c>
      <c r="B118" s="5" t="str">
        <f>GetAddress(A118)</f>
        <v>\\chno0276\Aseguranza de Calidad\Control de Documentos\Doc. controlados PDF\Formas\CNWI-ENGI (Ingenieria)\CNWI-ENGI-F035 Equipment Transfer Sheet.xls</v>
      </c>
      <c r="C118" s="5" t="str">
        <f>MID(B118,LEN(B118) - FIND(".",REVERSETEXT(B118))+2,1000)</f>
        <v>xls</v>
      </c>
      <c r="D118" s="6">
        <v>5</v>
      </c>
      <c r="E118" s="7" t="s">
        <v>42</v>
      </c>
      <c r="F118" s="7" t="s">
        <v>22</v>
      </c>
      <c r="G118" s="8" t="s">
        <v>60</v>
      </c>
      <c r="H118" s="8">
        <v>4</v>
      </c>
      <c r="I118" s="8"/>
      <c r="J118" s="8"/>
      <c r="K118" s="8"/>
      <c r="L118" s="8"/>
      <c r="M118" s="7" t="s">
        <v>22</v>
      </c>
      <c r="N118" s="7" t="s">
        <v>2312</v>
      </c>
      <c r="O118" s="9">
        <v>40669</v>
      </c>
      <c r="P118" s="7" t="s">
        <v>27</v>
      </c>
      <c r="Q118" s="9" t="s">
        <v>28</v>
      </c>
      <c r="R118" s="7" t="s">
        <v>2283</v>
      </c>
      <c r="S118" s="8" t="s">
        <v>2284</v>
      </c>
      <c r="T118" s="7"/>
      <c r="U118" s="7"/>
      <c r="V118" s="7"/>
    </row>
    <row r="119" spans="1:22" s="4" customFormat="1" ht="13.9" customHeight="1">
      <c r="A119" s="5" t="s">
        <v>443</v>
      </c>
      <c r="B119" s="5" t="str">
        <f>GetAddress(A119)</f>
        <v>\\chno0276\Aseguranza de Calidad\Control de Documentos\Doc. controlados PDF\Formas\CNWI-ENGI (Ingenieria)\CNWI-ENGI-F036 Log de ordenes de insert.xls</v>
      </c>
      <c r="C119" s="5" t="str">
        <f>MID(B119,LEN(B119) - FIND(".",REVERSETEXT(B119))+2,1000)</f>
        <v>xls</v>
      </c>
      <c r="D119" s="6">
        <v>5</v>
      </c>
      <c r="E119" s="7" t="s">
        <v>42</v>
      </c>
      <c r="F119" s="7" t="s">
        <v>22</v>
      </c>
      <c r="G119" s="8" t="s">
        <v>60</v>
      </c>
      <c r="H119" s="8">
        <v>4</v>
      </c>
      <c r="I119" s="8"/>
      <c r="J119" s="8"/>
      <c r="K119" s="8"/>
      <c r="L119" s="8"/>
      <c r="M119" s="7" t="s">
        <v>22</v>
      </c>
      <c r="N119" s="7" t="s">
        <v>444</v>
      </c>
      <c r="O119" s="9">
        <v>40709</v>
      </c>
      <c r="P119" s="7" t="s">
        <v>27</v>
      </c>
      <c r="Q119" s="9" t="s">
        <v>28</v>
      </c>
      <c r="R119" s="7" t="s">
        <v>437</v>
      </c>
      <c r="S119" s="8" t="s">
        <v>438</v>
      </c>
      <c r="T119" s="7"/>
      <c r="U119" s="7"/>
      <c r="V119" s="7"/>
    </row>
    <row r="120" spans="1:22" s="14" customFormat="1">
      <c r="A120" s="5" t="s">
        <v>2313</v>
      </c>
      <c r="B120" s="5" t="str">
        <f>GetAddress(A120)</f>
        <v>\\chno0276\Aseguranza de Calidad\Control de Documentos\Doc. controlados PDF\Formas\CNWI-ENGI (Ingenieria)\CNWI-ENGI-F037 Id de Ingenieria.doc</v>
      </c>
      <c r="C120" s="5" t="str">
        <f>MID(B120,LEN(B120) - FIND(".",REVERSETEXT(B120))+2,1000)</f>
        <v>doc</v>
      </c>
      <c r="D120" s="6">
        <v>5</v>
      </c>
      <c r="E120" s="7" t="s">
        <v>42</v>
      </c>
      <c r="F120" s="7" t="s">
        <v>22</v>
      </c>
      <c r="G120" s="8" t="s">
        <v>60</v>
      </c>
      <c r="H120" s="8">
        <v>4</v>
      </c>
      <c r="I120" s="8"/>
      <c r="J120" s="8"/>
      <c r="K120" s="8"/>
      <c r="L120" s="8"/>
      <c r="M120" s="7" t="s">
        <v>22</v>
      </c>
      <c r="N120" s="7" t="s">
        <v>2314</v>
      </c>
      <c r="O120" s="9">
        <v>40716</v>
      </c>
      <c r="P120" s="7" t="s">
        <v>27</v>
      </c>
      <c r="Q120" s="9" t="s">
        <v>28</v>
      </c>
      <c r="R120" s="7" t="s">
        <v>2283</v>
      </c>
      <c r="S120" s="8" t="s">
        <v>2284</v>
      </c>
      <c r="T120" s="7"/>
      <c r="U120" s="7"/>
      <c r="V120" s="7"/>
    </row>
    <row r="121" spans="1:22" s="14" customFormat="1">
      <c r="A121" s="5" t="s">
        <v>445</v>
      </c>
      <c r="B121" s="5" t="str">
        <f>GetAddress(A121)</f>
        <v>\\chno0276\Aseguranza de Calidad\Control de Documentos\Doc. controlados PDF\Formas\CNWI-ENGI (Ingenieria)\CNWI-ENGI-F038 Ajustes de parametros.pdf</v>
      </c>
      <c r="C121" s="5" t="str">
        <f>MID(B121,LEN(B121) - FIND(".",REVERSETEXT(B121))+2,1000)</f>
        <v>pdf</v>
      </c>
      <c r="D121" s="6">
        <v>5</v>
      </c>
      <c r="E121" s="7" t="s">
        <v>42</v>
      </c>
      <c r="F121" s="7" t="s">
        <v>22</v>
      </c>
      <c r="G121" s="8" t="s">
        <v>60</v>
      </c>
      <c r="H121" s="8">
        <v>4</v>
      </c>
      <c r="I121" s="8"/>
      <c r="J121" s="8"/>
      <c r="K121" s="8"/>
      <c r="L121" s="8"/>
      <c r="M121" s="7" t="s">
        <v>22</v>
      </c>
      <c r="N121" s="7" t="s">
        <v>446</v>
      </c>
      <c r="O121" s="9">
        <v>40730</v>
      </c>
      <c r="P121" s="7" t="s">
        <v>27</v>
      </c>
      <c r="Q121" s="9" t="s">
        <v>28</v>
      </c>
      <c r="R121" s="7" t="s">
        <v>437</v>
      </c>
      <c r="S121" s="8" t="s">
        <v>438</v>
      </c>
      <c r="T121" s="7"/>
      <c r="U121" s="7"/>
      <c r="V121" s="7"/>
    </row>
    <row r="122" spans="1:22" s="14" customFormat="1">
      <c r="A122" s="5" t="s">
        <v>447</v>
      </c>
      <c r="B122" s="5" t="str">
        <f>GetAddress(A122)</f>
        <v>\\chno0276\Aseguranza de Calidad\Control de Documentos\Doc. controlados PDF\Formas\CNWI-ENGI (Ingenieria)\CNWI-ENGI-F039 Parametros de termperatura y humedad.xls</v>
      </c>
      <c r="C122" s="5" t="str">
        <f>MID(B122,LEN(B122) - FIND(".",REVERSETEXT(B122))+2,1000)</f>
        <v>xls</v>
      </c>
      <c r="D122" s="6">
        <v>5</v>
      </c>
      <c r="E122" s="7" t="s">
        <v>42</v>
      </c>
      <c r="F122" s="7" t="s">
        <v>22</v>
      </c>
      <c r="G122" s="8" t="s">
        <v>60</v>
      </c>
      <c r="H122" s="8">
        <v>4</v>
      </c>
      <c r="I122" s="8"/>
      <c r="J122" s="8"/>
      <c r="K122" s="8"/>
      <c r="L122" s="8"/>
      <c r="M122" s="7" t="s">
        <v>22</v>
      </c>
      <c r="N122" s="7" t="s">
        <v>448</v>
      </c>
      <c r="O122" s="9">
        <v>40735</v>
      </c>
      <c r="P122" s="7" t="s">
        <v>27</v>
      </c>
      <c r="Q122" s="9" t="s">
        <v>28</v>
      </c>
      <c r="R122" s="7" t="s">
        <v>437</v>
      </c>
      <c r="S122" s="8" t="s">
        <v>438</v>
      </c>
      <c r="T122" s="7"/>
      <c r="U122" s="7"/>
      <c r="V122" s="7"/>
    </row>
    <row r="123" spans="1:22" s="14" customFormat="1">
      <c r="A123" s="5" t="s">
        <v>449</v>
      </c>
      <c r="B123" s="5" t="str">
        <f>GetAddress(A123)</f>
        <v>\\chno0276\Aseguranza de Calidad\Control de Documentos\Doc. controlados PDF\Formas\CNWI-ENGI (Ingenieria)\CNWI-ENGI-F040 Reporte de tiempos y temperaturas.xls</v>
      </c>
      <c r="C123" s="5" t="str">
        <f>MID(B123,LEN(B123) - FIND(".",REVERSETEXT(B123))+2,1000)</f>
        <v>xls</v>
      </c>
      <c r="D123" s="6">
        <v>5</v>
      </c>
      <c r="E123" s="7" t="s">
        <v>42</v>
      </c>
      <c r="F123" s="7" t="s">
        <v>22</v>
      </c>
      <c r="G123" s="8" t="s">
        <v>60</v>
      </c>
      <c r="H123" s="8">
        <v>4</v>
      </c>
      <c r="I123" s="8"/>
      <c r="J123" s="8"/>
      <c r="K123" s="8"/>
      <c r="L123" s="8"/>
      <c r="M123" s="7" t="s">
        <v>22</v>
      </c>
      <c r="N123" s="7" t="s">
        <v>450</v>
      </c>
      <c r="O123" s="9">
        <v>40735</v>
      </c>
      <c r="P123" s="7" t="s">
        <v>27</v>
      </c>
      <c r="Q123" s="9" t="s">
        <v>28</v>
      </c>
      <c r="R123" s="7" t="s">
        <v>437</v>
      </c>
      <c r="S123" s="8" t="s">
        <v>438</v>
      </c>
      <c r="T123" s="7"/>
      <c r="U123" s="7"/>
      <c r="V123" s="7"/>
    </row>
    <row r="124" spans="1:22" s="14" customFormat="1">
      <c r="A124" s="5" t="s">
        <v>2315</v>
      </c>
      <c r="B124" s="5" t="str">
        <f>GetAddress(A124)</f>
        <v>\\chno0276\Aseguranza de Calidad\Control de Documentos\Doc. controlados PDF\Formas\CNWI-ENGI (Ingenieria)\CNWI-ENGI-F041 Especificaciones de insercion.xlsx</v>
      </c>
      <c r="C124" s="5" t="str">
        <f>MID(B124,LEN(B124) - FIND(".",REVERSETEXT(B124))+2,1000)</f>
        <v>xlsx</v>
      </c>
      <c r="D124" s="6">
        <v>5</v>
      </c>
      <c r="E124" s="7" t="s">
        <v>42</v>
      </c>
      <c r="F124" s="7" t="s">
        <v>22</v>
      </c>
      <c r="G124" s="8" t="s">
        <v>60</v>
      </c>
      <c r="H124" s="8">
        <v>4</v>
      </c>
      <c r="I124" s="8"/>
      <c r="J124" s="8"/>
      <c r="K124" s="8"/>
      <c r="L124" s="8"/>
      <c r="M124" s="7" t="s">
        <v>22</v>
      </c>
      <c r="N124" s="7" t="s">
        <v>128</v>
      </c>
      <c r="O124" s="9">
        <v>40737</v>
      </c>
      <c r="P124" s="7" t="s">
        <v>27</v>
      </c>
      <c r="Q124" s="9" t="s">
        <v>28</v>
      </c>
      <c r="R124" s="7" t="s">
        <v>2283</v>
      </c>
      <c r="S124" s="8" t="s">
        <v>2284</v>
      </c>
      <c r="T124" s="7"/>
      <c r="U124" s="7"/>
      <c r="V124" s="7"/>
    </row>
    <row r="125" spans="1:22" s="14" customFormat="1">
      <c r="A125" s="5" t="s">
        <v>2316</v>
      </c>
      <c r="B125" s="5" t="str">
        <f>GetAddress(A125)</f>
        <v>\\chno0276\Aseguranza de Calidad\Control de Documentos\Doc. controlados PDF\Formas\CNWI-ENGI (Ingenieria)\CNWI-ENGI-F042 Especificaciones de despoje de chaqueta.xlsx</v>
      </c>
      <c r="C125" s="5" t="str">
        <f>MID(B125,LEN(B125) - FIND(".",REVERSETEXT(B125))+2,1000)</f>
        <v>xlsx</v>
      </c>
      <c r="D125" s="6">
        <v>5</v>
      </c>
      <c r="E125" s="7" t="s">
        <v>42</v>
      </c>
      <c r="F125" s="7" t="s">
        <v>22</v>
      </c>
      <c r="G125" s="8" t="s">
        <v>60</v>
      </c>
      <c r="H125" s="8">
        <v>4</v>
      </c>
      <c r="I125" s="8"/>
      <c r="J125" s="8"/>
      <c r="K125" s="8"/>
      <c r="L125" s="8"/>
      <c r="M125" s="7" t="s">
        <v>22</v>
      </c>
      <c r="N125" s="7" t="s">
        <v>2317</v>
      </c>
      <c r="O125" s="9">
        <v>41154</v>
      </c>
      <c r="P125" s="7" t="s">
        <v>27</v>
      </c>
      <c r="Q125" s="9" t="s">
        <v>28</v>
      </c>
      <c r="R125" s="7" t="s">
        <v>2283</v>
      </c>
      <c r="S125" s="8" t="s">
        <v>2284</v>
      </c>
      <c r="T125" s="7"/>
      <c r="U125" s="7"/>
      <c r="V125" s="7"/>
    </row>
    <row r="126" spans="1:22" s="14" customFormat="1">
      <c r="A126" s="5" t="s">
        <v>2318</v>
      </c>
      <c r="B126" s="5" t="str">
        <f>GetAddress(A126)</f>
        <v>\\chno0276\Aseguranza de Calidad\Control de Documentos\Doc. controlados PDF\Formas\CNWI-ENGI (Ingenieria)\CNWI-ENGI-F043 Especificaciones de despoje de conductores.xlsx</v>
      </c>
      <c r="C126" s="5" t="str">
        <f>MID(B126,LEN(B126) - FIND(".",REVERSETEXT(B126))+2,1000)</f>
        <v>xlsx</v>
      </c>
      <c r="D126" s="6">
        <v>5</v>
      </c>
      <c r="E126" s="7" t="s">
        <v>42</v>
      </c>
      <c r="F126" s="7" t="s">
        <v>22</v>
      </c>
      <c r="G126" s="8" t="s">
        <v>60</v>
      </c>
      <c r="H126" s="8">
        <v>4</v>
      </c>
      <c r="I126" s="8"/>
      <c r="J126" s="8"/>
      <c r="K126" s="8"/>
      <c r="L126" s="8"/>
      <c r="M126" s="7" t="s">
        <v>22</v>
      </c>
      <c r="N126" s="7" t="s">
        <v>2319</v>
      </c>
      <c r="O126" s="9">
        <v>40737</v>
      </c>
      <c r="P126" s="7" t="s">
        <v>27</v>
      </c>
      <c r="Q126" s="9" t="s">
        <v>28</v>
      </c>
      <c r="R126" s="7" t="s">
        <v>2283</v>
      </c>
      <c r="S126" s="8" t="s">
        <v>2284</v>
      </c>
      <c r="T126" s="7"/>
      <c r="U126" s="7"/>
      <c r="V126" s="7"/>
    </row>
    <row r="127" spans="1:22" s="14" customFormat="1">
      <c r="A127" s="5" t="s">
        <v>1158</v>
      </c>
      <c r="B127" s="5" t="str">
        <f>GetAddress(A127)</f>
        <v>\\chno0276\Aseguranza de Calidad\Control de Documentos\Doc. controlados PDF\Formas\CNWI-ENGI (Ingenieria)\CNWI-ENGI-F044 Corrida Muestra.xlsx</v>
      </c>
      <c r="C127" s="5" t="str">
        <f>MID(B127,LEN(B127) - FIND(".",REVERSETEXT(B127))+2,1000)</f>
        <v>xlsx</v>
      </c>
      <c r="D127" s="6">
        <v>5</v>
      </c>
      <c r="E127" s="7" t="s">
        <v>42</v>
      </c>
      <c r="F127" s="7" t="s">
        <v>22</v>
      </c>
      <c r="G127" s="8" t="s">
        <v>60</v>
      </c>
      <c r="H127" s="8">
        <v>4</v>
      </c>
      <c r="I127" s="8"/>
      <c r="J127" s="8"/>
      <c r="K127" s="8"/>
      <c r="L127" s="8"/>
      <c r="M127" s="7" t="s">
        <v>22</v>
      </c>
      <c r="N127" s="7" t="s">
        <v>1159</v>
      </c>
      <c r="O127" s="9">
        <v>40793</v>
      </c>
      <c r="P127" s="7" t="s">
        <v>27</v>
      </c>
      <c r="Q127" s="9" t="s">
        <v>28</v>
      </c>
      <c r="R127" s="7" t="s">
        <v>1156</v>
      </c>
      <c r="S127" s="8" t="s">
        <v>1157</v>
      </c>
      <c r="T127" s="7"/>
      <c r="U127" s="7"/>
      <c r="V127" s="7"/>
    </row>
    <row r="128" spans="1:22" s="14" customFormat="1">
      <c r="A128" s="5" t="s">
        <v>242</v>
      </c>
      <c r="B128" s="5" t="str">
        <f>GetAddress(A128)</f>
        <v>\\chno0276\Aseguranza de Calidad\Control de Documentos\Doc. controlados PDF\Formas\CNWI-ENGI (Ingenieria)\CNWI-ENGI-F045 Drawing Change Notification.xls</v>
      </c>
      <c r="C128" s="5" t="str">
        <f>MID(B128,LEN(B128) - FIND(".",REVERSETEXT(B128))+2,1000)</f>
        <v>xls</v>
      </c>
      <c r="D128" s="6">
        <v>5</v>
      </c>
      <c r="E128" s="7" t="s">
        <v>42</v>
      </c>
      <c r="F128" s="7" t="s">
        <v>22</v>
      </c>
      <c r="G128" s="8" t="s">
        <v>60</v>
      </c>
      <c r="H128" s="8">
        <v>4</v>
      </c>
      <c r="I128" s="8"/>
      <c r="J128" s="8"/>
      <c r="K128" s="8"/>
      <c r="L128" s="8"/>
      <c r="M128" s="7" t="s">
        <v>22</v>
      </c>
      <c r="N128" s="7" t="s">
        <v>243</v>
      </c>
      <c r="O128" s="9">
        <v>40828</v>
      </c>
      <c r="P128" s="7" t="s">
        <v>27</v>
      </c>
      <c r="Q128" s="9" t="s">
        <v>28</v>
      </c>
      <c r="R128" s="7" t="s">
        <v>221</v>
      </c>
      <c r="S128" s="8" t="s">
        <v>222</v>
      </c>
      <c r="T128" s="7"/>
      <c r="U128" s="7"/>
      <c r="V128" s="7"/>
    </row>
    <row r="129" spans="1:22" s="14" customFormat="1">
      <c r="A129" s="5" t="s">
        <v>451</v>
      </c>
      <c r="B129" s="5" t="str">
        <f>GetAddress(A129)</f>
        <v>\\chno0276\Aseguranza de Calidad\Control de Documentos\Doc. controlados PDF\Formas\CNWI-ENGI (Ingenieria)\CNWI-ENGI-F046 Temperaturas de moldeado.xls</v>
      </c>
      <c r="C129" s="5" t="str">
        <f>MID(B129,LEN(B129) - FIND(".",REVERSETEXT(B129))+2,1000)</f>
        <v>xls</v>
      </c>
      <c r="D129" s="6">
        <v>5</v>
      </c>
      <c r="E129" s="7" t="s">
        <v>42</v>
      </c>
      <c r="F129" s="7" t="s">
        <v>22</v>
      </c>
      <c r="G129" s="8" t="s">
        <v>60</v>
      </c>
      <c r="H129" s="8">
        <v>4</v>
      </c>
      <c r="I129" s="8"/>
      <c r="J129" s="8"/>
      <c r="K129" s="8"/>
      <c r="L129" s="8"/>
      <c r="M129" s="7" t="s">
        <v>22</v>
      </c>
      <c r="N129" s="7" t="s">
        <v>452</v>
      </c>
      <c r="O129" s="9">
        <v>40834</v>
      </c>
      <c r="P129" s="7" t="s">
        <v>27</v>
      </c>
      <c r="Q129" s="9" t="s">
        <v>28</v>
      </c>
      <c r="R129" s="7" t="s">
        <v>437</v>
      </c>
      <c r="S129" s="8" t="s">
        <v>438</v>
      </c>
      <c r="T129" s="7"/>
      <c r="U129" s="7"/>
      <c r="V129" s="7"/>
    </row>
    <row r="130" spans="1:22" s="14" customFormat="1">
      <c r="A130" s="5" t="s">
        <v>453</v>
      </c>
      <c r="B130" s="5" t="str">
        <f>GetAddress(A130)</f>
        <v>\\chno0276\Aseguranza de Calidad\Control de Documentos\Doc. controlados PDF\Formas\CNWI-ENGI (Ingenieria)\CNWI-ENGI-F047 Check list de montaje y desmontaje.doc</v>
      </c>
      <c r="C130" s="5" t="str">
        <f>MID(B130,LEN(B130) - FIND(".",REVERSETEXT(B130))+2,1000)</f>
        <v>doc</v>
      </c>
      <c r="D130" s="6">
        <v>5</v>
      </c>
      <c r="E130" s="7" t="s">
        <v>42</v>
      </c>
      <c r="F130" s="7" t="s">
        <v>22</v>
      </c>
      <c r="G130" s="8" t="s">
        <v>60</v>
      </c>
      <c r="H130" s="8">
        <v>4</v>
      </c>
      <c r="I130" s="8"/>
      <c r="J130" s="8"/>
      <c r="K130" s="8"/>
      <c r="L130" s="8"/>
      <c r="M130" s="7" t="s">
        <v>22</v>
      </c>
      <c r="N130" s="7" t="s">
        <v>454</v>
      </c>
      <c r="O130" s="9">
        <v>40836</v>
      </c>
      <c r="P130" s="7" t="s">
        <v>27</v>
      </c>
      <c r="Q130" s="9" t="s">
        <v>28</v>
      </c>
      <c r="R130" s="7" t="s">
        <v>437</v>
      </c>
      <c r="S130" s="8" t="s">
        <v>438</v>
      </c>
      <c r="T130" s="7"/>
      <c r="U130" s="7"/>
      <c r="V130" s="7"/>
    </row>
    <row r="131" spans="1:22" s="14" customFormat="1">
      <c r="A131" s="5" t="s">
        <v>455</v>
      </c>
      <c r="B131" s="5" t="str">
        <f>GetAddress(A131)</f>
        <v>\\chno0276\Aseguranza de Calidad\Control de Documentos\Doc. controlados PDF\Formas\CNWI-ENGI (Ingenieria)\CNWI-ENGI-F048 HOJA_DE_PARAMETROS MOORPARK.xlsx</v>
      </c>
      <c r="C131" s="5" t="str">
        <f>MID(B131,LEN(B131) - FIND(".",REVERSETEXT(B131))+2,1000)</f>
        <v>xlsx</v>
      </c>
      <c r="D131" s="6">
        <v>5</v>
      </c>
      <c r="E131" s="7" t="s">
        <v>42</v>
      </c>
      <c r="F131" s="7" t="s">
        <v>22</v>
      </c>
      <c r="G131" s="8" t="s">
        <v>60</v>
      </c>
      <c r="H131" s="8">
        <v>4</v>
      </c>
      <c r="I131" s="8"/>
      <c r="J131" s="8"/>
      <c r="K131" s="8"/>
      <c r="L131" s="8"/>
      <c r="M131" s="7" t="s">
        <v>22</v>
      </c>
      <c r="N131" s="7" t="s">
        <v>456</v>
      </c>
      <c r="O131" s="9">
        <v>40855</v>
      </c>
      <c r="P131" s="7" t="s">
        <v>46</v>
      </c>
      <c r="Q131" s="9" t="s">
        <v>28</v>
      </c>
      <c r="R131" s="7" t="s">
        <v>437</v>
      </c>
      <c r="S131" s="8" t="s">
        <v>438</v>
      </c>
      <c r="T131" s="7"/>
      <c r="U131" s="7"/>
      <c r="V131" s="7"/>
    </row>
    <row r="132" spans="1:22" s="14" customFormat="1">
      <c r="A132" s="5" t="s">
        <v>244</v>
      </c>
      <c r="B132" s="5" t="str">
        <f>GetAddress(A132)</f>
        <v>\\chno0276\Aseguranza de Calidad\Control de Documentos\Doc. controlados PDF\Formas\CNWI-ENGI (Ingenieria)\CNWI-ENGI-F049 Itron Part Number Cross Reference.xls</v>
      </c>
      <c r="C132" s="5" t="str">
        <f>MID(B132,LEN(B132) - FIND(".",REVERSETEXT(B132))+2,1000)</f>
        <v>xls</v>
      </c>
      <c r="D132" s="6">
        <v>5</v>
      </c>
      <c r="E132" s="7" t="s">
        <v>42</v>
      </c>
      <c r="F132" s="7" t="s">
        <v>22</v>
      </c>
      <c r="G132" s="8" t="s">
        <v>60</v>
      </c>
      <c r="H132" s="8">
        <v>4</v>
      </c>
      <c r="I132" s="8"/>
      <c r="J132" s="8"/>
      <c r="K132" s="8"/>
      <c r="L132" s="8"/>
      <c r="M132" s="7" t="s">
        <v>22</v>
      </c>
      <c r="N132" s="7" t="s">
        <v>245</v>
      </c>
      <c r="O132" s="9">
        <v>40850</v>
      </c>
      <c r="P132" s="7" t="s">
        <v>27</v>
      </c>
      <c r="Q132" s="9" t="s">
        <v>28</v>
      </c>
      <c r="R132" s="7" t="s">
        <v>221</v>
      </c>
      <c r="S132" s="8" t="s">
        <v>222</v>
      </c>
      <c r="T132" s="7"/>
      <c r="U132" s="7"/>
      <c r="V132" s="7"/>
    </row>
    <row r="133" spans="1:22" s="14" customFormat="1">
      <c r="A133" s="5" t="s">
        <v>246</v>
      </c>
      <c r="B133" s="5" t="str">
        <f>GetAddress(A133)</f>
        <v>\\chno0276\Aseguranza de Calidad\Control de Documentos\Doc. controlados PDF\Formas\CNWI-ENGI (Ingenieria)\CNWI-ENGI-F050 Varios PART NUMBERS CROSS REFERENCE..xlsm</v>
      </c>
      <c r="C133" s="5" t="str">
        <f>MID(B133,LEN(B133) - FIND(".",REVERSETEXT(B133))+2,1000)</f>
        <v>xlsm</v>
      </c>
      <c r="D133" s="6">
        <v>5</v>
      </c>
      <c r="E133" s="7" t="s">
        <v>42</v>
      </c>
      <c r="F133" s="7" t="s">
        <v>22</v>
      </c>
      <c r="G133" s="8" t="s">
        <v>60</v>
      </c>
      <c r="H133" s="8">
        <v>4</v>
      </c>
      <c r="I133" s="8"/>
      <c r="J133" s="8"/>
      <c r="K133" s="8"/>
      <c r="L133" s="8"/>
      <c r="M133" s="7" t="s">
        <v>22</v>
      </c>
      <c r="N133" s="7" t="s">
        <v>247</v>
      </c>
      <c r="O133" s="9">
        <v>40850</v>
      </c>
      <c r="P133" s="7" t="s">
        <v>27</v>
      </c>
      <c r="Q133" s="9" t="s">
        <v>28</v>
      </c>
      <c r="R133" s="7" t="s">
        <v>221</v>
      </c>
      <c r="S133" s="8" t="s">
        <v>222</v>
      </c>
      <c r="T133" s="7"/>
      <c r="U133" s="7"/>
      <c r="V133" s="7"/>
    </row>
    <row r="134" spans="1:22" s="14" customFormat="1">
      <c r="A134" s="5" t="s">
        <v>248</v>
      </c>
      <c r="B134" s="5" t="str">
        <f>GetAddress(A134)</f>
        <v>\\chno0276\Aseguranza de Calidad\Control de Documentos\Doc. controlados PDF\Formas\CNWI-ENGI (Ingenieria)\CNWI-ENGI-F051 Cross Reference Amsafe.xls</v>
      </c>
      <c r="C134" s="5" t="str">
        <f>MID(B134,LEN(B134) - FIND(".",REVERSETEXT(B134))+2,1000)</f>
        <v>xls</v>
      </c>
      <c r="D134" s="6">
        <v>5</v>
      </c>
      <c r="E134" s="7" t="s">
        <v>42</v>
      </c>
      <c r="F134" s="7" t="s">
        <v>22</v>
      </c>
      <c r="G134" s="8" t="s">
        <v>60</v>
      </c>
      <c r="H134" s="8">
        <v>4</v>
      </c>
      <c r="I134" s="8"/>
      <c r="J134" s="8"/>
      <c r="K134" s="8"/>
      <c r="L134" s="8"/>
      <c r="M134" s="7" t="s">
        <v>22</v>
      </c>
      <c r="N134" s="7" t="s">
        <v>249</v>
      </c>
      <c r="O134" s="9">
        <v>40851</v>
      </c>
      <c r="P134" s="7" t="s">
        <v>27</v>
      </c>
      <c r="Q134" s="9" t="s">
        <v>28</v>
      </c>
      <c r="R134" s="7" t="s">
        <v>221</v>
      </c>
      <c r="S134" s="8" t="s">
        <v>222</v>
      </c>
      <c r="T134" s="7"/>
      <c r="U134" s="7"/>
      <c r="V134" s="7"/>
    </row>
    <row r="135" spans="1:22" s="14" customFormat="1">
      <c r="A135" s="5" t="s">
        <v>457</v>
      </c>
      <c r="B135" s="5" t="str">
        <f>GetAddress(A135)</f>
        <v>\\chno0276\Aseguranza de Calidad\Control de Documentos\Doc. controlados PDF\Formas\CNWI-ENGI (Ingenieria)\CNWI-ENGI-F052 Inspection report.xls</v>
      </c>
      <c r="C135" s="5" t="str">
        <f>MID(B135,LEN(B135) - FIND(".",REVERSETEXT(B135))+2,1000)</f>
        <v>xls</v>
      </c>
      <c r="D135" s="6">
        <v>5</v>
      </c>
      <c r="E135" s="7" t="s">
        <v>42</v>
      </c>
      <c r="F135" s="7" t="s">
        <v>22</v>
      </c>
      <c r="G135" s="8" t="s">
        <v>60</v>
      </c>
      <c r="H135" s="8">
        <v>4</v>
      </c>
      <c r="I135" s="8"/>
      <c r="J135" s="8"/>
      <c r="K135" s="8"/>
      <c r="L135" s="8"/>
      <c r="M135" s="7" t="s">
        <v>22</v>
      </c>
      <c r="N135" s="7" t="s">
        <v>458</v>
      </c>
      <c r="O135" s="9">
        <v>40898</v>
      </c>
      <c r="P135" s="7" t="s">
        <v>46</v>
      </c>
      <c r="Q135" s="9" t="s">
        <v>28</v>
      </c>
      <c r="R135" s="7" t="s">
        <v>437</v>
      </c>
      <c r="S135" s="8" t="s">
        <v>438</v>
      </c>
      <c r="T135" s="7"/>
      <c r="U135" s="7"/>
      <c r="V135" s="7"/>
    </row>
    <row r="136" spans="1:22" s="14" customFormat="1">
      <c r="A136" s="5" t="s">
        <v>250</v>
      </c>
      <c r="B136" s="5" t="str">
        <f>GetAddress(A136)</f>
        <v>\\chno0276\Aseguranza de Calidad\Control de Documentos\Doc. controlados PDF\Formas\CNWI-ENGI (Ingenieria)\CNWI-ENGI-F054 Cambios de reviciones.xls</v>
      </c>
      <c r="C136" s="5" t="str">
        <f>MID(B136,LEN(B136) - FIND(".",REVERSETEXT(B136))+2,1000)</f>
        <v>xls</v>
      </c>
      <c r="D136" s="6">
        <v>5</v>
      </c>
      <c r="E136" s="7" t="s">
        <v>42</v>
      </c>
      <c r="F136" s="7" t="s">
        <v>22</v>
      </c>
      <c r="G136" s="8" t="s">
        <v>60</v>
      </c>
      <c r="H136" s="8">
        <v>4</v>
      </c>
      <c r="I136" s="8"/>
      <c r="J136" s="8"/>
      <c r="K136" s="8"/>
      <c r="L136" s="8"/>
      <c r="M136" s="7" t="s">
        <v>22</v>
      </c>
      <c r="N136" s="7" t="s">
        <v>251</v>
      </c>
      <c r="O136" s="9">
        <v>40931</v>
      </c>
      <c r="P136" s="7" t="s">
        <v>27</v>
      </c>
      <c r="Q136" s="9" t="s">
        <v>28</v>
      </c>
      <c r="R136" s="7" t="s">
        <v>221</v>
      </c>
      <c r="S136" s="8" t="s">
        <v>222</v>
      </c>
      <c r="T136" s="7"/>
      <c r="U136" s="7"/>
      <c r="V136" s="7"/>
    </row>
    <row r="137" spans="1:22" s="14" customFormat="1">
      <c r="A137" s="5" t="s">
        <v>2320</v>
      </c>
      <c r="B137" s="5" t="str">
        <f>GetAddress(A137)</f>
        <v>\\chno0276\Aseguranza de Calidad\Control de Documentos\Doc. controlados PDF\Formas\CNWI-ENGI (Ingenieria)\CNWI-ENGI-F055 MATRIZ DE EMPAQUE.xlsx</v>
      </c>
      <c r="C137" s="5" t="str">
        <f>MID(B137,LEN(B137) - FIND(".",REVERSETEXT(B137))+2,1000)</f>
        <v>xlsx</v>
      </c>
      <c r="D137" s="6">
        <v>5</v>
      </c>
      <c r="E137" s="7" t="s">
        <v>42</v>
      </c>
      <c r="F137" s="7" t="s">
        <v>22</v>
      </c>
      <c r="G137" s="8" t="s">
        <v>60</v>
      </c>
      <c r="H137" s="8">
        <v>4</v>
      </c>
      <c r="I137" s="8"/>
      <c r="J137" s="8"/>
      <c r="K137" s="8"/>
      <c r="L137" s="8"/>
      <c r="M137" s="7" t="s">
        <v>22</v>
      </c>
      <c r="N137" s="7" t="s">
        <v>2321</v>
      </c>
      <c r="O137" s="9">
        <v>40925</v>
      </c>
      <c r="P137" s="7" t="s">
        <v>27</v>
      </c>
      <c r="Q137" s="9" t="s">
        <v>28</v>
      </c>
      <c r="R137" s="7" t="s">
        <v>2283</v>
      </c>
      <c r="S137" s="8" t="s">
        <v>2284</v>
      </c>
      <c r="T137" s="7"/>
      <c r="U137" s="7"/>
      <c r="V137" s="7"/>
    </row>
    <row r="138" spans="1:22" s="14" customFormat="1">
      <c r="A138" s="5" t="s">
        <v>2322</v>
      </c>
      <c r="B138" s="5" t="str">
        <f>GetAddress(A138)</f>
        <v>\\chno0276\Aseguranza de Calidad\Control de Documentos\Doc. controlados PDF\Formas\CNWI-ENGI (Ingenieria)\CNWI-ENGI-F056 RESUMEN CAMBIOS COOPER NOGALES.xls</v>
      </c>
      <c r="C138" s="5" t="str">
        <f>MID(B138,LEN(B138) - FIND(".",REVERSETEXT(B138))+2,1000)</f>
        <v>xls</v>
      </c>
      <c r="D138" s="6">
        <v>5</v>
      </c>
      <c r="E138" s="7" t="s">
        <v>42</v>
      </c>
      <c r="F138" s="7" t="s">
        <v>22</v>
      </c>
      <c r="G138" s="8" t="s">
        <v>60</v>
      </c>
      <c r="H138" s="8">
        <v>4</v>
      </c>
      <c r="I138" s="8"/>
      <c r="J138" s="8"/>
      <c r="K138" s="8"/>
      <c r="L138" s="8"/>
      <c r="M138" s="7" t="s">
        <v>22</v>
      </c>
      <c r="N138" s="7" t="s">
        <v>2323</v>
      </c>
      <c r="O138" s="9">
        <v>40938</v>
      </c>
      <c r="P138" s="7" t="s">
        <v>27</v>
      </c>
      <c r="Q138" s="9" t="s">
        <v>28</v>
      </c>
      <c r="R138" s="7" t="s">
        <v>2283</v>
      </c>
      <c r="S138" s="8" t="s">
        <v>2284</v>
      </c>
      <c r="T138" s="7"/>
      <c r="U138" s="7"/>
      <c r="V138" s="7"/>
    </row>
    <row r="139" spans="1:22" s="14" customFormat="1">
      <c r="A139" s="5" t="s">
        <v>459</v>
      </c>
      <c r="B139" s="5" t="str">
        <f>GetAddress(A139)</f>
        <v>\\chno0276\Aseguranza de Calidad\Control de Documentos\Doc. controlados PDF\Formas\CNWI-ENGI (Ingenieria)\CNWI-ENGI-F059 Hoja de parametros prueba AHI-Top.xlsx</v>
      </c>
      <c r="C139" s="5" t="str">
        <f>MID(B139,LEN(B139) - FIND(".",REVERSETEXT(B139))+2,1000)</f>
        <v>xlsx</v>
      </c>
      <c r="D139" s="6">
        <v>5</v>
      </c>
      <c r="E139" s="7" t="s">
        <v>42</v>
      </c>
      <c r="F139" s="7" t="s">
        <v>22</v>
      </c>
      <c r="G139" s="8" t="s">
        <v>60</v>
      </c>
      <c r="H139" s="8">
        <v>4</v>
      </c>
      <c r="I139" s="8"/>
      <c r="J139" s="8"/>
      <c r="K139" s="8"/>
      <c r="L139" s="8"/>
      <c r="M139" s="7" t="s">
        <v>22</v>
      </c>
      <c r="N139" s="7" t="s">
        <v>460</v>
      </c>
      <c r="O139" s="9">
        <v>40991</v>
      </c>
      <c r="P139" s="7" t="s">
        <v>46</v>
      </c>
      <c r="Q139" s="9" t="s">
        <v>28</v>
      </c>
      <c r="R139" s="7" t="s">
        <v>437</v>
      </c>
      <c r="S139" s="8" t="s">
        <v>438</v>
      </c>
      <c r="T139" s="7"/>
      <c r="U139" s="7"/>
      <c r="V139" s="7"/>
    </row>
    <row r="140" spans="1:22" s="14" customFormat="1">
      <c r="A140" s="5" t="s">
        <v>70</v>
      </c>
      <c r="B140" s="5" t="str">
        <f>GetAddress(A140)</f>
        <v>\\chno0276\Aseguranza de Calidad\Control de Documentos\Doc. controlados PDF\Formas\CNWI-ENGI (Ingenieria)\CNWI-ENGI-F060 NPI Scorecard.xls</v>
      </c>
      <c r="C140" s="5" t="str">
        <f>MID(B140,LEN(B140) - FIND(".",REVERSETEXT(B140))+2,1000)</f>
        <v>xls</v>
      </c>
      <c r="D140" s="6">
        <v>5</v>
      </c>
      <c r="E140" s="7" t="s">
        <v>42</v>
      </c>
      <c r="F140" s="7" t="s">
        <v>22</v>
      </c>
      <c r="G140" s="8" t="s">
        <v>60</v>
      </c>
      <c r="H140" s="8">
        <v>4</v>
      </c>
      <c r="I140" s="8"/>
      <c r="J140" s="8"/>
      <c r="K140" s="8"/>
      <c r="L140" s="8"/>
      <c r="M140" s="7" t="s">
        <v>22</v>
      </c>
      <c r="N140" s="7" t="s">
        <v>71</v>
      </c>
      <c r="O140" s="9">
        <v>40988</v>
      </c>
      <c r="P140" s="7" t="s">
        <v>27</v>
      </c>
      <c r="Q140" s="9" t="s">
        <v>28</v>
      </c>
      <c r="R140" s="7" t="s">
        <v>62</v>
      </c>
      <c r="S140" s="8" t="s">
        <v>63</v>
      </c>
      <c r="T140" s="7"/>
      <c r="U140" s="7"/>
      <c r="V140" s="7"/>
    </row>
    <row r="141" spans="1:22" s="14" customFormat="1">
      <c r="A141" s="5" t="s">
        <v>252</v>
      </c>
      <c r="B141" s="5" t="str">
        <f>GetAddress(A141)</f>
        <v>\\chno0276\Control de Documentos\Documentos controlados\Temporales\CNWI-ENGI-F061 Check list para implementacion de ECN.xlsx</v>
      </c>
      <c r="C141" s="5" t="str">
        <f>MID(B141,LEN(B141) - FIND(".",REVERSETEXT(B141))+2,1000)</f>
        <v>xlsx</v>
      </c>
      <c r="D141" s="6">
        <v>5</v>
      </c>
      <c r="E141" s="7" t="s">
        <v>42</v>
      </c>
      <c r="F141" s="7" t="s">
        <v>22</v>
      </c>
      <c r="G141" s="8" t="s">
        <v>60</v>
      </c>
      <c r="H141" s="8">
        <v>4</v>
      </c>
      <c r="I141" s="8"/>
      <c r="J141" s="8"/>
      <c r="K141" s="8"/>
      <c r="L141" s="8"/>
      <c r="M141" s="7" t="s">
        <v>22</v>
      </c>
      <c r="N141" s="7" t="s">
        <v>253</v>
      </c>
      <c r="O141" s="9">
        <v>41009</v>
      </c>
      <c r="P141" s="7" t="s">
        <v>27</v>
      </c>
      <c r="Q141" s="9" t="s">
        <v>28</v>
      </c>
      <c r="R141" s="7" t="s">
        <v>221</v>
      </c>
      <c r="S141" s="8" t="s">
        <v>222</v>
      </c>
      <c r="T141" s="7"/>
      <c r="U141" s="7"/>
      <c r="V141" s="7"/>
    </row>
    <row r="142" spans="1:22">
      <c r="A142" s="5" t="s">
        <v>72</v>
      </c>
      <c r="B142" s="5" t="str">
        <f>GetAddress(A142)</f>
        <v>\\CHNO0276\Aseguranza de Calidad\Control de Documentos\Doc. controlados PDF\Formas\CNWI-ENGI (Ingenieria)\CNWI-ENGI-F062 Especificacion de corte de cable en Solar.xls</v>
      </c>
      <c r="C142" s="5" t="str">
        <f>MID(B142,LEN(B142) - FIND(".",REVERSETEXT(B142))+2,1000)</f>
        <v>xls</v>
      </c>
      <c r="D142" s="6">
        <v>5</v>
      </c>
      <c r="E142" s="7" t="s">
        <v>42</v>
      </c>
      <c r="F142" s="7" t="s">
        <v>22</v>
      </c>
      <c r="G142" s="8" t="s">
        <v>60</v>
      </c>
      <c r="H142" s="8">
        <v>4</v>
      </c>
      <c r="I142" s="8"/>
      <c r="J142" s="8"/>
      <c r="K142" s="8"/>
      <c r="L142" s="8"/>
      <c r="M142" s="7" t="s">
        <v>22</v>
      </c>
      <c r="N142" s="7" t="s">
        <v>73</v>
      </c>
      <c r="O142" s="9">
        <v>41010</v>
      </c>
      <c r="P142" s="7" t="s">
        <v>27</v>
      </c>
      <c r="Q142" s="9" t="s">
        <v>28</v>
      </c>
      <c r="R142" s="7" t="s">
        <v>62</v>
      </c>
      <c r="S142" s="8" t="s">
        <v>63</v>
      </c>
      <c r="T142" s="12"/>
      <c r="U142" s="7"/>
      <c r="V142" s="7"/>
    </row>
    <row r="143" spans="1:22">
      <c r="A143" s="5" t="s">
        <v>74</v>
      </c>
      <c r="B143" s="5" t="str">
        <f>GetAddress(A143)</f>
        <v>\\CHNO0276\Aseguranza de Calidad\Control de Documentos\Doc. controlados PDF\Formas\CNWI-ENGI (Ingenieria)\CNWI-ENGI-F063 Check list empaque solar.xls</v>
      </c>
      <c r="C143" s="5" t="str">
        <f>MID(B143,LEN(B143) - FIND(".",REVERSETEXT(B143))+2,1000)</f>
        <v>xls</v>
      </c>
      <c r="D143" s="6">
        <v>5</v>
      </c>
      <c r="E143" s="7" t="s">
        <v>42</v>
      </c>
      <c r="F143" s="7" t="s">
        <v>22</v>
      </c>
      <c r="G143" s="8" t="s">
        <v>60</v>
      </c>
      <c r="H143" s="8">
        <v>4</v>
      </c>
      <c r="I143" s="8"/>
      <c r="J143" s="8"/>
      <c r="K143" s="8"/>
      <c r="L143" s="8"/>
      <c r="M143" s="7" t="s">
        <v>22</v>
      </c>
      <c r="N143" s="7" t="s">
        <v>75</v>
      </c>
      <c r="O143" s="9">
        <v>41060</v>
      </c>
      <c r="P143" s="7" t="s">
        <v>27</v>
      </c>
      <c r="Q143" s="9" t="s">
        <v>28</v>
      </c>
      <c r="R143" s="7" t="s">
        <v>62</v>
      </c>
      <c r="S143" s="8" t="s">
        <v>63</v>
      </c>
      <c r="T143" s="12"/>
      <c r="U143" s="7"/>
      <c r="V143" s="7"/>
    </row>
    <row r="144" spans="1:22" s="14" customFormat="1">
      <c r="A144" s="5" t="s">
        <v>76</v>
      </c>
      <c r="B144" s="5" t="str">
        <f>GetAddress(A144)</f>
        <v>\\chno0276\Control de Documentos\Doc. controlados PDF\Formas\CNWI-ENGI (Ingenieria)\CNWI-ENGI-F064 Check list set up first solar.xls</v>
      </c>
      <c r="C144" s="5" t="str">
        <f>MID(B144,LEN(B144) - FIND(".",REVERSETEXT(B144))+2,1000)</f>
        <v>xls</v>
      </c>
      <c r="D144" s="6">
        <v>5</v>
      </c>
      <c r="E144" s="7" t="s">
        <v>42</v>
      </c>
      <c r="F144" s="7" t="s">
        <v>22</v>
      </c>
      <c r="G144" s="8" t="s">
        <v>60</v>
      </c>
      <c r="H144" s="8">
        <v>4</v>
      </c>
      <c r="I144" s="8"/>
      <c r="J144" s="8"/>
      <c r="K144" s="8"/>
      <c r="L144" s="8"/>
      <c r="M144" s="7" t="s">
        <v>22</v>
      </c>
      <c r="N144" s="7" t="s">
        <v>77</v>
      </c>
      <c r="O144" s="9">
        <v>41060</v>
      </c>
      <c r="P144" s="7" t="s">
        <v>27</v>
      </c>
      <c r="Q144" s="9" t="s">
        <v>28</v>
      </c>
      <c r="R144" s="7" t="s">
        <v>62</v>
      </c>
      <c r="S144" s="8" t="s">
        <v>63</v>
      </c>
      <c r="T144" s="12"/>
      <c r="U144" s="7"/>
      <c r="V144" s="7"/>
    </row>
    <row r="145" spans="1:22" s="14" customFormat="1">
      <c r="A145" s="5" t="s">
        <v>78</v>
      </c>
      <c r="B145" s="5" t="str">
        <f>GetAddress(A145)</f>
        <v>\\chno0276\Control de Documentos\Doc. controlados PDF\Formas\CNWI-ENGI (Ingenieria)\CNWI-ENGI-F065 Rev. A Presentacion de conectores que se utilizan en Solar.doc</v>
      </c>
      <c r="C145" s="5" t="str">
        <f>MID(B145,LEN(B145) - FIND(".",REVERSETEXT(B145))+2,1000)</f>
        <v>doc</v>
      </c>
      <c r="D145" s="6">
        <v>5</v>
      </c>
      <c r="E145" s="7" t="s">
        <v>42</v>
      </c>
      <c r="F145" s="7" t="s">
        <v>22</v>
      </c>
      <c r="G145" s="8" t="s">
        <v>60</v>
      </c>
      <c r="H145" s="8">
        <v>4</v>
      </c>
      <c r="I145" s="8"/>
      <c r="J145" s="8"/>
      <c r="K145" s="8"/>
      <c r="L145" s="8"/>
      <c r="M145" s="7" t="s">
        <v>22</v>
      </c>
      <c r="N145" s="7" t="s">
        <v>79</v>
      </c>
      <c r="O145" s="9">
        <v>41065</v>
      </c>
      <c r="P145" s="7" t="s">
        <v>27</v>
      </c>
      <c r="Q145" s="9" t="s">
        <v>28</v>
      </c>
      <c r="R145" s="7" t="s">
        <v>62</v>
      </c>
      <c r="S145" s="8" t="s">
        <v>63</v>
      </c>
      <c r="T145" s="12"/>
      <c r="U145" s="7"/>
      <c r="V145" s="7"/>
    </row>
    <row r="146" spans="1:22" s="14" customFormat="1">
      <c r="A146" s="5" t="s">
        <v>80</v>
      </c>
      <c r="B146" s="5" t="str">
        <f>GetAddress(A146)</f>
        <v>\\chno0276\Control de Documentos\Doc. controlados PDF\Formas\CNWI-ENGI (Ingenieria)\CNWI-ENGI-F066 Parametros para maquina Branson Solar.xls</v>
      </c>
      <c r="C146" s="5" t="str">
        <f>MID(B146,LEN(B146) - FIND(".",REVERSETEXT(B146))+2,1000)</f>
        <v>xls</v>
      </c>
      <c r="D146" s="6">
        <v>5</v>
      </c>
      <c r="E146" s="7" t="s">
        <v>42</v>
      </c>
      <c r="F146" s="7" t="s">
        <v>22</v>
      </c>
      <c r="G146" s="8" t="s">
        <v>60</v>
      </c>
      <c r="H146" s="8">
        <v>4</v>
      </c>
      <c r="I146" s="8"/>
      <c r="J146" s="8"/>
      <c r="K146" s="8"/>
      <c r="L146" s="8"/>
      <c r="M146" s="7" t="s">
        <v>22</v>
      </c>
      <c r="N146" s="7" t="s">
        <v>81</v>
      </c>
      <c r="O146" s="9">
        <v>41067</v>
      </c>
      <c r="P146" s="7" t="s">
        <v>27</v>
      </c>
      <c r="Q146" s="9" t="s">
        <v>28</v>
      </c>
      <c r="R146" s="7" t="s">
        <v>62</v>
      </c>
      <c r="S146" s="8" t="s">
        <v>63</v>
      </c>
      <c r="T146" s="12"/>
      <c r="U146" s="7"/>
      <c r="V146" s="7"/>
    </row>
    <row r="147" spans="1:22" s="14" customFormat="1">
      <c r="A147" s="5" t="s">
        <v>612</v>
      </c>
      <c r="B147" s="5" t="str">
        <f>GetAddress(A147)</f>
        <v>\\chno0276\Control de Documentos\Doc. controlados PDF\Formas\CNWI-ENGI (Ingenieria)\CNWI-ENGI-F067 Control de impresion de etiquetas.xlsx</v>
      </c>
      <c r="C147" s="5" t="str">
        <f>MID(B147,LEN(B147) - FIND(".",REVERSETEXT(B147))+2,1000)</f>
        <v>xlsx</v>
      </c>
      <c r="D147" s="6">
        <v>5</v>
      </c>
      <c r="E147" s="7" t="s">
        <v>42</v>
      </c>
      <c r="F147" s="7" t="s">
        <v>22</v>
      </c>
      <c r="G147" s="8" t="s">
        <v>60</v>
      </c>
      <c r="H147" s="8">
        <v>4</v>
      </c>
      <c r="I147" s="8"/>
      <c r="J147" s="8"/>
      <c r="K147" s="8"/>
      <c r="L147" s="8"/>
      <c r="M147" s="7" t="s">
        <v>22</v>
      </c>
      <c r="N147" s="7" t="s">
        <v>613</v>
      </c>
      <c r="O147" s="9">
        <v>41071</v>
      </c>
      <c r="P147" s="7" t="s">
        <v>27</v>
      </c>
      <c r="Q147" s="9" t="s">
        <v>28</v>
      </c>
      <c r="R147" s="7" t="s">
        <v>604</v>
      </c>
      <c r="S147" s="8" t="s">
        <v>605</v>
      </c>
      <c r="T147" s="12"/>
      <c r="U147" s="7"/>
      <c r="V147" s="7"/>
    </row>
    <row r="148" spans="1:22" s="14" customFormat="1">
      <c r="A148" s="5" t="s">
        <v>461</v>
      </c>
      <c r="B148" s="5" t="str">
        <f>GetAddress(A148)</f>
        <v>\\chno0276\Control de Documentos\Doc. controlados PDF\Formas\CNWI-ENGI (Ingenieria)\CNWI-ENGI-F068 Rev.A  Check list moorpark.xlsx</v>
      </c>
      <c r="C148" s="5" t="str">
        <f>MID(B148,LEN(B148) - FIND(".",REVERSETEXT(B148))+2,1000)</f>
        <v>xlsx</v>
      </c>
      <c r="D148" s="6">
        <v>5</v>
      </c>
      <c r="E148" s="7" t="s">
        <v>42</v>
      </c>
      <c r="F148" s="7" t="s">
        <v>22</v>
      </c>
      <c r="G148" s="8" t="s">
        <v>60</v>
      </c>
      <c r="H148" s="8">
        <v>4</v>
      </c>
      <c r="I148" s="8"/>
      <c r="J148" s="8"/>
      <c r="K148" s="8"/>
      <c r="L148" s="8"/>
      <c r="M148" s="7" t="s">
        <v>22</v>
      </c>
      <c r="N148" s="7" t="s">
        <v>462</v>
      </c>
      <c r="O148" s="9">
        <v>41150</v>
      </c>
      <c r="P148" s="7" t="s">
        <v>27</v>
      </c>
      <c r="Q148" s="9" t="s">
        <v>28</v>
      </c>
      <c r="R148" s="7" t="s">
        <v>437</v>
      </c>
      <c r="S148" s="8" t="s">
        <v>438</v>
      </c>
      <c r="T148" s="12"/>
      <c r="U148" s="7"/>
      <c r="V148" s="7"/>
    </row>
    <row r="149" spans="1:22" s="14" customFormat="1">
      <c r="A149" s="5" t="s">
        <v>2060</v>
      </c>
      <c r="B149" s="5" t="str">
        <f>GetAddress(A149)</f>
        <v>\\chno0276\Control de Documentos\Doc. controlados PDF\Formas\CNWI-ENGI (Ingenieria)\CNWI-ENGI-F069 Rev. A Packaging Data Form.docx</v>
      </c>
      <c r="C149" s="5" t="str">
        <f>MID(B149,LEN(B149) - FIND(".",REVERSETEXT(B149))+2,1000)</f>
        <v>docx</v>
      </c>
      <c r="D149" s="6">
        <v>5</v>
      </c>
      <c r="E149" s="7" t="s">
        <v>42</v>
      </c>
      <c r="F149" s="7" t="s">
        <v>22</v>
      </c>
      <c r="G149" s="8" t="s">
        <v>60</v>
      </c>
      <c r="H149" s="8">
        <v>4</v>
      </c>
      <c r="I149" s="8"/>
      <c r="J149" s="8"/>
      <c r="K149" s="8"/>
      <c r="L149" s="8"/>
      <c r="M149" s="7" t="s">
        <v>22</v>
      </c>
      <c r="N149" s="7" t="s">
        <v>2061</v>
      </c>
      <c r="O149" s="9">
        <v>41173</v>
      </c>
      <c r="P149" s="7" t="s">
        <v>27</v>
      </c>
      <c r="Q149" s="9" t="s">
        <v>28</v>
      </c>
      <c r="R149" s="7" t="s">
        <v>2062</v>
      </c>
      <c r="S149" s="8" t="s">
        <v>2063</v>
      </c>
      <c r="T149" s="12"/>
      <c r="U149" s="7"/>
      <c r="V149" s="7"/>
    </row>
    <row r="150" spans="1:22" s="14" customFormat="1">
      <c r="A150" s="5" t="s">
        <v>1462</v>
      </c>
      <c r="B150" s="5" t="str">
        <f>GetAddress(A150)</f>
        <v>\\chno0276\Control de Documentos\Doc. controlados PDF\Formas\CNWI-ENGI (Ingenieria)\CNWI-ENGI-F070 Rev. A Chek list de Nuevos Productos .xlsx</v>
      </c>
      <c r="C150" s="5" t="str">
        <f>MID(B150,LEN(B150) - FIND(".",REVERSETEXT(B150))+2,1000)</f>
        <v>xlsx</v>
      </c>
      <c r="D150" s="6">
        <v>5</v>
      </c>
      <c r="E150" s="7" t="s">
        <v>42</v>
      </c>
      <c r="F150" s="7" t="s">
        <v>22</v>
      </c>
      <c r="G150" s="8" t="s">
        <v>60</v>
      </c>
      <c r="H150" s="8">
        <v>4</v>
      </c>
      <c r="I150" s="8"/>
      <c r="J150" s="8"/>
      <c r="K150" s="8"/>
      <c r="L150" s="8"/>
      <c r="M150" s="7" t="s">
        <v>22</v>
      </c>
      <c r="N150" s="7" t="s">
        <v>1463</v>
      </c>
      <c r="O150" s="9">
        <v>41178</v>
      </c>
      <c r="P150" s="7" t="s">
        <v>27</v>
      </c>
      <c r="Q150" s="9" t="s">
        <v>28</v>
      </c>
      <c r="R150" s="7" t="s">
        <v>1460</v>
      </c>
      <c r="S150" s="8" t="s">
        <v>1461</v>
      </c>
      <c r="T150" s="12"/>
      <c r="U150" s="7"/>
      <c r="V150" s="7"/>
    </row>
    <row r="151" spans="1:22" s="14" customFormat="1">
      <c r="A151" s="5" t="s">
        <v>1464</v>
      </c>
      <c r="B151" s="5" t="str">
        <f>GetAddress(A151)</f>
        <v>\\chno0276\Control de Documentos\Doc. controlados PDF\Formas\CNWI-ENGI (Ingenieria)\CNWI-ENGI-F071 Rev  A Registro de productos terminados NPI.xlsx</v>
      </c>
      <c r="C151" s="5" t="str">
        <f>MID(B151,LEN(B151) - FIND(".",REVERSETEXT(B151))+2,1000)</f>
        <v>xlsx</v>
      </c>
      <c r="D151" s="6">
        <v>5</v>
      </c>
      <c r="E151" s="7" t="s">
        <v>42</v>
      </c>
      <c r="F151" s="7" t="s">
        <v>22</v>
      </c>
      <c r="G151" s="8" t="s">
        <v>60</v>
      </c>
      <c r="H151" s="8">
        <v>4</v>
      </c>
      <c r="I151" s="8"/>
      <c r="J151" s="8"/>
      <c r="K151" s="8"/>
      <c r="L151" s="8"/>
      <c r="M151" s="7" t="s">
        <v>22</v>
      </c>
      <c r="N151" s="7" t="s">
        <v>1465</v>
      </c>
      <c r="O151" s="9">
        <v>41172</v>
      </c>
      <c r="P151" s="7" t="s">
        <v>27</v>
      </c>
      <c r="Q151" s="9" t="s">
        <v>28</v>
      </c>
      <c r="R151" s="7" t="s">
        <v>1460</v>
      </c>
      <c r="S151" s="8" t="s">
        <v>1461</v>
      </c>
      <c r="T151" s="12"/>
      <c r="U151" s="7"/>
      <c r="V151" s="7"/>
    </row>
    <row r="152" spans="1:22" s="14" customFormat="1">
      <c r="A152" s="5" t="s">
        <v>463</v>
      </c>
      <c r="B152" s="5" t="str">
        <f>GetAddress(A152)</f>
        <v>\\chno0276\Control de Documentos\Doc. controlados PDF\Formas\CNWI-ENGI (Ingenieria)\CNWI-ENGI-F072 Rev. A Ajuste de parámetros para moldeadora autojector.xlsx</v>
      </c>
      <c r="C152" s="5" t="str">
        <f>MID(B152,LEN(B152) - FIND(".",REVERSETEXT(B152))+2,1000)</f>
        <v>xlsx</v>
      </c>
      <c r="D152" s="6">
        <v>5</v>
      </c>
      <c r="E152" s="7" t="s">
        <v>42</v>
      </c>
      <c r="F152" s="7" t="s">
        <v>22</v>
      </c>
      <c r="G152" s="8" t="s">
        <v>60</v>
      </c>
      <c r="H152" s="8">
        <v>4</v>
      </c>
      <c r="I152" s="8"/>
      <c r="J152" s="8"/>
      <c r="K152" s="8"/>
      <c r="L152" s="8"/>
      <c r="M152" s="7" t="s">
        <v>22</v>
      </c>
      <c r="N152" s="7" t="s">
        <v>464</v>
      </c>
      <c r="O152" s="9">
        <v>41199</v>
      </c>
      <c r="P152" s="7" t="s">
        <v>27</v>
      </c>
      <c r="Q152" s="9" t="s">
        <v>28</v>
      </c>
      <c r="R152" s="7" t="s">
        <v>437</v>
      </c>
      <c r="S152" s="8" t="s">
        <v>438</v>
      </c>
      <c r="T152" s="12"/>
      <c r="U152" s="7"/>
      <c r="V152" s="7"/>
    </row>
    <row r="153" spans="1:22" s="14" customFormat="1">
      <c r="A153" s="5" t="s">
        <v>2277</v>
      </c>
      <c r="B153" s="5" t="str">
        <f>GetAddress(A153)</f>
        <v>\\chno0276\Aseguranza de Calidad\Control de Documentos\Doc. controlados PDF\Instructivos\CNWI-FNCS\CNWI-FNCS-0001 Rev. A Conteo Ciclico.pdf</v>
      </c>
      <c r="C153" s="5" t="str">
        <f>MID(B153,LEN(B153) - FIND(".",REVERSETEXT(B153))+2,1000)</f>
        <v>pdf</v>
      </c>
      <c r="D153" s="6">
        <v>4</v>
      </c>
      <c r="E153" s="7" t="s">
        <v>33</v>
      </c>
      <c r="F153" s="7" t="s">
        <v>178</v>
      </c>
      <c r="G153" s="8" t="s">
        <v>35</v>
      </c>
      <c r="H153" s="8">
        <v>13</v>
      </c>
      <c r="I153" s="8"/>
      <c r="J153" s="8"/>
      <c r="K153" s="8"/>
      <c r="L153" s="8"/>
      <c r="M153" s="7" t="s">
        <v>178</v>
      </c>
      <c r="N153" s="7" t="s">
        <v>2278</v>
      </c>
      <c r="O153" s="9">
        <v>40990</v>
      </c>
      <c r="P153" s="7" t="s">
        <v>27</v>
      </c>
      <c r="Q153" s="9" t="s">
        <v>28</v>
      </c>
      <c r="R153" s="7" t="s">
        <v>2279</v>
      </c>
      <c r="S153" s="8" t="s">
        <v>2280</v>
      </c>
      <c r="T153" s="7"/>
      <c r="U153" s="13"/>
      <c r="V153" s="15"/>
    </row>
    <row r="154" spans="1:22" s="14" customFormat="1">
      <c r="A154" s="5" t="s">
        <v>852</v>
      </c>
      <c r="B154" s="5" t="str">
        <f>GetAddress(A154)</f>
        <v>\\chno0276\Control de Documentos\Doc. controlados PDF\Instructivos\CNWI-HMRS\CNWI-HMRS-0001  Procedimiento de Desarrollo de Habilidades y Competencias.pdf</v>
      </c>
      <c r="C154" s="5" t="str">
        <f>MID(B154,LEN(B154) - FIND(".",REVERSETEXT(B154))+2,1000)</f>
        <v>pdf</v>
      </c>
      <c r="D154" s="6">
        <v>4</v>
      </c>
      <c r="E154" s="7" t="s">
        <v>33</v>
      </c>
      <c r="F154" s="7" t="s">
        <v>549</v>
      </c>
      <c r="G154" s="8" t="s">
        <v>138</v>
      </c>
      <c r="H154" s="8">
        <v>7</v>
      </c>
      <c r="I154" s="8"/>
      <c r="J154" s="8"/>
      <c r="K154" s="8"/>
      <c r="L154" s="8"/>
      <c r="M154" s="7" t="s">
        <v>549</v>
      </c>
      <c r="N154" s="7" t="s">
        <v>853</v>
      </c>
      <c r="O154" s="9">
        <v>41129</v>
      </c>
      <c r="P154" s="7" t="s">
        <v>742</v>
      </c>
      <c r="Q154" s="9" t="s">
        <v>28</v>
      </c>
      <c r="R154" s="7" t="s">
        <v>854</v>
      </c>
      <c r="S154" s="8" t="s">
        <v>855</v>
      </c>
      <c r="T154" s="7"/>
      <c r="U154" s="13"/>
      <c r="V154" s="13"/>
    </row>
    <row r="155" spans="1:22" s="14" customFormat="1">
      <c r="A155" s="5" t="s">
        <v>548</v>
      </c>
      <c r="B155" s="5" t="str">
        <f>GetAddress(A155)</f>
        <v>\\chno0276\Aseguranza de Calidad\Control de Documentos\Doc. controlados PDF\Instructivos\CNWI-HMRS\CNWI-HMRS-0002 Procediminento de solicitud de capacitacion.pdf</v>
      </c>
      <c r="C155" s="5" t="str">
        <f>MID(B155,LEN(B155) - FIND(".",REVERSETEXT(B155))+2,1000)</f>
        <v>pdf</v>
      </c>
      <c r="D155" s="6">
        <v>4</v>
      </c>
      <c r="E155" s="7" t="s">
        <v>33</v>
      </c>
      <c r="F155" s="7" t="s">
        <v>549</v>
      </c>
      <c r="G155" s="8" t="s">
        <v>138</v>
      </c>
      <c r="H155" s="8">
        <v>7</v>
      </c>
      <c r="I155" s="8"/>
      <c r="J155" s="8"/>
      <c r="K155" s="8"/>
      <c r="L155" s="8"/>
      <c r="M155" s="7" t="s">
        <v>549</v>
      </c>
      <c r="N155" s="7" t="s">
        <v>550</v>
      </c>
      <c r="O155" s="9">
        <v>40637</v>
      </c>
      <c r="P155" s="7" t="s">
        <v>27</v>
      </c>
      <c r="Q155" s="9" t="s">
        <v>28</v>
      </c>
      <c r="R155" s="9" t="s">
        <v>551</v>
      </c>
      <c r="S155" s="24" t="s">
        <v>552</v>
      </c>
      <c r="T155" s="7"/>
      <c r="U155" s="13"/>
      <c r="V155" s="13"/>
    </row>
    <row r="156" spans="1:22" s="14" customFormat="1">
      <c r="A156" s="5" t="s">
        <v>553</v>
      </c>
      <c r="B156" s="5" t="str">
        <f>GetAddress(A156)</f>
        <v>\\chno0276\Control de Documentos\Doc. controlados PDF\Instructivos\CNWI-HMRS\CNWI-HMRS-0003   Rev B Procedimiento de reclutamiento  seleccion y contratacion.docx</v>
      </c>
      <c r="C156" s="5" t="str">
        <f>MID(B156,LEN(B156) - FIND(".",REVERSETEXT(B156))+2,1000)</f>
        <v>docx</v>
      </c>
      <c r="D156" s="6">
        <v>4</v>
      </c>
      <c r="E156" s="7" t="s">
        <v>33</v>
      </c>
      <c r="F156" s="7" t="s">
        <v>549</v>
      </c>
      <c r="G156" s="8" t="s">
        <v>138</v>
      </c>
      <c r="H156" s="8">
        <v>7</v>
      </c>
      <c r="I156" s="8"/>
      <c r="J156" s="8"/>
      <c r="K156" s="8"/>
      <c r="L156" s="8"/>
      <c r="M156" s="7" t="s">
        <v>549</v>
      </c>
      <c r="N156" s="7" t="s">
        <v>554</v>
      </c>
      <c r="O156" s="9">
        <v>41206</v>
      </c>
      <c r="P156" s="7" t="s">
        <v>46</v>
      </c>
      <c r="Q156" s="9" t="s">
        <v>28</v>
      </c>
      <c r="R156" s="9" t="s">
        <v>551</v>
      </c>
      <c r="S156" s="24" t="s">
        <v>552</v>
      </c>
      <c r="T156" s="7"/>
      <c r="U156" s="13"/>
      <c r="V156" s="17"/>
    </row>
    <row r="157" spans="1:22" s="14" customFormat="1">
      <c r="A157" s="5" t="s">
        <v>555</v>
      </c>
      <c r="B157" s="5" t="str">
        <f>GetAddress(A157)</f>
        <v>\\chno0276\Control de Documentos\Doc. controlados PDF\Instructivos\CNWI-HMRS\CNWI-HMRS-0004 Rev. A  Politica de Comunicacion.docx</v>
      </c>
      <c r="C157" s="5" t="str">
        <f>MID(B157,LEN(B157) - FIND(".",REVERSETEXT(B157))+2,1000)</f>
        <v>docx</v>
      </c>
      <c r="D157" s="6">
        <v>4</v>
      </c>
      <c r="E157" s="7" t="s">
        <v>33</v>
      </c>
      <c r="F157" s="7" t="s">
        <v>549</v>
      </c>
      <c r="G157" s="8" t="s">
        <v>138</v>
      </c>
      <c r="H157" s="8">
        <v>7</v>
      </c>
      <c r="I157" s="8"/>
      <c r="J157" s="8"/>
      <c r="K157" s="8"/>
      <c r="L157" s="8"/>
      <c r="M157" s="7" t="s">
        <v>549</v>
      </c>
      <c r="N157" s="7" t="s">
        <v>556</v>
      </c>
      <c r="O157" s="9">
        <v>41185</v>
      </c>
      <c r="P157" s="7" t="s">
        <v>27</v>
      </c>
      <c r="Q157" s="9" t="s">
        <v>28</v>
      </c>
      <c r="R157" s="9" t="s">
        <v>551</v>
      </c>
      <c r="S157" s="24" t="s">
        <v>552</v>
      </c>
      <c r="T157" s="7"/>
      <c r="U157" s="13"/>
      <c r="V157" s="17"/>
    </row>
    <row r="158" spans="1:22" s="14" customFormat="1">
      <c r="A158" s="5" t="s">
        <v>856</v>
      </c>
      <c r="B158" s="5" t="str">
        <f>GetAddress(A158)</f>
        <v>\\chno0276\Aseguranza de Calidad\Control de Documentos\Doc. controlados PDF\Formas\CNWI-HMRS (Recursos Humanos)\CNWI-HMRS-F001 Lista de Asistencia y Entrenamiento .pdf</v>
      </c>
      <c r="C158" s="5" t="str">
        <f>MID(B158,LEN(B158) - FIND(".",REVERSETEXT(B158))+2,1000)</f>
        <v>pdf</v>
      </c>
      <c r="D158" s="6">
        <v>5</v>
      </c>
      <c r="E158" s="7" t="s">
        <v>42</v>
      </c>
      <c r="F158" s="7" t="s">
        <v>22</v>
      </c>
      <c r="G158" s="8" t="s">
        <v>23</v>
      </c>
      <c r="H158" s="8">
        <v>5</v>
      </c>
      <c r="I158" s="8" t="s">
        <v>24</v>
      </c>
      <c r="J158" s="8">
        <v>12</v>
      </c>
      <c r="K158" s="8" t="s">
        <v>25</v>
      </c>
      <c r="L158" s="8">
        <v>4</v>
      </c>
      <c r="M158" s="7" t="s">
        <v>558</v>
      </c>
      <c r="N158" s="7" t="s">
        <v>857</v>
      </c>
      <c r="O158" s="9">
        <v>41130</v>
      </c>
      <c r="P158" s="7" t="s">
        <v>159</v>
      </c>
      <c r="Q158" s="9" t="s">
        <v>28</v>
      </c>
      <c r="R158" s="7" t="s">
        <v>854</v>
      </c>
      <c r="S158" s="8" t="s">
        <v>855</v>
      </c>
      <c r="T158" s="7"/>
      <c r="U158" s="7"/>
      <c r="V158" s="7"/>
    </row>
    <row r="159" spans="1:22" s="14" customFormat="1">
      <c r="A159" s="5" t="s">
        <v>557</v>
      </c>
      <c r="B159" s="5" t="str">
        <f>GetAddress(A159)</f>
        <v>\\CHNO0276\Aseguranza de Calidad\Control de Documentos\Doc. controlados PDF\Formas\CNWI-HMRS (Recursos Humanos)\CNWI-HMRS-F002 Matriz de Flexibilidad.xlsx</v>
      </c>
      <c r="C159" s="5" t="str">
        <f>MID(B159,LEN(B159) - FIND(".",REVERSETEXT(B159))+2,1000)</f>
        <v>xlsx</v>
      </c>
      <c r="D159" s="6">
        <v>5</v>
      </c>
      <c r="E159" s="7" t="s">
        <v>42</v>
      </c>
      <c r="F159" s="7" t="s">
        <v>22</v>
      </c>
      <c r="G159" s="8" t="s">
        <v>23</v>
      </c>
      <c r="H159" s="8">
        <v>5</v>
      </c>
      <c r="I159" s="8" t="s">
        <v>24</v>
      </c>
      <c r="J159" s="8">
        <v>12</v>
      </c>
      <c r="K159" s="8" t="s">
        <v>25</v>
      </c>
      <c r="L159" s="8">
        <v>4</v>
      </c>
      <c r="M159" s="7" t="s">
        <v>558</v>
      </c>
      <c r="N159" s="7" t="s">
        <v>559</v>
      </c>
      <c r="O159" s="9">
        <v>41049</v>
      </c>
      <c r="P159" s="7" t="s">
        <v>159</v>
      </c>
      <c r="Q159" s="9" t="s">
        <v>28</v>
      </c>
      <c r="R159" s="7" t="s">
        <v>551</v>
      </c>
      <c r="S159" s="24" t="s">
        <v>552</v>
      </c>
      <c r="T159" s="7"/>
      <c r="U159" s="7"/>
      <c r="V159" s="7"/>
    </row>
    <row r="160" spans="1:22" s="14" customFormat="1">
      <c r="A160" s="5" t="s">
        <v>560</v>
      </c>
      <c r="B160" s="5" t="str">
        <f>GetAddress(A160)</f>
        <v>\\chno0276\Aseguranza de Calidad\Control de Documentos\Doc. controlados PDF\Formas\CNWI-HMRS (Recursos Humanos)\CNWI-HMRS-F003 Evaluación Práctica del Entrenamiento.xlsx</v>
      </c>
      <c r="C160" s="5" t="str">
        <f>MID(B160,LEN(B160) - FIND(".",REVERSETEXT(B160))+2,1000)</f>
        <v>xlsx</v>
      </c>
      <c r="D160" s="6">
        <v>5</v>
      </c>
      <c r="E160" s="7" t="s">
        <v>42</v>
      </c>
      <c r="F160" s="7" t="s">
        <v>22</v>
      </c>
      <c r="G160" s="8" t="s">
        <v>23</v>
      </c>
      <c r="H160" s="8">
        <v>5</v>
      </c>
      <c r="I160" s="8" t="s">
        <v>24</v>
      </c>
      <c r="J160" s="8">
        <v>12</v>
      </c>
      <c r="K160" s="8" t="s">
        <v>25</v>
      </c>
      <c r="L160" s="8">
        <v>4</v>
      </c>
      <c r="M160" s="7" t="s">
        <v>558</v>
      </c>
      <c r="N160" s="7" t="s">
        <v>561</v>
      </c>
      <c r="O160" s="9">
        <v>41034</v>
      </c>
      <c r="P160" s="7" t="s">
        <v>261</v>
      </c>
      <c r="Q160" s="9" t="s">
        <v>28</v>
      </c>
      <c r="R160" s="7" t="s">
        <v>551</v>
      </c>
      <c r="S160" s="24" t="s">
        <v>552</v>
      </c>
      <c r="T160" s="7"/>
      <c r="U160" s="7"/>
      <c r="V160" s="7"/>
    </row>
    <row r="161" spans="1:22" s="14" customFormat="1">
      <c r="A161" s="5" t="s">
        <v>562</v>
      </c>
      <c r="B161" s="5" t="str">
        <f>GetAddress(A161)</f>
        <v>\\CHNO0276\Aseguranza de Calidad\Control de Documentos\Doc. controlados PDF\Formas\CNWI-HMRS (Recursos Humanos)\CNWI-HMRS-F004 Descripcion de PuestoDoc..doc</v>
      </c>
      <c r="C161" s="5" t="str">
        <f>MID(B161,LEN(B161) - FIND(".",REVERSETEXT(B161))+2,1000)</f>
        <v>doc</v>
      </c>
      <c r="D161" s="6">
        <v>5</v>
      </c>
      <c r="E161" s="7" t="s">
        <v>42</v>
      </c>
      <c r="F161" s="7" t="s">
        <v>22</v>
      </c>
      <c r="G161" s="8" t="s">
        <v>23</v>
      </c>
      <c r="H161" s="8">
        <v>5</v>
      </c>
      <c r="I161" s="8" t="s">
        <v>24</v>
      </c>
      <c r="J161" s="8">
        <v>12</v>
      </c>
      <c r="K161" s="8" t="s">
        <v>25</v>
      </c>
      <c r="L161" s="8">
        <v>4</v>
      </c>
      <c r="M161" s="7" t="s">
        <v>558</v>
      </c>
      <c r="N161" s="7" t="s">
        <v>563</v>
      </c>
      <c r="O161" s="9">
        <v>40988</v>
      </c>
      <c r="P161" s="7" t="s">
        <v>46</v>
      </c>
      <c r="Q161" s="9" t="s">
        <v>28</v>
      </c>
      <c r="R161" s="7" t="s">
        <v>551</v>
      </c>
      <c r="S161" s="24" t="s">
        <v>552</v>
      </c>
      <c r="T161" s="9"/>
      <c r="U161" s="7"/>
      <c r="V161" s="7"/>
    </row>
    <row r="162" spans="1:22" s="14" customFormat="1">
      <c r="A162" s="5" t="s">
        <v>564</v>
      </c>
      <c r="B162" s="5" t="str">
        <f>GetAddress(A162)</f>
        <v>\\chno0276\Aseguranza de Calidad\Control de Documentos\Doc. controlados PDF\Formas\CNWI-HMRS (Recursos Humanos)\CNWI-HMRS-F005 Examen Teorico.xls</v>
      </c>
      <c r="C162" s="5" t="str">
        <f>MID(B162,LEN(B162) - FIND(".",REVERSETEXT(B162))+2,1000)</f>
        <v>xls</v>
      </c>
      <c r="D162" s="6">
        <v>5</v>
      </c>
      <c r="E162" s="7" t="s">
        <v>42</v>
      </c>
      <c r="F162" s="7" t="s">
        <v>22</v>
      </c>
      <c r="G162" s="8" t="s">
        <v>23</v>
      </c>
      <c r="H162" s="8">
        <v>5</v>
      </c>
      <c r="I162" s="8" t="s">
        <v>24</v>
      </c>
      <c r="J162" s="8">
        <v>12</v>
      </c>
      <c r="K162" s="8" t="s">
        <v>25</v>
      </c>
      <c r="L162" s="8">
        <v>4</v>
      </c>
      <c r="M162" s="7" t="s">
        <v>558</v>
      </c>
      <c r="N162" s="7" t="s">
        <v>565</v>
      </c>
      <c r="O162" s="9">
        <v>40618</v>
      </c>
      <c r="P162" s="7" t="s">
        <v>27</v>
      </c>
      <c r="Q162" s="9" t="s">
        <v>28</v>
      </c>
      <c r="R162" s="7" t="s">
        <v>551</v>
      </c>
      <c r="S162" s="24" t="s">
        <v>552</v>
      </c>
      <c r="T162" s="9"/>
      <c r="U162" s="7"/>
      <c r="V162" s="7"/>
    </row>
    <row r="163" spans="1:22" s="14" customFormat="1">
      <c r="A163" s="5" t="s">
        <v>566</v>
      </c>
      <c r="B163" s="5" t="str">
        <f>GetAddress(A163)</f>
        <v>\\chno0276\Aseguranza de Calidad\Control de Documentos\Doc. controlados PDF\Formas\CNWI-HMRS (Recursos Humanos)\CNWI-HMRS-F006 Solicitud de capacitacion.xls</v>
      </c>
      <c r="C163" s="5" t="str">
        <f>MID(B163,LEN(B163) - FIND(".",REVERSETEXT(B163))+2,1000)</f>
        <v>xls</v>
      </c>
      <c r="D163" s="6">
        <v>5</v>
      </c>
      <c r="E163" s="7" t="s">
        <v>42</v>
      </c>
      <c r="F163" s="7" t="s">
        <v>22</v>
      </c>
      <c r="G163" s="8" t="s">
        <v>23</v>
      </c>
      <c r="H163" s="8">
        <v>5</v>
      </c>
      <c r="I163" s="8" t="s">
        <v>24</v>
      </c>
      <c r="J163" s="8">
        <v>12</v>
      </c>
      <c r="K163" s="8" t="s">
        <v>515</v>
      </c>
      <c r="L163" s="8">
        <v>16</v>
      </c>
      <c r="M163" s="7" t="s">
        <v>567</v>
      </c>
      <c r="N163" s="7" t="s">
        <v>568</v>
      </c>
      <c r="O163" s="9">
        <v>40627</v>
      </c>
      <c r="P163" s="7" t="s">
        <v>27</v>
      </c>
      <c r="Q163" s="9" t="s">
        <v>28</v>
      </c>
      <c r="R163" s="7" t="s">
        <v>551</v>
      </c>
      <c r="S163" s="24" t="s">
        <v>552</v>
      </c>
      <c r="T163" s="9"/>
      <c r="U163" s="7"/>
      <c r="V163" s="7"/>
    </row>
    <row r="164" spans="1:22" s="14" customFormat="1">
      <c r="A164" s="5" t="s">
        <v>858</v>
      </c>
      <c r="B164" s="5" t="str">
        <f>GetAddress(A164)</f>
        <v>\\chno0276\Aseguranza de Calidad\Control de Documentos\Doc. controlados PDF\Formas\CNWI-HMRS (Recursos Humanos)\CNWI-HMRS-F007 Rev  C FORMATO TIEMPO EXTRA.xlsx</v>
      </c>
      <c r="C164" s="5" t="str">
        <f>MID(B164,LEN(B164) - FIND(".",REVERSETEXT(B164))+2,1000)</f>
        <v>xlsx</v>
      </c>
      <c r="D164" s="6">
        <v>5</v>
      </c>
      <c r="E164" s="7" t="s">
        <v>42</v>
      </c>
      <c r="F164" s="7" t="s">
        <v>22</v>
      </c>
      <c r="G164" s="8" t="s">
        <v>23</v>
      </c>
      <c r="H164" s="8">
        <v>5</v>
      </c>
      <c r="I164" s="8" t="s">
        <v>24</v>
      </c>
      <c r="J164" s="8">
        <v>12</v>
      </c>
      <c r="K164" s="8" t="s">
        <v>515</v>
      </c>
      <c r="L164" s="8">
        <v>16</v>
      </c>
      <c r="M164" s="7" t="s">
        <v>567</v>
      </c>
      <c r="N164" s="7" t="s">
        <v>859</v>
      </c>
      <c r="O164" s="9">
        <v>41197</v>
      </c>
      <c r="P164" s="7" t="s">
        <v>159</v>
      </c>
      <c r="Q164" s="9" t="s">
        <v>28</v>
      </c>
      <c r="R164" s="7" t="s">
        <v>854</v>
      </c>
      <c r="S164" s="8" t="s">
        <v>855</v>
      </c>
      <c r="T164" s="9"/>
      <c r="U164" s="7"/>
      <c r="V164" s="7"/>
    </row>
    <row r="165" spans="1:22" s="14" customFormat="1">
      <c r="A165" s="5" t="s">
        <v>569</v>
      </c>
      <c r="B165" s="5" t="str">
        <f>GetAddress(A165)</f>
        <v>\\chno0276\Aseguranza de Calidad\Control de Documentos\Doc. controlados PDF\Formas\CNWI-HMRS (Recursos Humanos)\CNWI-HMRS-F008 Permiso al personal .xls</v>
      </c>
      <c r="C165" s="5" t="str">
        <f>MID(B165,LEN(B165) - FIND(".",REVERSETEXT(B165))+2,1000)</f>
        <v>xls</v>
      </c>
      <c r="D165" s="6">
        <v>5</v>
      </c>
      <c r="E165" s="7" t="s">
        <v>42</v>
      </c>
      <c r="F165" s="7" t="s">
        <v>22</v>
      </c>
      <c r="G165" s="8" t="s">
        <v>23</v>
      </c>
      <c r="H165" s="8">
        <v>5</v>
      </c>
      <c r="I165" s="8" t="s">
        <v>24</v>
      </c>
      <c r="J165" s="8">
        <v>12</v>
      </c>
      <c r="K165" s="8" t="s">
        <v>515</v>
      </c>
      <c r="L165" s="8">
        <v>16</v>
      </c>
      <c r="M165" s="7" t="s">
        <v>567</v>
      </c>
      <c r="N165" s="7" t="s">
        <v>570</v>
      </c>
      <c r="O165" s="9">
        <v>40648</v>
      </c>
      <c r="P165" s="7" t="s">
        <v>27</v>
      </c>
      <c r="Q165" s="9" t="s">
        <v>28</v>
      </c>
      <c r="R165" s="7" t="s">
        <v>551</v>
      </c>
      <c r="S165" s="24" t="s">
        <v>552</v>
      </c>
      <c r="T165" s="9"/>
      <c r="U165" s="7"/>
      <c r="V165" s="7"/>
    </row>
    <row r="166" spans="1:22" s="14" customFormat="1">
      <c r="A166" s="5" t="s">
        <v>571</v>
      </c>
      <c r="B166" s="5" t="str">
        <f>GetAddress(A166)</f>
        <v>\\chno0276\Aseguranza de Calidad\Control de Documentos\Doc. controlados PDF\Formas\CNWI-HMRS (Recursos Humanos)\CNWI-HMRS-F009 Control de Herramienta.doc</v>
      </c>
      <c r="C166" s="5" t="str">
        <f>MID(B166,LEN(B166) - FIND(".",REVERSETEXT(B166))+2,1000)</f>
        <v>doc</v>
      </c>
      <c r="D166" s="6">
        <v>5</v>
      </c>
      <c r="E166" s="7" t="s">
        <v>42</v>
      </c>
      <c r="F166" s="7" t="s">
        <v>22</v>
      </c>
      <c r="G166" s="8" t="s">
        <v>23</v>
      </c>
      <c r="H166" s="8">
        <v>5</v>
      </c>
      <c r="I166" s="8" t="s">
        <v>24</v>
      </c>
      <c r="J166" s="8">
        <v>12</v>
      </c>
      <c r="K166" s="8" t="s">
        <v>515</v>
      </c>
      <c r="L166" s="8">
        <v>16</v>
      </c>
      <c r="M166" s="7" t="s">
        <v>567</v>
      </c>
      <c r="N166" s="7" t="s">
        <v>572</v>
      </c>
      <c r="O166" s="9" t="s">
        <v>573</v>
      </c>
      <c r="P166" s="7" t="s">
        <v>27</v>
      </c>
      <c r="Q166" s="9" t="s">
        <v>28</v>
      </c>
      <c r="R166" s="7" t="s">
        <v>551</v>
      </c>
      <c r="S166" s="24" t="s">
        <v>552</v>
      </c>
      <c r="T166" s="9"/>
      <c r="U166" s="7"/>
      <c r="V166" s="7"/>
    </row>
    <row r="167" spans="1:22" s="14" customFormat="1">
      <c r="A167" s="5" t="s">
        <v>574</v>
      </c>
      <c r="B167" s="5" t="str">
        <f>GetAddress(A167)</f>
        <v>\\chno0276\Aseguranza de Calidad\Control de Documentos\Doc. controlados PDF\Formas\CNWI-HMRS (Recursos Humanos)\CNWI-HMRS-F010 Control Credencial.doc</v>
      </c>
      <c r="C167" s="5" t="str">
        <f>MID(B167,LEN(B167) - FIND(".",REVERSETEXT(B167))+2,1000)</f>
        <v>doc</v>
      </c>
      <c r="D167" s="6">
        <v>5</v>
      </c>
      <c r="E167" s="7" t="s">
        <v>42</v>
      </c>
      <c r="F167" s="7" t="s">
        <v>22</v>
      </c>
      <c r="G167" s="8" t="s">
        <v>23</v>
      </c>
      <c r="H167" s="8">
        <v>5</v>
      </c>
      <c r="I167" s="8" t="s">
        <v>24</v>
      </c>
      <c r="J167" s="8">
        <v>12</v>
      </c>
      <c r="K167" s="8" t="s">
        <v>515</v>
      </c>
      <c r="L167" s="8">
        <v>16</v>
      </c>
      <c r="M167" s="7" t="s">
        <v>567</v>
      </c>
      <c r="N167" s="7" t="s">
        <v>575</v>
      </c>
      <c r="O167" s="9" t="s">
        <v>573</v>
      </c>
      <c r="P167" s="7" t="s">
        <v>27</v>
      </c>
      <c r="Q167" s="9" t="s">
        <v>28</v>
      </c>
      <c r="R167" s="7" t="s">
        <v>551</v>
      </c>
      <c r="S167" s="24" t="s">
        <v>552</v>
      </c>
      <c r="T167" s="9"/>
      <c r="U167" s="7"/>
      <c r="V167" s="7"/>
    </row>
    <row r="168" spans="1:22" s="14" customFormat="1">
      <c r="A168" s="5" t="s">
        <v>860</v>
      </c>
      <c r="B168" s="5" t="str">
        <f>GetAddress(A168)</f>
        <v>\\chno0276\Aseguranza de Calidad\Control de Documentos\Documentos controlados\CN-HMRS (Recursos Humanos)\FORMAS\CNWI-HMRS-F011 Rev. D Requisicion de Personal .xlsx</v>
      </c>
      <c r="C168" s="5" t="str">
        <f>MID(B168,LEN(B168) - FIND(".",REVERSETEXT(B168))+2,1000)</f>
        <v>xlsx</v>
      </c>
      <c r="D168" s="6">
        <v>5</v>
      </c>
      <c r="E168" s="7" t="s">
        <v>42</v>
      </c>
      <c r="F168" s="7" t="s">
        <v>22</v>
      </c>
      <c r="G168" s="8" t="s">
        <v>23</v>
      </c>
      <c r="H168" s="8">
        <v>5</v>
      </c>
      <c r="I168" s="8" t="s">
        <v>24</v>
      </c>
      <c r="J168" s="8">
        <v>12</v>
      </c>
      <c r="K168" s="8" t="s">
        <v>515</v>
      </c>
      <c r="L168" s="8">
        <v>16</v>
      </c>
      <c r="M168" s="7" t="s">
        <v>567</v>
      </c>
      <c r="N168" s="7" t="s">
        <v>861</v>
      </c>
      <c r="O168" s="9">
        <v>41171</v>
      </c>
      <c r="P168" s="7" t="s">
        <v>38</v>
      </c>
      <c r="Q168" s="9" t="s">
        <v>28</v>
      </c>
      <c r="R168" s="7" t="s">
        <v>854</v>
      </c>
      <c r="S168" s="8" t="s">
        <v>855</v>
      </c>
      <c r="T168" s="7"/>
      <c r="U168" s="7"/>
      <c r="V168" s="7"/>
    </row>
    <row r="169" spans="1:22" s="14" customFormat="1">
      <c r="A169" s="5" t="s">
        <v>576</v>
      </c>
      <c r="B169" s="5" t="str">
        <f>GetAddress(A169)</f>
        <v>\\chno0276\Aseguranza de Calidad\Control de Documentos\Doc. controlados PDF\Formas\CNWI-HMRS (Recursos Humanos)\CNWI-HMRS-F012 Inventario de Capacitacion de proceso.xlsx</v>
      </c>
      <c r="C169" s="5" t="str">
        <f>MID(B169,LEN(B169) - FIND(".",REVERSETEXT(B169))+2,1000)</f>
        <v>xlsx</v>
      </c>
      <c r="D169" s="6">
        <v>5</v>
      </c>
      <c r="E169" s="7" t="s">
        <v>42</v>
      </c>
      <c r="F169" s="7" t="s">
        <v>22</v>
      </c>
      <c r="G169" s="8" t="s">
        <v>23</v>
      </c>
      <c r="H169" s="8">
        <v>5</v>
      </c>
      <c r="I169" s="8" t="s">
        <v>24</v>
      </c>
      <c r="J169" s="8">
        <v>12</v>
      </c>
      <c r="K169" s="8" t="s">
        <v>515</v>
      </c>
      <c r="L169" s="8">
        <v>16</v>
      </c>
      <c r="M169" s="7" t="s">
        <v>567</v>
      </c>
      <c r="N169" s="7" t="s">
        <v>577</v>
      </c>
      <c r="O169" s="9">
        <v>40739</v>
      </c>
      <c r="P169" s="7" t="s">
        <v>27</v>
      </c>
      <c r="Q169" s="9" t="s">
        <v>28</v>
      </c>
      <c r="R169" s="7" t="s">
        <v>551</v>
      </c>
      <c r="S169" s="24" t="s">
        <v>552</v>
      </c>
      <c r="T169" s="7"/>
      <c r="U169" s="7"/>
      <c r="V169" s="7"/>
    </row>
    <row r="170" spans="1:22" s="14" customFormat="1">
      <c r="A170" s="5" t="s">
        <v>578</v>
      </c>
      <c r="B170" s="5" t="str">
        <f>GetAddress(A170)</f>
        <v>\\chno0276\Aseguranza de Calidad\Control de Documentos\Doc. controlados PDF\Instructivos\CNWI-QAAS\CNWI-QAAS-041 Rev. A Proceso de auditoria out of box.pdf</v>
      </c>
      <c r="C170" s="5" t="str">
        <f>MID(B170,LEN(B170) - FIND(".",REVERSETEXT(B170))+2,1000)</f>
        <v>pdf</v>
      </c>
      <c r="D170" s="6">
        <v>5</v>
      </c>
      <c r="E170" s="7" t="s">
        <v>42</v>
      </c>
      <c r="F170" s="7" t="s">
        <v>22</v>
      </c>
      <c r="G170" s="8" t="s">
        <v>23</v>
      </c>
      <c r="H170" s="8">
        <v>5</v>
      </c>
      <c r="I170" s="8" t="s">
        <v>24</v>
      </c>
      <c r="J170" s="8">
        <v>12</v>
      </c>
      <c r="K170" s="8" t="s">
        <v>515</v>
      </c>
      <c r="L170" s="8">
        <v>16</v>
      </c>
      <c r="M170" s="7" t="s">
        <v>567</v>
      </c>
      <c r="N170" s="7" t="s">
        <v>579</v>
      </c>
      <c r="O170" s="9">
        <v>40785</v>
      </c>
      <c r="P170" s="7" t="s">
        <v>27</v>
      </c>
      <c r="Q170" s="9" t="s">
        <v>28</v>
      </c>
      <c r="R170" s="7" t="s">
        <v>551</v>
      </c>
      <c r="S170" s="24" t="s">
        <v>552</v>
      </c>
      <c r="T170" s="9"/>
      <c r="U170" s="7"/>
      <c r="V170" s="7"/>
    </row>
    <row r="171" spans="1:22" s="14" customFormat="1">
      <c r="A171" s="5" t="s">
        <v>580</v>
      </c>
      <c r="B171" s="5" t="str">
        <f>GetAddress(A171)</f>
        <v>\\chno0276\Aseguranza de Calidad\Control de Documentos\Doc. controlados PDF\Instructivos\CNWI-QAAS\CNWI-QAAS-041 Rev. A Proceso de auditoria out of box.pdf</v>
      </c>
      <c r="C171" s="5" t="str">
        <f>MID(B171,LEN(B171) - FIND(".",REVERSETEXT(B171))+2,1000)</f>
        <v>pdf</v>
      </c>
      <c r="D171" s="6">
        <v>5</v>
      </c>
      <c r="E171" s="7" t="s">
        <v>42</v>
      </c>
      <c r="F171" s="7" t="s">
        <v>22</v>
      </c>
      <c r="G171" s="8" t="s">
        <v>23</v>
      </c>
      <c r="H171" s="8">
        <v>5</v>
      </c>
      <c r="I171" s="8" t="s">
        <v>24</v>
      </c>
      <c r="J171" s="8">
        <v>12</v>
      </c>
      <c r="K171" s="8" t="s">
        <v>515</v>
      </c>
      <c r="L171" s="8">
        <v>16</v>
      </c>
      <c r="M171" s="7" t="s">
        <v>567</v>
      </c>
      <c r="N171" s="7" t="s">
        <v>581</v>
      </c>
      <c r="O171" s="9">
        <v>40836</v>
      </c>
      <c r="P171" s="7" t="s">
        <v>27</v>
      </c>
      <c r="Q171" s="9" t="s">
        <v>28</v>
      </c>
      <c r="R171" s="7" t="s">
        <v>551</v>
      </c>
      <c r="S171" s="24" t="s">
        <v>552</v>
      </c>
      <c r="T171" s="9"/>
      <c r="U171" s="7"/>
      <c r="V171" s="7"/>
    </row>
    <row r="172" spans="1:22" s="14" customFormat="1">
      <c r="A172" s="5" t="s">
        <v>582</v>
      </c>
      <c r="B172" s="5" t="str">
        <f>GetAddress(A172)</f>
        <v>\\chno0276\Aseguranza de Calidad\Control de Documentos\Doc. controlados PDF\Instructivos\CNWI-QAAS\CNWI-QAAS-041 Rev. A Proceso de auditoria out of box.pdf</v>
      </c>
      <c r="C172" s="5" t="str">
        <f>MID(B172,LEN(B172) - FIND(".",REVERSETEXT(B172))+2,1000)</f>
        <v>pdf</v>
      </c>
      <c r="D172" s="6">
        <v>5</v>
      </c>
      <c r="E172" s="7" t="s">
        <v>42</v>
      </c>
      <c r="F172" s="7" t="s">
        <v>22</v>
      </c>
      <c r="G172" s="8" t="s">
        <v>23</v>
      </c>
      <c r="H172" s="8">
        <v>5</v>
      </c>
      <c r="I172" s="8" t="s">
        <v>24</v>
      </c>
      <c r="J172" s="8">
        <v>12</v>
      </c>
      <c r="K172" s="8" t="s">
        <v>129</v>
      </c>
      <c r="L172" s="8">
        <v>18</v>
      </c>
      <c r="M172" s="7" t="s">
        <v>130</v>
      </c>
      <c r="N172" s="7" t="s">
        <v>583</v>
      </c>
      <c r="O172" s="9">
        <v>40903</v>
      </c>
      <c r="P172" s="7" t="s">
        <v>27</v>
      </c>
      <c r="Q172" s="9" t="s">
        <v>28</v>
      </c>
      <c r="R172" s="7" t="s">
        <v>551</v>
      </c>
      <c r="S172" s="24" t="s">
        <v>552</v>
      </c>
      <c r="T172" s="9"/>
      <c r="U172" s="7"/>
      <c r="V172" s="7"/>
    </row>
    <row r="173" spans="1:22">
      <c r="A173" s="5" t="s">
        <v>584</v>
      </c>
      <c r="B173" s="5" t="str">
        <f>GetAddress(A173)</f>
        <v>\\chno0276\Aseguranza de Calidad\Control de Documentos\Doc. controlados PDF\Instructivos\CNWI-QAAS\CNWI-QAAS-041 Rev. A Proceso de auditoria out of box.pdf</v>
      </c>
      <c r="C173" s="5" t="str">
        <f>MID(B173,LEN(B173) - FIND(".",REVERSETEXT(B173))+2,1000)</f>
        <v>pdf</v>
      </c>
      <c r="D173" s="6">
        <v>5</v>
      </c>
      <c r="E173" s="7" t="s">
        <v>42</v>
      </c>
      <c r="F173" s="7" t="s">
        <v>22</v>
      </c>
      <c r="G173" s="8" t="s">
        <v>23</v>
      </c>
      <c r="H173" s="8">
        <v>5</v>
      </c>
      <c r="I173" s="8" t="s">
        <v>24</v>
      </c>
      <c r="J173" s="8">
        <v>12</v>
      </c>
      <c r="K173" s="8" t="s">
        <v>129</v>
      </c>
      <c r="L173" s="8">
        <v>18</v>
      </c>
      <c r="M173" s="7" t="s">
        <v>130</v>
      </c>
      <c r="N173" s="7" t="s">
        <v>585</v>
      </c>
      <c r="O173" s="9">
        <v>40925</v>
      </c>
      <c r="P173" s="7" t="s">
        <v>27</v>
      </c>
      <c r="Q173" s="9" t="s">
        <v>28</v>
      </c>
      <c r="R173" s="7" t="s">
        <v>551</v>
      </c>
      <c r="S173" s="24" t="s">
        <v>552</v>
      </c>
      <c r="T173" s="9"/>
      <c r="U173" s="7"/>
      <c r="V173" s="7"/>
    </row>
    <row r="174" spans="1:22">
      <c r="A174" s="5" t="s">
        <v>586</v>
      </c>
      <c r="B174" s="5" t="str">
        <f>GetAddress(A174)</f>
        <v>\\CHNO0276\Aseguranza de Calidad\Control de Documentos\Doc. controlados PDF\Formas\CNWI-HMRS (Recursos Humanos)\CNWI-HMRS-F017 Constancia de entrenamiento.xlsx</v>
      </c>
      <c r="C174" s="5" t="str">
        <f>MID(B174,LEN(B174) - FIND(".",REVERSETEXT(B174))+2,1000)</f>
        <v>xlsx</v>
      </c>
      <c r="D174" s="6">
        <v>5</v>
      </c>
      <c r="E174" s="7" t="s">
        <v>42</v>
      </c>
      <c r="F174" s="7" t="s">
        <v>22</v>
      </c>
      <c r="G174" s="8" t="s">
        <v>23</v>
      </c>
      <c r="H174" s="8">
        <v>5</v>
      </c>
      <c r="I174" s="8" t="s">
        <v>24</v>
      </c>
      <c r="J174" s="8">
        <v>12</v>
      </c>
      <c r="K174" s="8" t="s">
        <v>129</v>
      </c>
      <c r="L174" s="8">
        <v>18</v>
      </c>
      <c r="M174" s="7" t="s">
        <v>130</v>
      </c>
      <c r="N174" s="7" t="s">
        <v>587</v>
      </c>
      <c r="O174" s="9">
        <v>40955</v>
      </c>
      <c r="P174" s="7" t="s">
        <v>27</v>
      </c>
      <c r="Q174" s="9" t="s">
        <v>28</v>
      </c>
      <c r="R174" s="7" t="s">
        <v>551</v>
      </c>
      <c r="S174" s="24" t="s">
        <v>552</v>
      </c>
      <c r="T174" s="9"/>
      <c r="U174" s="7"/>
      <c r="V174" s="7"/>
    </row>
    <row r="175" spans="1:22">
      <c r="A175" s="5" t="s">
        <v>862</v>
      </c>
      <c r="B175" s="5" t="str">
        <f>GetAddress(A175)</f>
        <v>\\CHNO0276\Aseguranza de Calidad\Control de Documentos\Doc. controlados PDF\Formas\CNWI-HMRS (Recursos Humanos)\CNWI-HMRS-F018 Matriz de entrenamiento.xlsx</v>
      </c>
      <c r="C175" s="5" t="str">
        <f>MID(B175,LEN(B175) - FIND(".",REVERSETEXT(B175))+2,1000)</f>
        <v>xlsx</v>
      </c>
      <c r="D175" s="6">
        <v>5</v>
      </c>
      <c r="E175" s="7" t="s">
        <v>42</v>
      </c>
      <c r="F175" s="7" t="s">
        <v>22</v>
      </c>
      <c r="G175" s="8" t="s">
        <v>23</v>
      </c>
      <c r="H175" s="8">
        <v>5</v>
      </c>
      <c r="I175" s="8" t="s">
        <v>24</v>
      </c>
      <c r="J175" s="8">
        <v>12</v>
      </c>
      <c r="K175" s="8" t="s">
        <v>129</v>
      </c>
      <c r="L175" s="8">
        <v>18</v>
      </c>
      <c r="M175" s="7" t="s">
        <v>130</v>
      </c>
      <c r="N175" s="7" t="s">
        <v>863</v>
      </c>
      <c r="O175" s="9">
        <v>41038</v>
      </c>
      <c r="P175" s="7" t="s">
        <v>27</v>
      </c>
      <c r="Q175" s="9" t="s">
        <v>28</v>
      </c>
      <c r="R175" s="7" t="s">
        <v>854</v>
      </c>
      <c r="S175" s="8" t="s">
        <v>855</v>
      </c>
      <c r="T175" s="9"/>
      <c r="U175" s="7"/>
      <c r="V175" s="7"/>
    </row>
    <row r="176" spans="1:22">
      <c r="A176" s="5" t="s">
        <v>864</v>
      </c>
      <c r="B176" s="5" t="str">
        <f>GetAddress(A176)</f>
        <v>\\chno0276\Control de Documentos\Doc. controlados PDF\Formas\CNWI-HMRS (Recursos Humanos)\CNWI-HMRS-F019 Rev. A Organigrama.pptx</v>
      </c>
      <c r="C176" s="5" t="str">
        <f>MID(B176,LEN(B176) - FIND(".",REVERSETEXT(B176))+2,1000)</f>
        <v>pptx</v>
      </c>
      <c r="D176" s="6">
        <v>5</v>
      </c>
      <c r="E176" s="7" t="s">
        <v>42</v>
      </c>
      <c r="F176" s="7" t="s">
        <v>22</v>
      </c>
      <c r="G176" s="8" t="s">
        <v>23</v>
      </c>
      <c r="H176" s="8">
        <v>5</v>
      </c>
      <c r="I176" s="8" t="s">
        <v>24</v>
      </c>
      <c r="J176" s="8">
        <v>12</v>
      </c>
      <c r="K176" s="8" t="s">
        <v>129</v>
      </c>
      <c r="L176" s="8">
        <v>18</v>
      </c>
      <c r="M176" s="7" t="s">
        <v>130</v>
      </c>
      <c r="N176" s="7" t="s">
        <v>865</v>
      </c>
      <c r="O176" s="9">
        <v>41171</v>
      </c>
      <c r="P176" s="7" t="s">
        <v>27</v>
      </c>
      <c r="Q176" s="9" t="s">
        <v>28</v>
      </c>
      <c r="R176" s="7" t="s">
        <v>854</v>
      </c>
      <c r="S176" s="8" t="s">
        <v>855</v>
      </c>
      <c r="T176" s="9"/>
      <c r="U176" s="7"/>
      <c r="V176" s="7"/>
    </row>
    <row r="177" spans="1:22">
      <c r="A177" s="5" t="s">
        <v>866</v>
      </c>
      <c r="B177" s="5" t="str">
        <f>GetAddress(A177)</f>
        <v>\\chno0276\Aseguranza de Calidad\Control de Documentos\Documentos controlados\CN-HMRS (Recursos Humanos)\FORMAS\CNWI-HMRS-F020 Rev. A Evaluación de Entrevistas.xlsx</v>
      </c>
      <c r="C177" s="5" t="str">
        <f>MID(B177,LEN(B177) - FIND(".",REVERSETEXT(B177))+2,1000)</f>
        <v>xlsx</v>
      </c>
      <c r="D177" s="6">
        <v>5</v>
      </c>
      <c r="E177" s="7" t="s">
        <v>42</v>
      </c>
      <c r="F177" s="7" t="s">
        <v>22</v>
      </c>
      <c r="G177" s="8" t="s">
        <v>23</v>
      </c>
      <c r="H177" s="8">
        <v>5</v>
      </c>
      <c r="I177" s="8" t="s">
        <v>24</v>
      </c>
      <c r="J177" s="8">
        <v>12</v>
      </c>
      <c r="K177" s="8" t="s">
        <v>129</v>
      </c>
      <c r="L177" s="8">
        <v>18</v>
      </c>
      <c r="M177" s="7" t="s">
        <v>130</v>
      </c>
      <c r="N177" s="7" t="s">
        <v>867</v>
      </c>
      <c r="O177" s="9">
        <v>41171</v>
      </c>
      <c r="P177" s="7" t="s">
        <v>27</v>
      </c>
      <c r="Q177" s="9" t="s">
        <v>28</v>
      </c>
      <c r="R177" s="7" t="s">
        <v>854</v>
      </c>
      <c r="S177" s="8" t="s">
        <v>855</v>
      </c>
      <c r="T177" s="9"/>
      <c r="U177" s="7"/>
      <c r="V177" s="7"/>
    </row>
    <row r="178" spans="1:22">
      <c r="A178" s="5" t="s">
        <v>868</v>
      </c>
      <c r="B178" s="5" t="str">
        <f>GetAddress(A178)</f>
        <v>\\chno0276\Aseguranza de Calidad\Control de Documentos\Documentos controlados\CN-HMRS (Recursos Humanos)\FORMAS\CNWI-HMRS-F021 Rev. A Solicitud de aplicacion para vacante ineterna.xlsx</v>
      </c>
      <c r="C178" s="5" t="str">
        <f>MID(B178,LEN(B178) - FIND(".",REVERSETEXT(B178))+2,1000)</f>
        <v>xlsx</v>
      </c>
      <c r="D178" s="6">
        <v>5</v>
      </c>
      <c r="E178" s="7" t="s">
        <v>42</v>
      </c>
      <c r="F178" s="7" t="s">
        <v>22</v>
      </c>
      <c r="G178" s="8" t="s">
        <v>23</v>
      </c>
      <c r="H178" s="8">
        <v>5</v>
      </c>
      <c r="I178" s="8" t="s">
        <v>24</v>
      </c>
      <c r="J178" s="8">
        <v>12</v>
      </c>
      <c r="K178" s="8" t="s">
        <v>129</v>
      </c>
      <c r="L178" s="8">
        <v>18</v>
      </c>
      <c r="M178" s="7" t="s">
        <v>130</v>
      </c>
      <c r="N178" s="7" t="s">
        <v>869</v>
      </c>
      <c r="O178" s="9">
        <v>41171</v>
      </c>
      <c r="P178" s="7" t="s">
        <v>27</v>
      </c>
      <c r="Q178" s="9" t="s">
        <v>28</v>
      </c>
      <c r="R178" s="7" t="s">
        <v>854</v>
      </c>
      <c r="S178" s="8" t="s">
        <v>855</v>
      </c>
      <c r="T178" s="9"/>
      <c r="U178" s="7"/>
      <c r="V178" s="7"/>
    </row>
    <row r="179" spans="1:22">
      <c r="A179" s="5" t="s">
        <v>870</v>
      </c>
      <c r="B179" s="5" t="str">
        <f>GetAddress(A179)</f>
        <v>\\chno0276\Aseguranza de Calidad\Control de Documentos\Documentos controlados\CN-HMRS (Recursos Humanos)\FORMAS\CNWI-HMRS-F022 Rev. A HOJA DE VERIFICACION DE RENUNCIA TERMINACION.xlsx</v>
      </c>
      <c r="C179" s="5" t="str">
        <f>MID(B179,LEN(B179) - FIND(".",REVERSETEXT(B179))+2,1000)</f>
        <v>xlsx</v>
      </c>
      <c r="D179" s="6">
        <v>5</v>
      </c>
      <c r="E179" s="7" t="s">
        <v>42</v>
      </c>
      <c r="F179" s="7" t="s">
        <v>22</v>
      </c>
      <c r="G179" s="8" t="s">
        <v>23</v>
      </c>
      <c r="H179" s="8">
        <v>5</v>
      </c>
      <c r="I179" s="8" t="s">
        <v>24</v>
      </c>
      <c r="J179" s="8">
        <v>12</v>
      </c>
      <c r="K179" s="8" t="s">
        <v>129</v>
      </c>
      <c r="L179" s="8">
        <v>18</v>
      </c>
      <c r="M179" s="7" t="s">
        <v>130</v>
      </c>
      <c r="N179" s="7" t="s">
        <v>871</v>
      </c>
      <c r="O179" s="9">
        <v>41192</v>
      </c>
      <c r="P179" s="7" t="s">
        <v>27</v>
      </c>
      <c r="Q179" s="9" t="s">
        <v>28</v>
      </c>
      <c r="R179" s="7" t="s">
        <v>854</v>
      </c>
      <c r="S179" s="8" t="s">
        <v>855</v>
      </c>
      <c r="T179" s="9"/>
      <c r="U179" s="7"/>
      <c r="V179" s="7"/>
    </row>
    <row r="180" spans="1:22">
      <c r="A180" s="5" t="s">
        <v>1499</v>
      </c>
      <c r="B180" s="5" t="str">
        <f>GetAddress(A180)</f>
        <v>\\chno0276\Aseguranza de Calidad\Control de Documentos\Doc. controlados PDF\Instructivos\CNWI-LEAN\CNWI-LEAN-0001 Proceso de mejora continua.pdf</v>
      </c>
      <c r="C180" s="5" t="str">
        <f>MID(B180,LEN(B180) - FIND(".",REVERSETEXT(B180))+2,1000)</f>
        <v>pdf</v>
      </c>
      <c r="D180" s="6">
        <v>4</v>
      </c>
      <c r="E180" s="7" t="s">
        <v>33</v>
      </c>
      <c r="F180" s="7" t="s">
        <v>1215</v>
      </c>
      <c r="G180" s="8" t="s">
        <v>1500</v>
      </c>
      <c r="H180" s="8">
        <v>17</v>
      </c>
      <c r="I180" s="8"/>
      <c r="J180" s="8"/>
      <c r="K180" s="8"/>
      <c r="L180" s="8"/>
      <c r="M180" s="7" t="s">
        <v>1501</v>
      </c>
      <c r="N180" s="7" t="s">
        <v>1502</v>
      </c>
      <c r="O180" s="9">
        <v>41197</v>
      </c>
      <c r="P180" s="7" t="s">
        <v>46</v>
      </c>
      <c r="Q180" s="9" t="s">
        <v>28</v>
      </c>
      <c r="R180" s="7" t="s">
        <v>1503</v>
      </c>
      <c r="S180" s="8" t="s">
        <v>1504</v>
      </c>
      <c r="T180" s="7"/>
      <c r="U180" s="13"/>
      <c r="V180" s="17"/>
    </row>
    <row r="181" spans="1:22">
      <c r="A181" s="5" t="s">
        <v>1517</v>
      </c>
      <c r="B181" s="5" t="str">
        <f>GetAddress(A181)</f>
        <v>\\chno0276\Control de Documentos\Doc. controlados PDF\Instructivos\CNWI-MTTO\CNWI-MTTO-0001 Procedimiento de Mantenimiento.pdf</v>
      </c>
      <c r="C181" s="5" t="str">
        <f>MID(B181,LEN(B181) - FIND(".",REVERSETEXT(B181))+2,1000)</f>
        <v>pdf</v>
      </c>
      <c r="D181" s="6">
        <v>4</v>
      </c>
      <c r="E181" s="7" t="s">
        <v>33</v>
      </c>
      <c r="F181" s="7" t="s">
        <v>1222</v>
      </c>
      <c r="G181" s="8" t="s">
        <v>466</v>
      </c>
      <c r="H181" s="8">
        <v>14</v>
      </c>
      <c r="I181" s="8"/>
      <c r="J181" s="8"/>
      <c r="K181" s="8"/>
      <c r="L181" s="8"/>
      <c r="M181" s="7" t="s">
        <v>1222</v>
      </c>
      <c r="N181" s="7" t="s">
        <v>1518</v>
      </c>
      <c r="O181" s="9">
        <v>41099</v>
      </c>
      <c r="P181" s="7" t="s">
        <v>742</v>
      </c>
      <c r="Q181" s="9" t="s">
        <v>28</v>
      </c>
      <c r="R181" s="7" t="s">
        <v>1519</v>
      </c>
      <c r="S181" s="8" t="s">
        <v>1520</v>
      </c>
      <c r="T181" s="7"/>
      <c r="U181" s="13"/>
      <c r="V181" s="13"/>
    </row>
    <row r="182" spans="1:22">
      <c r="A182" s="5" t="s">
        <v>1521</v>
      </c>
      <c r="B182" s="5" t="str">
        <f>GetAddress(A182)</f>
        <v>\\chno0276\Control de Documentos\Doc. controlados PDF\Instructivos\CNWI-MTTO\CNWI-MTTO-0002 Almacen de refacicones y suplementos.pdf</v>
      </c>
      <c r="C182" s="5" t="str">
        <f>MID(B182,LEN(B182) - FIND(".",REVERSETEXT(B182))+2,1000)</f>
        <v>pdf</v>
      </c>
      <c r="D182" s="6">
        <v>4</v>
      </c>
      <c r="E182" s="7" t="s">
        <v>33</v>
      </c>
      <c r="F182" s="7" t="s">
        <v>1222</v>
      </c>
      <c r="G182" s="8" t="s">
        <v>466</v>
      </c>
      <c r="H182" s="8">
        <v>14</v>
      </c>
      <c r="I182" s="8"/>
      <c r="J182" s="8"/>
      <c r="K182" s="8"/>
      <c r="L182" s="8"/>
      <c r="M182" s="7" t="s">
        <v>1222</v>
      </c>
      <c r="N182" s="7" t="s">
        <v>1522</v>
      </c>
      <c r="O182" s="9">
        <v>40984</v>
      </c>
      <c r="P182" s="7" t="s">
        <v>38</v>
      </c>
      <c r="Q182" s="9" t="s">
        <v>28</v>
      </c>
      <c r="R182" s="7" t="s">
        <v>1519</v>
      </c>
      <c r="S182" s="8" t="s">
        <v>1520</v>
      </c>
      <c r="T182" s="7"/>
      <c r="U182" s="13"/>
      <c r="V182" s="13"/>
    </row>
    <row r="183" spans="1:22">
      <c r="A183" s="5" t="s">
        <v>1523</v>
      </c>
      <c r="B183" s="5" t="str">
        <f>GetAddress(A183)</f>
        <v>\\chno0276\Control de Documentos\Doc. controlados PDF\Instructivos\CNWI-MTTO\CNWI-MTTO-0003 Rev. A Mantenimiento atonomo.doc</v>
      </c>
      <c r="C183" s="5" t="str">
        <f>MID(B183,LEN(B183) - FIND(".",REVERSETEXT(B183))+2,1000)</f>
        <v>doc</v>
      </c>
      <c r="D183" s="6">
        <v>4</v>
      </c>
      <c r="E183" s="7" t="s">
        <v>33</v>
      </c>
      <c r="F183" s="7" t="s">
        <v>1222</v>
      </c>
      <c r="G183" s="8" t="s">
        <v>466</v>
      </c>
      <c r="H183" s="8">
        <v>14</v>
      </c>
      <c r="I183" s="8"/>
      <c r="J183" s="8"/>
      <c r="K183" s="8"/>
      <c r="L183" s="8"/>
      <c r="M183" s="7" t="s">
        <v>1222</v>
      </c>
      <c r="N183" s="7" t="s">
        <v>1524</v>
      </c>
      <c r="O183" s="9">
        <v>41088</v>
      </c>
      <c r="P183" s="7" t="s">
        <v>27</v>
      </c>
      <c r="Q183" s="9" t="s">
        <v>28</v>
      </c>
      <c r="R183" s="7" t="s">
        <v>1519</v>
      </c>
      <c r="S183" s="8" t="s">
        <v>1520</v>
      </c>
      <c r="T183" s="7"/>
      <c r="U183" s="13"/>
      <c r="V183" s="17"/>
    </row>
    <row r="184" spans="1:22" s="19" customFormat="1">
      <c r="A184" s="20" t="s">
        <v>1536</v>
      </c>
      <c r="B184" s="20" t="str">
        <f>GetAddress(A184)</f>
        <v>\\chno0276\Aseguranza de Calidad\Control de Documentos\Doc. controlados PDF\Formas\CNWI-MTTO (Mantenimiento)\CNWI-MTTO-F001 Boleta de Control de equipo.doc</v>
      </c>
      <c r="C184" s="20" t="str">
        <f>MID(B184,LEN(B184) - FIND(".",REVERSETEXT(B184))+2,1000)</f>
        <v>doc</v>
      </c>
      <c r="D184" s="20">
        <v>5</v>
      </c>
      <c r="E184" s="21" t="s">
        <v>42</v>
      </c>
      <c r="F184" s="21" t="s">
        <v>22</v>
      </c>
      <c r="G184" s="21" t="s">
        <v>23</v>
      </c>
      <c r="H184" s="8">
        <v>5</v>
      </c>
      <c r="I184" s="21" t="s">
        <v>24</v>
      </c>
      <c r="J184" s="8">
        <v>12</v>
      </c>
      <c r="K184" s="21" t="s">
        <v>129</v>
      </c>
      <c r="L184" s="8">
        <v>18</v>
      </c>
      <c r="M184" s="21" t="s">
        <v>130</v>
      </c>
      <c r="N184" s="21" t="s">
        <v>1537</v>
      </c>
      <c r="O184" s="22">
        <v>40582</v>
      </c>
      <c r="P184" s="21" t="s">
        <v>27</v>
      </c>
      <c r="Q184" s="22" t="s">
        <v>28</v>
      </c>
      <c r="R184" s="21" t="s">
        <v>1519</v>
      </c>
      <c r="S184" s="8" t="s">
        <v>1520</v>
      </c>
      <c r="T184" s="22"/>
      <c r="U184" s="21"/>
      <c r="V184" s="21"/>
    </row>
    <row r="185" spans="1:22" s="19" customFormat="1">
      <c r="A185" s="20" t="s">
        <v>1538</v>
      </c>
      <c r="B185" s="20" t="str">
        <f>GetAddress(A185)</f>
        <v>\\chno0276\Aseguranza de Calidad\Control de Documentos\Doc. controlados PDF\Formas\CNWI-MTTO (Mantenimiento)\CNWI-MTTO-F002 inventario de moldes.xls</v>
      </c>
      <c r="C185" s="20" t="str">
        <f>MID(B185,LEN(B185) - FIND(".",REVERSETEXT(B185))+2,1000)</f>
        <v>xls</v>
      </c>
      <c r="D185" s="20">
        <v>5</v>
      </c>
      <c r="E185" s="21" t="s">
        <v>42</v>
      </c>
      <c r="F185" s="21" t="s">
        <v>22</v>
      </c>
      <c r="G185" s="21" t="s">
        <v>23</v>
      </c>
      <c r="H185" s="8">
        <v>5</v>
      </c>
      <c r="I185" s="21" t="s">
        <v>24</v>
      </c>
      <c r="J185" s="8">
        <v>12</v>
      </c>
      <c r="K185" s="21" t="s">
        <v>129</v>
      </c>
      <c r="L185" s="8">
        <v>18</v>
      </c>
      <c r="M185" s="21" t="s">
        <v>130</v>
      </c>
      <c r="N185" s="21" t="s">
        <v>1539</v>
      </c>
      <c r="O185" s="22">
        <v>40788</v>
      </c>
      <c r="P185" s="21" t="s">
        <v>27</v>
      </c>
      <c r="Q185" s="22" t="s">
        <v>28</v>
      </c>
      <c r="R185" s="21" t="s">
        <v>1519</v>
      </c>
      <c r="S185" s="8" t="s">
        <v>1520</v>
      </c>
      <c r="T185" s="22"/>
      <c r="U185" s="21"/>
      <c r="V185" s="21"/>
    </row>
    <row r="186" spans="1:22" s="19" customFormat="1">
      <c r="A186" s="20" t="s">
        <v>1540</v>
      </c>
      <c r="B186" s="20" t="str">
        <f>GetAddress(A186)</f>
        <v>\\chno0276\Aseguranza de Calidad\Control de Documentos\Doc. controlados PDF\Formas\CNWI-MTTO (Mantenimiento)\CNWI-MTTO-F003 LISTADO DE MAQUINAS.xls</v>
      </c>
      <c r="C186" s="20" t="str">
        <f>MID(B186,LEN(B186) - FIND(".",REVERSETEXT(B186))+2,1000)</f>
        <v>xls</v>
      </c>
      <c r="D186" s="20">
        <v>5</v>
      </c>
      <c r="E186" s="21" t="s">
        <v>42</v>
      </c>
      <c r="F186" s="21" t="s">
        <v>22</v>
      </c>
      <c r="G186" s="21" t="s">
        <v>23</v>
      </c>
      <c r="H186" s="8">
        <v>5</v>
      </c>
      <c r="I186" s="21" t="s">
        <v>24</v>
      </c>
      <c r="J186" s="8">
        <v>12</v>
      </c>
      <c r="K186" s="21" t="s">
        <v>129</v>
      </c>
      <c r="L186" s="8">
        <v>18</v>
      </c>
      <c r="M186" s="21" t="s">
        <v>130</v>
      </c>
      <c r="N186" s="21" t="s">
        <v>1541</v>
      </c>
      <c r="O186" s="22">
        <v>40788</v>
      </c>
      <c r="P186" s="21" t="s">
        <v>27</v>
      </c>
      <c r="Q186" s="22" t="s">
        <v>28</v>
      </c>
      <c r="R186" s="21" t="s">
        <v>1519</v>
      </c>
      <c r="S186" s="8" t="s">
        <v>1520</v>
      </c>
      <c r="T186" s="22"/>
      <c r="U186" s="21"/>
      <c r="V186" s="21"/>
    </row>
    <row r="187" spans="1:22" s="19" customFormat="1">
      <c r="A187" s="20" t="s">
        <v>1542</v>
      </c>
      <c r="B187" s="20" t="str">
        <f>GetAddress(A187)</f>
        <v>\\chno0276\Aseguranza de Calidad\Control de Documentos\Doc. controlados PDF\Formas\CNWI-MTTO (Mantenimiento)\CNWI-MTTO-F004  Calendario Anual de Mantenimiento Preventivo.xls</v>
      </c>
      <c r="C187" s="20" t="str">
        <f>MID(B187,LEN(B187) - FIND(".",REVERSETEXT(B187))+2,1000)</f>
        <v>xls</v>
      </c>
      <c r="D187" s="20">
        <v>5</v>
      </c>
      <c r="E187" s="21" t="s">
        <v>42</v>
      </c>
      <c r="F187" s="21" t="s">
        <v>22</v>
      </c>
      <c r="G187" s="21" t="s">
        <v>23</v>
      </c>
      <c r="H187" s="8">
        <v>5</v>
      </c>
      <c r="I187" s="21" t="s">
        <v>24</v>
      </c>
      <c r="J187" s="8">
        <v>12</v>
      </c>
      <c r="K187" s="21" t="s">
        <v>129</v>
      </c>
      <c r="L187" s="8">
        <v>18</v>
      </c>
      <c r="M187" s="21" t="s">
        <v>130</v>
      </c>
      <c r="N187" s="21" t="s">
        <v>1543</v>
      </c>
      <c r="O187" s="22">
        <v>40788</v>
      </c>
      <c r="P187" s="21" t="s">
        <v>27</v>
      </c>
      <c r="Q187" s="22" t="s">
        <v>28</v>
      </c>
      <c r="R187" s="21" t="s">
        <v>1519</v>
      </c>
      <c r="S187" s="8" t="s">
        <v>1520</v>
      </c>
      <c r="T187" s="22"/>
      <c r="U187" s="23"/>
      <c r="V187" s="33"/>
    </row>
    <row r="188" spans="1:22" s="19" customFormat="1">
      <c r="A188" s="20" t="s">
        <v>1544</v>
      </c>
      <c r="B188" s="20" t="str">
        <f>GetAddress(A188)</f>
        <v>\\chno0276\Aseguranza de Calidad\Control de Documentos\Doc. controlados PDF\Formas\CNWI-MTTO (Mantenimiento)\CNWI-MTTO-F006 LISTADO DE SUPLEM Y PARTES.xls</v>
      </c>
      <c r="C188" s="20" t="str">
        <f>MID(B188,LEN(B188) - FIND(".",REVERSETEXT(B188))+2,1000)</f>
        <v>xls</v>
      </c>
      <c r="D188" s="20">
        <v>5</v>
      </c>
      <c r="E188" s="21" t="s">
        <v>42</v>
      </c>
      <c r="F188" s="21" t="s">
        <v>22</v>
      </c>
      <c r="G188" s="21" t="s">
        <v>23</v>
      </c>
      <c r="H188" s="8">
        <v>5</v>
      </c>
      <c r="I188" s="21" t="s">
        <v>24</v>
      </c>
      <c r="J188" s="8">
        <v>12</v>
      </c>
      <c r="K188" s="21" t="s">
        <v>129</v>
      </c>
      <c r="L188" s="8">
        <v>18</v>
      </c>
      <c r="M188" s="21" t="s">
        <v>130</v>
      </c>
      <c r="N188" s="21" t="s">
        <v>1545</v>
      </c>
      <c r="O188" s="22" t="s">
        <v>1546</v>
      </c>
      <c r="P188" s="21" t="s">
        <v>27</v>
      </c>
      <c r="Q188" s="22" t="s">
        <v>28</v>
      </c>
      <c r="R188" s="21" t="s">
        <v>1519</v>
      </c>
      <c r="S188" s="8" t="s">
        <v>1520</v>
      </c>
      <c r="T188" s="22"/>
      <c r="U188" s="21"/>
      <c r="V188" s="21"/>
    </row>
    <row r="189" spans="1:22" s="19" customFormat="1">
      <c r="A189" s="20" t="s">
        <v>1547</v>
      </c>
      <c r="B189" s="20" t="str">
        <f>GetAddress(A189)</f>
        <v>\\chno0276\Aseguranza de Calidad\Control de Documentos\Doc. controlados PDF\Formas\CNWI-MTTO (Mantenimiento)\CNWI-MTTO-F008 Orden de Trabajo para Mantenimineto.xls</v>
      </c>
      <c r="C189" s="20" t="str">
        <f>MID(B189,LEN(B189) - FIND(".",REVERSETEXT(B189))+2,1000)</f>
        <v>xls</v>
      </c>
      <c r="D189" s="20">
        <v>5</v>
      </c>
      <c r="E189" s="21" t="s">
        <v>42</v>
      </c>
      <c r="F189" s="21" t="s">
        <v>22</v>
      </c>
      <c r="G189" s="21" t="s">
        <v>23</v>
      </c>
      <c r="H189" s="8">
        <v>5</v>
      </c>
      <c r="I189" s="21" t="s">
        <v>24</v>
      </c>
      <c r="J189" s="8">
        <v>12</v>
      </c>
      <c r="K189" s="21" t="s">
        <v>129</v>
      </c>
      <c r="L189" s="8">
        <v>18</v>
      </c>
      <c r="M189" s="21" t="s">
        <v>130</v>
      </c>
      <c r="N189" s="21" t="s">
        <v>1548</v>
      </c>
      <c r="O189" s="22">
        <v>40725</v>
      </c>
      <c r="P189" s="21" t="s">
        <v>159</v>
      </c>
      <c r="Q189" s="22" t="s">
        <v>28</v>
      </c>
      <c r="R189" s="21" t="s">
        <v>1519</v>
      </c>
      <c r="S189" s="8" t="s">
        <v>1520</v>
      </c>
      <c r="T189" s="21"/>
      <c r="U189" s="21"/>
      <c r="V189" s="21"/>
    </row>
    <row r="190" spans="1:22" s="19" customFormat="1">
      <c r="A190" s="20" t="s">
        <v>1549</v>
      </c>
      <c r="B190" s="20" t="str">
        <f>GetAddress(A190)</f>
        <v>\\chno0276\Aseguranza de Calidad\Control de Documentos\Doc. controlados PDF\Formas\CNWI-MTTO (Mantenimiento)\CNWI-MTTO-F010 Etiqueta de Mantenimiento.doc</v>
      </c>
      <c r="C190" s="20" t="str">
        <f>MID(B190,LEN(B190) - FIND(".",REVERSETEXT(B190))+2,1000)</f>
        <v>doc</v>
      </c>
      <c r="D190" s="20">
        <v>5</v>
      </c>
      <c r="E190" s="21" t="s">
        <v>42</v>
      </c>
      <c r="F190" s="21" t="s">
        <v>22</v>
      </c>
      <c r="G190" s="21" t="s">
        <v>23</v>
      </c>
      <c r="H190" s="8">
        <v>5</v>
      </c>
      <c r="I190" s="21" t="s">
        <v>24</v>
      </c>
      <c r="J190" s="8">
        <v>12</v>
      </c>
      <c r="K190" s="21" t="s">
        <v>129</v>
      </c>
      <c r="L190" s="8">
        <v>18</v>
      </c>
      <c r="M190" s="21" t="s">
        <v>130</v>
      </c>
      <c r="N190" s="21" t="s">
        <v>1550</v>
      </c>
      <c r="O190" s="22" t="s">
        <v>1546</v>
      </c>
      <c r="P190" s="21" t="s">
        <v>27</v>
      </c>
      <c r="Q190" s="22" t="s">
        <v>28</v>
      </c>
      <c r="R190" s="21" t="s">
        <v>1519</v>
      </c>
      <c r="S190" s="8" t="s">
        <v>1520</v>
      </c>
      <c r="T190" s="22"/>
      <c r="U190" s="21"/>
      <c r="V190" s="21"/>
    </row>
    <row r="191" spans="1:22" s="19" customFormat="1">
      <c r="A191" s="20" t="s">
        <v>1551</v>
      </c>
      <c r="B191" s="20" t="str">
        <f>GetAddress(A191)</f>
        <v>\\chno0276\Aseguranza de Calidad\Control de Documentos\Doc. controlados PDF\Formas\CNWI-MTTO (Mantenimiento)\CNWI-MTTO-F011 Registro de Mantenimiento Preventivo.xls</v>
      </c>
      <c r="C191" s="20" t="str">
        <f>MID(B191,LEN(B191) - FIND(".",REVERSETEXT(B191))+2,1000)</f>
        <v>xls</v>
      </c>
      <c r="D191" s="20">
        <v>5</v>
      </c>
      <c r="E191" s="21" t="s">
        <v>42</v>
      </c>
      <c r="F191" s="21" t="s">
        <v>22</v>
      </c>
      <c r="G191" s="21" t="s">
        <v>23</v>
      </c>
      <c r="H191" s="8">
        <v>5</v>
      </c>
      <c r="I191" s="21" t="s">
        <v>24</v>
      </c>
      <c r="J191" s="8">
        <v>12</v>
      </c>
      <c r="K191" s="21" t="s">
        <v>129</v>
      </c>
      <c r="L191" s="8">
        <v>18</v>
      </c>
      <c r="M191" s="21" t="s">
        <v>130</v>
      </c>
      <c r="N191" s="21" t="s">
        <v>1552</v>
      </c>
      <c r="O191" s="22">
        <v>40653</v>
      </c>
      <c r="P191" s="21" t="s">
        <v>27</v>
      </c>
      <c r="Q191" s="22" t="s">
        <v>28</v>
      </c>
      <c r="R191" s="21" t="s">
        <v>1519</v>
      </c>
      <c r="S191" s="8" t="s">
        <v>1520</v>
      </c>
      <c r="T191" s="22"/>
      <c r="U191" s="21"/>
      <c r="V191" s="21"/>
    </row>
    <row r="192" spans="1:22">
      <c r="A192" s="20" t="s">
        <v>1553</v>
      </c>
      <c r="B192" s="20" t="str">
        <f>GetAddress(A192)</f>
        <v>\\chno0276\Aseguranza de Calidad\Control de Documentos\Doc. controlados PDF\Formas\CNWI-MTTO (Mantenimiento)\CNWI-MTTO-F012 suplementos y partes.xls</v>
      </c>
      <c r="C192" s="20" t="str">
        <f>MID(B192,LEN(B192) - FIND(".",REVERSETEXT(B192))+2,1000)</f>
        <v>xls</v>
      </c>
      <c r="D192" s="20">
        <v>5</v>
      </c>
      <c r="E192" s="21" t="s">
        <v>42</v>
      </c>
      <c r="F192" s="21" t="s">
        <v>22</v>
      </c>
      <c r="G192" s="21" t="s">
        <v>23</v>
      </c>
      <c r="H192" s="21">
        <v>5</v>
      </c>
      <c r="I192" s="21" t="s">
        <v>24</v>
      </c>
      <c r="J192" s="21">
        <v>12</v>
      </c>
      <c r="K192" s="21" t="s">
        <v>846</v>
      </c>
      <c r="L192" s="21">
        <v>20</v>
      </c>
      <c r="M192" s="21" t="s">
        <v>847</v>
      </c>
      <c r="N192" s="21" t="s">
        <v>1554</v>
      </c>
      <c r="O192" s="22">
        <v>40660</v>
      </c>
      <c r="P192" s="21" t="s">
        <v>27</v>
      </c>
      <c r="Q192" s="22" t="s">
        <v>28</v>
      </c>
      <c r="R192" s="21" t="s">
        <v>1519</v>
      </c>
      <c r="S192" s="8" t="s">
        <v>1520</v>
      </c>
      <c r="T192" s="22"/>
      <c r="U192" s="21"/>
      <c r="V192" s="21"/>
    </row>
    <row r="193" spans="1:22">
      <c r="A193" s="20" t="s">
        <v>1555</v>
      </c>
      <c r="B193" s="20" t="str">
        <f>GetAddress(A193)</f>
        <v>\\chno0276\Aseguranza de Calidad\Control de Documentos\Doc. controlados PDF\Formas\CNWI-MTTO (Mantenimiento)\CNWI-MTTO-F013 Boleta de Control de Materiales.doc</v>
      </c>
      <c r="C193" s="20" t="str">
        <f>MID(B193,LEN(B193) - FIND(".",REVERSETEXT(B193))+2,1000)</f>
        <v>doc</v>
      </c>
      <c r="D193" s="20">
        <v>5</v>
      </c>
      <c r="E193" s="21" t="s">
        <v>42</v>
      </c>
      <c r="F193" s="21" t="s">
        <v>22</v>
      </c>
      <c r="G193" s="21" t="s">
        <v>23</v>
      </c>
      <c r="H193" s="21">
        <v>5</v>
      </c>
      <c r="I193" s="21" t="s">
        <v>24</v>
      </c>
      <c r="J193" s="21">
        <v>12</v>
      </c>
      <c r="K193" s="21" t="s">
        <v>846</v>
      </c>
      <c r="L193" s="21">
        <v>20</v>
      </c>
      <c r="M193" s="21" t="s">
        <v>847</v>
      </c>
      <c r="N193" s="21" t="s">
        <v>1556</v>
      </c>
      <c r="O193" s="22">
        <v>40596</v>
      </c>
      <c r="P193" s="21" t="s">
        <v>27</v>
      </c>
      <c r="Q193" s="22" t="s">
        <v>28</v>
      </c>
      <c r="R193" s="21" t="s">
        <v>1519</v>
      </c>
      <c r="S193" s="8" t="s">
        <v>1520</v>
      </c>
      <c r="T193" s="22"/>
      <c r="U193" s="21"/>
      <c r="V193" s="21"/>
    </row>
    <row r="194" spans="1:22">
      <c r="A194" s="20" t="s">
        <v>1557</v>
      </c>
      <c r="B194" s="20" t="str">
        <f>GetAddress(A194)</f>
        <v>\\chno0276\Aseguranza de Calidad\Control de Documentos\Doc. controlados PDF\Formas\CNWI-MTTO (Mantenimiento)\CNWI-MTTO-F014 Inventario de Quimicos.xls</v>
      </c>
      <c r="C194" s="20" t="str">
        <f>MID(B194,LEN(B194) - FIND(".",REVERSETEXT(B194))+2,1000)</f>
        <v>xls</v>
      </c>
      <c r="D194" s="20">
        <v>5</v>
      </c>
      <c r="E194" s="21" t="s">
        <v>42</v>
      </c>
      <c r="F194" s="21" t="s">
        <v>22</v>
      </c>
      <c r="G194" s="21" t="s">
        <v>23</v>
      </c>
      <c r="H194" s="8">
        <v>5</v>
      </c>
      <c r="I194" s="21" t="s">
        <v>92</v>
      </c>
      <c r="J194" s="21">
        <v>6</v>
      </c>
      <c r="K194" s="21" t="s">
        <v>93</v>
      </c>
      <c r="L194" s="21">
        <v>14</v>
      </c>
      <c r="M194" s="21" t="s">
        <v>94</v>
      </c>
      <c r="N194" s="21" t="s">
        <v>1558</v>
      </c>
      <c r="O194" s="22">
        <v>40792</v>
      </c>
      <c r="P194" s="21" t="s">
        <v>159</v>
      </c>
      <c r="Q194" s="22" t="s">
        <v>28</v>
      </c>
      <c r="R194" s="21" t="s">
        <v>1519</v>
      </c>
      <c r="S194" s="8" t="s">
        <v>1520</v>
      </c>
      <c r="T194" s="21"/>
      <c r="U194" s="23"/>
      <c r="V194" s="23"/>
    </row>
    <row r="195" spans="1:22">
      <c r="A195" s="20" t="s">
        <v>1559</v>
      </c>
      <c r="B195" s="20" t="str">
        <f>GetAddress(A195)</f>
        <v>\\chno0276\Aseguranza de Calidad\Control de Documentos\Doc. controlados PDF\Formas\CNWI-MTTO (Mantenimiento)\CNWI-MTTO-F015 Revicion de temperatura Quimicos.xls</v>
      </c>
      <c r="C195" s="20" t="str">
        <f>MID(B195,LEN(B195) - FIND(".",REVERSETEXT(B195))+2,1000)</f>
        <v>xls</v>
      </c>
      <c r="D195" s="20">
        <v>5</v>
      </c>
      <c r="E195" s="21" t="s">
        <v>42</v>
      </c>
      <c r="F195" s="21" t="s">
        <v>22</v>
      </c>
      <c r="G195" s="21" t="s">
        <v>23</v>
      </c>
      <c r="H195" s="8">
        <v>5</v>
      </c>
      <c r="I195" s="21" t="s">
        <v>92</v>
      </c>
      <c r="J195" s="21">
        <v>6</v>
      </c>
      <c r="K195" s="21" t="s">
        <v>93</v>
      </c>
      <c r="L195" s="21">
        <v>14</v>
      </c>
      <c r="M195" s="21" t="s">
        <v>94</v>
      </c>
      <c r="N195" s="21" t="s">
        <v>1560</v>
      </c>
      <c r="O195" s="22">
        <v>40777</v>
      </c>
      <c r="P195" s="21" t="s">
        <v>46</v>
      </c>
      <c r="Q195" s="22" t="s">
        <v>28</v>
      </c>
      <c r="R195" s="21" t="s">
        <v>1519</v>
      </c>
      <c r="S195" s="8" t="s">
        <v>1520</v>
      </c>
      <c r="T195" s="21"/>
      <c r="U195" s="23"/>
      <c r="V195" s="23"/>
    </row>
    <row r="196" spans="1:22">
      <c r="A196" s="20" t="s">
        <v>1561</v>
      </c>
      <c r="B196" s="20" t="str">
        <f>GetAddress(A196)</f>
        <v>\\chno0276\Aseguranza de Calidad\Control de Documentos\Doc. controlados PDF\Formas\CNWI-MTTO (Mantenimiento)\CNWI-MTTO-F016 Mantenimiento Preventivo a Moldes.xls</v>
      </c>
      <c r="C196" s="20" t="str">
        <f>MID(B196,LEN(B196) - FIND(".",REVERSETEXT(B196))+2,1000)</f>
        <v>xls</v>
      </c>
      <c r="D196" s="20">
        <v>5</v>
      </c>
      <c r="E196" s="21" t="s">
        <v>42</v>
      </c>
      <c r="F196" s="21" t="s">
        <v>22</v>
      </c>
      <c r="G196" s="21" t="s">
        <v>23</v>
      </c>
      <c r="H196" s="8">
        <v>5</v>
      </c>
      <c r="I196" s="21" t="s">
        <v>92</v>
      </c>
      <c r="J196" s="21">
        <v>6</v>
      </c>
      <c r="K196" s="21" t="s">
        <v>93</v>
      </c>
      <c r="L196" s="21">
        <v>14</v>
      </c>
      <c r="M196" s="21" t="s">
        <v>94</v>
      </c>
      <c r="N196" s="21" t="s">
        <v>1562</v>
      </c>
      <c r="O196" s="22">
        <v>40772</v>
      </c>
      <c r="P196" s="21" t="s">
        <v>27</v>
      </c>
      <c r="Q196" s="22" t="s">
        <v>28</v>
      </c>
      <c r="R196" s="21" t="s">
        <v>1519</v>
      </c>
      <c r="S196" s="8" t="s">
        <v>1520</v>
      </c>
      <c r="T196" s="22"/>
      <c r="U196" s="23"/>
      <c r="V196" s="23"/>
    </row>
    <row r="197" spans="1:22">
      <c r="A197" s="20" t="s">
        <v>1563</v>
      </c>
      <c r="B197" s="20" t="str">
        <f>GetAddress(A197)</f>
        <v>\\chno0276\Aseguranza de Calidad\Control de Documentos\Doc. controlados PDF\Formas\CNWI-MTTO (Mantenimiento)\CNWI-MTTO-F017 Inventario Mensual de Suplementos y Partes.xls</v>
      </c>
      <c r="C197" s="20" t="str">
        <f>MID(B197,LEN(B197) - FIND(".",REVERSETEXT(B197))+2,1000)</f>
        <v>xls</v>
      </c>
      <c r="D197" s="20">
        <v>5</v>
      </c>
      <c r="E197" s="21" t="s">
        <v>42</v>
      </c>
      <c r="F197" s="21" t="s">
        <v>22</v>
      </c>
      <c r="G197" s="21" t="s">
        <v>23</v>
      </c>
      <c r="H197" s="8">
        <v>5</v>
      </c>
      <c r="I197" s="21" t="s">
        <v>92</v>
      </c>
      <c r="J197" s="21">
        <v>6</v>
      </c>
      <c r="K197" s="21" t="s">
        <v>93</v>
      </c>
      <c r="L197" s="21">
        <v>14</v>
      </c>
      <c r="M197" s="21" t="s">
        <v>94</v>
      </c>
      <c r="N197" s="21" t="s">
        <v>1564</v>
      </c>
      <c r="O197" s="22">
        <v>40938</v>
      </c>
      <c r="P197" s="21" t="s">
        <v>27</v>
      </c>
      <c r="Q197" s="22" t="s">
        <v>28</v>
      </c>
      <c r="R197" s="21" t="s">
        <v>1519</v>
      </c>
      <c r="S197" s="8" t="s">
        <v>1520</v>
      </c>
      <c r="T197" s="22"/>
      <c r="U197" s="23"/>
      <c r="V197" s="23"/>
    </row>
    <row r="198" spans="1:22">
      <c r="A198" s="20" t="s">
        <v>1565</v>
      </c>
      <c r="B198" s="20" t="str">
        <f>GetAddress(A198)</f>
        <v>\\chno0276\Aseguranza de Calidad\Control de Documentos\Doc. controlados PDF\Formas\CNWI-MTTO (Mantenimiento)\CNWI-MTTO-F018 Inspeccion de Montacargas Electrico.xls</v>
      </c>
      <c r="C198" s="20" t="str">
        <f>MID(B198,LEN(B198) - FIND(".",REVERSETEXT(B198))+2,1000)</f>
        <v>xls</v>
      </c>
      <c r="D198" s="20">
        <v>5</v>
      </c>
      <c r="E198" s="21" t="s">
        <v>42</v>
      </c>
      <c r="F198" s="21" t="s">
        <v>22</v>
      </c>
      <c r="G198" s="21" t="s">
        <v>23</v>
      </c>
      <c r="H198" s="8">
        <v>5</v>
      </c>
      <c r="I198" s="21" t="s">
        <v>92</v>
      </c>
      <c r="J198" s="21">
        <v>6</v>
      </c>
      <c r="K198" s="21" t="s">
        <v>93</v>
      </c>
      <c r="L198" s="21">
        <v>14</v>
      </c>
      <c r="M198" s="21" t="s">
        <v>94</v>
      </c>
      <c r="N198" s="21" t="s">
        <v>1566</v>
      </c>
      <c r="O198" s="22">
        <v>40939</v>
      </c>
      <c r="P198" s="21" t="s">
        <v>27</v>
      </c>
      <c r="Q198" s="22" t="s">
        <v>28</v>
      </c>
      <c r="R198" s="21" t="s">
        <v>1519</v>
      </c>
      <c r="S198" s="8" t="s">
        <v>1520</v>
      </c>
      <c r="T198" s="22"/>
      <c r="U198" s="23"/>
      <c r="V198" s="23"/>
    </row>
    <row r="199" spans="1:22">
      <c r="A199" s="20" t="s">
        <v>1567</v>
      </c>
      <c r="B199" s="20" t="str">
        <f>GetAddress(A199)</f>
        <v>\\chno0276\Aseguranza de Calidad\Control de Documentos\Doc. controlados PDF\Formas\CNWI-MTTO (Mantenimiento)\CNWI-MTTO-F019 REGISTRO DE TEMPERATURA DE ALMACENAMIENTO DE QUIMICOS.xls</v>
      </c>
      <c r="C199" s="20" t="str">
        <f>MID(B199,LEN(B199) - FIND(".",REVERSETEXT(B199))+2,1000)</f>
        <v>xls</v>
      </c>
      <c r="D199" s="20">
        <v>5</v>
      </c>
      <c r="E199" s="21" t="s">
        <v>42</v>
      </c>
      <c r="F199" s="21" t="s">
        <v>22</v>
      </c>
      <c r="G199" s="21" t="s">
        <v>23</v>
      </c>
      <c r="H199" s="8">
        <v>5</v>
      </c>
      <c r="I199" s="21" t="s">
        <v>92</v>
      </c>
      <c r="J199" s="21">
        <v>6</v>
      </c>
      <c r="K199" s="21" t="s">
        <v>93</v>
      </c>
      <c r="L199" s="21">
        <v>14</v>
      </c>
      <c r="M199" s="21" t="s">
        <v>94</v>
      </c>
      <c r="N199" s="21" t="s">
        <v>1568</v>
      </c>
      <c r="O199" s="34">
        <v>40974</v>
      </c>
      <c r="P199" s="21" t="s">
        <v>46</v>
      </c>
      <c r="Q199" s="22" t="s">
        <v>28</v>
      </c>
      <c r="R199" s="21" t="s">
        <v>1519</v>
      </c>
      <c r="S199" s="8" t="s">
        <v>1520</v>
      </c>
      <c r="T199" s="21"/>
      <c r="U199" s="23"/>
      <c r="V199" s="23"/>
    </row>
    <row r="200" spans="1:22">
      <c r="A200" s="20" t="s">
        <v>1569</v>
      </c>
      <c r="B200" s="20" t="str">
        <f>GetAddress(A200)</f>
        <v>\\chno0276\Aseguranza de Calidad\Control de Documentos\Doc. controlados PDF\Formas\CNWI-MTTO (Mantenimiento)\CNWI-MTTO-F020 Inspeccion de Plataforma elevadora.xls</v>
      </c>
      <c r="C200" s="20" t="str">
        <f>MID(B200,LEN(B200) - FIND(".",REVERSETEXT(B200))+2,1000)</f>
        <v>xls</v>
      </c>
      <c r="D200" s="20">
        <v>5</v>
      </c>
      <c r="E200" s="21" t="s">
        <v>42</v>
      </c>
      <c r="F200" s="21" t="s">
        <v>22</v>
      </c>
      <c r="G200" s="21" t="s">
        <v>23</v>
      </c>
      <c r="H200" s="8">
        <v>5</v>
      </c>
      <c r="I200" s="21" t="s">
        <v>92</v>
      </c>
      <c r="J200" s="21">
        <v>6</v>
      </c>
      <c r="K200" s="21" t="s">
        <v>93</v>
      </c>
      <c r="L200" s="21">
        <v>14</v>
      </c>
      <c r="M200" s="21" t="s">
        <v>94</v>
      </c>
      <c r="N200" s="21" t="s">
        <v>1570</v>
      </c>
      <c r="O200" s="34">
        <v>40941</v>
      </c>
      <c r="P200" s="21" t="s">
        <v>27</v>
      </c>
      <c r="Q200" s="22" t="s">
        <v>28</v>
      </c>
      <c r="R200" s="21" t="s">
        <v>1519</v>
      </c>
      <c r="S200" s="8" t="s">
        <v>1520</v>
      </c>
      <c r="T200" s="34"/>
      <c r="U200" s="23"/>
      <c r="V200" s="21"/>
    </row>
    <row r="201" spans="1:22">
      <c r="A201" s="20" t="s">
        <v>1571</v>
      </c>
      <c r="B201" s="20" t="str">
        <f>GetAddress(A201)</f>
        <v>\\chno0276\Aseguranza de Calidad\Control de Documentos\Doc. controlados PDF\Formas\CNWI-MTTO (Mantenimiento)\CNWI-MTTO-F021 Plan de actividades Mecanicos.xls</v>
      </c>
      <c r="C201" s="20" t="str">
        <f>MID(B201,LEN(B201) - FIND(".",REVERSETEXT(B201))+2,1000)</f>
        <v>xls</v>
      </c>
      <c r="D201" s="20">
        <v>5</v>
      </c>
      <c r="E201" s="21" t="s">
        <v>42</v>
      </c>
      <c r="F201" s="21" t="s">
        <v>22</v>
      </c>
      <c r="G201" s="21" t="s">
        <v>23</v>
      </c>
      <c r="H201" s="8">
        <v>5</v>
      </c>
      <c r="I201" s="21" t="s">
        <v>92</v>
      </c>
      <c r="J201" s="21">
        <v>6</v>
      </c>
      <c r="K201" s="21" t="s">
        <v>93</v>
      </c>
      <c r="L201" s="21">
        <v>14</v>
      </c>
      <c r="M201" s="21" t="s">
        <v>94</v>
      </c>
      <c r="N201" s="21" t="s">
        <v>1572</v>
      </c>
      <c r="O201" s="22">
        <v>40970</v>
      </c>
      <c r="P201" s="21" t="s">
        <v>27</v>
      </c>
      <c r="Q201" s="22" t="s">
        <v>28</v>
      </c>
      <c r="R201" s="21" t="s">
        <v>1519</v>
      </c>
      <c r="S201" s="8" t="s">
        <v>1520</v>
      </c>
      <c r="T201" s="22"/>
      <c r="U201" s="23"/>
      <c r="V201" s="21"/>
    </row>
    <row r="202" spans="1:22" s="4" customFormat="1" ht="13.9" customHeight="1">
      <c r="A202" s="20" t="s">
        <v>1573</v>
      </c>
      <c r="B202" s="20" t="str">
        <f>GetAddress(A202)</f>
        <v>\\chno0276\Aseguranza de Calidad\Control de Documentos\Doc. controlados PDF\Formas\CNWI-MTTO (Mantenimiento)\CNWI-MTTO-F022 Rev. A ETIQUETA DE IDENTIFICACION PARA  EQUIPO EN REPARACION.pptx</v>
      </c>
      <c r="C202" s="20" t="str">
        <f>MID(B202,LEN(B202) - FIND(".",REVERSETEXT(B202))+2,1000)</f>
        <v>pptx</v>
      </c>
      <c r="D202" s="20">
        <v>5</v>
      </c>
      <c r="E202" s="21" t="s">
        <v>42</v>
      </c>
      <c r="F202" s="21" t="s">
        <v>22</v>
      </c>
      <c r="G202" s="21" t="s">
        <v>23</v>
      </c>
      <c r="H202" s="8">
        <v>5</v>
      </c>
      <c r="I202" s="21" t="s">
        <v>92</v>
      </c>
      <c r="J202" s="21">
        <v>6</v>
      </c>
      <c r="K202" s="21" t="s">
        <v>93</v>
      </c>
      <c r="L202" s="21">
        <v>14</v>
      </c>
      <c r="M202" s="21" t="s">
        <v>94</v>
      </c>
      <c r="N202" s="21" t="s">
        <v>1574</v>
      </c>
      <c r="O202" s="22">
        <v>40982</v>
      </c>
      <c r="P202" s="21" t="s">
        <v>27</v>
      </c>
      <c r="Q202" s="22" t="s">
        <v>28</v>
      </c>
      <c r="R202" s="21" t="s">
        <v>1519</v>
      </c>
      <c r="S202" s="8" t="s">
        <v>1520</v>
      </c>
      <c r="T202" s="22"/>
      <c r="U202" s="23"/>
      <c r="V202" s="21"/>
    </row>
    <row r="203" spans="1:22">
      <c r="A203" s="20" t="s">
        <v>499</v>
      </c>
      <c r="B203" s="20" t="str">
        <f>GetAddress(A203)</f>
        <v>\\chno0276\Control de Documentos\Doc. controlados PDF\Formas\CNWI-MTTO (Mantenimiento)\CNWI-MTTO-F023 Set up de moldes Moorpark.xlsx</v>
      </c>
      <c r="C203" s="20" t="str">
        <f>MID(B203,LEN(B203) - FIND(".",REVERSETEXT(B203))+2,1000)</f>
        <v>xlsx</v>
      </c>
      <c r="D203" s="20">
        <v>5</v>
      </c>
      <c r="E203" s="21" t="s">
        <v>42</v>
      </c>
      <c r="F203" s="21" t="s">
        <v>22</v>
      </c>
      <c r="G203" s="21" t="s">
        <v>23</v>
      </c>
      <c r="H203" s="8">
        <v>5</v>
      </c>
      <c r="I203" s="21" t="s">
        <v>92</v>
      </c>
      <c r="J203" s="21">
        <v>6</v>
      </c>
      <c r="K203" s="21" t="s">
        <v>93</v>
      </c>
      <c r="L203" s="21">
        <v>14</v>
      </c>
      <c r="M203" s="21" t="s">
        <v>94</v>
      </c>
      <c r="N203" s="21" t="s">
        <v>500</v>
      </c>
      <c r="O203" s="22">
        <v>41037</v>
      </c>
      <c r="P203" s="21" t="s">
        <v>27</v>
      </c>
      <c r="Q203" s="22" t="s">
        <v>28</v>
      </c>
      <c r="R203" s="21" t="s">
        <v>437</v>
      </c>
      <c r="S203" s="8" t="s">
        <v>438</v>
      </c>
      <c r="T203" s="22"/>
      <c r="U203" s="23"/>
      <c r="V203" s="21"/>
    </row>
    <row r="204" spans="1:22" s="19" customFormat="1">
      <c r="A204" s="20" t="s">
        <v>465</v>
      </c>
      <c r="B204" s="20" t="str">
        <f>GetAddress(A204)</f>
        <v>\\chno0276\Control de Documentos\Doc. controlados PDF\Formas\CNWI-MTTO (Mantenimiento)\CNWI-MTTO-F024 Set up de moldes de Micromini.xlsx</v>
      </c>
      <c r="C204" s="20" t="str">
        <f>MID(B204,LEN(B204) - FIND(".",REVERSETEXT(B204))+2,1000)</f>
        <v>xlsx</v>
      </c>
      <c r="D204" s="20">
        <v>5</v>
      </c>
      <c r="E204" s="21" t="s">
        <v>42</v>
      </c>
      <c r="F204" s="21" t="s">
        <v>256</v>
      </c>
      <c r="G204" s="21" t="s">
        <v>466</v>
      </c>
      <c r="H204" s="21">
        <v>14</v>
      </c>
      <c r="I204" s="21"/>
      <c r="J204" s="21"/>
      <c r="K204" s="21"/>
      <c r="L204" s="21"/>
      <c r="M204" s="21" t="s">
        <v>28</v>
      </c>
      <c r="N204" s="21" t="s">
        <v>467</v>
      </c>
      <c r="O204" s="22">
        <v>41037</v>
      </c>
      <c r="P204" s="21" t="s">
        <v>27</v>
      </c>
      <c r="Q204" s="22" t="s">
        <v>28</v>
      </c>
      <c r="R204" s="21" t="s">
        <v>437</v>
      </c>
      <c r="S204" s="8" t="s">
        <v>438</v>
      </c>
      <c r="T204" s="22"/>
      <c r="U204" s="21"/>
      <c r="V204" s="21"/>
    </row>
    <row r="205" spans="1:22" s="19" customFormat="1">
      <c r="A205" s="20" t="s">
        <v>2410</v>
      </c>
      <c r="B205" s="20" t="str">
        <f>GetAddress(A205)</f>
        <v>\\CHNO0276\Aseguranza de Calidad\Control de Documentos\Doc. controlados PDF\Formas\CNWI-MTTO (Mantenimiento)\CNWI-MTTO-F025 Tarjetas rojas y verdes.xlsx</v>
      </c>
      <c r="C205" s="20" t="str">
        <f>MID(B205,LEN(B205) - FIND(".",REVERSETEXT(B205))+2,1000)</f>
        <v>xlsx</v>
      </c>
      <c r="D205" s="20">
        <v>5</v>
      </c>
      <c r="E205" s="21" t="s">
        <v>42</v>
      </c>
      <c r="F205" s="21" t="s">
        <v>256</v>
      </c>
      <c r="G205" s="21" t="s">
        <v>466</v>
      </c>
      <c r="H205" s="21">
        <v>14</v>
      </c>
      <c r="I205" s="21"/>
      <c r="J205" s="21"/>
      <c r="K205" s="21"/>
      <c r="L205" s="21"/>
      <c r="M205" s="21" t="s">
        <v>28</v>
      </c>
      <c r="N205" s="21" t="s">
        <v>2411</v>
      </c>
      <c r="O205" s="22">
        <v>41039</v>
      </c>
      <c r="P205" s="21" t="s">
        <v>27</v>
      </c>
      <c r="Q205" s="22" t="s">
        <v>28</v>
      </c>
      <c r="R205" s="21" t="s">
        <v>2189</v>
      </c>
      <c r="S205" s="8" t="s">
        <v>2412</v>
      </c>
      <c r="T205" s="22"/>
      <c r="U205" s="21"/>
      <c r="V205" s="21"/>
    </row>
    <row r="206" spans="1:22" s="19" customFormat="1">
      <c r="A206" s="20" t="s">
        <v>2413</v>
      </c>
      <c r="B206" s="20" t="str">
        <f>GetAddress(A206)</f>
        <v>\\chno0276\Control de Documentos\Doc. controlados PDF\Formas\CNWI-MTTO (Mantenimiento)\CNWI-MTTO-F026 Rev. A Tarjetas rojas.xlsx</v>
      </c>
      <c r="C206" s="20" t="str">
        <f>MID(B206,LEN(B206) - FIND(".",REVERSETEXT(B206))+2,1000)</f>
        <v>xlsx</v>
      </c>
      <c r="D206" s="20">
        <v>5</v>
      </c>
      <c r="E206" s="21" t="s">
        <v>42</v>
      </c>
      <c r="F206" s="21" t="s">
        <v>256</v>
      </c>
      <c r="G206" s="21" t="s">
        <v>466</v>
      </c>
      <c r="H206" s="21">
        <v>14</v>
      </c>
      <c r="I206" s="21"/>
      <c r="J206" s="21"/>
      <c r="K206" s="21"/>
      <c r="L206" s="21"/>
      <c r="M206" s="21" t="s">
        <v>28</v>
      </c>
      <c r="N206" s="21" t="s">
        <v>2414</v>
      </c>
      <c r="O206" s="22">
        <v>41060</v>
      </c>
      <c r="P206" s="21" t="s">
        <v>27</v>
      </c>
      <c r="Q206" s="22" t="s">
        <v>28</v>
      </c>
      <c r="R206" s="21" t="s">
        <v>2189</v>
      </c>
      <c r="S206" s="8" t="s">
        <v>2412</v>
      </c>
      <c r="T206" s="22"/>
      <c r="U206" s="21"/>
      <c r="V206" s="21"/>
    </row>
    <row r="207" spans="1:22" s="19" customFormat="1">
      <c r="A207" s="20" t="s">
        <v>1525</v>
      </c>
      <c r="B207" s="20" t="str">
        <f>GetAddress(A207)</f>
        <v>\\chno0276\Control de Documentos\Doc. controlados PDF\Formas\CNWI-MTTO (Mantenimiento)\CNWI-MTTO-F027 Parametros de referencia para moldeadora AHI TOP 3 y 4.xlsx</v>
      </c>
      <c r="C207" s="20" t="str">
        <f>MID(B207,LEN(B207) - FIND(".",REVERSETEXT(B207))+2,1000)</f>
        <v>xlsx</v>
      </c>
      <c r="D207" s="20">
        <v>5</v>
      </c>
      <c r="E207" s="21" t="s">
        <v>42</v>
      </c>
      <c r="F207" s="21" t="s">
        <v>256</v>
      </c>
      <c r="G207" s="21" t="s">
        <v>466</v>
      </c>
      <c r="H207" s="21">
        <v>14</v>
      </c>
      <c r="I207" s="21"/>
      <c r="J207" s="21"/>
      <c r="K207" s="21"/>
      <c r="L207" s="21"/>
      <c r="M207" s="21" t="s">
        <v>28</v>
      </c>
      <c r="N207" s="21" t="s">
        <v>1526</v>
      </c>
      <c r="O207" s="22">
        <v>41072</v>
      </c>
      <c r="P207" s="21" t="s">
        <v>27</v>
      </c>
      <c r="Q207" s="22" t="s">
        <v>28</v>
      </c>
      <c r="R207" s="21" t="s">
        <v>1519</v>
      </c>
      <c r="S207" s="8" t="s">
        <v>1520</v>
      </c>
      <c r="T207" s="22"/>
      <c r="U207" s="21"/>
      <c r="V207" s="21"/>
    </row>
    <row r="208" spans="1:22" s="19" customFormat="1">
      <c r="A208" s="20" t="s">
        <v>2415</v>
      </c>
      <c r="B208" s="20" t="str">
        <f>GetAddress(A208)</f>
        <v>\\chno0276\Control de Documentos\Doc. controlados PDF\Formas\CNWI-MTTO (Mantenimiento)\CNWI-MTTO-F028 Rev A  TPM universal.xls</v>
      </c>
      <c r="C208" s="20" t="str">
        <f>MID(B208,LEN(B208) - FIND(".",REVERSETEXT(B208))+2,1000)</f>
        <v>xls</v>
      </c>
      <c r="D208" s="20">
        <v>5</v>
      </c>
      <c r="E208" s="21" t="s">
        <v>42</v>
      </c>
      <c r="F208" s="21" t="s">
        <v>256</v>
      </c>
      <c r="G208" s="21" t="s">
        <v>466</v>
      </c>
      <c r="H208" s="21">
        <v>14</v>
      </c>
      <c r="I208" s="21"/>
      <c r="J208" s="21"/>
      <c r="K208" s="21"/>
      <c r="L208" s="21"/>
      <c r="M208" s="21" t="s">
        <v>28</v>
      </c>
      <c r="N208" s="21" t="s">
        <v>2416</v>
      </c>
      <c r="O208" s="22">
        <v>41086</v>
      </c>
      <c r="P208" s="21" t="s">
        <v>27</v>
      </c>
      <c r="Q208" s="22" t="s">
        <v>28</v>
      </c>
      <c r="R208" s="21" t="s">
        <v>2189</v>
      </c>
      <c r="S208" s="8" t="s">
        <v>2412</v>
      </c>
      <c r="T208" s="22"/>
      <c r="U208" s="21"/>
      <c r="V208" s="21"/>
    </row>
    <row r="209" spans="1:22" s="19" customFormat="1">
      <c r="A209" s="20" t="s">
        <v>1527</v>
      </c>
      <c r="B209" s="20" t="str">
        <f>GetAddress(A209)</f>
        <v>\\CHNO0276\Aseguranza de Calidad\Control de Documentos\Doc. controlados PDF\Formas\CNWI-MTTO (Mantenimiento)\CNWI-MTTO-F029 Revisión de despojadoras Schleuniger.pdf</v>
      </c>
      <c r="C209" s="20" t="str">
        <f>MID(B209,LEN(B209) - FIND(".",REVERSETEXT(B209))+2,1000)</f>
        <v>pdf</v>
      </c>
      <c r="D209" s="20">
        <v>5</v>
      </c>
      <c r="E209" s="21" t="s">
        <v>42</v>
      </c>
      <c r="F209" s="21" t="s">
        <v>256</v>
      </c>
      <c r="G209" s="21" t="s">
        <v>466</v>
      </c>
      <c r="H209" s="21">
        <v>14</v>
      </c>
      <c r="I209" s="21"/>
      <c r="J209" s="21"/>
      <c r="K209" s="21"/>
      <c r="L209" s="21"/>
      <c r="M209" s="21" t="s">
        <v>28</v>
      </c>
      <c r="N209" s="21" t="s">
        <v>1528</v>
      </c>
      <c r="O209" s="22">
        <v>41115</v>
      </c>
      <c r="P209" s="21" t="s">
        <v>27</v>
      </c>
      <c r="Q209" s="22" t="s">
        <v>28</v>
      </c>
      <c r="R209" s="21" t="s">
        <v>1519</v>
      </c>
      <c r="S209" s="8" t="s">
        <v>1520</v>
      </c>
      <c r="T209" s="22"/>
      <c r="U209" s="21"/>
      <c r="V209" s="21"/>
    </row>
    <row r="210" spans="1:22" s="19" customFormat="1">
      <c r="A210" s="20" t="s">
        <v>1529</v>
      </c>
      <c r="B210" s="20" t="str">
        <f>GetAddress(A210)</f>
        <v>\\chno0276\Control de Documentos\Doc. controlados PDF\Formas\CNWI-MTTO (Mantenimiento)\CNWI-MTTO-F030 Entregas tool crip.pdf</v>
      </c>
      <c r="C210" s="20" t="str">
        <f>MID(B210,LEN(B210) - FIND(".",REVERSETEXT(B210))+2,1000)</f>
        <v>pdf</v>
      </c>
      <c r="D210" s="20">
        <v>5</v>
      </c>
      <c r="E210" s="21" t="s">
        <v>42</v>
      </c>
      <c r="F210" s="21" t="s">
        <v>256</v>
      </c>
      <c r="G210" s="21" t="s">
        <v>466</v>
      </c>
      <c r="H210" s="21">
        <v>14</v>
      </c>
      <c r="I210" s="21"/>
      <c r="J210" s="21"/>
      <c r="K210" s="21"/>
      <c r="L210" s="21"/>
      <c r="M210" s="21" t="s">
        <v>28</v>
      </c>
      <c r="N210" s="21" t="s">
        <v>1530</v>
      </c>
      <c r="O210" s="22">
        <v>41145</v>
      </c>
      <c r="P210" s="21" t="s">
        <v>27</v>
      </c>
      <c r="Q210" s="22" t="s">
        <v>28</v>
      </c>
      <c r="R210" s="21" t="s">
        <v>1519</v>
      </c>
      <c r="S210" s="8" t="s">
        <v>1520</v>
      </c>
      <c r="T210" s="22"/>
      <c r="U210" s="21"/>
      <c r="V210" s="21"/>
    </row>
    <row r="211" spans="1:22" s="19" customFormat="1">
      <c r="A211" s="20" t="s">
        <v>614</v>
      </c>
      <c r="B211" s="20" t="str">
        <f>GetAddress(A211)</f>
        <v>\\CHNO0276\Aseguranza de Calidad\Control de Documentos\Doc. controlados PDF\Formas\CNWI-MTTO (Mantenimiento)\CNWI-MTTO-F031 Entrega y recibo de moldes.pdf</v>
      </c>
      <c r="C211" s="20" t="str">
        <f>MID(B211,LEN(B211) - FIND(".",REVERSETEXT(B211))+2,1000)</f>
        <v>pdf</v>
      </c>
      <c r="D211" s="20">
        <v>5</v>
      </c>
      <c r="E211" s="21" t="s">
        <v>42</v>
      </c>
      <c r="F211" s="21" t="s">
        <v>549</v>
      </c>
      <c r="G211" s="21" t="s">
        <v>466</v>
      </c>
      <c r="H211" s="21">
        <v>14</v>
      </c>
      <c r="I211" s="21"/>
      <c r="J211" s="21"/>
      <c r="K211" s="21"/>
      <c r="L211" s="21"/>
      <c r="M211" s="21" t="s">
        <v>28</v>
      </c>
      <c r="N211" s="21" t="s">
        <v>615</v>
      </c>
      <c r="O211" s="22">
        <v>41155</v>
      </c>
      <c r="P211" s="21" t="s">
        <v>27</v>
      </c>
      <c r="Q211" s="22" t="s">
        <v>28</v>
      </c>
      <c r="R211" s="21" t="s">
        <v>604</v>
      </c>
      <c r="S211" s="8" t="s">
        <v>605</v>
      </c>
      <c r="T211" s="22"/>
      <c r="U211" s="21"/>
      <c r="V211" s="21"/>
    </row>
    <row r="212" spans="1:22">
      <c r="A212" s="5" t="s">
        <v>527</v>
      </c>
      <c r="B212" s="5" t="str">
        <f>GetAddress(A212)</f>
        <v>\\chno0276\Control de Documentos\Doc. controlados PDF\Instructivos\CNWI-PLLN\CNWI-PLNN-0001 Running MRP On Sap doc.pdf</v>
      </c>
      <c r="C212" s="5" t="str">
        <f>MID(B212,LEN(B212) - FIND(".",REVERSETEXT(B212))+2,1000)</f>
        <v>pdf</v>
      </c>
      <c r="D212" s="6">
        <v>4</v>
      </c>
      <c r="E212" s="7" t="s">
        <v>33</v>
      </c>
      <c r="F212" s="7" t="s">
        <v>183</v>
      </c>
      <c r="G212" s="8" t="s">
        <v>528</v>
      </c>
      <c r="H212" s="8">
        <v>6</v>
      </c>
      <c r="I212" s="8" t="s">
        <v>529</v>
      </c>
      <c r="J212" s="8">
        <v>16</v>
      </c>
      <c r="K212" s="8"/>
      <c r="L212" s="8"/>
      <c r="M212" s="7" t="s">
        <v>183</v>
      </c>
      <c r="N212" s="7" t="s">
        <v>530</v>
      </c>
      <c r="O212" s="9">
        <v>41122</v>
      </c>
      <c r="P212" s="7" t="s">
        <v>27</v>
      </c>
      <c r="Q212" s="9" t="s">
        <v>28</v>
      </c>
      <c r="R212" s="7" t="s">
        <v>531</v>
      </c>
      <c r="S212" s="8" t="s">
        <v>532</v>
      </c>
      <c r="T212" s="7"/>
      <c r="U212" s="13"/>
      <c r="V212" s="15"/>
    </row>
    <row r="213" spans="1:22">
      <c r="A213" s="5" t="s">
        <v>1575</v>
      </c>
      <c r="B213" s="5" t="str">
        <f>GetAddress(A213)</f>
        <v>\\chno0276\Aseguranza de Calidad\Control de Documentos\Doc. controlados PDF\Formas\CNWI-PLNN (Planeacion )\CNWI-PLNN-F001 CUST REQ  PGI REPORT .xls</v>
      </c>
      <c r="C213" s="5" t="str">
        <f>MID(B213,LEN(B213) - FIND(".",REVERSETEXT(B213))+2,1000)</f>
        <v>xls</v>
      </c>
      <c r="D213" s="6">
        <v>5</v>
      </c>
      <c r="E213" s="7" t="s">
        <v>42</v>
      </c>
      <c r="F213" s="7" t="s">
        <v>183</v>
      </c>
      <c r="G213" s="8" t="s">
        <v>528</v>
      </c>
      <c r="H213" s="8">
        <v>6</v>
      </c>
      <c r="I213" s="8" t="s">
        <v>529</v>
      </c>
      <c r="J213" s="8">
        <v>16</v>
      </c>
      <c r="K213" s="8"/>
      <c r="L213" s="8"/>
      <c r="M213" s="7" t="s">
        <v>183</v>
      </c>
      <c r="N213" s="32" t="s">
        <v>1576</v>
      </c>
      <c r="O213" s="9">
        <v>40640</v>
      </c>
      <c r="P213" s="7" t="s">
        <v>27</v>
      </c>
      <c r="Q213" s="9" t="s">
        <v>28</v>
      </c>
      <c r="R213" s="7" t="s">
        <v>1577</v>
      </c>
      <c r="S213" s="8" t="s">
        <v>1578</v>
      </c>
      <c r="T213" s="9">
        <v>40640</v>
      </c>
      <c r="U213" s="7"/>
      <c r="V213" s="7"/>
    </row>
    <row r="214" spans="1:22">
      <c r="A214" s="5" t="s">
        <v>1579</v>
      </c>
      <c r="B214" s="5" t="str">
        <f>GetAddress(A214)</f>
        <v>\\chno0276\Aseguranza de Calidad\Control de Documentos\Doc. controlados PDF\Formas\CNWI-PLNN (Planeacion )\CNWI-PLNN-F002 MasterSchedule.xlsx</v>
      </c>
      <c r="C214" s="5" t="str">
        <f>MID(B214,LEN(B214) - FIND(".",REVERSETEXT(B214))+2,1000)</f>
        <v>xlsx</v>
      </c>
      <c r="D214" s="6">
        <v>5</v>
      </c>
      <c r="E214" s="7" t="s">
        <v>42</v>
      </c>
      <c r="F214" s="7" t="s">
        <v>183</v>
      </c>
      <c r="G214" s="8" t="s">
        <v>528</v>
      </c>
      <c r="H214" s="8">
        <v>6</v>
      </c>
      <c r="I214" s="8" t="s">
        <v>529</v>
      </c>
      <c r="J214" s="8">
        <v>16</v>
      </c>
      <c r="K214" s="8"/>
      <c r="L214" s="8"/>
      <c r="M214" s="7" t="s">
        <v>183</v>
      </c>
      <c r="N214" s="7" t="s">
        <v>1580</v>
      </c>
      <c r="O214" s="9">
        <v>40640</v>
      </c>
      <c r="P214" s="7" t="s">
        <v>27</v>
      </c>
      <c r="Q214" s="9" t="s">
        <v>28</v>
      </c>
      <c r="R214" s="7" t="s">
        <v>1577</v>
      </c>
      <c r="S214" s="8" t="s">
        <v>1578</v>
      </c>
      <c r="T214" s="7"/>
      <c r="U214" s="7"/>
      <c r="V214" s="7"/>
    </row>
    <row r="215" spans="1:22">
      <c r="A215" s="5" t="s">
        <v>1474</v>
      </c>
      <c r="B215" s="5" t="str">
        <f>GetAddress(A215)</f>
        <v>\\chno0276\Aseguranza de Calidad\Control de Documentos\Doc. controlados PDF\Instructivos\CNWI-PRCS\CNWI-PRCS-0001 Compras MRO nogales.pdf</v>
      </c>
      <c r="C215" s="5" t="str">
        <f>MID(B215,LEN(B215) - FIND(".",REVERSETEXT(B215))+2,1000)</f>
        <v>pdf</v>
      </c>
      <c r="D215" s="6">
        <v>4</v>
      </c>
      <c r="E215" s="7" t="s">
        <v>33</v>
      </c>
      <c r="F215" s="7" t="s">
        <v>171</v>
      </c>
      <c r="G215" s="8" t="s">
        <v>528</v>
      </c>
      <c r="H215" s="8">
        <v>6</v>
      </c>
      <c r="I215" s="8" t="s">
        <v>1475</v>
      </c>
      <c r="J215" s="8">
        <v>15</v>
      </c>
      <c r="K215" s="8"/>
      <c r="L215" s="8"/>
      <c r="M215" s="7" t="s">
        <v>171</v>
      </c>
      <c r="N215" s="7" t="s">
        <v>1476</v>
      </c>
      <c r="O215" s="9">
        <v>40722</v>
      </c>
      <c r="P215" s="7" t="s">
        <v>46</v>
      </c>
      <c r="Q215" s="9" t="s">
        <v>28</v>
      </c>
      <c r="R215" s="7" t="s">
        <v>1477</v>
      </c>
      <c r="S215" s="8" t="s">
        <v>1478</v>
      </c>
      <c r="T215" s="7"/>
      <c r="U215" s="13"/>
      <c r="V215" s="15"/>
    </row>
    <row r="216" spans="1:22">
      <c r="A216" s="5" t="s">
        <v>1867</v>
      </c>
      <c r="B216" s="5" t="str">
        <f>GetAddress(A216)</f>
        <v>\\chno0276\Aseguranza de Calidad\Control de Documentos\Doc. controlados PDF\Instructivos\CNWI-PRCS\CNWI-PRCS-0002 Fabricacion de orden del cliente.pdf</v>
      </c>
      <c r="C216" s="5" t="str">
        <f>MID(B216,LEN(B216) - FIND(".",REVERSETEXT(B216))+2,1000)</f>
        <v>pdf</v>
      </c>
      <c r="D216" s="6">
        <v>4</v>
      </c>
      <c r="E216" s="7" t="s">
        <v>33</v>
      </c>
      <c r="F216" s="7" t="s">
        <v>171</v>
      </c>
      <c r="G216" s="8" t="s">
        <v>528</v>
      </c>
      <c r="H216" s="8">
        <v>6</v>
      </c>
      <c r="I216" s="8" t="s">
        <v>1475</v>
      </c>
      <c r="J216" s="8">
        <v>15</v>
      </c>
      <c r="K216" s="8"/>
      <c r="L216" s="8"/>
      <c r="M216" s="7" t="s">
        <v>171</v>
      </c>
      <c r="N216" s="7" t="s">
        <v>1868</v>
      </c>
      <c r="O216" s="9">
        <v>40640</v>
      </c>
      <c r="P216" s="7" t="s">
        <v>27</v>
      </c>
      <c r="Q216" s="9" t="s">
        <v>28</v>
      </c>
      <c r="R216" s="7" t="s">
        <v>1869</v>
      </c>
      <c r="S216" s="8" t="s">
        <v>1870</v>
      </c>
      <c r="T216" s="7"/>
      <c r="U216" s="13"/>
      <c r="V216" s="15"/>
    </row>
    <row r="217" spans="1:22">
      <c r="A217" s="5" t="s">
        <v>1871</v>
      </c>
      <c r="B217" s="5" t="str">
        <f>GetAddress(A217)</f>
        <v>\\chno0276\Aseguranza de Calidad\Control de Documentos\Doc. controlados PDF\Instructivos\CNWI-PRCS\CNWI-PRCS-0003 Instructivo de compras.pdf</v>
      </c>
      <c r="C217" s="5" t="str">
        <f>MID(B217,LEN(B217) - FIND(".",REVERSETEXT(B217))+2,1000)</f>
        <v>pdf</v>
      </c>
      <c r="D217" s="6">
        <v>4</v>
      </c>
      <c r="E217" s="7" t="s">
        <v>33</v>
      </c>
      <c r="F217" s="7" t="s">
        <v>171</v>
      </c>
      <c r="G217" s="8" t="s">
        <v>528</v>
      </c>
      <c r="H217" s="8">
        <v>6</v>
      </c>
      <c r="I217" s="8" t="s">
        <v>1475</v>
      </c>
      <c r="J217" s="8">
        <v>15</v>
      </c>
      <c r="K217" s="8"/>
      <c r="L217" s="8"/>
      <c r="M217" s="7" t="s">
        <v>171</v>
      </c>
      <c r="N217" s="7" t="s">
        <v>1872</v>
      </c>
      <c r="O217" s="9">
        <v>40697</v>
      </c>
      <c r="P217" s="7" t="s">
        <v>27</v>
      </c>
      <c r="Q217" s="9" t="s">
        <v>28</v>
      </c>
      <c r="R217" s="7" t="s">
        <v>1869</v>
      </c>
      <c r="S217" s="8" t="s">
        <v>1870</v>
      </c>
      <c r="T217" s="7"/>
      <c r="U217" s="13"/>
      <c r="V217" s="15"/>
    </row>
    <row r="218" spans="1:22">
      <c r="A218" s="5" t="s">
        <v>1873</v>
      </c>
      <c r="B218" s="5" t="str">
        <f>GetAddress(A218)</f>
        <v>\\chno0276\Aseguranza de Calidad\Control de Documentos\Doc. controlados PDF\Instructivos\CNWI-PRCS\CNWI-PRCS-0003 Instructivo de compras.pdf</v>
      </c>
      <c r="C218" s="5" t="str">
        <f>MID(B218,LEN(B218) - FIND(".",REVERSETEXT(B218))+2,1000)</f>
        <v>pdf</v>
      </c>
      <c r="D218" s="6">
        <v>4</v>
      </c>
      <c r="E218" s="7" t="s">
        <v>33</v>
      </c>
      <c r="F218" s="7" t="s">
        <v>171</v>
      </c>
      <c r="G218" s="8" t="s">
        <v>528</v>
      </c>
      <c r="H218" s="8">
        <v>6</v>
      </c>
      <c r="I218" s="8" t="s">
        <v>1475</v>
      </c>
      <c r="J218" s="8">
        <v>15</v>
      </c>
      <c r="K218" s="8"/>
      <c r="L218" s="8"/>
      <c r="M218" s="7" t="s">
        <v>171</v>
      </c>
      <c r="N218" s="7" t="s">
        <v>1874</v>
      </c>
      <c r="O218" s="9">
        <v>41162</v>
      </c>
      <c r="P218" s="7" t="s">
        <v>27</v>
      </c>
      <c r="Q218" s="9" t="s">
        <v>28</v>
      </c>
      <c r="R218" s="7" t="s">
        <v>1869</v>
      </c>
      <c r="S218" s="8" t="s">
        <v>1870</v>
      </c>
      <c r="T218" s="7"/>
      <c r="U218" s="13"/>
      <c r="V218" s="15"/>
    </row>
    <row r="219" spans="1:22">
      <c r="A219" s="5" t="s">
        <v>1875</v>
      </c>
      <c r="B219" s="5" t="str">
        <f>GetAddress(A219)</f>
        <v>\\chno0276\Aseguranza de Calidad\Control de Documentos\Doc. controlados PDF\Instructivos\CNWI-PRCS\CNWI-PRCS-0005  Extender numeros de parte a 1016.pdf</v>
      </c>
      <c r="C219" s="5" t="str">
        <f>MID(B219,LEN(B219) - FIND(".",REVERSETEXT(B219))+2,1000)</f>
        <v>pdf</v>
      </c>
      <c r="D219" s="6">
        <v>4</v>
      </c>
      <c r="E219" s="7" t="s">
        <v>33</v>
      </c>
      <c r="F219" s="7" t="s">
        <v>171</v>
      </c>
      <c r="G219" s="8" t="s">
        <v>528</v>
      </c>
      <c r="H219" s="8">
        <v>6</v>
      </c>
      <c r="I219" s="8" t="s">
        <v>1475</v>
      </c>
      <c r="J219" s="8">
        <v>15</v>
      </c>
      <c r="K219" s="8"/>
      <c r="L219" s="8"/>
      <c r="M219" s="7" t="s">
        <v>171</v>
      </c>
      <c r="N219" s="7" t="s">
        <v>1876</v>
      </c>
      <c r="O219" s="9">
        <v>41162</v>
      </c>
      <c r="P219" s="7" t="s">
        <v>27</v>
      </c>
      <c r="Q219" s="9" t="s">
        <v>28</v>
      </c>
      <c r="R219" s="7" t="s">
        <v>1869</v>
      </c>
      <c r="S219" s="8" t="s">
        <v>1870</v>
      </c>
      <c r="T219" s="7"/>
      <c r="U219" s="13"/>
      <c r="V219" s="15"/>
    </row>
    <row r="220" spans="1:22">
      <c r="A220" s="5" t="s">
        <v>1877</v>
      </c>
      <c r="B220" s="5" t="str">
        <f>GetAddress(A220)</f>
        <v>\\chno0276\Control de Documentos\Doc. controlados PDF\Instructivos\CNWI-PRCS\CNWI-PRCS-0006   Rev. A  Mantenimiento de numeros de parte.docx</v>
      </c>
      <c r="C220" s="5" t="str">
        <f>MID(B220,LEN(B220) - FIND(".",REVERSETEXT(B220))+2,1000)</f>
        <v>docx</v>
      </c>
      <c r="D220" s="6">
        <v>4</v>
      </c>
      <c r="E220" s="7" t="s">
        <v>33</v>
      </c>
      <c r="F220" s="7" t="s">
        <v>171</v>
      </c>
      <c r="G220" s="8" t="s">
        <v>528</v>
      </c>
      <c r="H220" s="8">
        <v>6</v>
      </c>
      <c r="I220" s="8" t="s">
        <v>1475</v>
      </c>
      <c r="J220" s="8">
        <v>15</v>
      </c>
      <c r="K220" s="8"/>
      <c r="L220" s="8"/>
      <c r="M220" s="7" t="s">
        <v>171</v>
      </c>
      <c r="N220" s="7" t="s">
        <v>1878</v>
      </c>
      <c r="O220" s="9">
        <v>41148</v>
      </c>
      <c r="P220" s="7" t="s">
        <v>27</v>
      </c>
      <c r="Q220" s="9" t="s">
        <v>28</v>
      </c>
      <c r="R220" s="7" t="s">
        <v>1869</v>
      </c>
      <c r="S220" s="8" t="s">
        <v>1870</v>
      </c>
      <c r="T220" s="7"/>
      <c r="U220" s="13"/>
      <c r="V220" s="15"/>
    </row>
    <row r="221" spans="1:22">
      <c r="A221" s="5" t="s">
        <v>1879</v>
      </c>
      <c r="B221" s="5" t="str">
        <f>GetAddress(A221)</f>
        <v>\\chno0276\Control de Documentos\Doc. controlados PDF\Instructivos\CNWI-PRCS\CNWI-PRCS-0007  Rev. A  Generar orden de Materia Prima.docx</v>
      </c>
      <c r="C221" s="5" t="str">
        <f>MID(B221,LEN(B221) - FIND(".",REVERSETEXT(B221))+2,1000)</f>
        <v>docx</v>
      </c>
      <c r="D221" s="6">
        <v>4</v>
      </c>
      <c r="E221" s="7" t="s">
        <v>33</v>
      </c>
      <c r="F221" s="7" t="s">
        <v>171</v>
      </c>
      <c r="G221" s="8" t="s">
        <v>528</v>
      </c>
      <c r="H221" s="8">
        <v>6</v>
      </c>
      <c r="I221" s="8" t="s">
        <v>1475</v>
      </c>
      <c r="J221" s="8">
        <v>15</v>
      </c>
      <c r="K221" s="8"/>
      <c r="L221" s="8"/>
      <c r="M221" s="7" t="s">
        <v>171</v>
      </c>
      <c r="N221" s="7" t="s">
        <v>1880</v>
      </c>
      <c r="O221" s="9">
        <v>41148</v>
      </c>
      <c r="P221" s="7" t="s">
        <v>27</v>
      </c>
      <c r="Q221" s="9" t="s">
        <v>28</v>
      </c>
      <c r="R221" s="7" t="s">
        <v>1869</v>
      </c>
      <c r="S221" s="8" t="s">
        <v>1870</v>
      </c>
      <c r="T221" s="7"/>
      <c r="U221" s="13"/>
      <c r="V221" s="15"/>
    </row>
    <row r="222" spans="1:22">
      <c r="A222" s="5" t="s">
        <v>1881</v>
      </c>
      <c r="B222" s="5" t="str">
        <f>GetAddress(A222)</f>
        <v>\\chno0276\Control de Documentos\Doc. controlados PDF\Instructivos\CNWI-PRCS\CNWI-PRCS-0008  Rev.A Nogales Inbound Routing Guide - WI.docx</v>
      </c>
      <c r="C222" s="5" t="str">
        <f>MID(B222,LEN(B222) - FIND(".",REVERSETEXT(B222))+2,1000)</f>
        <v>docx</v>
      </c>
      <c r="D222" s="6">
        <v>4</v>
      </c>
      <c r="E222" s="7" t="s">
        <v>33</v>
      </c>
      <c r="F222" s="7" t="s">
        <v>171</v>
      </c>
      <c r="G222" s="8" t="s">
        <v>528</v>
      </c>
      <c r="H222" s="8">
        <v>6</v>
      </c>
      <c r="I222" s="8" t="s">
        <v>1475</v>
      </c>
      <c r="J222" s="8">
        <v>15</v>
      </c>
      <c r="K222" s="8"/>
      <c r="L222" s="8"/>
      <c r="M222" s="7" t="s">
        <v>171</v>
      </c>
      <c r="N222" s="7" t="s">
        <v>1882</v>
      </c>
      <c r="O222" s="9">
        <v>41207</v>
      </c>
      <c r="P222" s="7" t="s">
        <v>27</v>
      </c>
      <c r="Q222" s="9" t="s">
        <v>28</v>
      </c>
      <c r="R222" s="7" t="s">
        <v>1869</v>
      </c>
      <c r="S222" s="8" t="s">
        <v>1870</v>
      </c>
      <c r="T222" s="7"/>
      <c r="U222" s="13"/>
      <c r="V222" s="15"/>
    </row>
    <row r="223" spans="1:22">
      <c r="A223" s="5" t="s">
        <v>1479</v>
      </c>
      <c r="B223" s="5" t="str">
        <f>GetAddress(A223)</f>
        <v>\\chno0276\Aseguranza de Calidad\Control de Documentos\Doc. controlados PDF\Formas\CNWI-PRCS (compras)\CNWI-PRCS-F002 Formato de orden de compra .xls</v>
      </c>
      <c r="C223" s="5" t="str">
        <f>MID(B223,LEN(B223) - FIND(".",REVERSETEXT(B223))+2,1000)</f>
        <v>xls</v>
      </c>
      <c r="D223" s="6">
        <v>5</v>
      </c>
      <c r="E223" s="7" t="s">
        <v>42</v>
      </c>
      <c r="F223" s="7" t="s">
        <v>171</v>
      </c>
      <c r="G223" s="8" t="s">
        <v>528</v>
      </c>
      <c r="H223" s="8">
        <v>6</v>
      </c>
      <c r="I223" s="8" t="s">
        <v>1475</v>
      </c>
      <c r="J223" s="8">
        <v>15</v>
      </c>
      <c r="K223" s="8"/>
      <c r="L223" s="8"/>
      <c r="M223" s="7" t="s">
        <v>171</v>
      </c>
      <c r="N223" s="7" t="s">
        <v>1480</v>
      </c>
      <c r="O223" s="9">
        <v>40563</v>
      </c>
      <c r="P223" s="7" t="s">
        <v>27</v>
      </c>
      <c r="Q223" s="9" t="s">
        <v>28</v>
      </c>
      <c r="R223" s="7" t="s">
        <v>1477</v>
      </c>
      <c r="S223" s="8" t="s">
        <v>1478</v>
      </c>
      <c r="T223" s="7"/>
      <c r="U223" s="7"/>
      <c r="V223" s="7"/>
    </row>
    <row r="224" spans="1:22">
      <c r="A224" s="5" t="s">
        <v>1481</v>
      </c>
      <c r="B224" s="5" t="str">
        <f>GetAddress(A224)</f>
        <v>\\chno0276\Aseguranza de Calidad\Control de Documentos\Doc. controlados PDF\Formas\CNWI-PRCS (compras)\CNWI-PRCS-F003 Formato de Sol  de pago.xls</v>
      </c>
      <c r="C224" s="5" t="str">
        <f>MID(B224,LEN(B224) - FIND(".",REVERSETEXT(B224))+2,1000)</f>
        <v>xls</v>
      </c>
      <c r="D224" s="6">
        <v>5</v>
      </c>
      <c r="E224" s="7" t="s">
        <v>42</v>
      </c>
      <c r="F224" s="7" t="s">
        <v>171</v>
      </c>
      <c r="G224" s="8" t="s">
        <v>528</v>
      </c>
      <c r="H224" s="8">
        <v>6</v>
      </c>
      <c r="I224" s="8" t="s">
        <v>1475</v>
      </c>
      <c r="J224" s="8">
        <v>15</v>
      </c>
      <c r="K224" s="8"/>
      <c r="L224" s="8"/>
      <c r="M224" s="7" t="s">
        <v>171</v>
      </c>
      <c r="N224" s="7" t="s">
        <v>1482</v>
      </c>
      <c r="O224" s="9">
        <v>40597</v>
      </c>
      <c r="P224" s="7" t="s">
        <v>27</v>
      </c>
      <c r="Q224" s="9" t="s">
        <v>28</v>
      </c>
      <c r="R224" s="7" t="s">
        <v>1477</v>
      </c>
      <c r="S224" s="8" t="s">
        <v>1478</v>
      </c>
      <c r="T224" s="7"/>
      <c r="U224" s="7"/>
      <c r="V224" s="7"/>
    </row>
    <row r="225" spans="1:22">
      <c r="A225" s="5" t="s">
        <v>1483</v>
      </c>
      <c r="B225" s="5" t="str">
        <f>GetAddress(A225)</f>
        <v>\\chno0276\Aseguranza de Calidad\Control de Documentos\Doc. controlados PDF\Formas\CNWI-PRCS (compras)\CNWI-PRCS-F004 Alta Proveedores .XLS</v>
      </c>
      <c r="C225" s="5" t="str">
        <f>MID(B225,LEN(B225) - FIND(".",REVERSETEXT(B225))+2,1000)</f>
        <v>XLS</v>
      </c>
      <c r="D225" s="6">
        <v>5</v>
      </c>
      <c r="E225" s="7" t="s">
        <v>42</v>
      </c>
      <c r="F225" s="7" t="s">
        <v>171</v>
      </c>
      <c r="G225" s="8" t="s">
        <v>528</v>
      </c>
      <c r="H225" s="8">
        <v>6</v>
      </c>
      <c r="I225" s="8" t="s">
        <v>1475</v>
      </c>
      <c r="J225" s="8">
        <v>15</v>
      </c>
      <c r="K225" s="8"/>
      <c r="L225" s="8"/>
      <c r="M225" s="7" t="s">
        <v>171</v>
      </c>
      <c r="N225" s="32" t="s">
        <v>1484</v>
      </c>
      <c r="O225" s="9">
        <v>40610</v>
      </c>
      <c r="P225" s="7" t="s">
        <v>27</v>
      </c>
      <c r="Q225" s="9" t="s">
        <v>28</v>
      </c>
      <c r="R225" s="7" t="s">
        <v>1477</v>
      </c>
      <c r="S225" s="8" t="s">
        <v>1478</v>
      </c>
      <c r="T225" s="7"/>
      <c r="U225" s="7"/>
      <c r="V225" s="7"/>
    </row>
    <row r="226" spans="1:22">
      <c r="A226" s="5" t="s">
        <v>1485</v>
      </c>
      <c r="B226" s="5" t="str">
        <f>GetAddress(A226)</f>
        <v>\\chno0276\Aseguranza de Calidad\Control de Documentos\Doc. controlados PDF\Formas\CNWI-PRCS (compras)\CNWI-PRCS-F005 QUALITY CLAUSES.docx</v>
      </c>
      <c r="C226" s="5" t="str">
        <f>MID(B226,LEN(B226) - FIND(".",REVERSETEXT(B226))+2,1000)</f>
        <v>docx</v>
      </c>
      <c r="D226" s="6">
        <v>5</v>
      </c>
      <c r="E226" s="7" t="s">
        <v>42</v>
      </c>
      <c r="F226" s="7" t="s">
        <v>171</v>
      </c>
      <c r="G226" s="8" t="s">
        <v>528</v>
      </c>
      <c r="H226" s="8">
        <v>6</v>
      </c>
      <c r="I226" s="8" t="s">
        <v>1475</v>
      </c>
      <c r="J226" s="8">
        <v>15</v>
      </c>
      <c r="K226" s="8"/>
      <c r="L226" s="8"/>
      <c r="M226" s="7" t="s">
        <v>171</v>
      </c>
      <c r="N226" s="32" t="s">
        <v>1486</v>
      </c>
      <c r="O226" s="9">
        <v>40631</v>
      </c>
      <c r="P226" s="7" t="s">
        <v>27</v>
      </c>
      <c r="Q226" s="9" t="s">
        <v>28</v>
      </c>
      <c r="R226" s="7" t="s">
        <v>1477</v>
      </c>
      <c r="S226" s="8" t="s">
        <v>1478</v>
      </c>
      <c r="T226" s="7"/>
      <c r="U226" s="7"/>
      <c r="V226" s="7"/>
    </row>
    <row r="227" spans="1:22">
      <c r="A227" s="5" t="s">
        <v>1487</v>
      </c>
      <c r="B227" s="5" t="str">
        <f>GetAddress(A227)</f>
        <v>\\chno0276\Aseguranza de Calidad\Control de Documentos\Doc. controlados PDF\Formas\CNWI-PRCS (compras)\CNWI-PRCS-F006 Vendors autorizados.xls</v>
      </c>
      <c r="C227" s="5" t="str">
        <f>MID(B227,LEN(B227) - FIND(".",REVERSETEXT(B227))+2,1000)</f>
        <v>xls</v>
      </c>
      <c r="D227" s="6">
        <v>5</v>
      </c>
      <c r="E227" s="7" t="s">
        <v>42</v>
      </c>
      <c r="F227" s="7" t="s">
        <v>171</v>
      </c>
      <c r="G227" s="8" t="s">
        <v>528</v>
      </c>
      <c r="H227" s="8">
        <v>6</v>
      </c>
      <c r="I227" s="8" t="s">
        <v>1475</v>
      </c>
      <c r="J227" s="8">
        <v>15</v>
      </c>
      <c r="K227" s="8"/>
      <c r="L227" s="8"/>
      <c r="M227" s="7" t="s">
        <v>171</v>
      </c>
      <c r="N227" s="32" t="s">
        <v>1488</v>
      </c>
      <c r="O227" s="9">
        <v>40658</v>
      </c>
      <c r="P227" s="7" t="s">
        <v>27</v>
      </c>
      <c r="Q227" s="9" t="s">
        <v>28</v>
      </c>
      <c r="R227" s="7" t="s">
        <v>1477</v>
      </c>
      <c r="S227" s="8" t="s">
        <v>1478</v>
      </c>
      <c r="T227" s="7"/>
      <c r="U227" s="7"/>
      <c r="V227" s="7"/>
    </row>
    <row r="228" spans="1:22">
      <c r="A228" s="5" t="s">
        <v>1489</v>
      </c>
      <c r="B228" s="5" t="str">
        <f>GetAddress(A228)</f>
        <v>\\chno0276\Aseguranza de Calidad\Control de Documentos\Doc. controlados PDF\Formas\CNWI-PRCS (compras)\CNWI-PRCS-F007 Proveedores Aprovados MRO.pdf</v>
      </c>
      <c r="C228" s="5" t="str">
        <f>MID(B228,LEN(B228) - FIND(".",REVERSETEXT(B228))+2,1000)</f>
        <v>pdf</v>
      </c>
      <c r="D228" s="6">
        <v>5</v>
      </c>
      <c r="E228" s="7" t="s">
        <v>42</v>
      </c>
      <c r="F228" s="7" t="s">
        <v>171</v>
      </c>
      <c r="G228" s="8" t="s">
        <v>528</v>
      </c>
      <c r="H228" s="8">
        <v>6</v>
      </c>
      <c r="I228" s="8" t="s">
        <v>1475</v>
      </c>
      <c r="J228" s="8">
        <v>15</v>
      </c>
      <c r="K228" s="8"/>
      <c r="L228" s="8"/>
      <c r="M228" s="7" t="s">
        <v>171</v>
      </c>
      <c r="N228" s="32" t="s">
        <v>1490</v>
      </c>
      <c r="O228" s="9">
        <v>40631</v>
      </c>
      <c r="P228" s="7" t="s">
        <v>27</v>
      </c>
      <c r="Q228" s="9" t="s">
        <v>28</v>
      </c>
      <c r="R228" s="7" t="s">
        <v>1477</v>
      </c>
      <c r="S228" s="8" t="s">
        <v>1478</v>
      </c>
      <c r="T228" s="7"/>
      <c r="U228" s="7"/>
      <c r="V228" s="7"/>
    </row>
    <row r="229" spans="1:22">
      <c r="A229" s="5" t="s">
        <v>1491</v>
      </c>
      <c r="B229" s="5" t="str">
        <f>GetAddress(A229)</f>
        <v>\\chno0276\Aseguranza de Calidad\Control de Documentos\Doc. controlados PDF\Formas\CNWI-PRCS (compras)\CNWI-PRCS-F008 Evaluacion de Proveedores MRO.xls</v>
      </c>
      <c r="C229" s="5" t="str">
        <f>MID(B229,LEN(B229) - FIND(".",REVERSETEXT(B229))+2,1000)</f>
        <v>xls</v>
      </c>
      <c r="D229" s="6">
        <v>5</v>
      </c>
      <c r="E229" s="7" t="s">
        <v>42</v>
      </c>
      <c r="F229" s="7" t="s">
        <v>171</v>
      </c>
      <c r="G229" s="8" t="s">
        <v>528</v>
      </c>
      <c r="H229" s="8">
        <v>6</v>
      </c>
      <c r="I229" s="8" t="s">
        <v>1475</v>
      </c>
      <c r="J229" s="8">
        <v>15</v>
      </c>
      <c r="K229" s="8"/>
      <c r="L229" s="8"/>
      <c r="M229" s="7" t="s">
        <v>171</v>
      </c>
      <c r="N229" s="32" t="s">
        <v>1492</v>
      </c>
      <c r="O229" s="9">
        <v>40940</v>
      </c>
      <c r="P229" s="7" t="s">
        <v>27</v>
      </c>
      <c r="Q229" s="9" t="s">
        <v>28</v>
      </c>
      <c r="R229" s="7" t="s">
        <v>1477</v>
      </c>
      <c r="S229" s="8" t="s">
        <v>1478</v>
      </c>
      <c r="T229" s="7"/>
      <c r="U229" s="7"/>
      <c r="V229" s="7"/>
    </row>
    <row r="230" spans="1:22">
      <c r="A230" s="5" t="s">
        <v>1493</v>
      </c>
      <c r="B230" s="5" t="str">
        <f>GetAddress(A230)</f>
        <v>\\chno0276\Aseguranza de Calidad\Control de Documentos\Doc. controlados PDF\Formas\CNWI-PRCS (compras)\CNWI-PRCS-F009 Listado de evaluacion de proveedores MRO.xls</v>
      </c>
      <c r="C230" s="5" t="str">
        <f>MID(B230,LEN(B230) - FIND(".",REVERSETEXT(B230))+2,1000)</f>
        <v>xls</v>
      </c>
      <c r="D230" s="6">
        <v>5</v>
      </c>
      <c r="E230" s="7" t="s">
        <v>42</v>
      </c>
      <c r="F230" s="7" t="s">
        <v>171</v>
      </c>
      <c r="G230" s="8" t="s">
        <v>528</v>
      </c>
      <c r="H230" s="8">
        <v>6</v>
      </c>
      <c r="I230" s="8" t="s">
        <v>1475</v>
      </c>
      <c r="J230" s="8">
        <v>15</v>
      </c>
      <c r="K230" s="8"/>
      <c r="L230" s="8"/>
      <c r="M230" s="7" t="s">
        <v>171</v>
      </c>
      <c r="N230" s="32" t="s">
        <v>1494</v>
      </c>
      <c r="O230" s="9">
        <v>40940</v>
      </c>
      <c r="P230" s="7" t="s">
        <v>27</v>
      </c>
      <c r="Q230" s="9" t="s">
        <v>28</v>
      </c>
      <c r="R230" s="7" t="s">
        <v>1477</v>
      </c>
      <c r="S230" s="8" t="s">
        <v>1478</v>
      </c>
      <c r="T230" s="7"/>
      <c r="U230" s="7"/>
      <c r="V230" s="7"/>
    </row>
    <row r="231" spans="1:22">
      <c r="A231" s="5" t="s">
        <v>1495</v>
      </c>
      <c r="B231" s="5" t="str">
        <f>GetAddress(A231)</f>
        <v>\\chno0276\Aseguranza de Calidad\Control de Documentos\Doc. controlados PDF\Formas\CNWI-PRCS (compras)\CNWI-PRCS-F010  Inventory Approval Process.xls</v>
      </c>
      <c r="C231" s="5" t="str">
        <f>MID(B231,LEN(B231) - FIND(".",REVERSETEXT(B231))+2,1000)</f>
        <v>xls</v>
      </c>
      <c r="D231" s="6">
        <v>5</v>
      </c>
      <c r="E231" s="7" t="s">
        <v>42</v>
      </c>
      <c r="F231" s="7" t="s">
        <v>171</v>
      </c>
      <c r="G231" s="8" t="s">
        <v>528</v>
      </c>
      <c r="H231" s="8">
        <v>6</v>
      </c>
      <c r="I231" s="8" t="s">
        <v>1475</v>
      </c>
      <c r="J231" s="8">
        <v>15</v>
      </c>
      <c r="K231" s="8"/>
      <c r="L231" s="8"/>
      <c r="M231" s="7" t="s">
        <v>171</v>
      </c>
      <c r="N231" s="7" t="s">
        <v>1496</v>
      </c>
      <c r="O231" s="9">
        <v>40813</v>
      </c>
      <c r="P231" s="7" t="s">
        <v>27</v>
      </c>
      <c r="Q231" s="9" t="s">
        <v>28</v>
      </c>
      <c r="R231" s="7" t="s">
        <v>1477</v>
      </c>
      <c r="S231" s="8" t="s">
        <v>1478</v>
      </c>
      <c r="T231" s="7"/>
      <c r="U231" s="7"/>
      <c r="V231" s="7"/>
    </row>
    <row r="232" spans="1:22">
      <c r="A232" s="5" t="s">
        <v>2324</v>
      </c>
      <c r="B232" s="5" t="str">
        <f>GetAddress(A232)</f>
        <v>\\chno0276\Aseguranza de Calidad\Control de Documentos\Doc. controlados PDF\Formas\CNWI-PROD ( Produccion )\CNWI-PROD-F001 Curado de partes de Horneado.xls</v>
      </c>
      <c r="C232" s="5" t="str">
        <f>MID(B232,LEN(B232) - FIND(".",REVERSETEXT(B232))+2,1000)</f>
        <v>xls</v>
      </c>
      <c r="D232" s="6">
        <v>5</v>
      </c>
      <c r="E232" s="7" t="s">
        <v>42</v>
      </c>
      <c r="F232" s="7" t="s">
        <v>2325</v>
      </c>
      <c r="G232" s="8" t="s">
        <v>23</v>
      </c>
      <c r="H232" s="8">
        <v>5</v>
      </c>
      <c r="I232" s="8"/>
      <c r="J232" s="8"/>
      <c r="K232" s="8"/>
      <c r="L232" s="8"/>
      <c r="M232" s="7" t="s">
        <v>2325</v>
      </c>
      <c r="N232" s="7" t="s">
        <v>2326</v>
      </c>
      <c r="O232" s="9">
        <v>41053</v>
      </c>
      <c r="P232" s="7" t="s">
        <v>38</v>
      </c>
      <c r="Q232" s="9" t="s">
        <v>28</v>
      </c>
      <c r="R232" s="7" t="s">
        <v>2283</v>
      </c>
      <c r="S232" s="8" t="s">
        <v>2284</v>
      </c>
      <c r="T232" s="9"/>
      <c r="U232" s="7"/>
      <c r="V232" s="7"/>
    </row>
    <row r="233" spans="1:22" ht="15" customHeight="1">
      <c r="A233" s="5" t="s">
        <v>2327</v>
      </c>
      <c r="B233" s="5" t="str">
        <f>GetAddress(A233)</f>
        <v>\\CHNO0276\Aseguranza de Calidad\Control de Documentos\Doc. controlados PDF\Formas\CNWI-PROD ( Produccion )\CNWI-PROD-F002 ETIQUETA ITRON .xls</v>
      </c>
      <c r="C233" s="5" t="str">
        <f>MID(B233,LEN(B233) - FIND(".",REVERSETEXT(B233))+2,1000)</f>
        <v>xls</v>
      </c>
      <c r="D233" s="6">
        <v>5</v>
      </c>
      <c r="E233" s="7" t="s">
        <v>42</v>
      </c>
      <c r="F233" s="7" t="s">
        <v>2325</v>
      </c>
      <c r="G233" s="8" t="s">
        <v>23</v>
      </c>
      <c r="H233" s="8">
        <v>5</v>
      </c>
      <c r="I233" s="8"/>
      <c r="J233" s="8"/>
      <c r="K233" s="8"/>
      <c r="L233" s="8"/>
      <c r="M233" s="7" t="s">
        <v>2325</v>
      </c>
      <c r="N233" s="7" t="s">
        <v>2328</v>
      </c>
      <c r="O233" s="9">
        <v>40645</v>
      </c>
      <c r="P233" s="7" t="s">
        <v>27</v>
      </c>
      <c r="Q233" s="9" t="s">
        <v>28</v>
      </c>
      <c r="R233" s="7" t="s">
        <v>2283</v>
      </c>
      <c r="S233" s="8" t="s">
        <v>2284</v>
      </c>
      <c r="T233" s="7"/>
      <c r="U233" s="7"/>
      <c r="V233" s="7"/>
    </row>
    <row r="234" spans="1:22">
      <c r="A234" s="5" t="s">
        <v>2329</v>
      </c>
      <c r="B234" s="5" t="str">
        <f>GetAddress(A234)</f>
        <v>\\CHNO0276\Aseguranza de Calidad\Control de Documentos\Doc. controlados PDF\Formas\CNWI-PROD ( Produccion )\CNWI-PROD-F003 ETIQUETAS AMSAFE.xls</v>
      </c>
      <c r="C234" s="5" t="str">
        <f>MID(B234,LEN(B234) - FIND(".",REVERSETEXT(B234))+2,1000)</f>
        <v>xls</v>
      </c>
      <c r="D234" s="6">
        <v>5</v>
      </c>
      <c r="E234" s="7" t="s">
        <v>42</v>
      </c>
      <c r="F234" s="7" t="s">
        <v>2325</v>
      </c>
      <c r="G234" s="8" t="s">
        <v>23</v>
      </c>
      <c r="H234" s="8">
        <v>5</v>
      </c>
      <c r="I234" s="8"/>
      <c r="J234" s="8"/>
      <c r="K234" s="8"/>
      <c r="L234" s="8"/>
      <c r="M234" s="7" t="s">
        <v>2325</v>
      </c>
      <c r="N234" s="7" t="s">
        <v>2330</v>
      </c>
      <c r="O234" s="9">
        <v>40645</v>
      </c>
      <c r="P234" s="7" t="s">
        <v>27</v>
      </c>
      <c r="Q234" s="9" t="s">
        <v>28</v>
      </c>
      <c r="R234" s="7" t="s">
        <v>2283</v>
      </c>
      <c r="S234" s="8" t="s">
        <v>2284</v>
      </c>
      <c r="T234" s="7"/>
      <c r="U234" s="7"/>
      <c r="V234" s="7"/>
    </row>
    <row r="235" spans="1:22">
      <c r="A235" s="5" t="s">
        <v>2331</v>
      </c>
      <c r="B235" s="5" t="str">
        <f>GetAddress(A235)</f>
        <v>\\CHNO0276\Aseguranza de Calidad\Control de Documentos\Doc. controlados PDF\Formas\CNWI-PROD ( Produccion )\CNWI-PROD-F004 lot control traveler.doc</v>
      </c>
      <c r="C235" s="5" t="str">
        <f>MID(B235,LEN(B235) - FIND(".",REVERSETEXT(B235))+2,1000)</f>
        <v>doc</v>
      </c>
      <c r="D235" s="6">
        <v>5</v>
      </c>
      <c r="E235" s="7" t="s">
        <v>42</v>
      </c>
      <c r="F235" s="7" t="s">
        <v>2325</v>
      </c>
      <c r="G235" s="8" t="s">
        <v>23</v>
      </c>
      <c r="H235" s="8">
        <v>5</v>
      </c>
      <c r="I235" s="8"/>
      <c r="J235" s="8"/>
      <c r="K235" s="8"/>
      <c r="L235" s="8"/>
      <c r="M235" s="7" t="s">
        <v>2325</v>
      </c>
      <c r="N235" s="7" t="s">
        <v>2332</v>
      </c>
      <c r="O235" s="9">
        <v>40651</v>
      </c>
      <c r="P235" s="7" t="s">
        <v>27</v>
      </c>
      <c r="Q235" s="9" t="s">
        <v>28</v>
      </c>
      <c r="R235" s="7" t="s">
        <v>2283</v>
      </c>
      <c r="S235" s="8" t="s">
        <v>2284</v>
      </c>
      <c r="T235" s="7"/>
      <c r="U235" s="7"/>
      <c r="V235" s="7"/>
    </row>
    <row r="236" spans="1:22">
      <c r="A236" s="5" t="s">
        <v>2333</v>
      </c>
      <c r="B236" s="5" t="str">
        <f>GetAddress(A236)</f>
        <v>\\CHNO0276\Aseguranza de Calidad\Control de Documentos\Doc. controlados PDF\Formas\CNWI-PROD ( Produccion )\CNWI-PROD-F005 Wire pro viking division.xls</v>
      </c>
      <c r="C236" s="5" t="str">
        <f>MID(B236,LEN(B236) - FIND(".",REVERSETEXT(B236))+2,1000)</f>
        <v>xls</v>
      </c>
      <c r="D236" s="6">
        <v>5</v>
      </c>
      <c r="E236" s="7" t="s">
        <v>42</v>
      </c>
      <c r="F236" s="7" t="s">
        <v>2325</v>
      </c>
      <c r="G236" s="8" t="s">
        <v>23</v>
      </c>
      <c r="H236" s="8">
        <v>5</v>
      </c>
      <c r="I236" s="8"/>
      <c r="J236" s="8"/>
      <c r="K236" s="8"/>
      <c r="L236" s="8"/>
      <c r="M236" s="7" t="s">
        <v>2325</v>
      </c>
      <c r="N236" s="7" t="s">
        <v>2334</v>
      </c>
      <c r="O236" s="9" t="s">
        <v>503</v>
      </c>
      <c r="P236" s="7" t="s">
        <v>46</v>
      </c>
      <c r="Q236" s="9" t="s">
        <v>28</v>
      </c>
      <c r="R236" s="7" t="s">
        <v>2283</v>
      </c>
      <c r="S236" s="8" t="s">
        <v>2284</v>
      </c>
      <c r="T236" s="7"/>
      <c r="U236" s="7"/>
      <c r="V236" s="7"/>
    </row>
    <row r="237" spans="1:22">
      <c r="A237" s="5" t="s">
        <v>2335</v>
      </c>
      <c r="B237" s="5" t="str">
        <f>GetAddress(A237)</f>
        <v>\\CHNO0276\Aseguranza de Calidad\Control de Documentos\Doc. controlados PDF\Formas\CNWI-PROD ( Produccion )\CNWI-PROD-F006 Temperatura y tiempos de curado.xls</v>
      </c>
      <c r="C237" s="5" t="str">
        <f>MID(B237,LEN(B237) - FIND(".",REVERSETEXT(B237))+2,1000)</f>
        <v>xls</v>
      </c>
      <c r="D237" s="6">
        <v>5</v>
      </c>
      <c r="E237" s="7" t="s">
        <v>42</v>
      </c>
      <c r="F237" s="7" t="s">
        <v>2325</v>
      </c>
      <c r="G237" s="8" t="s">
        <v>23</v>
      </c>
      <c r="H237" s="8">
        <v>5</v>
      </c>
      <c r="I237" s="8"/>
      <c r="J237" s="8"/>
      <c r="K237" s="8"/>
      <c r="L237" s="8"/>
      <c r="M237" s="7" t="s">
        <v>2325</v>
      </c>
      <c r="N237" s="7" t="s">
        <v>2336</v>
      </c>
      <c r="O237" s="9">
        <v>41057</v>
      </c>
      <c r="P237" s="7" t="s">
        <v>159</v>
      </c>
      <c r="Q237" s="9" t="s">
        <v>28</v>
      </c>
      <c r="R237" s="7" t="s">
        <v>2283</v>
      </c>
      <c r="S237" s="8" t="s">
        <v>2284</v>
      </c>
      <c r="T237" s="9"/>
      <c r="U237" s="7"/>
      <c r="V237" s="7"/>
    </row>
    <row r="238" spans="1:22">
      <c r="A238" s="5" t="s">
        <v>2337</v>
      </c>
      <c r="B238" s="5" t="str">
        <f>GetAddress(A238)</f>
        <v>\\CHNO0276\Aseguranza de Calidad\Control de Documentos\Doc. controlados PDF\Formas\CNWI-PROD ( Produccion )\CNWI-PROD-F007 Temperaturas de moldeado.xls</v>
      </c>
      <c r="C238" s="5" t="str">
        <f>MID(B238,LEN(B238) - FIND(".",REVERSETEXT(B238))+2,1000)</f>
        <v>xls</v>
      </c>
      <c r="D238" s="6">
        <v>5</v>
      </c>
      <c r="E238" s="7" t="s">
        <v>42</v>
      </c>
      <c r="F238" s="7" t="s">
        <v>2325</v>
      </c>
      <c r="G238" s="8" t="s">
        <v>23</v>
      </c>
      <c r="H238" s="8">
        <v>5</v>
      </c>
      <c r="I238" s="8"/>
      <c r="J238" s="8"/>
      <c r="K238" s="8"/>
      <c r="L238" s="8"/>
      <c r="M238" s="7" t="s">
        <v>2325</v>
      </c>
      <c r="N238" s="7" t="s">
        <v>2338</v>
      </c>
      <c r="O238" s="9" t="s">
        <v>573</v>
      </c>
      <c r="P238" s="7" t="s">
        <v>27</v>
      </c>
      <c r="Q238" s="9" t="s">
        <v>28</v>
      </c>
      <c r="R238" s="7" t="s">
        <v>2283</v>
      </c>
      <c r="S238" s="8" t="s">
        <v>2284</v>
      </c>
      <c r="T238" s="7"/>
      <c r="U238" s="7"/>
      <c r="V238" s="7"/>
    </row>
    <row r="239" spans="1:22">
      <c r="A239" s="5" t="s">
        <v>2339</v>
      </c>
      <c r="B239" s="5" t="str">
        <f>GetAddress(A239)</f>
        <v>\\CHNO0276\Aseguranza de Calidad\Control de Documentos\Doc. controlados PDF\Formas\CNWI-PROD ( Produccion )\CNWI-PROD-F008 ETIQUETA bacc`s.xls</v>
      </c>
      <c r="C239" s="5" t="str">
        <f>MID(B239,LEN(B239) - FIND(".",REVERSETEXT(B239))+2,1000)</f>
        <v>xls</v>
      </c>
      <c r="D239" s="6">
        <v>5</v>
      </c>
      <c r="E239" s="7" t="s">
        <v>42</v>
      </c>
      <c r="F239" s="7" t="s">
        <v>2325</v>
      </c>
      <c r="G239" s="8" t="s">
        <v>23</v>
      </c>
      <c r="H239" s="8">
        <v>5</v>
      </c>
      <c r="I239" s="8"/>
      <c r="J239" s="8"/>
      <c r="K239" s="8"/>
      <c r="L239" s="8"/>
      <c r="M239" s="7" t="s">
        <v>2325</v>
      </c>
      <c r="N239" s="7" t="s">
        <v>2340</v>
      </c>
      <c r="O239" s="9">
        <v>40668</v>
      </c>
      <c r="P239" s="7" t="s">
        <v>27</v>
      </c>
      <c r="Q239" s="9" t="s">
        <v>28</v>
      </c>
      <c r="R239" s="7" t="s">
        <v>2283</v>
      </c>
      <c r="S239" s="8" t="s">
        <v>2284</v>
      </c>
      <c r="T239" s="7"/>
      <c r="U239" s="7"/>
      <c r="V239" s="7"/>
    </row>
    <row r="240" spans="1:22">
      <c r="A240" s="5" t="s">
        <v>2341</v>
      </c>
      <c r="B240" s="5" t="str">
        <f>GetAddress(A240)</f>
        <v>\\CHNO0276\Aseguranza de Calidad\Control de Documentos\Doc. controlados PDF\Formas\CNWI-PROD ( Produccion )\CNWI-PROD-F009 Etiqueta bacc´s 1.xls</v>
      </c>
      <c r="C240" s="5" t="str">
        <f>MID(B240,LEN(B240) - FIND(".",REVERSETEXT(B240))+2,1000)</f>
        <v>xls</v>
      </c>
      <c r="D240" s="6">
        <v>5</v>
      </c>
      <c r="E240" s="7" t="s">
        <v>42</v>
      </c>
      <c r="F240" s="7" t="s">
        <v>2325</v>
      </c>
      <c r="G240" s="8" t="s">
        <v>23</v>
      </c>
      <c r="H240" s="8">
        <v>5</v>
      </c>
      <c r="I240" s="8"/>
      <c r="J240" s="8"/>
      <c r="K240" s="8"/>
      <c r="L240" s="8"/>
      <c r="M240" s="7" t="s">
        <v>2325</v>
      </c>
      <c r="N240" s="7" t="s">
        <v>2342</v>
      </c>
      <c r="O240" s="9">
        <v>40668</v>
      </c>
      <c r="P240" s="7" t="s">
        <v>27</v>
      </c>
      <c r="Q240" s="9" t="s">
        <v>28</v>
      </c>
      <c r="R240" s="7" t="s">
        <v>2283</v>
      </c>
      <c r="S240" s="8" t="s">
        <v>2284</v>
      </c>
      <c r="T240" s="7"/>
      <c r="U240" s="7"/>
      <c r="V240" s="7"/>
    </row>
    <row r="241" spans="1:22">
      <c r="A241" s="5" t="s">
        <v>2343</v>
      </c>
      <c r="B241" s="5" t="str">
        <f>GetAddress(A241)</f>
        <v>\\CHNO0276\Aseguranza de Calidad\Control de Documentos\Doc. controlados PDF\Formas\CNWI-PROD ( Produccion )\CNWI-PROD-F010 ETIQUETA CONTACTO.xls</v>
      </c>
      <c r="C241" s="5" t="str">
        <f>MID(B241,LEN(B241) - FIND(".",REVERSETEXT(B241))+2,1000)</f>
        <v>xls</v>
      </c>
      <c r="D241" s="6">
        <v>5</v>
      </c>
      <c r="E241" s="7" t="s">
        <v>42</v>
      </c>
      <c r="F241" s="7" t="s">
        <v>2325</v>
      </c>
      <c r="G241" s="8" t="s">
        <v>23</v>
      </c>
      <c r="H241" s="8">
        <v>5</v>
      </c>
      <c r="I241" s="8"/>
      <c r="J241" s="8"/>
      <c r="K241" s="8"/>
      <c r="L241" s="8"/>
      <c r="M241" s="7" t="s">
        <v>2325</v>
      </c>
      <c r="N241" s="7" t="s">
        <v>2344</v>
      </c>
      <c r="O241" s="9">
        <v>40668</v>
      </c>
      <c r="P241" s="7" t="s">
        <v>27</v>
      </c>
      <c r="Q241" s="9" t="s">
        <v>28</v>
      </c>
      <c r="R241" s="7" t="s">
        <v>2283</v>
      </c>
      <c r="S241" s="8" t="s">
        <v>2284</v>
      </c>
      <c r="T241" s="7"/>
      <c r="U241" s="7"/>
      <c r="V241" s="7"/>
    </row>
    <row r="242" spans="1:22">
      <c r="A242" s="5" t="s">
        <v>2345</v>
      </c>
      <c r="B242" s="5" t="str">
        <f>GetAddress(A242)</f>
        <v>\\CHNO0276\Aseguranza de Calidad\Control de Documentos\Doc. controlados PDF\Formas\CNWI-PROD ( Produccion )\CNWI-PROD-F011 Etiqueta lighting 2370.xls</v>
      </c>
      <c r="C242" s="5" t="str">
        <f>MID(B242,LEN(B242) - FIND(".",REVERSETEXT(B242))+2,1000)</f>
        <v>xls</v>
      </c>
      <c r="D242" s="6">
        <v>5</v>
      </c>
      <c r="E242" s="7" t="s">
        <v>42</v>
      </c>
      <c r="F242" s="7" t="s">
        <v>2325</v>
      </c>
      <c r="G242" s="8" t="s">
        <v>23</v>
      </c>
      <c r="H242" s="8">
        <v>5</v>
      </c>
      <c r="I242" s="8"/>
      <c r="J242" s="8"/>
      <c r="K242" s="8"/>
      <c r="L242" s="8"/>
      <c r="M242" s="7" t="s">
        <v>2325</v>
      </c>
      <c r="N242" s="7" t="s">
        <v>2346</v>
      </c>
      <c r="O242" s="9">
        <v>40668</v>
      </c>
      <c r="P242" s="7" t="s">
        <v>27</v>
      </c>
      <c r="Q242" s="9" t="s">
        <v>28</v>
      </c>
      <c r="R242" s="7" t="s">
        <v>2283</v>
      </c>
      <c r="S242" s="8" t="s">
        <v>2284</v>
      </c>
      <c r="T242" s="7"/>
      <c r="U242" s="7"/>
      <c r="V242" s="7"/>
    </row>
    <row r="243" spans="1:22">
      <c r="A243" s="5" t="s">
        <v>2347</v>
      </c>
      <c r="B243" s="5" t="str">
        <f>GetAddress(A243)</f>
        <v>\\CHNO0276\Aseguranza de Calidad\Control de Documentos\Doc. controlados PDF\Formas\CNWI-PROD ( Produccion )\CNWI-PROD-F012 Etiqueta lighting 3004.xlsx</v>
      </c>
      <c r="C243" s="5" t="str">
        <f>MID(B243,LEN(B243) - FIND(".",REVERSETEXT(B243))+2,1000)</f>
        <v>xlsx</v>
      </c>
      <c r="D243" s="6">
        <v>5</v>
      </c>
      <c r="E243" s="7" t="s">
        <v>42</v>
      </c>
      <c r="F243" s="7" t="s">
        <v>2325</v>
      </c>
      <c r="G243" s="8" t="s">
        <v>23</v>
      </c>
      <c r="H243" s="8">
        <v>5</v>
      </c>
      <c r="I243" s="8"/>
      <c r="J243" s="8"/>
      <c r="K243" s="8"/>
      <c r="L243" s="8"/>
      <c r="M243" s="7" t="s">
        <v>2325</v>
      </c>
      <c r="N243" s="7" t="s">
        <v>2348</v>
      </c>
      <c r="O243" s="9">
        <v>40668</v>
      </c>
      <c r="P243" s="7" t="s">
        <v>46</v>
      </c>
      <c r="Q243" s="9" t="s">
        <v>28</v>
      </c>
      <c r="R243" s="7" t="s">
        <v>2283</v>
      </c>
      <c r="S243" s="8" t="s">
        <v>2284</v>
      </c>
      <c r="T243" s="7"/>
      <c r="U243" s="7"/>
      <c r="V243" s="7"/>
    </row>
    <row r="244" spans="1:22">
      <c r="A244" s="5" t="s">
        <v>2349</v>
      </c>
      <c r="B244" s="5" t="str">
        <f>GetAddress(A244)</f>
        <v>\\CHNO0276\Aseguranza de Calidad\Control de Documentos\Doc. controlados PDF\Formas\CNWI-PROD ( Produccion )\CNWI-PROD-F013 Etiqueta macdonalds.xls</v>
      </c>
      <c r="C244" s="5" t="str">
        <f>MID(B244,LEN(B244) - FIND(".",REVERSETEXT(B244))+2,1000)</f>
        <v>xls</v>
      </c>
      <c r="D244" s="6">
        <v>5</v>
      </c>
      <c r="E244" s="7" t="s">
        <v>42</v>
      </c>
      <c r="F244" s="7" t="s">
        <v>2325</v>
      </c>
      <c r="G244" s="8" t="s">
        <v>23</v>
      </c>
      <c r="H244" s="8">
        <v>5</v>
      </c>
      <c r="I244" s="8"/>
      <c r="J244" s="8"/>
      <c r="K244" s="8"/>
      <c r="L244" s="8"/>
      <c r="M244" s="7" t="s">
        <v>2325</v>
      </c>
      <c r="N244" s="7" t="s">
        <v>2350</v>
      </c>
      <c r="O244" s="9">
        <v>40668</v>
      </c>
      <c r="P244" s="7" t="s">
        <v>46</v>
      </c>
      <c r="Q244" s="9" t="s">
        <v>28</v>
      </c>
      <c r="R244" s="7" t="s">
        <v>2283</v>
      </c>
      <c r="S244" s="8" t="s">
        <v>2284</v>
      </c>
      <c r="T244" s="7"/>
      <c r="U244" s="7"/>
      <c r="V244" s="7"/>
    </row>
    <row r="245" spans="1:22">
      <c r="A245" s="5" t="s">
        <v>2351</v>
      </c>
      <c r="B245" s="5" t="str">
        <f>GetAddress(A245)</f>
        <v>\\CHNO0276\Aseguranza de Calidad\Control de Documentos\Doc. controlados PDF\Formas\CNWI-PROD ( Produccion )\CNWI-PROD-F014 Etiqueta relays.xls</v>
      </c>
      <c r="C245" s="5" t="str">
        <f>MID(B245,LEN(B245) - FIND(".",REVERSETEXT(B245))+2,1000)</f>
        <v>xls</v>
      </c>
      <c r="D245" s="6">
        <v>5</v>
      </c>
      <c r="E245" s="7" t="s">
        <v>42</v>
      </c>
      <c r="F245" s="7" t="s">
        <v>2325</v>
      </c>
      <c r="G245" s="8" t="s">
        <v>23</v>
      </c>
      <c r="H245" s="8">
        <v>5</v>
      </c>
      <c r="I245" s="8"/>
      <c r="J245" s="8"/>
      <c r="K245" s="8"/>
      <c r="L245" s="8"/>
      <c r="M245" s="7" t="s">
        <v>2325</v>
      </c>
      <c r="N245" s="7" t="s">
        <v>2352</v>
      </c>
      <c r="O245" s="9">
        <v>40668</v>
      </c>
      <c r="P245" s="7" t="s">
        <v>46</v>
      </c>
      <c r="Q245" s="9" t="s">
        <v>28</v>
      </c>
      <c r="R245" s="7" t="s">
        <v>2283</v>
      </c>
      <c r="S245" s="8" t="s">
        <v>2284</v>
      </c>
      <c r="T245" s="7"/>
      <c r="U245" s="7"/>
      <c r="V245" s="7"/>
    </row>
    <row r="246" spans="1:22">
      <c r="A246" s="5" t="s">
        <v>2353</v>
      </c>
      <c r="B246" s="5" t="str">
        <f>GetAddress(A246)</f>
        <v>\\CHNO0276\Aseguranza de Calidad\Control de Documentos\Doc. controlados PDF\Formas\CNWI-PROD ( Produccion )\CNWI-PROD-F0015 Etiqueta relays1.xls</v>
      </c>
      <c r="C246" s="5" t="str">
        <f>MID(B246,LEN(B246) - FIND(".",REVERSETEXT(B246))+2,1000)</f>
        <v>xls</v>
      </c>
      <c r="D246" s="6">
        <v>5</v>
      </c>
      <c r="E246" s="7" t="s">
        <v>42</v>
      </c>
      <c r="F246" s="7" t="s">
        <v>2325</v>
      </c>
      <c r="G246" s="8" t="s">
        <v>23</v>
      </c>
      <c r="H246" s="8">
        <v>5</v>
      </c>
      <c r="I246" s="8"/>
      <c r="J246" s="8"/>
      <c r="K246" s="8"/>
      <c r="L246" s="8"/>
      <c r="M246" s="7" t="s">
        <v>2325</v>
      </c>
      <c r="N246" s="7" t="s">
        <v>2354</v>
      </c>
      <c r="O246" s="9">
        <v>40668</v>
      </c>
      <c r="P246" s="7" t="s">
        <v>46</v>
      </c>
      <c r="Q246" s="9" t="s">
        <v>28</v>
      </c>
      <c r="R246" s="7" t="s">
        <v>2283</v>
      </c>
      <c r="S246" s="8" t="s">
        <v>2284</v>
      </c>
      <c r="T246" s="7"/>
      <c r="U246" s="7"/>
      <c r="V246" s="7"/>
    </row>
    <row r="247" spans="1:22">
      <c r="A247" s="5" t="s">
        <v>2355</v>
      </c>
      <c r="B247" s="5" t="str">
        <f>GetAddress(A247)</f>
        <v>\\CHNO0276\Aseguranza de Calidad\Control de Documentos\Doc. controlados PDF\Formas\CNWI-PROD ( Produccion )\CNWI-PROD-F016 Etiqueta relays 2.xls</v>
      </c>
      <c r="C247" s="5" t="str">
        <f>MID(B247,LEN(B247) - FIND(".",REVERSETEXT(B247))+2,1000)</f>
        <v>xls</v>
      </c>
      <c r="D247" s="6">
        <v>5</v>
      </c>
      <c r="E247" s="7" t="s">
        <v>42</v>
      </c>
      <c r="F247" s="7" t="s">
        <v>2325</v>
      </c>
      <c r="G247" s="8" t="s">
        <v>23</v>
      </c>
      <c r="H247" s="8">
        <v>5</v>
      </c>
      <c r="I247" s="8"/>
      <c r="J247" s="8"/>
      <c r="K247" s="8"/>
      <c r="L247" s="8"/>
      <c r="M247" s="7" t="s">
        <v>2325</v>
      </c>
      <c r="N247" s="7" t="s">
        <v>2356</v>
      </c>
      <c r="O247" s="9">
        <v>40668</v>
      </c>
      <c r="P247" s="7" t="s">
        <v>46</v>
      </c>
      <c r="Q247" s="9" t="s">
        <v>28</v>
      </c>
      <c r="R247" s="7" t="s">
        <v>2283</v>
      </c>
      <c r="S247" s="8" t="s">
        <v>2284</v>
      </c>
      <c r="T247" s="7"/>
      <c r="U247" s="7"/>
      <c r="V247" s="7"/>
    </row>
    <row r="248" spans="1:22">
      <c r="A248" s="5" t="s">
        <v>2357</v>
      </c>
      <c r="B248" s="5" t="str">
        <f>GetAddress(A248)</f>
        <v>\\CHNO0276\Aseguranza de Calidad\Control de Documentos\Doc. controlados PDF\Formas\CNWI-PROD ( Produccion )\CNWI-PROD-F017 Etiqueta relays 3.xls</v>
      </c>
      <c r="C248" s="5" t="str">
        <f>MID(B248,LEN(B248) - FIND(".",REVERSETEXT(B248))+2,1000)</f>
        <v>xls</v>
      </c>
      <c r="D248" s="6">
        <v>5</v>
      </c>
      <c r="E248" s="7" t="s">
        <v>42</v>
      </c>
      <c r="F248" s="7" t="s">
        <v>2325</v>
      </c>
      <c r="G248" s="8" t="s">
        <v>23</v>
      </c>
      <c r="H248" s="8">
        <v>5</v>
      </c>
      <c r="I248" s="8"/>
      <c r="J248" s="8"/>
      <c r="K248" s="8"/>
      <c r="L248" s="8"/>
      <c r="M248" s="7" t="s">
        <v>2325</v>
      </c>
      <c r="N248" s="7" t="s">
        <v>2358</v>
      </c>
      <c r="O248" s="9">
        <v>40668</v>
      </c>
      <c r="P248" s="7" t="s">
        <v>46</v>
      </c>
      <c r="Q248" s="9" t="s">
        <v>28</v>
      </c>
      <c r="R248" s="7" t="s">
        <v>2283</v>
      </c>
      <c r="S248" s="8" t="s">
        <v>2284</v>
      </c>
      <c r="T248" s="7"/>
      <c r="U248" s="7"/>
      <c r="V248" s="7"/>
    </row>
    <row r="249" spans="1:22">
      <c r="A249" s="5" t="s">
        <v>2359</v>
      </c>
      <c r="B249" s="5" t="str">
        <f>GetAddress(A249)</f>
        <v>\\CHNO0276\Aseguranza de Calidad\Control de Documentos\Doc. controlados PDF\Formas\CNWI-PROD ( Produccion )\CNWI-PROD-F018 Etiqueta relays 4.xls</v>
      </c>
      <c r="C249" s="5" t="str">
        <f>MID(B249,LEN(B249) - FIND(".",REVERSETEXT(B249))+2,1000)</f>
        <v>xls</v>
      </c>
      <c r="D249" s="6">
        <v>5</v>
      </c>
      <c r="E249" s="7" t="s">
        <v>42</v>
      </c>
      <c r="F249" s="7" t="s">
        <v>2325</v>
      </c>
      <c r="G249" s="8" t="s">
        <v>23</v>
      </c>
      <c r="H249" s="8">
        <v>5</v>
      </c>
      <c r="I249" s="8"/>
      <c r="J249" s="8"/>
      <c r="K249" s="8"/>
      <c r="L249" s="8"/>
      <c r="M249" s="7" t="s">
        <v>2325</v>
      </c>
      <c r="N249" s="7" t="s">
        <v>2360</v>
      </c>
      <c r="O249" s="9">
        <v>40668</v>
      </c>
      <c r="P249" s="7" t="s">
        <v>46</v>
      </c>
      <c r="Q249" s="9" t="s">
        <v>28</v>
      </c>
      <c r="R249" s="7" t="s">
        <v>2283</v>
      </c>
      <c r="S249" s="8" t="s">
        <v>2284</v>
      </c>
      <c r="T249" s="7"/>
      <c r="U249" s="7"/>
      <c r="V249" s="7"/>
    </row>
    <row r="250" spans="1:22">
      <c r="A250" s="5" t="s">
        <v>2361</v>
      </c>
      <c r="B250" s="5" t="str">
        <f>GetAddress(A250)</f>
        <v>\\CHNO0276\Aseguranza de Calidad\Control de Documentos\Doc. controlados PDF\Formas\CNWI-PROD ( Produccion )\CNWI-PROD-F019 Etiqueta relays 5.xls</v>
      </c>
      <c r="C250" s="5" t="str">
        <f>MID(B250,LEN(B250) - FIND(".",REVERSETEXT(B250))+2,1000)</f>
        <v>xls</v>
      </c>
      <c r="D250" s="6">
        <v>5</v>
      </c>
      <c r="E250" s="7" t="s">
        <v>42</v>
      </c>
      <c r="F250" s="7" t="s">
        <v>2325</v>
      </c>
      <c r="G250" s="8" t="s">
        <v>23</v>
      </c>
      <c r="H250" s="8">
        <v>5</v>
      </c>
      <c r="I250" s="8"/>
      <c r="J250" s="8"/>
      <c r="K250" s="8"/>
      <c r="L250" s="8"/>
      <c r="M250" s="7" t="s">
        <v>2325</v>
      </c>
      <c r="N250" s="7" t="s">
        <v>2362</v>
      </c>
      <c r="O250" s="9">
        <v>40668</v>
      </c>
      <c r="P250" s="7" t="s">
        <v>46</v>
      </c>
      <c r="Q250" s="9" t="s">
        <v>28</v>
      </c>
      <c r="R250" s="7" t="s">
        <v>2283</v>
      </c>
      <c r="S250" s="8" t="s">
        <v>2284</v>
      </c>
      <c r="T250" s="7"/>
      <c r="U250" s="7"/>
      <c r="V250" s="7"/>
    </row>
    <row r="251" spans="1:22">
      <c r="A251" s="5" t="s">
        <v>2363</v>
      </c>
      <c r="B251" s="5" t="str">
        <f>GetAddress(A251)</f>
        <v>\\CHNO0276\Aseguranza de Calidad\Control de Documentos\Doc. controlados PDF\Formas\CNWI-PROD ( Produccion )\CNWI-PROD-F020 Etiqueta relays 6.xls</v>
      </c>
      <c r="C251" s="5" t="str">
        <f>MID(B251,LEN(B251) - FIND(".",REVERSETEXT(B251))+2,1000)</f>
        <v>xls</v>
      </c>
      <c r="D251" s="6">
        <v>5</v>
      </c>
      <c r="E251" s="7" t="s">
        <v>42</v>
      </c>
      <c r="F251" s="7" t="s">
        <v>2325</v>
      </c>
      <c r="G251" s="8" t="s">
        <v>23</v>
      </c>
      <c r="H251" s="8">
        <v>5</v>
      </c>
      <c r="I251" s="8"/>
      <c r="J251" s="8"/>
      <c r="K251" s="8"/>
      <c r="L251" s="8"/>
      <c r="M251" s="7" t="s">
        <v>2325</v>
      </c>
      <c r="N251" s="7" t="s">
        <v>2364</v>
      </c>
      <c r="O251" s="9">
        <v>40668</v>
      </c>
      <c r="P251" s="7" t="s">
        <v>46</v>
      </c>
      <c r="Q251" s="9" t="s">
        <v>28</v>
      </c>
      <c r="R251" s="7" t="s">
        <v>2283</v>
      </c>
      <c r="S251" s="8" t="s">
        <v>2284</v>
      </c>
      <c r="T251" s="7"/>
      <c r="U251" s="7"/>
      <c r="V251" s="7"/>
    </row>
    <row r="252" spans="1:22">
      <c r="A252" s="5" t="s">
        <v>2365</v>
      </c>
      <c r="B252" s="5" t="str">
        <f>GetAddress(A252)</f>
        <v>\\CHNO0276\Aseguranza de Calidad\Control de Documentos\Doc. controlados PDF\Formas\CNWI-PROD ( Produccion )\CNWI-PROD-F021 Etiqueta relays 7.xls</v>
      </c>
      <c r="C252" s="5" t="str">
        <f>MID(B252,LEN(B252) - FIND(".",REVERSETEXT(B252))+2,1000)</f>
        <v>xls</v>
      </c>
      <c r="D252" s="6">
        <v>5</v>
      </c>
      <c r="E252" s="7" t="s">
        <v>42</v>
      </c>
      <c r="F252" s="7" t="s">
        <v>2325</v>
      </c>
      <c r="G252" s="8" t="s">
        <v>23</v>
      </c>
      <c r="H252" s="8">
        <v>5</v>
      </c>
      <c r="I252" s="8"/>
      <c r="J252" s="8"/>
      <c r="K252" s="8"/>
      <c r="L252" s="8"/>
      <c r="M252" s="7" t="s">
        <v>2325</v>
      </c>
      <c r="N252" s="7" t="s">
        <v>2366</v>
      </c>
      <c r="O252" s="9">
        <v>40668</v>
      </c>
      <c r="P252" s="7" t="s">
        <v>46</v>
      </c>
      <c r="Q252" s="9" t="s">
        <v>28</v>
      </c>
      <c r="R252" s="7" t="s">
        <v>2283</v>
      </c>
      <c r="S252" s="8" t="s">
        <v>2284</v>
      </c>
      <c r="T252" s="7"/>
      <c r="U252" s="7"/>
      <c r="V252" s="7"/>
    </row>
    <row r="253" spans="1:22">
      <c r="A253" s="5" t="s">
        <v>2367</v>
      </c>
      <c r="B253" s="5" t="str">
        <f>GetAddress(A253)</f>
        <v>\\CHNO0276\Aseguranza de Calidad\Control de Documentos\Doc. controlados PDF\Formas\CNWI-PROD ( Produccion )\CNWI-PROD-F022 Etiqueta relays 8.xls</v>
      </c>
      <c r="C253" s="5" t="str">
        <f>MID(B253,LEN(B253) - FIND(".",REVERSETEXT(B253))+2,1000)</f>
        <v>xls</v>
      </c>
      <c r="D253" s="6">
        <v>5</v>
      </c>
      <c r="E253" s="7" t="s">
        <v>42</v>
      </c>
      <c r="F253" s="7" t="s">
        <v>2325</v>
      </c>
      <c r="G253" s="8" t="s">
        <v>23</v>
      </c>
      <c r="H253" s="8">
        <v>5</v>
      </c>
      <c r="I253" s="8"/>
      <c r="J253" s="8"/>
      <c r="K253" s="8"/>
      <c r="L253" s="8"/>
      <c r="M253" s="7" t="s">
        <v>2325</v>
      </c>
      <c r="N253" s="7" t="s">
        <v>2368</v>
      </c>
      <c r="O253" s="9">
        <v>40668</v>
      </c>
      <c r="P253" s="7" t="s">
        <v>27</v>
      </c>
      <c r="Q253" s="9" t="s">
        <v>28</v>
      </c>
      <c r="R253" s="7" t="s">
        <v>2283</v>
      </c>
      <c r="S253" s="8" t="s">
        <v>2284</v>
      </c>
      <c r="T253" s="7"/>
      <c r="U253" s="7"/>
      <c r="V253" s="7"/>
    </row>
    <row r="254" spans="1:22">
      <c r="A254" s="5" t="s">
        <v>2369</v>
      </c>
      <c r="B254" s="5" t="str">
        <f>GetAddress(A254)</f>
        <v>\\CHNO0276\Aseguranza de Calidad\Control de Documentos\Doc. controlados PDF\Formas\CNWI-PROD ( Produccion )\CNWI-PROD-F023 Etiqueta relays 9.xls</v>
      </c>
      <c r="C254" s="5" t="str">
        <f>MID(B254,LEN(B254) - FIND(".",REVERSETEXT(B254))+2,1000)</f>
        <v>xls</v>
      </c>
      <c r="D254" s="6">
        <v>5</v>
      </c>
      <c r="E254" s="7" t="s">
        <v>42</v>
      </c>
      <c r="F254" s="7" t="s">
        <v>2325</v>
      </c>
      <c r="G254" s="8" t="s">
        <v>23</v>
      </c>
      <c r="H254" s="8">
        <v>5</v>
      </c>
      <c r="I254" s="8"/>
      <c r="J254" s="8"/>
      <c r="K254" s="8"/>
      <c r="L254" s="8"/>
      <c r="M254" s="7" t="s">
        <v>2325</v>
      </c>
      <c r="N254" s="7" t="s">
        <v>2370</v>
      </c>
      <c r="O254" s="9">
        <v>40668</v>
      </c>
      <c r="P254" s="7" t="s">
        <v>27</v>
      </c>
      <c r="Q254" s="9" t="s">
        <v>28</v>
      </c>
      <c r="R254" s="7" t="s">
        <v>2283</v>
      </c>
      <c r="S254" s="8" t="s">
        <v>2284</v>
      </c>
      <c r="T254" s="7"/>
      <c r="U254" s="7"/>
      <c r="V254" s="7"/>
    </row>
    <row r="255" spans="1:22">
      <c r="A255" s="5" t="s">
        <v>2371</v>
      </c>
      <c r="B255" s="5" t="str">
        <f>GetAddress(A255)</f>
        <v>\\CHNO0276\Aseguranza de Calidad\Control de Documentos\Doc. controlados PDF\Formas\CNWI-PROD ( Produccion )\CNWI-PROD-F024 Etiqueta salem.xls</v>
      </c>
      <c r="C255" s="5" t="str">
        <f>MID(B255,LEN(B255) - FIND(".",REVERSETEXT(B255))+2,1000)</f>
        <v>xls</v>
      </c>
      <c r="D255" s="6">
        <v>5</v>
      </c>
      <c r="E255" s="7" t="s">
        <v>42</v>
      </c>
      <c r="F255" s="7" t="s">
        <v>2325</v>
      </c>
      <c r="G255" s="8" t="s">
        <v>23</v>
      </c>
      <c r="H255" s="8">
        <v>5</v>
      </c>
      <c r="I255" s="8"/>
      <c r="J255" s="8"/>
      <c r="K255" s="8"/>
      <c r="L255" s="8"/>
      <c r="M255" s="7" t="s">
        <v>2325</v>
      </c>
      <c r="N255" s="7" t="s">
        <v>2372</v>
      </c>
      <c r="O255" s="9">
        <v>40668</v>
      </c>
      <c r="P255" s="7" t="s">
        <v>27</v>
      </c>
      <c r="Q255" s="9" t="s">
        <v>28</v>
      </c>
      <c r="R255" s="7" t="s">
        <v>2283</v>
      </c>
      <c r="S255" s="8" t="s">
        <v>2284</v>
      </c>
      <c r="T255" s="7"/>
      <c r="U255" s="7"/>
      <c r="V255" s="7"/>
    </row>
    <row r="256" spans="1:22">
      <c r="A256" s="5" t="s">
        <v>2373</v>
      </c>
      <c r="B256" s="5" t="str">
        <f>GetAddress(A256)</f>
        <v>\\CHNO0276\Aseguranza de Calidad\Control de Documentos\Doc. controlados PDF\Formas\CNWI-PROD ( Produccion )\CNWI-PROD-F025 Etiqueta single wire.xls</v>
      </c>
      <c r="C256" s="5" t="str">
        <f>MID(B256,LEN(B256) - FIND(".",REVERSETEXT(B256))+2,1000)</f>
        <v>xls</v>
      </c>
      <c r="D256" s="6">
        <v>5</v>
      </c>
      <c r="E256" s="7" t="s">
        <v>42</v>
      </c>
      <c r="F256" s="7" t="s">
        <v>2325</v>
      </c>
      <c r="G256" s="8" t="s">
        <v>23</v>
      </c>
      <c r="H256" s="8">
        <v>5</v>
      </c>
      <c r="I256" s="8"/>
      <c r="J256" s="8"/>
      <c r="K256" s="8"/>
      <c r="L256" s="8"/>
      <c r="M256" s="7" t="s">
        <v>2325</v>
      </c>
      <c r="N256" s="7" t="s">
        <v>2374</v>
      </c>
      <c r="O256" s="9">
        <v>40668</v>
      </c>
      <c r="P256" s="7" t="s">
        <v>27</v>
      </c>
      <c r="Q256" s="9" t="s">
        <v>28</v>
      </c>
      <c r="R256" s="7" t="s">
        <v>2283</v>
      </c>
      <c r="S256" s="8" t="s">
        <v>2284</v>
      </c>
      <c r="T256" s="7"/>
      <c r="U256" s="7"/>
      <c r="V256" s="7"/>
    </row>
    <row r="257" spans="1:22">
      <c r="A257" s="5" t="s">
        <v>2375</v>
      </c>
      <c r="B257" s="5" t="str">
        <f>GetAddress(A257)</f>
        <v>\\CHNO0276\Aseguranza de Calidad\Control de Documentos\Doc. controlados PDF\Formas\CNWI-PROD ( Produccion )\CNWI-PROD-F026 Etiqueta snap lock.xls</v>
      </c>
      <c r="C257" s="5" t="str">
        <f>MID(B257,LEN(B257) - FIND(".",REVERSETEXT(B257))+2,1000)</f>
        <v>xls</v>
      </c>
      <c r="D257" s="6">
        <v>5</v>
      </c>
      <c r="E257" s="7" t="s">
        <v>42</v>
      </c>
      <c r="F257" s="7" t="s">
        <v>2325</v>
      </c>
      <c r="G257" s="8" t="s">
        <v>23</v>
      </c>
      <c r="H257" s="8">
        <v>5</v>
      </c>
      <c r="I257" s="8"/>
      <c r="J257" s="8"/>
      <c r="K257" s="8"/>
      <c r="L257" s="8"/>
      <c r="M257" s="7" t="s">
        <v>2325</v>
      </c>
      <c r="N257" s="7" t="s">
        <v>2376</v>
      </c>
      <c r="O257" s="9">
        <v>40668</v>
      </c>
      <c r="P257" s="7" t="s">
        <v>27</v>
      </c>
      <c r="Q257" s="9" t="s">
        <v>28</v>
      </c>
      <c r="R257" s="7" t="s">
        <v>2283</v>
      </c>
      <c r="S257" s="8" t="s">
        <v>2284</v>
      </c>
      <c r="T257" s="7"/>
      <c r="U257" s="7"/>
      <c r="V257" s="7"/>
    </row>
    <row r="258" spans="1:22">
      <c r="A258" s="5" t="s">
        <v>2377</v>
      </c>
      <c r="B258" s="5" t="str">
        <f>GetAddress(A258)</f>
        <v>\\CHNO0276\Aseguranza de Calidad\Control de Documentos\Doc. controlados PDF\Formas\CNWI-PROD ( Produccion )\CNWI-PROD-F027 Etiqueta snap lock &amp; three wire splice.xls</v>
      </c>
      <c r="C258" s="5" t="str">
        <f>MID(B258,LEN(B258) - FIND(".",REVERSETEXT(B258))+2,1000)</f>
        <v>xls</v>
      </c>
      <c r="D258" s="6">
        <v>5</v>
      </c>
      <c r="E258" s="7" t="s">
        <v>42</v>
      </c>
      <c r="F258" s="7" t="s">
        <v>2325</v>
      </c>
      <c r="G258" s="8" t="s">
        <v>23</v>
      </c>
      <c r="H258" s="8">
        <v>5</v>
      </c>
      <c r="I258" s="8"/>
      <c r="J258" s="8"/>
      <c r="K258" s="8"/>
      <c r="L258" s="8"/>
      <c r="M258" s="7" t="s">
        <v>2325</v>
      </c>
      <c r="N258" s="7" t="s">
        <v>2378</v>
      </c>
      <c r="O258" s="9">
        <v>40668</v>
      </c>
      <c r="P258" s="7" t="s">
        <v>27</v>
      </c>
      <c r="Q258" s="9" t="s">
        <v>28</v>
      </c>
      <c r="R258" s="7" t="s">
        <v>2283</v>
      </c>
      <c r="S258" s="8" t="s">
        <v>2284</v>
      </c>
      <c r="T258" s="7"/>
      <c r="U258" s="7"/>
      <c r="V258" s="7"/>
    </row>
    <row r="259" spans="1:22">
      <c r="A259" s="5" t="s">
        <v>2379</v>
      </c>
      <c r="B259" s="5" t="str">
        <f>GetAddress(A259)</f>
        <v>\\CHNO0276\Aseguranza de Calidad\Control de Documentos\Doc. controlados PDF\Formas\CNWI-PROD ( Produccion )\CNWI-PROD-F028 Etiqueta thorkom.xls</v>
      </c>
      <c r="C259" s="5" t="str">
        <f>MID(B259,LEN(B259) - FIND(".",REVERSETEXT(B259))+2,1000)</f>
        <v>xls</v>
      </c>
      <c r="D259" s="6">
        <v>5</v>
      </c>
      <c r="E259" s="7" t="s">
        <v>42</v>
      </c>
      <c r="F259" s="7" t="s">
        <v>2325</v>
      </c>
      <c r="G259" s="8" t="s">
        <v>23</v>
      </c>
      <c r="H259" s="8">
        <v>5</v>
      </c>
      <c r="I259" s="8"/>
      <c r="J259" s="8"/>
      <c r="K259" s="8"/>
      <c r="L259" s="8"/>
      <c r="M259" s="7" t="s">
        <v>2325</v>
      </c>
      <c r="N259" s="7" t="s">
        <v>2380</v>
      </c>
      <c r="O259" s="9">
        <v>40668</v>
      </c>
      <c r="P259" s="7" t="s">
        <v>27</v>
      </c>
      <c r="Q259" s="9" t="s">
        <v>28</v>
      </c>
      <c r="R259" s="7" t="s">
        <v>2283</v>
      </c>
      <c r="S259" s="8" t="s">
        <v>2284</v>
      </c>
      <c r="T259" s="7"/>
      <c r="U259" s="7"/>
      <c r="V259" s="7"/>
    </row>
    <row r="260" spans="1:22">
      <c r="A260" s="5" t="s">
        <v>2381</v>
      </c>
      <c r="B260" s="5" t="str">
        <f>GetAddress(A260)</f>
        <v>\\CHNO0276\Aseguranza de Calidad\Control de Documentos\Doc. controlados PDF\Formas\CNWI-PROD ( Produccion )\CNWI-PROD-F029  Etiqueta tracks.xls</v>
      </c>
      <c r="C260" s="5" t="str">
        <f>MID(B260,LEN(B260) - FIND(".",REVERSETEXT(B260))+2,1000)</f>
        <v>xls</v>
      </c>
      <c r="D260" s="6">
        <v>5</v>
      </c>
      <c r="E260" s="7" t="s">
        <v>42</v>
      </c>
      <c r="F260" s="7" t="s">
        <v>2325</v>
      </c>
      <c r="G260" s="8" t="s">
        <v>23</v>
      </c>
      <c r="H260" s="8">
        <v>5</v>
      </c>
      <c r="I260" s="8"/>
      <c r="J260" s="8"/>
      <c r="K260" s="8"/>
      <c r="L260" s="8"/>
      <c r="M260" s="7" t="s">
        <v>2325</v>
      </c>
      <c r="N260" s="7" t="s">
        <v>2382</v>
      </c>
      <c r="O260" s="9">
        <v>40668</v>
      </c>
      <c r="P260" s="7" t="s">
        <v>46</v>
      </c>
      <c r="Q260" s="9" t="s">
        <v>28</v>
      </c>
      <c r="R260" s="7" t="s">
        <v>2283</v>
      </c>
      <c r="S260" s="8" t="s">
        <v>2284</v>
      </c>
      <c r="T260" s="7"/>
      <c r="U260" s="7"/>
      <c r="V260" s="7"/>
    </row>
    <row r="261" spans="1:22">
      <c r="A261" s="5" t="s">
        <v>2383</v>
      </c>
      <c r="B261" s="5" t="str">
        <f>GetAddress(A261)</f>
        <v>\\CHNO0276\Aseguranza de Calidad\Control de Documentos\Doc. controlados PDF\Formas\CNWI-PROD ( Produccion )\CNWI-PROD-F030  Etiqueta tracks 1.xls</v>
      </c>
      <c r="C261" s="5" t="str">
        <f>MID(B261,LEN(B261) - FIND(".",REVERSETEXT(B261))+2,1000)</f>
        <v>xls</v>
      </c>
      <c r="D261" s="6">
        <v>5</v>
      </c>
      <c r="E261" s="7" t="s">
        <v>42</v>
      </c>
      <c r="F261" s="7" t="s">
        <v>2325</v>
      </c>
      <c r="G261" s="8" t="s">
        <v>23</v>
      </c>
      <c r="H261" s="8">
        <v>5</v>
      </c>
      <c r="I261" s="8"/>
      <c r="J261" s="8"/>
      <c r="K261" s="8"/>
      <c r="L261" s="8"/>
      <c r="M261" s="7" t="s">
        <v>2325</v>
      </c>
      <c r="N261" s="7" t="s">
        <v>2384</v>
      </c>
      <c r="O261" s="9">
        <v>40668</v>
      </c>
      <c r="P261" s="7" t="s">
        <v>27</v>
      </c>
      <c r="Q261" s="9" t="s">
        <v>28</v>
      </c>
      <c r="R261" s="7" t="s">
        <v>2283</v>
      </c>
      <c r="S261" s="8" t="s">
        <v>2284</v>
      </c>
      <c r="T261" s="7"/>
      <c r="U261" s="7"/>
      <c r="V261" s="7"/>
    </row>
    <row r="262" spans="1:22">
      <c r="A262" s="5" t="s">
        <v>2385</v>
      </c>
      <c r="B262" s="5" t="str">
        <f>GetAddress(A262)</f>
        <v>\\CHNO0276\Aseguranza de Calidad\Control de Documentos\Doc. controlados PDF\Formas\CNWI-PROD ( Produccion )\CNWI-PROD-F031 Etiqueta variado lifters,rieles.xls</v>
      </c>
      <c r="C262" s="5" t="str">
        <f>MID(B262,LEN(B262) - FIND(".",REVERSETEXT(B262))+2,1000)</f>
        <v>xls</v>
      </c>
      <c r="D262" s="6">
        <v>5</v>
      </c>
      <c r="E262" s="7" t="s">
        <v>42</v>
      </c>
      <c r="F262" s="7" t="s">
        <v>2325</v>
      </c>
      <c r="G262" s="8" t="s">
        <v>23</v>
      </c>
      <c r="H262" s="8">
        <v>5</v>
      </c>
      <c r="I262" s="8"/>
      <c r="J262" s="8"/>
      <c r="K262" s="8"/>
      <c r="L262" s="8"/>
      <c r="M262" s="7" t="s">
        <v>2325</v>
      </c>
      <c r="N262" s="7" t="s">
        <v>2386</v>
      </c>
      <c r="O262" s="9">
        <v>40668</v>
      </c>
      <c r="P262" s="7" t="s">
        <v>27</v>
      </c>
      <c r="Q262" s="9" t="s">
        <v>28</v>
      </c>
      <c r="R262" s="7" t="s">
        <v>2283</v>
      </c>
      <c r="S262" s="8" t="s">
        <v>2284</v>
      </c>
      <c r="T262" s="7"/>
      <c r="U262" s="7"/>
      <c r="V262" s="7"/>
    </row>
    <row r="263" spans="1:22">
      <c r="A263" s="5" t="s">
        <v>2387</v>
      </c>
      <c r="B263" s="5" t="str">
        <f>GetAddress(A263)</f>
        <v>\\CHNO0276\Aseguranza de Calidad\Control de Documentos\Doc. controlados PDF\Formas\CNWI-PROD ( Produccion )\CNWI-PROD-F032 ETIQUETAS 557`s.xls</v>
      </c>
      <c r="C263" s="5" t="str">
        <f>MID(B263,LEN(B263) - FIND(".",REVERSETEXT(B263))+2,1000)</f>
        <v>xls</v>
      </c>
      <c r="D263" s="6">
        <v>5</v>
      </c>
      <c r="E263" s="7" t="s">
        <v>42</v>
      </c>
      <c r="F263" s="7" t="s">
        <v>2325</v>
      </c>
      <c r="G263" s="8" t="s">
        <v>23</v>
      </c>
      <c r="H263" s="8">
        <v>5</v>
      </c>
      <c r="I263" s="8"/>
      <c r="J263" s="8"/>
      <c r="K263" s="8"/>
      <c r="L263" s="8"/>
      <c r="M263" s="7" t="s">
        <v>2325</v>
      </c>
      <c r="N263" s="7" t="s">
        <v>2388</v>
      </c>
      <c r="O263" s="9">
        <v>40668</v>
      </c>
      <c r="P263" s="7" t="s">
        <v>27</v>
      </c>
      <c r="Q263" s="9" t="s">
        <v>28</v>
      </c>
      <c r="R263" s="7" t="s">
        <v>2283</v>
      </c>
      <c r="S263" s="8" t="s">
        <v>2284</v>
      </c>
      <c r="T263" s="7"/>
      <c r="U263" s="7"/>
      <c r="V263" s="7"/>
    </row>
    <row r="264" spans="1:22">
      <c r="A264" s="5" t="s">
        <v>2389</v>
      </c>
      <c r="B264" s="5" t="str">
        <f>GetAddress(A264)</f>
        <v>\\CHNO0276\Aseguranza de Calidad\Control de Documentos\Doc. controlados PDF\Formas\CNWI-PROD ( Produccion )\CNWI-PROD-F033 Move Ticket.xls</v>
      </c>
      <c r="C264" s="5" t="str">
        <f>MID(B264,LEN(B264) - FIND(".",REVERSETEXT(B264))+2,1000)</f>
        <v>xls</v>
      </c>
      <c r="D264" s="6">
        <v>5</v>
      </c>
      <c r="E264" s="7" t="s">
        <v>42</v>
      </c>
      <c r="F264" s="7" t="s">
        <v>2325</v>
      </c>
      <c r="G264" s="8" t="s">
        <v>23</v>
      </c>
      <c r="H264" s="8">
        <v>5</v>
      </c>
      <c r="I264" s="8"/>
      <c r="J264" s="8"/>
      <c r="K264" s="8"/>
      <c r="L264" s="8"/>
      <c r="M264" s="7" t="s">
        <v>2325</v>
      </c>
      <c r="N264" s="7" t="s">
        <v>2390</v>
      </c>
      <c r="O264" s="9">
        <v>40852</v>
      </c>
      <c r="P264" s="7" t="s">
        <v>27</v>
      </c>
      <c r="Q264" s="9" t="s">
        <v>28</v>
      </c>
      <c r="R264" s="7" t="s">
        <v>2283</v>
      </c>
      <c r="S264" s="8" t="s">
        <v>2284</v>
      </c>
      <c r="T264" s="7"/>
      <c r="U264" s="7"/>
      <c r="V264" s="7"/>
    </row>
    <row r="265" spans="1:22">
      <c r="A265" s="5" t="s">
        <v>2391</v>
      </c>
      <c r="B265" s="5" t="str">
        <f>GetAddress(A265)</f>
        <v>\\CHNO0276\Aseguranza de Calidad\Control de Documentos\Doc. controlados PDF\Formas\CNWI-PROD ( Produccion )\CNWI-PROD-F034 tiempo retrabajo.xls</v>
      </c>
      <c r="C265" s="5" t="str">
        <f>MID(B265,LEN(B265) - FIND(".",REVERSETEXT(B265))+2,1000)</f>
        <v>xls</v>
      </c>
      <c r="D265" s="6">
        <v>5</v>
      </c>
      <c r="E265" s="7" t="s">
        <v>42</v>
      </c>
      <c r="F265" s="7" t="s">
        <v>2325</v>
      </c>
      <c r="G265" s="8" t="s">
        <v>23</v>
      </c>
      <c r="H265" s="8">
        <v>5</v>
      </c>
      <c r="I265" s="8"/>
      <c r="J265" s="8"/>
      <c r="K265" s="8"/>
      <c r="L265" s="8"/>
      <c r="M265" s="7" t="s">
        <v>2325</v>
      </c>
      <c r="N265" s="7" t="s">
        <v>2392</v>
      </c>
      <c r="O265" s="9" t="s">
        <v>2393</v>
      </c>
      <c r="P265" s="7" t="s">
        <v>27</v>
      </c>
      <c r="Q265" s="9" t="s">
        <v>28</v>
      </c>
      <c r="R265" s="7" t="s">
        <v>2283</v>
      </c>
      <c r="S265" s="8" t="s">
        <v>2284</v>
      </c>
      <c r="T265" s="7"/>
      <c r="U265" s="7"/>
      <c r="V265" s="7"/>
    </row>
    <row r="266" spans="1:22">
      <c r="A266" s="5" t="s">
        <v>2394</v>
      </c>
      <c r="B266" s="5" t="str">
        <f>GetAddress(A266)</f>
        <v>\\CHNO0276\Aseguranza de Calidad\Control de Documentos\Doc. controlados PDF\Formas\CNWI-PROD ( Produccion )\CNWI-PROD-F035 Pareto de informacion diaria.xls</v>
      </c>
      <c r="C266" s="5" t="str">
        <f>MID(B266,LEN(B266) - FIND(".",REVERSETEXT(B266))+2,1000)</f>
        <v>xls</v>
      </c>
      <c r="D266" s="6">
        <v>5</v>
      </c>
      <c r="E266" s="7" t="s">
        <v>42</v>
      </c>
      <c r="F266" s="7" t="s">
        <v>2325</v>
      </c>
      <c r="G266" s="8" t="s">
        <v>23</v>
      </c>
      <c r="H266" s="8">
        <v>5</v>
      </c>
      <c r="I266" s="8"/>
      <c r="J266" s="8"/>
      <c r="K266" s="8"/>
      <c r="L266" s="8"/>
      <c r="M266" s="7" t="s">
        <v>2325</v>
      </c>
      <c r="N266" s="7" t="s">
        <v>2395</v>
      </c>
      <c r="O266" s="9">
        <v>40737</v>
      </c>
      <c r="P266" s="7" t="s">
        <v>27</v>
      </c>
      <c r="Q266" s="9" t="s">
        <v>28</v>
      </c>
      <c r="R266" s="7" t="s">
        <v>2283</v>
      </c>
      <c r="S266" s="8" t="s">
        <v>2284</v>
      </c>
      <c r="T266" s="7"/>
      <c r="U266" s="7"/>
      <c r="V266" s="7"/>
    </row>
    <row r="267" spans="1:22">
      <c r="A267" s="5" t="s">
        <v>2396</v>
      </c>
      <c r="B267" s="5" t="str">
        <f>GetAddress(A267)</f>
        <v>\\CHNO0276\Aseguranza de Calidad\Control de Documentos\Doc. controlados PDF\Formas\CNWI-PROD ( Produccion )\CNWI-PROD-F036 REPORTE DE MICROMINI PROBLEMAS DIARIOS.xls</v>
      </c>
      <c r="C267" s="5" t="str">
        <f>MID(B267,LEN(B267) - FIND(".",REVERSETEXT(B267))+2,1000)</f>
        <v>xls</v>
      </c>
      <c r="D267" s="6">
        <v>5</v>
      </c>
      <c r="E267" s="7" t="s">
        <v>42</v>
      </c>
      <c r="F267" s="7" t="s">
        <v>2325</v>
      </c>
      <c r="G267" s="8" t="s">
        <v>23</v>
      </c>
      <c r="H267" s="8">
        <v>5</v>
      </c>
      <c r="I267" s="8"/>
      <c r="J267" s="8"/>
      <c r="K267" s="8"/>
      <c r="L267" s="8"/>
      <c r="M267" s="7" t="s">
        <v>2325</v>
      </c>
      <c r="N267" s="7" t="s">
        <v>2397</v>
      </c>
      <c r="O267" s="9">
        <v>40752</v>
      </c>
      <c r="P267" s="7" t="s">
        <v>27</v>
      </c>
      <c r="Q267" s="9" t="s">
        <v>28</v>
      </c>
      <c r="R267" s="7" t="s">
        <v>2283</v>
      </c>
      <c r="S267" s="8" t="s">
        <v>2284</v>
      </c>
      <c r="T267" s="7"/>
      <c r="U267" s="7"/>
      <c r="V267" s="7"/>
    </row>
    <row r="268" spans="1:22">
      <c r="A268" s="5" t="s">
        <v>2398</v>
      </c>
      <c r="B268" s="5" t="str">
        <f>GetAddress(A268)</f>
        <v>\\CHNO0276\Aseguranza de Calidad\Control de Documentos\Doc. controlados PDF\Formas\CNWI-PROD ( Produccion )\CNWI-PROD-F037 Gemba walk.xls</v>
      </c>
      <c r="C268" s="5" t="str">
        <f>MID(B268,LEN(B268) - FIND(".",REVERSETEXT(B268))+2,1000)</f>
        <v>xls</v>
      </c>
      <c r="D268" s="6">
        <v>5</v>
      </c>
      <c r="E268" s="7" t="s">
        <v>42</v>
      </c>
      <c r="F268" s="7" t="s">
        <v>2325</v>
      </c>
      <c r="G268" s="8" t="s">
        <v>23</v>
      </c>
      <c r="H268" s="8">
        <v>5</v>
      </c>
      <c r="I268" s="8"/>
      <c r="J268" s="8"/>
      <c r="K268" s="8"/>
      <c r="L268" s="8"/>
      <c r="M268" s="7" t="s">
        <v>2325</v>
      </c>
      <c r="N268" s="7" t="s">
        <v>2399</v>
      </c>
      <c r="O268" s="9">
        <v>40820</v>
      </c>
      <c r="P268" s="7" t="s">
        <v>27</v>
      </c>
      <c r="Q268" s="9" t="s">
        <v>28</v>
      </c>
      <c r="R268" s="7" t="s">
        <v>2283</v>
      </c>
      <c r="S268" s="8" t="s">
        <v>2284</v>
      </c>
      <c r="T268" s="7"/>
      <c r="U268" s="7"/>
      <c r="V268" s="7"/>
    </row>
    <row r="269" spans="1:22">
      <c r="A269" s="5" t="s">
        <v>2400</v>
      </c>
      <c r="B269" s="5" t="str">
        <f>GetAddress(A269)</f>
        <v>\\CHNO0276\Aseguranza de Calidad\Control de Documentos\Doc. controlados PDF\Formas\CNWI-PROD ( Produccion )\CNWI-PROD-F038 HORA X HORA Off .xlsx</v>
      </c>
      <c r="C269" s="5" t="str">
        <f>MID(B269,LEN(B269) - FIND(".",REVERSETEXT(B269))+2,1000)</f>
        <v>xlsx</v>
      </c>
      <c r="D269" s="6">
        <v>5</v>
      </c>
      <c r="E269" s="7" t="s">
        <v>42</v>
      </c>
      <c r="F269" s="7" t="s">
        <v>2325</v>
      </c>
      <c r="G269" s="8" t="s">
        <v>23</v>
      </c>
      <c r="H269" s="8">
        <v>5</v>
      </c>
      <c r="I269" s="8"/>
      <c r="J269" s="8"/>
      <c r="K269" s="8"/>
      <c r="L269" s="8"/>
      <c r="M269" s="7" t="s">
        <v>2325</v>
      </c>
      <c r="N269" s="7" t="s">
        <v>2401</v>
      </c>
      <c r="O269" s="9">
        <v>40836</v>
      </c>
      <c r="P269" s="7" t="s">
        <v>27</v>
      </c>
      <c r="Q269" s="9" t="s">
        <v>28</v>
      </c>
      <c r="R269" s="7" t="s">
        <v>2283</v>
      </c>
      <c r="S269" s="8" t="s">
        <v>2284</v>
      </c>
      <c r="T269" s="7"/>
      <c r="U269" s="7"/>
      <c r="V269" s="7"/>
    </row>
    <row r="270" spans="1:22">
      <c r="A270" s="5" t="s">
        <v>2402</v>
      </c>
      <c r="B270" s="5" t="str">
        <f>GetAddress(A270)</f>
        <v>\\CHNO0276\Aseguranza de Calidad\Control de Documentos\Doc. controlados PDF\Formas\CNWI-PROD ( Produccion )\CNWI-PROD-F039 FORMATO PRODUCTIVIDAD.pptx</v>
      </c>
      <c r="C270" s="5" t="str">
        <f>MID(B270,LEN(B270) - FIND(".",REVERSETEXT(B270))+2,1000)</f>
        <v>pptx</v>
      </c>
      <c r="D270" s="6">
        <v>5</v>
      </c>
      <c r="E270" s="7" t="s">
        <v>42</v>
      </c>
      <c r="F270" s="7" t="s">
        <v>2325</v>
      </c>
      <c r="G270" s="8" t="s">
        <v>23</v>
      </c>
      <c r="H270" s="8">
        <v>5</v>
      </c>
      <c r="I270" s="8"/>
      <c r="J270" s="8"/>
      <c r="K270" s="8"/>
      <c r="L270" s="8"/>
      <c r="M270" s="7" t="s">
        <v>2325</v>
      </c>
      <c r="N270" s="7" t="s">
        <v>2403</v>
      </c>
      <c r="O270" s="9">
        <v>40836</v>
      </c>
      <c r="P270" s="7" t="s">
        <v>27</v>
      </c>
      <c r="Q270" s="9" t="s">
        <v>28</v>
      </c>
      <c r="R270" s="7" t="s">
        <v>2283</v>
      </c>
      <c r="S270" s="8" t="s">
        <v>2284</v>
      </c>
      <c r="T270" s="7"/>
      <c r="U270" s="7"/>
      <c r="V270" s="7"/>
    </row>
    <row r="271" spans="1:22">
      <c r="A271" s="5" t="s">
        <v>2404</v>
      </c>
      <c r="B271" s="5" t="str">
        <f>GetAddress(A271)</f>
        <v>\\CHNO0276\Aseguranza de Calidad\Control de Documentos\Doc. controlados PDF\Formas\CNWI-PROD ( Produccion )\CNWI-PROD-F040 Past Due.xls</v>
      </c>
      <c r="C271" s="5" t="str">
        <f>MID(B271,LEN(B271) - FIND(".",REVERSETEXT(B271))+2,1000)</f>
        <v>xls</v>
      </c>
      <c r="D271" s="6">
        <v>5</v>
      </c>
      <c r="E271" s="7" t="s">
        <v>42</v>
      </c>
      <c r="F271" s="7" t="s">
        <v>2325</v>
      </c>
      <c r="G271" s="8" t="s">
        <v>23</v>
      </c>
      <c r="H271" s="8">
        <v>5</v>
      </c>
      <c r="I271" s="8"/>
      <c r="J271" s="8"/>
      <c r="K271" s="8"/>
      <c r="L271" s="8"/>
      <c r="M271" s="7" t="s">
        <v>2325</v>
      </c>
      <c r="N271" s="7" t="s">
        <v>2405</v>
      </c>
      <c r="O271" s="9">
        <v>40836</v>
      </c>
      <c r="P271" s="7" t="s">
        <v>27</v>
      </c>
      <c r="Q271" s="9" t="s">
        <v>28</v>
      </c>
      <c r="R271" s="7" t="s">
        <v>2283</v>
      </c>
      <c r="S271" s="8" t="s">
        <v>2284</v>
      </c>
      <c r="T271" s="7"/>
      <c r="U271" s="7"/>
      <c r="V271" s="7"/>
    </row>
    <row r="272" spans="1:22">
      <c r="A272" s="5" t="s">
        <v>278</v>
      </c>
      <c r="B272" s="5" t="str">
        <f>GetAddress(A272)</f>
        <v>\\chno0276\Aseguranza de Calidad\Control de Documentos\Doc. controlados PDF\Instructivos\CNWI-QAAS\CNWI-QAAS-0001 Responsabilidad Gerencial.pdf</v>
      </c>
      <c r="C272" s="5" t="str">
        <f>MID(B272,LEN(B272) - FIND(".",REVERSETEXT(B272))+2,1000)</f>
        <v>pdf</v>
      </c>
      <c r="D272" s="6">
        <v>4</v>
      </c>
      <c r="E272" s="7" t="s">
        <v>33</v>
      </c>
      <c r="F272" s="7" t="s">
        <v>256</v>
      </c>
      <c r="G272" s="8" t="s">
        <v>266</v>
      </c>
      <c r="H272" s="8">
        <v>9</v>
      </c>
      <c r="I272" s="8"/>
      <c r="J272" s="8"/>
      <c r="K272" s="8"/>
      <c r="L272" s="8"/>
      <c r="M272" s="7" t="s">
        <v>256</v>
      </c>
      <c r="N272" s="7" t="s">
        <v>279</v>
      </c>
      <c r="O272" s="9">
        <v>40948</v>
      </c>
      <c r="P272" s="7" t="s">
        <v>46</v>
      </c>
      <c r="Q272" s="9" t="s">
        <v>28</v>
      </c>
      <c r="R272" s="7" t="s">
        <v>221</v>
      </c>
      <c r="S272" s="8" t="s">
        <v>222</v>
      </c>
      <c r="T272" s="7"/>
      <c r="U272" s="7"/>
      <c r="V272" s="17"/>
    </row>
    <row r="273" spans="1:22">
      <c r="A273" s="5" t="s">
        <v>2213</v>
      </c>
      <c r="B273" s="5" t="str">
        <f>GetAddress(A273)</f>
        <v>\\CHNO0276\Aseguranza de Calidad\Control de Documentos\Doc. controlados PDF\Instructivos\CNWI-QAAS\CNWI-QAAS-0002 Control de sellos auditores.pdf</v>
      </c>
      <c r="C273" s="5" t="str">
        <f>MID(B273,LEN(B273) - FIND(".",REVERSETEXT(B273))+2,1000)</f>
        <v>pdf</v>
      </c>
      <c r="D273" s="6">
        <v>4</v>
      </c>
      <c r="E273" s="7" t="s">
        <v>33</v>
      </c>
      <c r="F273" s="7" t="s">
        <v>256</v>
      </c>
      <c r="G273" s="8" t="s">
        <v>266</v>
      </c>
      <c r="H273" s="8">
        <v>9</v>
      </c>
      <c r="I273" s="8"/>
      <c r="J273" s="8"/>
      <c r="K273" s="8"/>
      <c r="L273" s="8"/>
      <c r="M273" s="7" t="s">
        <v>256</v>
      </c>
      <c r="N273" s="7" t="s">
        <v>2214</v>
      </c>
      <c r="O273" s="9">
        <v>41043</v>
      </c>
      <c r="P273" s="7" t="s">
        <v>27</v>
      </c>
      <c r="Q273" s="9" t="s">
        <v>28</v>
      </c>
      <c r="R273" s="7" t="s">
        <v>2062</v>
      </c>
      <c r="S273" s="8" t="s">
        <v>2063</v>
      </c>
      <c r="T273" s="7"/>
      <c r="U273" s="7"/>
      <c r="V273" s="17"/>
    </row>
    <row r="274" spans="1:22">
      <c r="A274" s="5" t="s">
        <v>1160</v>
      </c>
      <c r="B274" s="5" t="str">
        <f>GetAddress(A274)</f>
        <v>\\chno0276\Aseguranza de Calidad\Control de Documentos\Doc. controlados PDF\Instructivos\CNWI-QAAS\CNWI-QAAS-0003 Calibracion.pdf</v>
      </c>
      <c r="C274" s="5" t="str">
        <f>MID(B274,LEN(B274) - FIND(".",REVERSETEXT(B274))+2,1000)</f>
        <v>pdf</v>
      </c>
      <c r="D274" s="6">
        <v>4</v>
      </c>
      <c r="E274" s="7" t="s">
        <v>33</v>
      </c>
      <c r="F274" s="7" t="s">
        <v>256</v>
      </c>
      <c r="G274" s="8" t="s">
        <v>266</v>
      </c>
      <c r="H274" s="8">
        <v>9</v>
      </c>
      <c r="I274" s="8"/>
      <c r="J274" s="8"/>
      <c r="K274" s="8"/>
      <c r="L274" s="8"/>
      <c r="M274" s="7" t="s">
        <v>256</v>
      </c>
      <c r="N274" s="7" t="s">
        <v>1161</v>
      </c>
      <c r="O274" s="9">
        <v>40974</v>
      </c>
      <c r="P274" s="7" t="s">
        <v>159</v>
      </c>
      <c r="Q274" s="9" t="s">
        <v>28</v>
      </c>
      <c r="R274" s="7" t="s">
        <v>1156</v>
      </c>
      <c r="S274" s="8" t="s">
        <v>1157</v>
      </c>
      <c r="T274" s="7"/>
      <c r="U274" s="7"/>
      <c r="V274" s="17"/>
    </row>
    <row r="275" spans="1:22">
      <c r="A275" s="5" t="s">
        <v>280</v>
      </c>
      <c r="B275" s="5" t="str">
        <f>GetAddress(A275)</f>
        <v>\\CHNO0276\Aseguranza de Calidad\Control de Documentos\Doc. controlados PDF\Instructivos\CNWI-QAAS\CNWI-QAAS-0004 Protocolo de Validacion.pdf</v>
      </c>
      <c r="C275" s="5" t="str">
        <f>MID(B275,LEN(B275) - FIND(".",REVERSETEXT(B275))+2,1000)</f>
        <v>pdf</v>
      </c>
      <c r="D275" s="6">
        <v>4</v>
      </c>
      <c r="E275" s="7" t="s">
        <v>33</v>
      </c>
      <c r="F275" s="7" t="s">
        <v>256</v>
      </c>
      <c r="G275" s="8" t="s">
        <v>266</v>
      </c>
      <c r="H275" s="8">
        <v>9</v>
      </c>
      <c r="I275" s="8"/>
      <c r="J275" s="8"/>
      <c r="K275" s="8"/>
      <c r="L275" s="8"/>
      <c r="M275" s="7" t="s">
        <v>256</v>
      </c>
      <c r="N275" s="7" t="s">
        <v>281</v>
      </c>
      <c r="O275" s="9">
        <v>41065</v>
      </c>
      <c r="P275" s="7" t="s">
        <v>38</v>
      </c>
      <c r="Q275" s="9" t="s">
        <v>28</v>
      </c>
      <c r="R275" s="7" t="s">
        <v>221</v>
      </c>
      <c r="S275" s="8" t="s">
        <v>222</v>
      </c>
      <c r="T275" s="7"/>
      <c r="U275" s="7"/>
      <c r="V275" s="17"/>
    </row>
    <row r="276" spans="1:22">
      <c r="A276" s="18" t="s">
        <v>517</v>
      </c>
      <c r="B276" s="5" t="str">
        <f>GetAddress(A276)</f>
        <v>\\chno0276\Aseguranza de Calidad\Control de Documentos\Doc. controlados PDF\Instructivos\CNWI-QAAS\CNWI-QAAS-0005 Sistema Escalacion de problemas.pdf</v>
      </c>
      <c r="C276" s="5" t="str">
        <f>MID(B276,LEN(B276) - FIND(".",REVERSETEXT(B276))+2,1000)</f>
        <v>pdf</v>
      </c>
      <c r="D276" s="6">
        <v>4</v>
      </c>
      <c r="E276" s="7" t="s">
        <v>33</v>
      </c>
      <c r="F276" s="7" t="s">
        <v>256</v>
      </c>
      <c r="G276" s="8" t="s">
        <v>266</v>
      </c>
      <c r="H276" s="8">
        <v>9</v>
      </c>
      <c r="I276" s="8"/>
      <c r="J276" s="8"/>
      <c r="K276" s="8"/>
      <c r="L276" s="8"/>
      <c r="M276" s="7" t="s">
        <v>256</v>
      </c>
      <c r="N276" s="7" t="s">
        <v>518</v>
      </c>
      <c r="O276" s="9">
        <v>40967</v>
      </c>
      <c r="P276" s="7" t="s">
        <v>27</v>
      </c>
      <c r="Q276" s="9" t="s">
        <v>28</v>
      </c>
      <c r="R276" s="7" t="s">
        <v>519</v>
      </c>
      <c r="S276" s="8" t="s">
        <v>520</v>
      </c>
      <c r="T276" s="7"/>
      <c r="U276" s="7"/>
      <c r="V276" s="17"/>
    </row>
    <row r="277" spans="1:22">
      <c r="A277" s="5" t="s">
        <v>1106</v>
      </c>
      <c r="B277" s="5" t="str">
        <f>GetAddress(A277)</f>
        <v>\\chno0276\Aseguranza de Calidad\Control de Documentos\Doc. controlados PDF\Instructivos\CNWI-QAAS\CNWI-QAAS-0006  Proceso de area de MRB.pdf</v>
      </c>
      <c r="C277" s="5" t="str">
        <f>MID(B277,LEN(B277) - FIND(".",REVERSETEXT(B277))+2,1000)</f>
        <v>pdf</v>
      </c>
      <c r="D277" s="6">
        <v>4</v>
      </c>
      <c r="E277" s="7" t="s">
        <v>33</v>
      </c>
      <c r="F277" s="7" t="s">
        <v>256</v>
      </c>
      <c r="G277" s="8" t="s">
        <v>266</v>
      </c>
      <c r="H277" s="8">
        <v>9</v>
      </c>
      <c r="I277" s="8"/>
      <c r="J277" s="8"/>
      <c r="K277" s="8"/>
      <c r="L277" s="8"/>
      <c r="M277" s="7" t="s">
        <v>256</v>
      </c>
      <c r="N277" s="7" t="s">
        <v>1107</v>
      </c>
      <c r="O277" s="9">
        <v>41204</v>
      </c>
      <c r="P277" s="7" t="s">
        <v>38</v>
      </c>
      <c r="Q277" s="9" t="s">
        <v>28</v>
      </c>
      <c r="R277" s="7" t="s">
        <v>1108</v>
      </c>
      <c r="S277" s="8" t="s">
        <v>1109</v>
      </c>
      <c r="T277" s="7"/>
      <c r="U277" s="7"/>
      <c r="V277" s="17"/>
    </row>
    <row r="278" spans="1:22">
      <c r="A278" s="18" t="s">
        <v>282</v>
      </c>
      <c r="B278" s="5" t="str">
        <f>GetAddress(A278)</f>
        <v>\\chno0276\Aseguranza de Calidad\Control de Documentos\Doc. controlados PDF\Instructivos\CNWI-QAAS\CNWI-QAAS-0008 Diagrama de tortugas.pdf</v>
      </c>
      <c r="C278" s="5" t="str">
        <f>MID(B278,LEN(B278) - FIND(".",REVERSETEXT(B278))+2,1000)</f>
        <v>pdf</v>
      </c>
      <c r="D278" s="6">
        <v>4</v>
      </c>
      <c r="E278" s="7" t="s">
        <v>33</v>
      </c>
      <c r="F278" s="7" t="s">
        <v>256</v>
      </c>
      <c r="G278" s="8" t="s">
        <v>266</v>
      </c>
      <c r="H278" s="8">
        <v>9</v>
      </c>
      <c r="I278" s="8"/>
      <c r="J278" s="8"/>
      <c r="K278" s="8"/>
      <c r="L278" s="8"/>
      <c r="M278" s="7" t="s">
        <v>256</v>
      </c>
      <c r="N278" s="7" t="s">
        <v>283</v>
      </c>
      <c r="O278" s="9">
        <v>40968</v>
      </c>
      <c r="P278" s="7" t="s">
        <v>27</v>
      </c>
      <c r="Q278" s="9" t="s">
        <v>28</v>
      </c>
      <c r="R278" s="7" t="s">
        <v>221</v>
      </c>
      <c r="S278" s="8" t="s">
        <v>222</v>
      </c>
      <c r="T278" s="7"/>
      <c r="U278" s="7"/>
      <c r="V278" s="17"/>
    </row>
    <row r="279" spans="1:22">
      <c r="A279" s="5" t="s">
        <v>1110</v>
      </c>
      <c r="B279" s="5" t="str">
        <f>GetAddress(A279)</f>
        <v>\\chno0276\Aseguranza de Calidad\Control de Documentos\Doc. controlados PDF\Instructivos\CNWI-QAAS\CNWI-QAAS-0009  Inspeccion de Entrada.pdf</v>
      </c>
      <c r="C279" s="5" t="str">
        <f>MID(B279,LEN(B279) - FIND(".",REVERSETEXT(B279))+2,1000)</f>
        <v>pdf</v>
      </c>
      <c r="D279" s="6">
        <v>4</v>
      </c>
      <c r="E279" s="7" t="s">
        <v>33</v>
      </c>
      <c r="F279" s="7" t="s">
        <v>256</v>
      </c>
      <c r="G279" s="8" t="s">
        <v>266</v>
      </c>
      <c r="H279" s="8">
        <v>9</v>
      </c>
      <c r="I279" s="8"/>
      <c r="J279" s="8"/>
      <c r="K279" s="8"/>
      <c r="L279" s="8"/>
      <c r="M279" s="7" t="s">
        <v>256</v>
      </c>
      <c r="N279" s="7" t="s">
        <v>1111</v>
      </c>
      <c r="O279" s="9">
        <v>41204</v>
      </c>
      <c r="P279" s="7" t="s">
        <v>261</v>
      </c>
      <c r="Q279" s="9" t="s">
        <v>28</v>
      </c>
      <c r="R279" s="7" t="s">
        <v>1108</v>
      </c>
      <c r="S279" s="8" t="s">
        <v>1109</v>
      </c>
      <c r="T279" s="7"/>
      <c r="U279" s="7"/>
      <c r="V279" s="17"/>
    </row>
    <row r="280" spans="1:22">
      <c r="A280" s="18" t="s">
        <v>284</v>
      </c>
      <c r="B280" s="5" t="str">
        <f>GetAddress(A280)</f>
        <v>\\chno0276\Aseguranza de Calidad\Control de Documentos\Doc. controlados PDF\Instructivos\CNWI-QAAS\CNWI-QAAS-0010 Proc. gral de inspeccion.pdf</v>
      </c>
      <c r="C280" s="5" t="str">
        <f>MID(B280,LEN(B280) - FIND(".",REVERSETEXT(B280))+2,1000)</f>
        <v>pdf</v>
      </c>
      <c r="D280" s="6">
        <v>4</v>
      </c>
      <c r="E280" s="7" t="s">
        <v>33</v>
      </c>
      <c r="F280" s="7" t="s">
        <v>256</v>
      </c>
      <c r="G280" s="8" t="s">
        <v>266</v>
      </c>
      <c r="H280" s="8">
        <v>9</v>
      </c>
      <c r="I280" s="8"/>
      <c r="J280" s="8"/>
      <c r="K280" s="8"/>
      <c r="L280" s="8"/>
      <c r="M280" s="7" t="s">
        <v>256</v>
      </c>
      <c r="N280" s="7" t="s">
        <v>285</v>
      </c>
      <c r="O280" s="9">
        <v>40961</v>
      </c>
      <c r="P280" s="7" t="s">
        <v>46</v>
      </c>
      <c r="Q280" s="9" t="s">
        <v>28</v>
      </c>
      <c r="R280" s="7" t="s">
        <v>221</v>
      </c>
      <c r="S280" s="8" t="s">
        <v>222</v>
      </c>
      <c r="T280" s="7"/>
      <c r="U280" s="7"/>
      <c r="V280" s="17"/>
    </row>
    <row r="281" spans="1:22">
      <c r="A281" s="18" t="s">
        <v>286</v>
      </c>
      <c r="B281" s="5" t="str">
        <f>GetAddress(A281)</f>
        <v>\\chno0276\Aseguranza de Calidad\Control de Documentos\Doc. controlados PDF\Instructivos\CNWI-QAAS\CNWI-QAAS-0011 Propiedad del cliente.pdf</v>
      </c>
      <c r="C281" s="5" t="str">
        <f>MID(B281,LEN(B281) - FIND(".",REVERSETEXT(B281))+2,1000)</f>
        <v>pdf</v>
      </c>
      <c r="D281" s="6">
        <v>4</v>
      </c>
      <c r="E281" s="7" t="s">
        <v>33</v>
      </c>
      <c r="F281" s="7" t="s">
        <v>256</v>
      </c>
      <c r="G281" s="8" t="s">
        <v>266</v>
      </c>
      <c r="H281" s="8">
        <v>9</v>
      </c>
      <c r="I281" s="8"/>
      <c r="J281" s="8"/>
      <c r="K281" s="8"/>
      <c r="L281" s="8"/>
      <c r="M281" s="7" t="s">
        <v>256</v>
      </c>
      <c r="N281" s="7" t="s">
        <v>287</v>
      </c>
      <c r="O281" s="9">
        <v>40837</v>
      </c>
      <c r="P281" s="7" t="s">
        <v>27</v>
      </c>
      <c r="Q281" s="9" t="s">
        <v>28</v>
      </c>
      <c r="R281" s="7" t="s">
        <v>221</v>
      </c>
      <c r="S281" s="8" t="s">
        <v>222</v>
      </c>
      <c r="T281" s="7"/>
      <c r="U281" s="7"/>
      <c r="V281" s="17"/>
    </row>
    <row r="282" spans="1:22">
      <c r="A282" s="18" t="s">
        <v>288</v>
      </c>
      <c r="B282" s="5" t="str">
        <f>GetAddress(A282)</f>
        <v>\\chno0276\Aseguranza de Calidad\Control de Documentos\Doc. controlados PDF\Instructivos\CNWI-QAAS\CNWI-QAAS-0012 Flujo de Proceso de Inspeccion P-Itron RCPT  y PLUG.pdf</v>
      </c>
      <c r="C282" s="5" t="str">
        <f>MID(B282,LEN(B282) - FIND(".",REVERSETEXT(B282))+2,1000)</f>
        <v>pdf</v>
      </c>
      <c r="D282" s="6">
        <v>4</v>
      </c>
      <c r="E282" s="7" t="s">
        <v>33</v>
      </c>
      <c r="F282" s="7" t="s">
        <v>256</v>
      </c>
      <c r="G282" s="8" t="s">
        <v>266</v>
      </c>
      <c r="H282" s="8">
        <v>9</v>
      </c>
      <c r="I282" s="8"/>
      <c r="J282" s="8"/>
      <c r="K282" s="8"/>
      <c r="L282" s="8"/>
      <c r="M282" s="7" t="s">
        <v>256</v>
      </c>
      <c r="N282" s="7" t="s">
        <v>289</v>
      </c>
      <c r="O282" s="9">
        <v>40961</v>
      </c>
      <c r="P282" s="7" t="s">
        <v>46</v>
      </c>
      <c r="Q282" s="9" t="s">
        <v>28</v>
      </c>
      <c r="R282" s="7" t="s">
        <v>221</v>
      </c>
      <c r="S282" s="8" t="s">
        <v>222</v>
      </c>
      <c r="T282" s="7"/>
      <c r="U282" s="7"/>
      <c r="V282" s="17"/>
    </row>
    <row r="283" spans="1:22">
      <c r="A283" s="5" t="s">
        <v>290</v>
      </c>
      <c r="B283" s="5" t="str">
        <f>GetAddress(A283)</f>
        <v>\\CHNO0276\Aseguranza de Calidad\Control de Documentos\Doc. controlados PDF\Instructivos\CNWI-QAAS\CNWI-QAAS-0013 Proceso de auditoria de productos UL.pdf</v>
      </c>
      <c r="C283" s="5" t="str">
        <f>MID(B283,LEN(B283) - FIND(".",REVERSETEXT(B283))+2,1000)</f>
        <v>pdf</v>
      </c>
      <c r="D283" s="6">
        <v>4</v>
      </c>
      <c r="E283" s="7" t="s">
        <v>33</v>
      </c>
      <c r="F283" s="7" t="s">
        <v>256</v>
      </c>
      <c r="G283" s="8" t="s">
        <v>266</v>
      </c>
      <c r="H283" s="8">
        <v>9</v>
      </c>
      <c r="I283" s="8"/>
      <c r="J283" s="8"/>
      <c r="K283" s="8"/>
      <c r="L283" s="8"/>
      <c r="M283" s="7" t="s">
        <v>256</v>
      </c>
      <c r="N283" s="7" t="s">
        <v>291</v>
      </c>
      <c r="O283" s="9">
        <v>41057</v>
      </c>
      <c r="P283" s="7" t="s">
        <v>27</v>
      </c>
      <c r="Q283" s="9" t="s">
        <v>28</v>
      </c>
      <c r="R283" s="7" t="s">
        <v>221</v>
      </c>
      <c r="S283" s="8" t="s">
        <v>222</v>
      </c>
      <c r="T283" s="7"/>
      <c r="U283" s="7"/>
      <c r="V283" s="17"/>
    </row>
    <row r="284" spans="1:22">
      <c r="A284" s="18" t="s">
        <v>292</v>
      </c>
      <c r="B284" s="5" t="str">
        <f>GetAddress(A284)</f>
        <v>\\chno0276\Aseguranza de Calidad\Control de Documentos\Doc. controlados PDF\Instructivos\CNWI-QAAS\CNWI-QAAS-0014 Proceso outsourcing.pdf</v>
      </c>
      <c r="C284" s="5" t="str">
        <f>MID(B284,LEN(B284) - FIND(".",REVERSETEXT(B284))+2,1000)</f>
        <v>pdf</v>
      </c>
      <c r="D284" s="6">
        <v>4</v>
      </c>
      <c r="E284" s="7" t="s">
        <v>33</v>
      </c>
      <c r="F284" s="7" t="s">
        <v>256</v>
      </c>
      <c r="G284" s="8" t="s">
        <v>266</v>
      </c>
      <c r="H284" s="8">
        <v>9</v>
      </c>
      <c r="I284" s="8"/>
      <c r="J284" s="8"/>
      <c r="K284" s="8"/>
      <c r="L284" s="8"/>
      <c r="M284" s="7" t="s">
        <v>256</v>
      </c>
      <c r="N284" s="7" t="s">
        <v>293</v>
      </c>
      <c r="O284" s="9">
        <v>40995</v>
      </c>
      <c r="P284" s="7" t="s">
        <v>27</v>
      </c>
      <c r="Q284" s="9" t="s">
        <v>28</v>
      </c>
      <c r="R284" s="7" t="s">
        <v>221</v>
      </c>
      <c r="S284" s="8" t="s">
        <v>222</v>
      </c>
      <c r="T284" s="7"/>
      <c r="U284" s="7"/>
      <c r="V284" s="7"/>
    </row>
    <row r="285" spans="1:22">
      <c r="A285" s="5" t="s">
        <v>294</v>
      </c>
      <c r="B285" s="5" t="str">
        <f>GetAddress(A285)</f>
        <v>\\chno0276\Control de Documentos\Doc. controlados PDF\Instructivos\CNWI-QAAS\CNWI-QAAS-0015 Management Risks Process.pdf</v>
      </c>
      <c r="C285" s="5" t="str">
        <f>MID(B285,LEN(B285) - FIND(".",REVERSETEXT(B285))+2,1000)</f>
        <v>pdf</v>
      </c>
      <c r="D285" s="6">
        <v>4</v>
      </c>
      <c r="E285" s="7" t="s">
        <v>33</v>
      </c>
      <c r="F285" s="7" t="s">
        <v>256</v>
      </c>
      <c r="G285" s="8" t="s">
        <v>266</v>
      </c>
      <c r="H285" s="8">
        <v>9</v>
      </c>
      <c r="I285" s="8"/>
      <c r="J285" s="8"/>
      <c r="K285" s="8"/>
      <c r="L285" s="8"/>
      <c r="M285" s="7" t="s">
        <v>256</v>
      </c>
      <c r="N285" s="7" t="s">
        <v>295</v>
      </c>
      <c r="O285" s="9">
        <v>40970</v>
      </c>
      <c r="P285" s="7" t="s">
        <v>27</v>
      </c>
      <c r="Q285" s="9" t="s">
        <v>28</v>
      </c>
      <c r="R285" s="7" t="s">
        <v>221</v>
      </c>
      <c r="S285" s="8" t="s">
        <v>222</v>
      </c>
      <c r="T285" s="7"/>
      <c r="U285" s="7"/>
      <c r="V285" s="7"/>
    </row>
    <row r="286" spans="1:22">
      <c r="A286" s="18" t="s">
        <v>296</v>
      </c>
      <c r="B286" s="5" t="str">
        <f>GetAddress(A286)</f>
        <v>\\chno0276\Aseguranza de Calidad\Control de Documentos\Doc. controlados PDF\Instructivos\CNWI-QAAS\CNWI-QAAS-0016 Captura de boletas Sistema SAP.pdf</v>
      </c>
      <c r="C286" s="5" t="str">
        <f>MID(B286,LEN(B286) - FIND(".",REVERSETEXT(B286))+2,1000)</f>
        <v>pdf</v>
      </c>
      <c r="D286" s="6">
        <v>4</v>
      </c>
      <c r="E286" s="7" t="s">
        <v>33</v>
      </c>
      <c r="F286" s="7" t="s">
        <v>256</v>
      </c>
      <c r="G286" s="8" t="s">
        <v>266</v>
      </c>
      <c r="H286" s="8">
        <v>9</v>
      </c>
      <c r="I286" s="8"/>
      <c r="J286" s="8"/>
      <c r="K286" s="8"/>
      <c r="L286" s="8"/>
      <c r="M286" s="7" t="s">
        <v>256</v>
      </c>
      <c r="N286" s="7" t="s">
        <v>297</v>
      </c>
      <c r="O286" s="9">
        <v>40590</v>
      </c>
      <c r="P286" s="7" t="s">
        <v>27</v>
      </c>
      <c r="Q286" s="9" t="s">
        <v>28</v>
      </c>
      <c r="R286" s="7" t="s">
        <v>221</v>
      </c>
      <c r="S286" s="8" t="s">
        <v>222</v>
      </c>
      <c r="T286" s="7"/>
      <c r="U286" s="7"/>
      <c r="V286" s="17"/>
    </row>
    <row r="287" spans="1:22">
      <c r="A287" s="18" t="s">
        <v>1162</v>
      </c>
      <c r="B287" s="5" t="str">
        <f>GetAddress(A287)</f>
        <v>\\chno0276\Aseguranza de Calidad\Control de Documentos\Doc. controlados PDF\Instructivos\CNWI-QAAS\CNWI-QAAS-0017 Base de datos Calibracion.pdf</v>
      </c>
      <c r="C287" s="5" t="str">
        <f>MID(B287,LEN(B287) - FIND(".",REVERSETEXT(B287))+2,1000)</f>
        <v>pdf</v>
      </c>
      <c r="D287" s="6">
        <v>4</v>
      </c>
      <c r="E287" s="7" t="s">
        <v>33</v>
      </c>
      <c r="F287" s="7" t="s">
        <v>256</v>
      </c>
      <c r="G287" s="8" t="s">
        <v>266</v>
      </c>
      <c r="H287" s="8">
        <v>9</v>
      </c>
      <c r="I287" s="8"/>
      <c r="J287" s="8"/>
      <c r="K287" s="8"/>
      <c r="L287" s="8"/>
      <c r="M287" s="7" t="s">
        <v>256</v>
      </c>
      <c r="N287" s="7" t="s">
        <v>1163</v>
      </c>
      <c r="O287" s="9">
        <v>40745</v>
      </c>
      <c r="P287" s="7" t="s">
        <v>27</v>
      </c>
      <c r="Q287" s="9" t="s">
        <v>28</v>
      </c>
      <c r="R287" s="7" t="s">
        <v>1156</v>
      </c>
      <c r="S287" s="8" t="s">
        <v>1157</v>
      </c>
      <c r="T287" s="7"/>
      <c r="U287" s="7"/>
      <c r="V287" s="17"/>
    </row>
    <row r="288" spans="1:22">
      <c r="A288" s="18" t="s">
        <v>1164</v>
      </c>
      <c r="B288" s="5" t="str">
        <f>GetAddress(A288)</f>
        <v>\\chno0276\Aseguranza de Calidad\Control de Documentos\Doc. controlados PDF\Instructivos\CNWI-QAAS\CNWI-QAAS-0018 calibracion de basculas.pdf</v>
      </c>
      <c r="C288" s="5" t="str">
        <f>MID(B288,LEN(B288) - FIND(".",REVERSETEXT(B288))+2,1000)</f>
        <v>pdf</v>
      </c>
      <c r="D288" s="6">
        <v>4</v>
      </c>
      <c r="E288" s="7" t="s">
        <v>33</v>
      </c>
      <c r="F288" s="7" t="s">
        <v>256</v>
      </c>
      <c r="G288" s="8" t="s">
        <v>266</v>
      </c>
      <c r="H288" s="8">
        <v>9</v>
      </c>
      <c r="I288" s="8"/>
      <c r="J288" s="8"/>
      <c r="K288" s="8"/>
      <c r="L288" s="8"/>
      <c r="M288" s="7" t="s">
        <v>256</v>
      </c>
      <c r="N288" s="7" t="s">
        <v>1165</v>
      </c>
      <c r="O288" s="9">
        <v>40745</v>
      </c>
      <c r="P288" s="7" t="s">
        <v>27</v>
      </c>
      <c r="Q288" s="9" t="s">
        <v>28</v>
      </c>
      <c r="R288" s="7" t="s">
        <v>1156</v>
      </c>
      <c r="S288" s="8" t="s">
        <v>1157</v>
      </c>
      <c r="T288" s="7"/>
      <c r="U288" s="7"/>
      <c r="V288" s="17"/>
    </row>
    <row r="289" spans="1:22">
      <c r="A289" s="18" t="s">
        <v>1166</v>
      </c>
      <c r="B289" s="5" t="str">
        <f>GetAddress(A289)</f>
        <v>\\chno0276\Aseguranza de Calidad\Control de Documentos\Doc. controlados PDF\Instructivos\CNWI-QAAS\CNWI-QAAS-0019 Calibracion micrometros.pdf</v>
      </c>
      <c r="C289" s="5" t="str">
        <f>MID(B289,LEN(B289) - FIND(".",REVERSETEXT(B289))+2,1000)</f>
        <v>pdf</v>
      </c>
      <c r="D289" s="6">
        <v>4</v>
      </c>
      <c r="E289" s="7" t="s">
        <v>33</v>
      </c>
      <c r="F289" s="7" t="s">
        <v>256</v>
      </c>
      <c r="G289" s="8" t="s">
        <v>266</v>
      </c>
      <c r="H289" s="8">
        <v>9</v>
      </c>
      <c r="I289" s="8"/>
      <c r="J289" s="8"/>
      <c r="K289" s="8"/>
      <c r="L289" s="8"/>
      <c r="M289" s="7" t="s">
        <v>256</v>
      </c>
      <c r="N289" s="7" t="s">
        <v>1167</v>
      </c>
      <c r="O289" s="9">
        <v>40745</v>
      </c>
      <c r="P289" s="7" t="s">
        <v>27</v>
      </c>
      <c r="Q289" s="9" t="s">
        <v>28</v>
      </c>
      <c r="R289" s="7" t="s">
        <v>1156</v>
      </c>
      <c r="S289" s="8" t="s">
        <v>1157</v>
      </c>
      <c r="T289" s="7"/>
      <c r="U289" s="7"/>
      <c r="V289" s="17"/>
    </row>
    <row r="290" spans="1:22">
      <c r="A290" s="18" t="s">
        <v>1168</v>
      </c>
      <c r="B290" s="5" t="str">
        <f>GetAddress(A290)</f>
        <v>\\chno0276\Aseguranza de Calidad\Control de Documentos\Doc. controlados PDF\Instructivos\CNWI-QAAS\CNWI-QAAS-0020 calibracion Basculas.pdf</v>
      </c>
      <c r="C290" s="5" t="str">
        <f>MID(B290,LEN(B290) - FIND(".",REVERSETEXT(B290))+2,1000)</f>
        <v>pdf</v>
      </c>
      <c r="D290" s="6">
        <v>4</v>
      </c>
      <c r="E290" s="7" t="s">
        <v>33</v>
      </c>
      <c r="F290" s="7" t="s">
        <v>256</v>
      </c>
      <c r="G290" s="8" t="s">
        <v>266</v>
      </c>
      <c r="H290" s="8">
        <v>9</v>
      </c>
      <c r="I290" s="8"/>
      <c r="J290" s="8"/>
      <c r="K290" s="8"/>
      <c r="L290" s="8"/>
      <c r="M290" s="7" t="s">
        <v>256</v>
      </c>
      <c r="N290" s="7" t="s">
        <v>1169</v>
      </c>
      <c r="O290" s="9">
        <v>40745</v>
      </c>
      <c r="P290" s="7" t="s">
        <v>27</v>
      </c>
      <c r="Q290" s="9" t="s">
        <v>28</v>
      </c>
      <c r="R290" s="7" t="s">
        <v>1156</v>
      </c>
      <c r="S290" s="8" t="s">
        <v>1157</v>
      </c>
      <c r="T290" s="7"/>
      <c r="U290" s="7"/>
      <c r="V290" s="17"/>
    </row>
    <row r="291" spans="1:22">
      <c r="A291" s="18" t="s">
        <v>2034</v>
      </c>
      <c r="B291" s="5" t="str">
        <f>GetAddress(A291)</f>
        <v>\\CHNO0276\Aseguranza de Calidad\Control de Documentos\Doc. controlados PDF\Instructivos\CNWI-QAAS\CNWI-QAAS-0021  Procedimiento Scrap.pdf</v>
      </c>
      <c r="C291" s="5" t="str">
        <f>MID(B291,LEN(B291) - FIND(".",REVERSETEXT(B291))+2,1000)</f>
        <v>pdf</v>
      </c>
      <c r="D291" s="6">
        <v>4</v>
      </c>
      <c r="E291" s="7" t="s">
        <v>33</v>
      </c>
      <c r="F291" s="7" t="s">
        <v>256</v>
      </c>
      <c r="G291" s="8" t="s">
        <v>266</v>
      </c>
      <c r="H291" s="8">
        <v>9</v>
      </c>
      <c r="I291" s="8"/>
      <c r="J291" s="8"/>
      <c r="K291" s="8"/>
      <c r="L291" s="8"/>
      <c r="M291" s="7" t="s">
        <v>256</v>
      </c>
      <c r="N291" s="7" t="s">
        <v>2035</v>
      </c>
      <c r="O291" s="9">
        <v>41057</v>
      </c>
      <c r="P291" s="7" t="s">
        <v>159</v>
      </c>
      <c r="Q291" s="9" t="s">
        <v>28</v>
      </c>
      <c r="R291" s="7" t="s">
        <v>1887</v>
      </c>
      <c r="S291" s="8" t="s">
        <v>1888</v>
      </c>
      <c r="T291" s="7"/>
      <c r="U291" s="7"/>
      <c r="V291" s="17"/>
    </row>
    <row r="292" spans="1:22">
      <c r="A292" s="5" t="s">
        <v>2215</v>
      </c>
      <c r="B292" s="5" t="str">
        <f>GetAddress(A292)</f>
        <v>\\chno0276\Control de Documentos\Doc. controlados PDF\Instructivos\CNWI-QAAS\CNWI-QAAS-0022  Instructivo de llenado Certificado.pdf</v>
      </c>
      <c r="C292" s="5" t="str">
        <f>MID(B292,LEN(B292) - FIND(".",REVERSETEXT(B292))+2,1000)</f>
        <v>pdf</v>
      </c>
      <c r="D292" s="6">
        <v>4</v>
      </c>
      <c r="E292" s="7" t="s">
        <v>33</v>
      </c>
      <c r="F292" s="7" t="s">
        <v>256</v>
      </c>
      <c r="G292" s="8" t="s">
        <v>266</v>
      </c>
      <c r="H292" s="8">
        <v>9</v>
      </c>
      <c r="I292" s="8"/>
      <c r="J292" s="8"/>
      <c r="K292" s="8"/>
      <c r="L292" s="8"/>
      <c r="M292" s="7" t="s">
        <v>256</v>
      </c>
      <c r="N292" s="7" t="s">
        <v>2216</v>
      </c>
      <c r="O292" s="9">
        <v>41107</v>
      </c>
      <c r="P292" s="7" t="s">
        <v>38</v>
      </c>
      <c r="Q292" s="9" t="s">
        <v>28</v>
      </c>
      <c r="R292" s="7" t="s">
        <v>2062</v>
      </c>
      <c r="S292" s="8" t="s">
        <v>2063</v>
      </c>
      <c r="T292" s="7"/>
      <c r="U292" s="7"/>
      <c r="V292" s="17"/>
    </row>
    <row r="293" spans="1:22">
      <c r="A293" s="5" t="s">
        <v>1112</v>
      </c>
      <c r="B293" s="5" t="str">
        <f>GetAddress(A293)</f>
        <v>\\chno0276\Aseguranza de Calidad\Control de Documentos\Doc. controlados PDF\Instructivos\CNWI-QAAS\CNWI-QAAS-0023  Instruccion de RMA's  _ Spanish _.pdf</v>
      </c>
      <c r="C293" s="5" t="str">
        <f>MID(B293,LEN(B293) - FIND(".",REVERSETEXT(B293))+2,1000)</f>
        <v>pdf</v>
      </c>
      <c r="D293" s="6">
        <v>4</v>
      </c>
      <c r="E293" s="7" t="s">
        <v>33</v>
      </c>
      <c r="F293" s="7" t="s">
        <v>256</v>
      </c>
      <c r="G293" s="8" t="s">
        <v>266</v>
      </c>
      <c r="H293" s="8">
        <v>9</v>
      </c>
      <c r="I293" s="8"/>
      <c r="J293" s="8"/>
      <c r="K293" s="8"/>
      <c r="L293" s="8"/>
      <c r="M293" s="7" t="s">
        <v>256</v>
      </c>
      <c r="N293" s="7" t="s">
        <v>1113</v>
      </c>
      <c r="O293" s="9">
        <v>41201</v>
      </c>
      <c r="P293" s="7" t="s">
        <v>159</v>
      </c>
      <c r="Q293" s="9" t="s">
        <v>28</v>
      </c>
      <c r="R293" s="7" t="s">
        <v>1108</v>
      </c>
      <c r="S293" s="8" t="s">
        <v>1109</v>
      </c>
      <c r="T293" s="7"/>
      <c r="U293" s="7"/>
      <c r="V293" s="17"/>
    </row>
    <row r="294" spans="1:22">
      <c r="A294" s="18" t="s">
        <v>1114</v>
      </c>
      <c r="B294" s="5" t="str">
        <f>GetAddress(A294)</f>
        <v>\\CHNO0276\Aseguranza de Calidad\Control de Documentos\Doc. controlados PDF\Instructivos\CNWI-QAAS\CNWI-QAAS-0024 Procedimiento para recall de productos.pdf</v>
      </c>
      <c r="C294" s="5" t="str">
        <f>MID(B294,LEN(B294) - FIND(".",REVERSETEXT(B294))+2,1000)</f>
        <v>pdf</v>
      </c>
      <c r="D294" s="6">
        <v>4</v>
      </c>
      <c r="E294" s="7" t="s">
        <v>33</v>
      </c>
      <c r="F294" s="7" t="s">
        <v>256</v>
      </c>
      <c r="G294" s="8" t="s">
        <v>266</v>
      </c>
      <c r="H294" s="8">
        <v>9</v>
      </c>
      <c r="I294" s="8"/>
      <c r="J294" s="8"/>
      <c r="K294" s="8"/>
      <c r="L294" s="8"/>
      <c r="M294" s="7" t="s">
        <v>256</v>
      </c>
      <c r="N294" s="7" t="s">
        <v>1115</v>
      </c>
      <c r="O294" s="9">
        <v>41053</v>
      </c>
      <c r="P294" s="7" t="s">
        <v>27</v>
      </c>
      <c r="Q294" s="9" t="s">
        <v>28</v>
      </c>
      <c r="R294" s="7" t="s">
        <v>1108</v>
      </c>
      <c r="S294" s="8" t="s">
        <v>1109</v>
      </c>
      <c r="T294" s="7"/>
      <c r="U294" s="7"/>
      <c r="V294" s="17"/>
    </row>
    <row r="295" spans="1:22">
      <c r="A295" s="5" t="s">
        <v>1116</v>
      </c>
      <c r="B295" s="5" t="str">
        <f>GetAddress(A295)</f>
        <v>\\chno0276\Aseguranza de Calidad\Control de Documentos\Doc. controlados PDF\Instructivos\CNWI-QAAS\CNWI-QAAS-0025  Validacion de componentes.pdf</v>
      </c>
      <c r="C295" s="5" t="str">
        <f>MID(B295,LEN(B295) - FIND(".",REVERSETEXT(B295))+2,1000)</f>
        <v>pdf</v>
      </c>
      <c r="D295" s="6">
        <v>4</v>
      </c>
      <c r="E295" s="7" t="s">
        <v>33</v>
      </c>
      <c r="F295" s="7" t="s">
        <v>256</v>
      </c>
      <c r="G295" s="8" t="s">
        <v>266</v>
      </c>
      <c r="H295" s="8">
        <v>9</v>
      </c>
      <c r="I295" s="8"/>
      <c r="J295" s="8"/>
      <c r="K295" s="8"/>
      <c r="L295" s="8"/>
      <c r="M295" s="7" t="s">
        <v>256</v>
      </c>
      <c r="N295" s="7" t="s">
        <v>1117</v>
      </c>
      <c r="O295" s="9">
        <v>41204</v>
      </c>
      <c r="P295" s="7" t="s">
        <v>46</v>
      </c>
      <c r="Q295" s="9" t="s">
        <v>28</v>
      </c>
      <c r="R295" s="7" t="s">
        <v>1108</v>
      </c>
      <c r="S295" s="8" t="s">
        <v>1109</v>
      </c>
      <c r="T295" s="7"/>
      <c r="U295" s="7"/>
      <c r="V295" s="17"/>
    </row>
    <row r="296" spans="1:22">
      <c r="A296" s="18" t="s">
        <v>298</v>
      </c>
      <c r="B296" s="5" t="str">
        <f>GetAddress(A296)</f>
        <v>\\chno0276\Aseguranza de Calidad\Control de Documentos\Doc. controlados PDF\Instructivos\CNWI-QAAS\CNWI-QAAS-0026 Identificacion y Rastreabilidad del producto.pdf</v>
      </c>
      <c r="C296" s="5" t="str">
        <f>MID(B296,LEN(B296) - FIND(".",REVERSETEXT(B296))+2,1000)</f>
        <v>pdf</v>
      </c>
      <c r="D296" s="6">
        <v>4</v>
      </c>
      <c r="E296" s="7" t="s">
        <v>33</v>
      </c>
      <c r="F296" s="7" t="s">
        <v>256</v>
      </c>
      <c r="G296" s="8" t="s">
        <v>266</v>
      </c>
      <c r="H296" s="8">
        <v>9</v>
      </c>
      <c r="I296" s="8"/>
      <c r="J296" s="8"/>
      <c r="K296" s="8"/>
      <c r="L296" s="8"/>
      <c r="M296" s="7" t="s">
        <v>256</v>
      </c>
      <c r="N296" s="7" t="s">
        <v>299</v>
      </c>
      <c r="O296" s="9">
        <v>40834</v>
      </c>
      <c r="P296" s="7" t="s">
        <v>27</v>
      </c>
      <c r="Q296" s="9" t="s">
        <v>28</v>
      </c>
      <c r="R296" s="7" t="s">
        <v>221</v>
      </c>
      <c r="S296" s="8" t="s">
        <v>222</v>
      </c>
      <c r="T296" s="7"/>
      <c r="U296" s="7"/>
      <c r="V296" s="17"/>
    </row>
    <row r="297" spans="1:22" ht="25.5">
      <c r="A297" s="5" t="s">
        <v>1170</v>
      </c>
      <c r="B297" s="5" t="str">
        <f>GetAddress(A297)</f>
        <v>\\CHNO0276\Aseguranza de Calidad\Control de Documentos\Doc. controlados PDF\Instructivos\CNWI-QAAS\CNWI-QAAS-0027 Rev. A Flujo de proceso de inspeccion de engomado bacc65xx.doc</v>
      </c>
      <c r="C297" s="5" t="str">
        <f>MID(B297,LEN(B297) - FIND(".",REVERSETEXT(B297))+2,1000)</f>
        <v>doc</v>
      </c>
      <c r="D297" s="6">
        <v>4</v>
      </c>
      <c r="E297" s="7" t="s">
        <v>33</v>
      </c>
      <c r="F297" s="7" t="s">
        <v>256</v>
      </c>
      <c r="G297" s="8" t="s">
        <v>266</v>
      </c>
      <c r="H297" s="8">
        <v>9</v>
      </c>
      <c r="I297" s="8"/>
      <c r="J297" s="8"/>
      <c r="K297" s="8"/>
      <c r="L297" s="8"/>
      <c r="M297" s="7" t="s">
        <v>256</v>
      </c>
      <c r="N297" s="13" t="s">
        <v>1171</v>
      </c>
      <c r="O297" s="9">
        <v>40856</v>
      </c>
      <c r="P297" s="7" t="s">
        <v>27</v>
      </c>
      <c r="Q297" s="9" t="s">
        <v>28</v>
      </c>
      <c r="R297" s="7" t="s">
        <v>1156</v>
      </c>
      <c r="S297" s="8" t="s">
        <v>1157</v>
      </c>
      <c r="T297" s="7"/>
      <c r="U297" s="7"/>
      <c r="V297" s="17"/>
    </row>
    <row r="298" spans="1:22">
      <c r="A298" s="18" t="s">
        <v>1172</v>
      </c>
      <c r="B298" s="5" t="str">
        <f>GetAddress(A298)</f>
        <v>\\chno0276\Aseguranza de Calidad\Control de Documentos\Doc. controlados PDF\Instructivos\CNWI-QAAS\CNWI-QAAS-0028 Flujo de Inspeccion en Ensamble.pdf</v>
      </c>
      <c r="C298" s="5" t="str">
        <f>MID(B298,LEN(B298) - FIND(".",REVERSETEXT(B298))+2,1000)</f>
        <v>pdf</v>
      </c>
      <c r="D298" s="6">
        <v>4</v>
      </c>
      <c r="E298" s="7" t="s">
        <v>33</v>
      </c>
      <c r="F298" s="7" t="s">
        <v>256</v>
      </c>
      <c r="G298" s="8" t="s">
        <v>266</v>
      </c>
      <c r="H298" s="8">
        <v>9</v>
      </c>
      <c r="I298" s="8"/>
      <c r="J298" s="8"/>
      <c r="K298" s="8"/>
      <c r="L298" s="8"/>
      <c r="M298" s="7" t="s">
        <v>256</v>
      </c>
      <c r="N298" s="7" t="s">
        <v>1173</v>
      </c>
      <c r="O298" s="9">
        <v>40849</v>
      </c>
      <c r="P298" s="7" t="s">
        <v>27</v>
      </c>
      <c r="Q298" s="9" t="s">
        <v>28</v>
      </c>
      <c r="R298" s="7" t="s">
        <v>1156</v>
      </c>
      <c r="S298" s="8" t="s">
        <v>1157</v>
      </c>
      <c r="T298" s="7"/>
      <c r="U298" s="7"/>
      <c r="V298" s="17"/>
    </row>
    <row r="299" spans="1:22">
      <c r="A299" s="5" t="s">
        <v>2036</v>
      </c>
      <c r="B299" s="5" t="str">
        <f>GetAddress(A299)</f>
        <v>\\CHNO0276\Aseguranza de Calidad\Control de Documentos\Documentos controlados\CN-QAAS (Aseguranza de calidad)\WI\CNWI-QAAS-0029 Rev. A Procedimiento para cerrar en SAP las notificaciones de Customer Complaints.docx</v>
      </c>
      <c r="C299" s="5" t="str">
        <f>MID(B299,LEN(B299) - FIND(".",REVERSETEXT(B299))+2,1000)</f>
        <v>docx</v>
      </c>
      <c r="D299" s="6">
        <v>4</v>
      </c>
      <c r="E299" s="7" t="s">
        <v>33</v>
      </c>
      <c r="F299" s="7" t="s">
        <v>256</v>
      </c>
      <c r="G299" s="8" t="s">
        <v>266</v>
      </c>
      <c r="H299" s="8">
        <v>9</v>
      </c>
      <c r="I299" s="8"/>
      <c r="J299" s="8"/>
      <c r="K299" s="8"/>
      <c r="L299" s="8"/>
      <c r="M299" s="7" t="s">
        <v>256</v>
      </c>
      <c r="N299" s="7" t="s">
        <v>2037</v>
      </c>
      <c r="O299" s="9">
        <v>41065</v>
      </c>
      <c r="P299" s="7" t="s">
        <v>27</v>
      </c>
      <c r="Q299" s="9" t="s">
        <v>28</v>
      </c>
      <c r="R299" s="7" t="s">
        <v>1887</v>
      </c>
      <c r="S299" s="8" t="s">
        <v>1888</v>
      </c>
      <c r="T299" s="7"/>
      <c r="U299" s="7"/>
      <c r="V299" s="17"/>
    </row>
    <row r="300" spans="1:22">
      <c r="A300" s="18" t="s">
        <v>1174</v>
      </c>
      <c r="B300" s="5" t="str">
        <f>GetAddress(A300)</f>
        <v>\\chno0276\Aseguranza de Calidad\Control de Documentos\Doc. controlados PDF\Instructivos\CNWI-QAAS\CNWI-QAAS-0030 liberacion de equipo.pdf</v>
      </c>
      <c r="C300" s="5" t="str">
        <f>MID(B300,LEN(B300) - FIND(".",REVERSETEXT(B300))+2,1000)</f>
        <v>pdf</v>
      </c>
      <c r="D300" s="6">
        <v>4</v>
      </c>
      <c r="E300" s="7" t="s">
        <v>33</v>
      </c>
      <c r="F300" s="7" t="s">
        <v>256</v>
      </c>
      <c r="G300" s="8" t="s">
        <v>266</v>
      </c>
      <c r="H300" s="8">
        <v>9</v>
      </c>
      <c r="I300" s="8"/>
      <c r="J300" s="8"/>
      <c r="K300" s="8"/>
      <c r="L300" s="8"/>
      <c r="M300" s="7" t="s">
        <v>256</v>
      </c>
      <c r="N300" s="7" t="s">
        <v>1175</v>
      </c>
      <c r="O300" s="9">
        <v>40850</v>
      </c>
      <c r="P300" s="7" t="s">
        <v>27</v>
      </c>
      <c r="Q300" s="9" t="s">
        <v>28</v>
      </c>
      <c r="R300" s="7" t="s">
        <v>1156</v>
      </c>
      <c r="S300" s="8" t="s">
        <v>1157</v>
      </c>
      <c r="T300" s="7"/>
      <c r="U300" s="7"/>
      <c r="V300" s="17"/>
    </row>
    <row r="301" spans="1:22">
      <c r="A301" s="18" t="s">
        <v>1176</v>
      </c>
      <c r="B301" s="5" t="str">
        <f>GetAddress(A301)</f>
        <v>\\chno0276\Aseguranza de Calidad\Control de Documentos\Doc. controlados PDF\Instructivos\CNWI-QAAS\CNWI-QAAS-0031 Calibracion de Verniers.pdf</v>
      </c>
      <c r="C301" s="5" t="str">
        <f>MID(B301,LEN(B301) - FIND(".",REVERSETEXT(B301))+2,1000)</f>
        <v>pdf</v>
      </c>
      <c r="D301" s="6">
        <v>4</v>
      </c>
      <c r="E301" s="7" t="s">
        <v>33</v>
      </c>
      <c r="F301" s="7" t="s">
        <v>256</v>
      </c>
      <c r="G301" s="8" t="s">
        <v>266</v>
      </c>
      <c r="H301" s="8">
        <v>9</v>
      </c>
      <c r="I301" s="8"/>
      <c r="J301" s="8"/>
      <c r="K301" s="8"/>
      <c r="L301" s="8"/>
      <c r="M301" s="7" t="s">
        <v>256</v>
      </c>
      <c r="N301" s="7" t="s">
        <v>1177</v>
      </c>
      <c r="O301" s="9">
        <v>40863</v>
      </c>
      <c r="P301" s="7" t="s">
        <v>27</v>
      </c>
      <c r="Q301" s="9" t="s">
        <v>28</v>
      </c>
      <c r="R301" s="7" t="s">
        <v>1156</v>
      </c>
      <c r="S301" s="8" t="s">
        <v>1157</v>
      </c>
      <c r="T301" s="7"/>
      <c r="U301" s="7"/>
      <c r="V301" s="17"/>
    </row>
    <row r="302" spans="1:22">
      <c r="A302" s="18" t="s">
        <v>1178</v>
      </c>
      <c r="B302" s="5" t="str">
        <f>GetAddress(A302)</f>
        <v>\\chno0276\Aseguranza de Calidad\Control de Documentos\Doc. controlados PDF\Instructivos\CNWI-QAAS\CNWI-QAAS-0032 Instructivo de calibracion de  hornos.pdf</v>
      </c>
      <c r="C302" s="5" t="str">
        <f>MID(B302,LEN(B302) - FIND(".",REVERSETEXT(B302))+2,1000)</f>
        <v>pdf</v>
      </c>
      <c r="D302" s="6">
        <v>4</v>
      </c>
      <c r="E302" s="7" t="s">
        <v>33</v>
      </c>
      <c r="F302" s="7" t="s">
        <v>256</v>
      </c>
      <c r="G302" s="8" t="s">
        <v>266</v>
      </c>
      <c r="H302" s="8">
        <v>9</v>
      </c>
      <c r="I302" s="8"/>
      <c r="J302" s="8"/>
      <c r="K302" s="8"/>
      <c r="L302" s="8"/>
      <c r="M302" s="7" t="s">
        <v>256</v>
      </c>
      <c r="N302" s="7" t="s">
        <v>1179</v>
      </c>
      <c r="O302" s="9">
        <v>40871</v>
      </c>
      <c r="P302" s="7" t="s">
        <v>27</v>
      </c>
      <c r="Q302" s="9" t="s">
        <v>28</v>
      </c>
      <c r="R302" s="7" t="s">
        <v>1156</v>
      </c>
      <c r="S302" s="8" t="s">
        <v>1157</v>
      </c>
      <c r="T302" s="7"/>
      <c r="U302" s="7"/>
      <c r="V302" s="17"/>
    </row>
    <row r="303" spans="1:22">
      <c r="A303" s="5" t="s">
        <v>2038</v>
      </c>
      <c r="B303" s="5" t="str">
        <f>GetAddress(A303)</f>
        <v>\\CHNO0276\Aseguranza de Calidad\Control de Documentos\Documentos controlados\CN-QAAS (Aseguranza de calidad)\WI\CNWI-QAAS-0033 Rev. A Customer satisfaction process.docx</v>
      </c>
      <c r="C303" s="5" t="str">
        <f>MID(B303,LEN(B303) - FIND(".",REVERSETEXT(B303))+2,1000)</f>
        <v>docx</v>
      </c>
      <c r="D303" s="6">
        <v>4</v>
      </c>
      <c r="E303" s="7" t="s">
        <v>33</v>
      </c>
      <c r="F303" s="7" t="s">
        <v>256</v>
      </c>
      <c r="G303" s="8" t="s">
        <v>266</v>
      </c>
      <c r="H303" s="8">
        <v>9</v>
      </c>
      <c r="I303" s="8"/>
      <c r="J303" s="8"/>
      <c r="K303" s="8"/>
      <c r="L303" s="8"/>
      <c r="M303" s="7" t="s">
        <v>256</v>
      </c>
      <c r="N303" s="13" t="s">
        <v>2039</v>
      </c>
      <c r="O303" s="9">
        <v>41248</v>
      </c>
      <c r="P303" s="7" t="s">
        <v>27</v>
      </c>
      <c r="Q303" s="9" t="s">
        <v>28</v>
      </c>
      <c r="R303" s="7" t="s">
        <v>1887</v>
      </c>
      <c r="S303" s="8" t="s">
        <v>1888</v>
      </c>
      <c r="T303" s="7"/>
      <c r="U303" s="7"/>
      <c r="V303" s="17"/>
    </row>
    <row r="304" spans="1:22">
      <c r="A304" s="18" t="s">
        <v>1180</v>
      </c>
      <c r="B304" s="5" t="str">
        <f>GetAddress(A304)</f>
        <v>\\chno0276\Aseguranza de Calidad\Control de Documentos\Doc. controlados PDF\Instructivos\CNWI-QAAS\CNWI-QAAS-0034 Calibracion de Indicadores.pdf</v>
      </c>
      <c r="C304" s="5" t="str">
        <f>MID(B304,LEN(B304) - FIND(".",REVERSETEXT(B304))+2,1000)</f>
        <v>pdf</v>
      </c>
      <c r="D304" s="6">
        <v>4</v>
      </c>
      <c r="E304" s="7" t="s">
        <v>33</v>
      </c>
      <c r="F304" s="7" t="s">
        <v>256</v>
      </c>
      <c r="G304" s="8" t="s">
        <v>266</v>
      </c>
      <c r="H304" s="8">
        <v>9</v>
      </c>
      <c r="I304" s="8"/>
      <c r="J304" s="8"/>
      <c r="K304" s="8"/>
      <c r="L304" s="8"/>
      <c r="M304" s="7" t="s">
        <v>256</v>
      </c>
      <c r="N304" s="7" t="s">
        <v>1181</v>
      </c>
      <c r="O304" s="9">
        <v>40884</v>
      </c>
      <c r="P304" s="7" t="s">
        <v>27</v>
      </c>
      <c r="Q304" s="9" t="s">
        <v>28</v>
      </c>
      <c r="R304" s="7" t="s">
        <v>1156</v>
      </c>
      <c r="S304" s="8" t="s">
        <v>1157</v>
      </c>
      <c r="T304" s="7"/>
      <c r="U304" s="7"/>
      <c r="V304" s="17"/>
    </row>
    <row r="305" spans="1:22">
      <c r="A305" s="18" t="s">
        <v>300</v>
      </c>
      <c r="B305" s="5" t="str">
        <f>GetAddress(A305)</f>
        <v>\\chno0276\Aseguranza de Calidad\Control de Documentos\Doc. controlados PDF\Instructivos\CNWI-QAAS\CNWI-QAAS-0035 Requerimientos Aeroespacial para ins. FIA.pdf</v>
      </c>
      <c r="C305" s="5" t="str">
        <f>MID(B305,LEN(B305) - FIND(".",REVERSETEXT(B305))+2,1000)</f>
        <v>pdf</v>
      </c>
      <c r="D305" s="6">
        <v>4</v>
      </c>
      <c r="E305" s="7" t="s">
        <v>33</v>
      </c>
      <c r="F305" s="7" t="s">
        <v>256</v>
      </c>
      <c r="G305" s="8" t="s">
        <v>266</v>
      </c>
      <c r="H305" s="8">
        <v>9</v>
      </c>
      <c r="I305" s="8"/>
      <c r="J305" s="8"/>
      <c r="K305" s="8"/>
      <c r="L305" s="8"/>
      <c r="M305" s="7" t="s">
        <v>256</v>
      </c>
      <c r="N305" s="7" t="s">
        <v>301</v>
      </c>
      <c r="O305" s="9">
        <v>40912</v>
      </c>
      <c r="P305" s="7" t="s">
        <v>27</v>
      </c>
      <c r="Q305" s="9" t="s">
        <v>28</v>
      </c>
      <c r="R305" s="7" t="s">
        <v>221</v>
      </c>
      <c r="S305" s="8" t="s">
        <v>222</v>
      </c>
      <c r="T305" s="7"/>
      <c r="U305" s="7"/>
      <c r="V305" s="17"/>
    </row>
    <row r="306" spans="1:22">
      <c r="A306" s="5" t="s">
        <v>2217</v>
      </c>
      <c r="B306" s="5" t="str">
        <f>GetAddress(A306)</f>
        <v>\\chno0276\Control de Documentos\Doc. controlados PDF\Instructivos\CNWI-QAAS\CNWI-QAAS-0036  Procedimiento para Control Plan.pdf</v>
      </c>
      <c r="C306" s="5" t="str">
        <f>MID(B306,LEN(B306) - FIND(".",REVERSETEXT(B306))+2,1000)</f>
        <v>pdf</v>
      </c>
      <c r="D306" s="6">
        <v>4</v>
      </c>
      <c r="E306" s="7" t="s">
        <v>33</v>
      </c>
      <c r="F306" s="7" t="s">
        <v>256</v>
      </c>
      <c r="G306" s="8" t="s">
        <v>266</v>
      </c>
      <c r="H306" s="8">
        <v>9</v>
      </c>
      <c r="I306" s="8"/>
      <c r="J306" s="8"/>
      <c r="K306" s="8"/>
      <c r="L306" s="8"/>
      <c r="M306" s="7" t="s">
        <v>256</v>
      </c>
      <c r="N306" s="7" t="s">
        <v>2218</v>
      </c>
      <c r="O306" s="9">
        <v>41197</v>
      </c>
      <c r="P306" s="7" t="s">
        <v>46</v>
      </c>
      <c r="Q306" s="9" t="s">
        <v>28</v>
      </c>
      <c r="R306" s="7" t="s">
        <v>2062</v>
      </c>
      <c r="S306" s="8" t="s">
        <v>2063</v>
      </c>
      <c r="T306" s="7"/>
      <c r="U306" s="7"/>
      <c r="V306" s="17"/>
    </row>
    <row r="307" spans="1:22">
      <c r="A307" s="18" t="s">
        <v>1182</v>
      </c>
      <c r="B307" s="5" t="str">
        <f>GetAddress(A307)</f>
        <v>\\chno0276\Aseguranza de Calidad\Control de Documentos\Doc. controlados PDF\Instructivos\CNWI-QAAS\CNWI-QAAS-0037 registro y reastrabilidad de boletas de scrap.pdf</v>
      </c>
      <c r="C307" s="5" t="str">
        <f>MID(B307,LEN(B307) - FIND(".",REVERSETEXT(B307))+2,1000)</f>
        <v>pdf</v>
      </c>
      <c r="D307" s="6">
        <v>4</v>
      </c>
      <c r="E307" s="7" t="s">
        <v>33</v>
      </c>
      <c r="F307" s="7" t="s">
        <v>256</v>
      </c>
      <c r="G307" s="8" t="s">
        <v>266</v>
      </c>
      <c r="H307" s="8">
        <v>9</v>
      </c>
      <c r="I307" s="8"/>
      <c r="J307" s="8"/>
      <c r="K307" s="8"/>
      <c r="L307" s="8"/>
      <c r="M307" s="7" t="s">
        <v>256</v>
      </c>
      <c r="N307" s="7" t="s">
        <v>1183</v>
      </c>
      <c r="O307" s="9">
        <v>40941</v>
      </c>
      <c r="P307" s="7" t="s">
        <v>27</v>
      </c>
      <c r="Q307" s="9" t="s">
        <v>28</v>
      </c>
      <c r="R307" s="7" t="s">
        <v>1156</v>
      </c>
      <c r="S307" s="8" t="s">
        <v>1157</v>
      </c>
      <c r="T307" s="7"/>
      <c r="U307" s="7"/>
      <c r="V307" s="17"/>
    </row>
    <row r="308" spans="1:22">
      <c r="A308" s="5" t="s">
        <v>1184</v>
      </c>
      <c r="B308" s="5" t="str">
        <f>GetAddress(A308)</f>
        <v>\\chno0276\Control de Documentos\Doc. controlados PDF\Instructivos\CNWI-QAAS\CNWI-QAAS-0038 Inst. para reporte SAP MB51.pdf</v>
      </c>
      <c r="C308" s="5" t="str">
        <f>MID(B308,LEN(B308) - FIND(".",REVERSETEXT(B308))+2,1000)</f>
        <v>pdf</v>
      </c>
      <c r="D308" s="6">
        <v>4</v>
      </c>
      <c r="E308" s="7" t="s">
        <v>33</v>
      </c>
      <c r="F308" s="7" t="s">
        <v>256</v>
      </c>
      <c r="G308" s="8" t="s">
        <v>266</v>
      </c>
      <c r="H308" s="8">
        <v>9</v>
      </c>
      <c r="I308" s="8"/>
      <c r="J308" s="8"/>
      <c r="K308" s="8"/>
      <c r="L308" s="8"/>
      <c r="M308" s="7" t="s">
        <v>256</v>
      </c>
      <c r="N308" s="7" t="s">
        <v>1185</v>
      </c>
      <c r="O308" s="9">
        <v>40962</v>
      </c>
      <c r="P308" s="7" t="s">
        <v>27</v>
      </c>
      <c r="Q308" s="9" t="s">
        <v>28</v>
      </c>
      <c r="R308" s="7" t="s">
        <v>1156</v>
      </c>
      <c r="S308" s="8" t="s">
        <v>1157</v>
      </c>
      <c r="T308" s="7"/>
      <c r="U308" s="7"/>
      <c r="V308" s="17"/>
    </row>
    <row r="309" spans="1:22">
      <c r="A309" s="5" t="s">
        <v>2219</v>
      </c>
      <c r="B309" s="5" t="str">
        <f>GetAddress(A309)</f>
        <v>\\CHNO0276\Aseguranza de Calidad\Control de Documentos\Doc. controlados PDF\Instructivos\CNWI-QAAS\CNWI-QAAS-0039 Protocolo de liberacion de moldeo.pdf</v>
      </c>
      <c r="C309" s="5" t="str">
        <f>MID(B309,LEN(B309) - FIND(".",REVERSETEXT(B309))+2,1000)</f>
        <v>pdf</v>
      </c>
      <c r="D309" s="6">
        <v>4</v>
      </c>
      <c r="E309" s="7" t="s">
        <v>33</v>
      </c>
      <c r="F309" s="7" t="s">
        <v>256</v>
      </c>
      <c r="G309" s="8" t="s">
        <v>266</v>
      </c>
      <c r="H309" s="8">
        <v>9</v>
      </c>
      <c r="I309" s="8"/>
      <c r="J309" s="8"/>
      <c r="K309" s="8"/>
      <c r="L309" s="8"/>
      <c r="M309" s="7" t="s">
        <v>256</v>
      </c>
      <c r="N309" s="7" t="s">
        <v>2220</v>
      </c>
      <c r="O309" s="9">
        <v>40960</v>
      </c>
      <c r="P309" s="7" t="s">
        <v>27</v>
      </c>
      <c r="Q309" s="9" t="s">
        <v>28</v>
      </c>
      <c r="R309" s="7" t="s">
        <v>2062</v>
      </c>
      <c r="S309" s="8" t="s">
        <v>2063</v>
      </c>
      <c r="T309" s="7"/>
      <c r="U309" s="7"/>
      <c r="V309" s="17"/>
    </row>
    <row r="310" spans="1:22">
      <c r="A310" s="18" t="s">
        <v>1186</v>
      </c>
      <c r="B310" s="5" t="str">
        <f>GetAddress(A310)</f>
        <v>\\chno0276\Aseguranza de Calidad\Control de Documentos\Doc. controlados PDF\Instructivos\CNWI-QAAS\CNWI-QAAS-0040 Procedimiento de prueba MS.pdf</v>
      </c>
      <c r="C310" s="5" t="str">
        <f>MID(B310,LEN(B310) - FIND(".",REVERSETEXT(B310))+2,1000)</f>
        <v>pdf</v>
      </c>
      <c r="D310" s="6">
        <v>4</v>
      </c>
      <c r="E310" s="7" t="s">
        <v>33</v>
      </c>
      <c r="F310" s="7" t="s">
        <v>256</v>
      </c>
      <c r="G310" s="8" t="s">
        <v>266</v>
      </c>
      <c r="H310" s="8">
        <v>9</v>
      </c>
      <c r="I310" s="8"/>
      <c r="J310" s="8"/>
      <c r="K310" s="8"/>
      <c r="L310" s="8"/>
      <c r="M310" s="7" t="s">
        <v>256</v>
      </c>
      <c r="N310" s="7" t="s">
        <v>1187</v>
      </c>
      <c r="O310" s="9">
        <v>40988</v>
      </c>
      <c r="P310" s="7" t="s">
        <v>27</v>
      </c>
      <c r="Q310" s="9" t="s">
        <v>28</v>
      </c>
      <c r="R310" s="7" t="s">
        <v>1156</v>
      </c>
      <c r="S310" s="8" t="s">
        <v>1157</v>
      </c>
      <c r="T310" s="7"/>
      <c r="U310" s="7"/>
      <c r="V310" s="17"/>
    </row>
    <row r="311" spans="1:22">
      <c r="A311" s="5" t="s">
        <v>1839</v>
      </c>
      <c r="B311" s="5" t="str">
        <f>GetAddress(A311)</f>
        <v>\\chno0276\Control de Documentos\Doc. controlados PDF\Instructivos\CNWI-QAAS\CNWI-QAAS-0041  Proceso de auditoria out of box.pdf</v>
      </c>
      <c r="C311" s="5" t="str">
        <f>MID(B311,LEN(B311) - FIND(".",REVERSETEXT(B311))+2,1000)</f>
        <v>pdf</v>
      </c>
      <c r="D311" s="6">
        <v>4</v>
      </c>
      <c r="E311" s="7" t="s">
        <v>33</v>
      </c>
      <c r="F311" s="7" t="s">
        <v>256</v>
      </c>
      <c r="G311" s="8" t="s">
        <v>266</v>
      </c>
      <c r="H311" s="8">
        <v>9</v>
      </c>
      <c r="I311" s="8"/>
      <c r="J311" s="8"/>
      <c r="K311" s="8"/>
      <c r="L311" s="8"/>
      <c r="M311" s="7" t="s">
        <v>256</v>
      </c>
      <c r="N311" s="7" t="s">
        <v>1840</v>
      </c>
      <c r="O311" s="9">
        <v>40998</v>
      </c>
      <c r="P311" s="7" t="s">
        <v>27</v>
      </c>
      <c r="Q311" s="9" t="s">
        <v>28</v>
      </c>
      <c r="R311" s="7" t="s">
        <v>1583</v>
      </c>
      <c r="S311" s="8" t="s">
        <v>1584</v>
      </c>
      <c r="T311" s="7"/>
      <c r="U311" s="7"/>
      <c r="V311" s="17"/>
    </row>
    <row r="312" spans="1:22">
      <c r="A312" s="5" t="s">
        <v>2221</v>
      </c>
      <c r="B312" s="5" t="str">
        <f>GetAddress(A312)</f>
        <v>\\chno0276\Aseguranza de Calidad\Control de Documentos\Doc. controlados PDF\Instructivos\CNWI-QAAS\CNWI-QAAS-0042 Procedimiento para Prueba de Impacto.pdf</v>
      </c>
      <c r="C312" s="5" t="str">
        <f>MID(B312,LEN(B312) - FIND(".",REVERSETEXT(B312))+2,1000)</f>
        <v>pdf</v>
      </c>
      <c r="D312" s="6">
        <v>4</v>
      </c>
      <c r="E312" s="7" t="s">
        <v>33</v>
      </c>
      <c r="F312" s="7" t="s">
        <v>256</v>
      </c>
      <c r="G312" s="8" t="s">
        <v>266</v>
      </c>
      <c r="H312" s="8">
        <v>9</v>
      </c>
      <c r="I312" s="8"/>
      <c r="J312" s="8"/>
      <c r="K312" s="8"/>
      <c r="L312" s="8"/>
      <c r="M312" s="7" t="s">
        <v>256</v>
      </c>
      <c r="N312" s="7" t="s">
        <v>2222</v>
      </c>
      <c r="O312" s="9">
        <v>41172</v>
      </c>
      <c r="P312" s="7" t="s">
        <v>27</v>
      </c>
      <c r="Q312" s="9" t="s">
        <v>28</v>
      </c>
      <c r="R312" s="7" t="s">
        <v>2062</v>
      </c>
      <c r="S312" s="8" t="s">
        <v>2063</v>
      </c>
      <c r="T312" s="7"/>
      <c r="U312" s="7"/>
      <c r="V312" s="17"/>
    </row>
    <row r="313" spans="1:22">
      <c r="A313" s="18" t="s">
        <v>1863</v>
      </c>
      <c r="B313" s="5" t="str">
        <f>GetAddress(A313)</f>
        <v>\\CHNO0276\Aseguranza de Calidad\Control de Documentos\Doc. controlados PDF\Instructivos\CNWI-QAAS\CNWI-QAAS-0043 Uso de base de datos de etiquetas (GMLabels).pdf</v>
      </c>
      <c r="C313" s="5" t="str">
        <f>MID(B313,LEN(B313) - FIND(".",REVERSETEXT(B313))+2,1000)</f>
        <v>pdf</v>
      </c>
      <c r="D313" s="6">
        <v>4</v>
      </c>
      <c r="E313" s="7" t="s">
        <v>33</v>
      </c>
      <c r="F313" s="7" t="s">
        <v>256</v>
      </c>
      <c r="G313" s="8" t="s">
        <v>266</v>
      </c>
      <c r="H313" s="8">
        <v>9</v>
      </c>
      <c r="I313" s="8"/>
      <c r="J313" s="8"/>
      <c r="K313" s="8"/>
      <c r="L313" s="8"/>
      <c r="M313" s="7" t="s">
        <v>256</v>
      </c>
      <c r="N313" s="7" t="s">
        <v>1864</v>
      </c>
      <c r="O313" s="9">
        <v>41025</v>
      </c>
      <c r="P313" s="7" t="s">
        <v>27</v>
      </c>
      <c r="Q313" s="9" t="s">
        <v>28</v>
      </c>
      <c r="R313" s="7" t="s">
        <v>1865</v>
      </c>
      <c r="S313" s="8" t="s">
        <v>1866</v>
      </c>
      <c r="T313" s="7"/>
      <c r="U313" s="7"/>
      <c r="V313" s="17"/>
    </row>
    <row r="314" spans="1:22">
      <c r="A314" s="5" t="s">
        <v>2040</v>
      </c>
      <c r="B314" s="5" t="str">
        <f>GetAddress(A314)</f>
        <v>\\chno0276\Control de Documentos\Doc. controlados PDF\Instructivos\CNWI-QAAS\CNWI-QAAS-0045  Cerrar acción correctiva con Notificacion (Sap).pdf</v>
      </c>
      <c r="C314" s="5" t="str">
        <f>MID(B314,LEN(B314) - FIND(".",REVERSETEXT(B314))+2,1000)</f>
        <v>pdf</v>
      </c>
      <c r="D314" s="6">
        <v>4</v>
      </c>
      <c r="E314" s="7" t="s">
        <v>33</v>
      </c>
      <c r="F314" s="7" t="s">
        <v>256</v>
      </c>
      <c r="G314" s="8" t="s">
        <v>266</v>
      </c>
      <c r="H314" s="8">
        <v>9</v>
      </c>
      <c r="I314" s="8"/>
      <c r="J314" s="8"/>
      <c r="K314" s="8"/>
      <c r="L314" s="8"/>
      <c r="M314" s="7" t="s">
        <v>256</v>
      </c>
      <c r="N314" s="7" t="s">
        <v>2041</v>
      </c>
      <c r="O314" s="9">
        <v>41075</v>
      </c>
      <c r="P314" s="7" t="s">
        <v>27</v>
      </c>
      <c r="Q314" s="9" t="s">
        <v>28</v>
      </c>
      <c r="R314" s="7" t="s">
        <v>1887</v>
      </c>
      <c r="S314" s="8" t="s">
        <v>1888</v>
      </c>
      <c r="T314" s="7"/>
      <c r="U314" s="7"/>
      <c r="V314" s="17"/>
    </row>
    <row r="315" spans="1:22">
      <c r="A315" s="5" t="s">
        <v>2042</v>
      </c>
      <c r="B315" s="5" t="str">
        <f>GetAddress(A315)</f>
        <v>\\chno0276\Control de Documentos\Doc. controlados PDF\Instructivos\CNWI-QAAS\CNWI-QAAS-0046 Rev. B Reporte de PPM's Externos y RMA's.pdf</v>
      </c>
      <c r="C315" s="5" t="str">
        <f>MID(B315,LEN(B315) - FIND(".",REVERSETEXT(B315))+2,1000)</f>
        <v>pdf</v>
      </c>
      <c r="D315" s="6">
        <v>4</v>
      </c>
      <c r="E315" s="7" t="s">
        <v>33</v>
      </c>
      <c r="F315" s="7" t="s">
        <v>256</v>
      </c>
      <c r="G315" s="8" t="s">
        <v>266</v>
      </c>
      <c r="H315" s="8">
        <v>9</v>
      </c>
      <c r="I315" s="8"/>
      <c r="J315" s="8"/>
      <c r="K315" s="8"/>
      <c r="L315" s="8"/>
      <c r="M315" s="7" t="s">
        <v>256</v>
      </c>
      <c r="N315" s="7" t="s">
        <v>2043</v>
      </c>
      <c r="O315" s="9">
        <v>41137</v>
      </c>
      <c r="P315" s="7" t="s">
        <v>46</v>
      </c>
      <c r="Q315" s="9" t="s">
        <v>28</v>
      </c>
      <c r="R315" s="7" t="s">
        <v>1887</v>
      </c>
      <c r="S315" s="8" t="s">
        <v>1888</v>
      </c>
      <c r="T315" s="7"/>
      <c r="U315" s="7"/>
      <c r="V315" s="7"/>
    </row>
    <row r="316" spans="1:22">
      <c r="A316" s="5" t="s">
        <v>302</v>
      </c>
      <c r="B316" s="5" t="str">
        <f>GetAddress(A316)</f>
        <v>\\chno0276\Control de Documentos\Doc. controlados PDF\Instructivos\CNWI-QAAS\CNWI-QAAS-0047 Proceso de auditporia en capas (LPA).doc</v>
      </c>
      <c r="C316" s="5" t="str">
        <f>MID(B316,LEN(B316) - FIND(".",REVERSETEXT(B316))+2,1000)</f>
        <v>doc</v>
      </c>
      <c r="D316" s="6">
        <v>4</v>
      </c>
      <c r="E316" s="7" t="s">
        <v>33</v>
      </c>
      <c r="F316" s="7" t="s">
        <v>256</v>
      </c>
      <c r="G316" s="8" t="s">
        <v>266</v>
      </c>
      <c r="H316" s="8">
        <v>9</v>
      </c>
      <c r="I316" s="8"/>
      <c r="J316" s="8"/>
      <c r="K316" s="8"/>
      <c r="L316" s="8"/>
      <c r="M316" s="7" t="s">
        <v>256</v>
      </c>
      <c r="N316" s="7" t="s">
        <v>303</v>
      </c>
      <c r="O316" s="9">
        <v>41141</v>
      </c>
      <c r="P316" s="7" t="s">
        <v>27</v>
      </c>
      <c r="Q316" s="9" t="s">
        <v>28</v>
      </c>
      <c r="R316" s="7" t="s">
        <v>221</v>
      </c>
      <c r="S316" s="8" t="s">
        <v>222</v>
      </c>
      <c r="T316" s="7"/>
      <c r="U316" s="7"/>
      <c r="V316" s="7"/>
    </row>
    <row r="317" spans="1:22">
      <c r="A317" s="5" t="s">
        <v>1118</v>
      </c>
      <c r="B317" s="5" t="str">
        <f>GetAddress(A317)</f>
        <v>\\chno0276\Control de Documentos\Doc. controlados PDF\Instructivos\CNWI-QAAS\CNWI-QAAS-0048  Proceso de Supplier Quality.pdf</v>
      </c>
      <c r="C317" s="5" t="str">
        <f>MID(B317,LEN(B317) - FIND(".",REVERSETEXT(B317))+2,1000)</f>
        <v>pdf</v>
      </c>
      <c r="D317" s="6">
        <v>4</v>
      </c>
      <c r="E317" s="7" t="s">
        <v>33</v>
      </c>
      <c r="F317" s="7" t="s">
        <v>256</v>
      </c>
      <c r="G317" s="8" t="s">
        <v>266</v>
      </c>
      <c r="H317" s="8">
        <v>9</v>
      </c>
      <c r="I317" s="8"/>
      <c r="J317" s="8"/>
      <c r="K317" s="8"/>
      <c r="L317" s="8"/>
      <c r="M317" s="7" t="s">
        <v>256</v>
      </c>
      <c r="N317" s="7" t="s">
        <v>1119</v>
      </c>
      <c r="O317" s="9">
        <v>41206</v>
      </c>
      <c r="P317" s="7" t="s">
        <v>27</v>
      </c>
      <c r="Q317" s="9" t="s">
        <v>28</v>
      </c>
      <c r="R317" s="7" t="s">
        <v>1108</v>
      </c>
      <c r="S317" s="8" t="s">
        <v>1109</v>
      </c>
      <c r="T317" s="7"/>
      <c r="U317" s="7"/>
      <c r="V317" s="7"/>
    </row>
    <row r="318" spans="1:22">
      <c r="A318" s="5" t="s">
        <v>1188</v>
      </c>
      <c r="B318" s="5" t="str">
        <f>GetAddress(A318)</f>
        <v>\\chno0276\Aseguranza de Calidad\Control de Documentos\Doc. controlados PDF\Formas\CNWI-QAAS (aseguranza de calidad)\CNWI-QAAS-F001 Record de Calibracion.xls</v>
      </c>
      <c r="C318" s="5" t="str">
        <f>MID(B318,LEN(B318) - FIND(".",REVERSETEXT(B318))+2,1000)</f>
        <v>xls</v>
      </c>
      <c r="D318" s="6">
        <v>5</v>
      </c>
      <c r="E318" s="7" t="s">
        <v>42</v>
      </c>
      <c r="F318" s="7" t="s">
        <v>256</v>
      </c>
      <c r="G318" s="8" t="s">
        <v>266</v>
      </c>
      <c r="H318" s="8">
        <v>9</v>
      </c>
      <c r="I318" s="8"/>
      <c r="J318" s="8"/>
      <c r="K318" s="8"/>
      <c r="L318" s="8"/>
      <c r="M318" s="7" t="s">
        <v>256</v>
      </c>
      <c r="N318" s="7" t="s">
        <v>1189</v>
      </c>
      <c r="O318" s="9">
        <v>40559</v>
      </c>
      <c r="P318" s="7" t="s">
        <v>46</v>
      </c>
      <c r="Q318" s="9" t="s">
        <v>28</v>
      </c>
      <c r="R318" s="7" t="s">
        <v>1156</v>
      </c>
      <c r="S318" s="8" t="s">
        <v>1157</v>
      </c>
      <c r="T318" s="7"/>
      <c r="U318" s="7"/>
      <c r="V318" s="7"/>
    </row>
    <row r="319" spans="1:22">
      <c r="A319" s="5" t="s">
        <v>304</v>
      </c>
      <c r="B319" s="5" t="str">
        <f>GetAddress(A319)</f>
        <v>\\chno0276\Aseguranza de Calidad\Control de Documentos\Documentos controlados\CN-QAAS (Aseguranza de calidad)\FORMAS\CNWI-QAAS-002 Rev. D Formato para Instruccion de trabajo.ppt</v>
      </c>
      <c r="C319" s="5" t="str">
        <f>MID(B319,LEN(B319) - FIND(".",REVERSETEXT(B319))+2,1000)</f>
        <v>ppt</v>
      </c>
      <c r="D319" s="6">
        <v>5</v>
      </c>
      <c r="E319" s="7" t="s">
        <v>42</v>
      </c>
      <c r="F319" s="7" t="s">
        <v>256</v>
      </c>
      <c r="G319" s="8" t="s">
        <v>266</v>
      </c>
      <c r="H319" s="8">
        <v>9</v>
      </c>
      <c r="I319" s="8"/>
      <c r="J319" s="8"/>
      <c r="K319" s="8"/>
      <c r="L319" s="8"/>
      <c r="M319" s="7" t="s">
        <v>256</v>
      </c>
      <c r="N319" s="7" t="s">
        <v>305</v>
      </c>
      <c r="O319" s="9">
        <v>40559</v>
      </c>
      <c r="P319" s="7" t="s">
        <v>38</v>
      </c>
      <c r="Q319" s="9" t="s">
        <v>28</v>
      </c>
      <c r="R319" s="7" t="s">
        <v>221</v>
      </c>
      <c r="S319" s="8" t="s">
        <v>222</v>
      </c>
      <c r="T319" s="9"/>
      <c r="U319" s="7"/>
      <c r="V319" s="7"/>
    </row>
    <row r="320" spans="1:22">
      <c r="A320" s="5" t="s">
        <v>306</v>
      </c>
      <c r="B320" s="5" t="str">
        <f>GetAddress(A320)</f>
        <v>\\CHNO0276\Aseguranza de Calidad\Control de Documentos\Doc. controlados PDF\Formas\CNWI-QAAS (aseguranza de calidad)\CNWI-QAAS-F003-C Formato oficial para control de documentos.doc</v>
      </c>
      <c r="C320" s="5" t="str">
        <f>MID(B320,LEN(B320) - FIND(".",REVERSETEXT(B320))+2,1000)</f>
        <v>doc</v>
      </c>
      <c r="D320" s="6">
        <v>5</v>
      </c>
      <c r="E320" s="7" t="s">
        <v>42</v>
      </c>
      <c r="F320" s="7" t="s">
        <v>256</v>
      </c>
      <c r="G320" s="8" t="s">
        <v>266</v>
      </c>
      <c r="H320" s="8">
        <v>9</v>
      </c>
      <c r="I320" s="8"/>
      <c r="J320" s="8"/>
      <c r="K320" s="8"/>
      <c r="L320" s="8"/>
      <c r="M320" s="7" t="s">
        <v>256</v>
      </c>
      <c r="N320" s="7" t="s">
        <v>307</v>
      </c>
      <c r="O320" s="9">
        <v>41088</v>
      </c>
      <c r="P320" s="7" t="s">
        <v>159</v>
      </c>
      <c r="Q320" s="9" t="s">
        <v>28</v>
      </c>
      <c r="R320" s="7" t="s">
        <v>221</v>
      </c>
      <c r="S320" s="8" t="s">
        <v>222</v>
      </c>
      <c r="T320" s="9"/>
      <c r="U320" s="7"/>
      <c r="V320" s="7"/>
    </row>
    <row r="321" spans="1:22">
      <c r="A321" s="5" t="s">
        <v>2788</v>
      </c>
      <c r="B321" s="5" t="str">
        <f>GetAddress(A321)</f>
        <v>\\chno0276\Aseguranza de Calidad\Control de Documentos\Doc. controlados PDF\Formas\CNWI-QAAS (aseguranza de calidad)\CNWI-QAAS-F004 Lista de Verificacion de AS9100.xls</v>
      </c>
      <c r="C321" s="5" t="str">
        <f>MID(B321,LEN(B321) - FIND(".",REVERSETEXT(B321))+2,1000)</f>
        <v>xls</v>
      </c>
      <c r="D321" s="6">
        <v>5</v>
      </c>
      <c r="E321" s="7" t="s">
        <v>42</v>
      </c>
      <c r="F321" s="7" t="s">
        <v>256</v>
      </c>
      <c r="G321" s="8" t="s">
        <v>266</v>
      </c>
      <c r="H321" s="8">
        <v>9</v>
      </c>
      <c r="I321" s="8"/>
      <c r="J321" s="8"/>
      <c r="K321" s="8"/>
      <c r="L321" s="8"/>
      <c r="M321" s="7" t="s">
        <v>256</v>
      </c>
      <c r="N321" s="7" t="s">
        <v>2789</v>
      </c>
      <c r="O321" s="9">
        <v>40574</v>
      </c>
      <c r="P321" s="7" t="s">
        <v>27</v>
      </c>
      <c r="Q321" s="9" t="s">
        <v>28</v>
      </c>
      <c r="R321" s="7"/>
      <c r="S321" s="8"/>
      <c r="T321" s="7"/>
      <c r="U321" s="7"/>
      <c r="V321" s="7"/>
    </row>
    <row r="322" spans="1:22">
      <c r="A322" s="5" t="s">
        <v>308</v>
      </c>
      <c r="B322" s="5" t="str">
        <f>GetAddress(A322)</f>
        <v>\\chno0276\Aseguranza de Calidad\Control de Documentos\Doc. controlados PDF\Formas\CNWI-QAAS (aseguranza de calidad)\CNWI-QAAS-F005 Corrective and Preventive Action Request.xlsx</v>
      </c>
      <c r="C322" s="5" t="str">
        <f>MID(B322,LEN(B322) - FIND(".",REVERSETEXT(B322))+2,1000)</f>
        <v>xlsx</v>
      </c>
      <c r="D322" s="6">
        <v>5</v>
      </c>
      <c r="E322" s="7" t="s">
        <v>42</v>
      </c>
      <c r="F322" s="7" t="s">
        <v>256</v>
      </c>
      <c r="G322" s="8" t="s">
        <v>266</v>
      </c>
      <c r="H322" s="8">
        <v>9</v>
      </c>
      <c r="I322" s="8"/>
      <c r="J322" s="8"/>
      <c r="K322" s="8"/>
      <c r="L322" s="8"/>
      <c r="M322" s="7" t="s">
        <v>256</v>
      </c>
      <c r="N322" s="7" t="s">
        <v>309</v>
      </c>
      <c r="O322" s="9">
        <v>40575</v>
      </c>
      <c r="P322" s="7" t="s">
        <v>159</v>
      </c>
      <c r="Q322" s="9" t="s">
        <v>28</v>
      </c>
      <c r="R322" s="7" t="s">
        <v>221</v>
      </c>
      <c r="S322" s="8" t="s">
        <v>222</v>
      </c>
      <c r="T322" s="9"/>
      <c r="U322" s="7"/>
      <c r="V322" s="7"/>
    </row>
    <row r="323" spans="1:22">
      <c r="A323" s="5" t="s">
        <v>2417</v>
      </c>
      <c r="B323" s="5" t="str">
        <f>GetAddress(A323)</f>
        <v>\\chno0276\Aseguranza de Calidad\Control de Documentos\Doc. controlados PDF\Formas\CNWI-QAAS (aseguranza de calidad)\CNWI-QAAS-F007 Material no conformante .ppt</v>
      </c>
      <c r="C323" s="5" t="str">
        <f>MID(B323,LEN(B323) - FIND(".",REVERSETEXT(B323))+2,1000)</f>
        <v>ppt</v>
      </c>
      <c r="D323" s="6">
        <v>5</v>
      </c>
      <c r="E323" s="7" t="s">
        <v>42</v>
      </c>
      <c r="F323" s="7" t="s">
        <v>256</v>
      </c>
      <c r="G323" s="8" t="s">
        <v>266</v>
      </c>
      <c r="H323" s="8">
        <v>9</v>
      </c>
      <c r="I323" s="8"/>
      <c r="J323" s="8"/>
      <c r="K323" s="8"/>
      <c r="L323" s="8"/>
      <c r="M323" s="7" t="s">
        <v>256</v>
      </c>
      <c r="N323" s="7" t="s">
        <v>2418</v>
      </c>
      <c r="O323" s="9">
        <v>40584</v>
      </c>
      <c r="P323" s="7" t="s">
        <v>27</v>
      </c>
      <c r="Q323" s="9" t="s">
        <v>28</v>
      </c>
      <c r="R323" s="7" t="s">
        <v>2419</v>
      </c>
      <c r="S323" s="8" t="s">
        <v>2063</v>
      </c>
      <c r="T323" s="7"/>
      <c r="U323" s="7"/>
      <c r="V323" s="7"/>
    </row>
    <row r="324" spans="1:22">
      <c r="A324" s="5" t="s">
        <v>2420</v>
      </c>
      <c r="B324" s="5" t="str">
        <f>GetAddress(A324)</f>
        <v>\\chno0276\Aseguranza de Calidad\Control de Documentos\Doc. controlados PDF\Formas\CNWI-QAAS (aseguranza de calidad)\CNWI-QAAS-F008-A Liberacion primera pieza AMSAFE-SALEM-ENS.GRAL.pptx</v>
      </c>
      <c r="C324" s="5" t="str">
        <f>MID(B324,LEN(B324) - FIND(".",REVERSETEXT(B324))+2,1000)</f>
        <v>pptx</v>
      </c>
      <c r="D324" s="6">
        <v>5</v>
      </c>
      <c r="E324" s="7" t="s">
        <v>42</v>
      </c>
      <c r="F324" s="7" t="s">
        <v>256</v>
      </c>
      <c r="G324" s="8" t="s">
        <v>266</v>
      </c>
      <c r="H324" s="8">
        <v>9</v>
      </c>
      <c r="I324" s="8"/>
      <c r="J324" s="8"/>
      <c r="K324" s="8"/>
      <c r="L324" s="8"/>
      <c r="M324" s="7" t="s">
        <v>256</v>
      </c>
      <c r="N324" s="7" t="s">
        <v>2421</v>
      </c>
      <c r="O324" s="9">
        <v>40777</v>
      </c>
      <c r="P324" s="7" t="s">
        <v>46</v>
      </c>
      <c r="Q324" s="9" t="s">
        <v>28</v>
      </c>
      <c r="R324" s="7" t="s">
        <v>2419</v>
      </c>
      <c r="S324" s="8" t="s">
        <v>2063</v>
      </c>
      <c r="T324" s="7"/>
      <c r="U324" s="7"/>
      <c r="V324" s="7"/>
    </row>
    <row r="325" spans="1:22">
      <c r="A325" s="5" t="s">
        <v>2223</v>
      </c>
      <c r="B325" s="5" t="str">
        <f>GetAddress(A325)</f>
        <v>\\chno0276\Aseguranza de Calidad\Control de Documentos\Doc. controlados PDF\Formas\CNWI-QAAS (aseguranza de calidad)\CNWI-QAAS-F008-B Liberacion primera pieza CORTE.pptx</v>
      </c>
      <c r="C325" s="5" t="str">
        <f>MID(B325,LEN(B325) - FIND(".",REVERSETEXT(B325))+2,1000)</f>
        <v>pptx</v>
      </c>
      <c r="D325" s="6">
        <v>5</v>
      </c>
      <c r="E325" s="7" t="s">
        <v>42</v>
      </c>
      <c r="F325" s="7" t="s">
        <v>256</v>
      </c>
      <c r="G325" s="8" t="s">
        <v>266</v>
      </c>
      <c r="H325" s="8">
        <v>9</v>
      </c>
      <c r="I325" s="8"/>
      <c r="J325" s="8"/>
      <c r="K325" s="8"/>
      <c r="L325" s="8"/>
      <c r="M325" s="7" t="s">
        <v>256</v>
      </c>
      <c r="N325" s="7" t="s">
        <v>2224</v>
      </c>
      <c r="O325" s="9">
        <v>40777</v>
      </c>
      <c r="P325" s="7" t="s">
        <v>46</v>
      </c>
      <c r="Q325" s="9" t="s">
        <v>28</v>
      </c>
      <c r="R325" s="7" t="s">
        <v>2062</v>
      </c>
      <c r="S325" s="8" t="s">
        <v>2063</v>
      </c>
      <c r="T325" s="7"/>
      <c r="U325" s="7"/>
      <c r="V325" s="7"/>
    </row>
    <row r="326" spans="1:22">
      <c r="A326" s="5" t="s">
        <v>2225</v>
      </c>
      <c r="B326" s="5" t="str">
        <f>GetAddress(A326)</f>
        <v>\\chno0276\Aseguranza de Calidad\Control de Documentos\Doc. controlados PDF\Formas\CNWI-QAAS (aseguranza de calidad)\CNWI-QAAS-F008-C Liberacion primera pieza ENGOMADO.pptx</v>
      </c>
      <c r="C326" s="5" t="str">
        <f>MID(B326,LEN(B326) - FIND(".",REVERSETEXT(B326))+2,1000)</f>
        <v>pptx</v>
      </c>
      <c r="D326" s="6">
        <v>5</v>
      </c>
      <c r="E326" s="7" t="s">
        <v>42</v>
      </c>
      <c r="F326" s="7" t="s">
        <v>256</v>
      </c>
      <c r="G326" s="8" t="s">
        <v>266</v>
      </c>
      <c r="H326" s="8">
        <v>9</v>
      </c>
      <c r="I326" s="8"/>
      <c r="J326" s="8"/>
      <c r="K326" s="8"/>
      <c r="L326" s="8"/>
      <c r="M326" s="7" t="s">
        <v>256</v>
      </c>
      <c r="N326" s="7" t="s">
        <v>2226</v>
      </c>
      <c r="O326" s="9">
        <v>40777</v>
      </c>
      <c r="P326" s="7" t="s">
        <v>46</v>
      </c>
      <c r="Q326" s="9" t="s">
        <v>28</v>
      </c>
      <c r="R326" s="7" t="s">
        <v>2062</v>
      </c>
      <c r="S326" s="8" t="s">
        <v>2063</v>
      </c>
      <c r="T326" s="7"/>
      <c r="U326" s="7"/>
      <c r="V326" s="7"/>
    </row>
    <row r="327" spans="1:22">
      <c r="A327" s="5" t="s">
        <v>2227</v>
      </c>
      <c r="B327" s="5" t="str">
        <f>GetAddress(A327)</f>
        <v>\\chno0276\Aseguranza de Calidad\Control de Documentos\Doc. controlados PDF\Formas\CNWI-QAAS (aseguranza de calidad)\CNWI-QAAS-F008-D Liberacion primera pieza ITRON.pptx</v>
      </c>
      <c r="C327" s="5" t="str">
        <f>MID(B327,LEN(B327) - FIND(".",REVERSETEXT(B327))+2,1000)</f>
        <v>pptx</v>
      </c>
      <c r="D327" s="6">
        <v>5</v>
      </c>
      <c r="E327" s="7" t="s">
        <v>42</v>
      </c>
      <c r="F327" s="7" t="s">
        <v>256</v>
      </c>
      <c r="G327" s="8" t="s">
        <v>266</v>
      </c>
      <c r="H327" s="8">
        <v>9</v>
      </c>
      <c r="I327" s="8"/>
      <c r="J327" s="8"/>
      <c r="K327" s="8"/>
      <c r="L327" s="8"/>
      <c r="M327" s="7" t="s">
        <v>256</v>
      </c>
      <c r="N327" s="7" t="s">
        <v>2228</v>
      </c>
      <c r="O327" s="9">
        <v>40777</v>
      </c>
      <c r="P327" s="7" t="s">
        <v>46</v>
      </c>
      <c r="Q327" s="9" t="s">
        <v>28</v>
      </c>
      <c r="R327" s="7" t="s">
        <v>2062</v>
      </c>
      <c r="S327" s="8" t="s">
        <v>2063</v>
      </c>
      <c r="T327" s="7"/>
      <c r="U327" s="7"/>
      <c r="V327" s="7"/>
    </row>
    <row r="328" spans="1:22">
      <c r="A328" s="5" t="s">
        <v>1841</v>
      </c>
      <c r="B328" s="5" t="str">
        <f>GetAddress(A328)</f>
        <v>\\chno0276\Aseguranza de Calidad\Control de Documentos\Doc. controlados PDF\Formas\CNWI-QAAS (aseguranza de calidad)\CNWI-QAAS-F008-E Liberacion primera pieza MICROMINI.pptx</v>
      </c>
      <c r="C328" s="5" t="str">
        <f>MID(B328,LEN(B328) - FIND(".",REVERSETEXT(B328))+2,1000)</f>
        <v>pptx</v>
      </c>
      <c r="D328" s="6">
        <v>5</v>
      </c>
      <c r="E328" s="7" t="s">
        <v>42</v>
      </c>
      <c r="F328" s="7" t="s">
        <v>256</v>
      </c>
      <c r="G328" s="8" t="s">
        <v>266</v>
      </c>
      <c r="H328" s="8">
        <v>9</v>
      </c>
      <c r="I328" s="8"/>
      <c r="J328" s="8"/>
      <c r="K328" s="8"/>
      <c r="L328" s="8"/>
      <c r="M328" s="7" t="s">
        <v>256</v>
      </c>
      <c r="N328" s="7" t="s">
        <v>1842</v>
      </c>
      <c r="O328" s="9">
        <v>40777</v>
      </c>
      <c r="P328" s="7" t="s">
        <v>46</v>
      </c>
      <c r="Q328" s="9" t="s">
        <v>28</v>
      </c>
      <c r="R328" s="7" t="s">
        <v>1583</v>
      </c>
      <c r="S328" s="8" t="s">
        <v>1584</v>
      </c>
      <c r="T328" s="7"/>
      <c r="U328" s="7"/>
      <c r="V328" s="7"/>
    </row>
    <row r="329" spans="1:22">
      <c r="A329" s="5" t="s">
        <v>2229</v>
      </c>
      <c r="B329" s="5" t="str">
        <f>GetAddress(A329)</f>
        <v>\\chno0276\Aseguranza de Calidad\Control de Documentos\Doc. controlados PDF\Formas\CNWI-QAAS (aseguranza de calidad)\CNWI-QAAS-F008-F Liberacion primera pieza MOLDEO.pptx</v>
      </c>
      <c r="C329" s="5" t="str">
        <f>MID(B329,LEN(B329) - FIND(".",REVERSETEXT(B329))+2,1000)</f>
        <v>pptx</v>
      </c>
      <c r="D329" s="6">
        <v>5</v>
      </c>
      <c r="E329" s="7" t="s">
        <v>42</v>
      </c>
      <c r="F329" s="7" t="s">
        <v>256</v>
      </c>
      <c r="G329" s="8" t="s">
        <v>266</v>
      </c>
      <c r="H329" s="8">
        <v>9</v>
      </c>
      <c r="I329" s="8"/>
      <c r="J329" s="8"/>
      <c r="K329" s="8"/>
      <c r="L329" s="8"/>
      <c r="M329" s="7" t="s">
        <v>256</v>
      </c>
      <c r="N329" s="7" t="s">
        <v>2230</v>
      </c>
      <c r="O329" s="9">
        <v>40777</v>
      </c>
      <c r="P329" s="7" t="s">
        <v>46</v>
      </c>
      <c r="Q329" s="9" t="s">
        <v>28</v>
      </c>
      <c r="R329" s="7" t="s">
        <v>2062</v>
      </c>
      <c r="S329" s="8" t="s">
        <v>2063</v>
      </c>
      <c r="T329" s="7"/>
      <c r="U329" s="7"/>
      <c r="V329" s="7"/>
    </row>
    <row r="330" spans="1:22">
      <c r="A330" s="5" t="s">
        <v>2231</v>
      </c>
      <c r="B330" s="5" t="str">
        <f>GetAddress(A330)</f>
        <v>\\chno0276\Aseguranza de Calidad\Control de Documentos\Doc. controlados PDF\Formas\CNWI-QAAS (aseguranza de calidad)\CNWI-QAAS-F009 Lista de verificacion Español.doc</v>
      </c>
      <c r="C330" s="5" t="str">
        <f>MID(B330,LEN(B330) - FIND(".",REVERSETEXT(B330))+2,1000)</f>
        <v>doc</v>
      </c>
      <c r="D330" s="6">
        <v>5</v>
      </c>
      <c r="E330" s="7" t="s">
        <v>42</v>
      </c>
      <c r="F330" s="7" t="s">
        <v>256</v>
      </c>
      <c r="G330" s="8" t="s">
        <v>266</v>
      </c>
      <c r="H330" s="8">
        <v>9</v>
      </c>
      <c r="I330" s="8"/>
      <c r="J330" s="8"/>
      <c r="K330" s="8"/>
      <c r="L330" s="8"/>
      <c r="M330" s="7" t="s">
        <v>256</v>
      </c>
      <c r="N330" s="7" t="s">
        <v>2232</v>
      </c>
      <c r="O330" s="9">
        <v>40998</v>
      </c>
      <c r="P330" s="7" t="s">
        <v>782</v>
      </c>
      <c r="Q330" s="9" t="s">
        <v>28</v>
      </c>
      <c r="R330" s="7" t="s">
        <v>2062</v>
      </c>
      <c r="S330" s="8" t="s">
        <v>2063</v>
      </c>
      <c r="T330" s="7"/>
      <c r="U330" s="7"/>
      <c r="V330" s="7"/>
    </row>
    <row r="331" spans="1:22">
      <c r="A331" s="5" t="s">
        <v>2044</v>
      </c>
      <c r="B331" s="5" t="str">
        <f>GetAddress(A331)</f>
        <v>\\chno0276\Aseguranza de Calidad\Control de Documentos\Doc. controlados PDF\Formas\CNWI-QAAS (aseguranza de calidad)\CNWI-QAAS-F010 Codigos de Scrap.xls</v>
      </c>
      <c r="C331" s="5" t="str">
        <f>MID(B331,LEN(B331) - FIND(".",REVERSETEXT(B331))+2,1000)</f>
        <v>xls</v>
      </c>
      <c r="D331" s="6">
        <v>5</v>
      </c>
      <c r="E331" s="7" t="s">
        <v>42</v>
      </c>
      <c r="F331" s="7" t="s">
        <v>256</v>
      </c>
      <c r="G331" s="8" t="s">
        <v>266</v>
      </c>
      <c r="H331" s="8">
        <v>9</v>
      </c>
      <c r="I331" s="8"/>
      <c r="J331" s="8"/>
      <c r="K331" s="8"/>
      <c r="L331" s="8"/>
      <c r="M331" s="7" t="s">
        <v>256</v>
      </c>
      <c r="N331" s="7" t="s">
        <v>2045</v>
      </c>
      <c r="O331" s="9">
        <v>40590</v>
      </c>
      <c r="P331" s="7" t="s">
        <v>46</v>
      </c>
      <c r="Q331" s="9" t="s">
        <v>28</v>
      </c>
      <c r="R331" s="7" t="s">
        <v>1887</v>
      </c>
      <c r="S331" s="8" t="s">
        <v>1888</v>
      </c>
      <c r="T331" s="7"/>
      <c r="U331" s="7"/>
      <c r="V331" s="7"/>
    </row>
    <row r="332" spans="1:22">
      <c r="A332" s="5" t="s">
        <v>2233</v>
      </c>
      <c r="B332" s="5" t="str">
        <f>GetAddress(A332)</f>
        <v>\\chno0276\Aseguranza de Calidad\Control de Documentos\Doc. controlados PDF\Formas\CNWI-QAAS (aseguranza de calidad)\CNWI-QAAS-F011 critical dimension sheet.xls</v>
      </c>
      <c r="C332" s="5" t="str">
        <f>MID(B332,LEN(B332) - FIND(".",REVERSETEXT(B332))+2,1000)</f>
        <v>xls</v>
      </c>
      <c r="D332" s="6">
        <v>5</v>
      </c>
      <c r="E332" s="7" t="s">
        <v>42</v>
      </c>
      <c r="F332" s="7" t="s">
        <v>256</v>
      </c>
      <c r="G332" s="8" t="s">
        <v>266</v>
      </c>
      <c r="H332" s="8">
        <v>9</v>
      </c>
      <c r="I332" s="8"/>
      <c r="J332" s="8"/>
      <c r="K332" s="8"/>
      <c r="L332" s="8"/>
      <c r="M332" s="7" t="s">
        <v>256</v>
      </c>
      <c r="N332" s="7" t="s">
        <v>2234</v>
      </c>
      <c r="O332" s="9">
        <v>40590</v>
      </c>
      <c r="P332" s="7" t="s">
        <v>27</v>
      </c>
      <c r="Q332" s="9" t="s">
        <v>28</v>
      </c>
      <c r="R332" s="7" t="s">
        <v>2062</v>
      </c>
      <c r="S332" s="8" t="s">
        <v>2063</v>
      </c>
      <c r="T332" s="7"/>
      <c r="U332" s="7"/>
      <c r="V332" s="7"/>
    </row>
    <row r="333" spans="1:22">
      <c r="A333" s="5" t="s">
        <v>2235</v>
      </c>
      <c r="B333" s="5" t="str">
        <f>GetAddress(A333)</f>
        <v>\\chno0276\Aseguranza de Calidad\Control de Documentos\Doc. controlados PDF\Formas\CNWI-QAAS (aseguranza de calidad)\CNWI-QAAS-F012 contact insertion force.xls</v>
      </c>
      <c r="C333" s="5" t="str">
        <f>MID(B333,LEN(B333) - FIND(".",REVERSETEXT(B333))+2,1000)</f>
        <v>xls</v>
      </c>
      <c r="D333" s="6">
        <v>5</v>
      </c>
      <c r="E333" s="7" t="s">
        <v>42</v>
      </c>
      <c r="F333" s="7" t="s">
        <v>256</v>
      </c>
      <c r="G333" s="8" t="s">
        <v>266</v>
      </c>
      <c r="H333" s="8">
        <v>9</v>
      </c>
      <c r="I333" s="8"/>
      <c r="J333" s="8"/>
      <c r="K333" s="8"/>
      <c r="L333" s="8"/>
      <c r="M333" s="7" t="s">
        <v>256</v>
      </c>
      <c r="N333" s="7" t="s">
        <v>2236</v>
      </c>
      <c r="O333" s="9">
        <v>40590</v>
      </c>
      <c r="P333" s="7" t="s">
        <v>27</v>
      </c>
      <c r="Q333" s="9" t="s">
        <v>28</v>
      </c>
      <c r="R333" s="7" t="s">
        <v>2062</v>
      </c>
      <c r="S333" s="8" t="s">
        <v>2063</v>
      </c>
      <c r="T333" s="7"/>
      <c r="U333" s="7"/>
      <c r="V333" s="7"/>
    </row>
    <row r="334" spans="1:22">
      <c r="A334" s="5" t="s">
        <v>2237</v>
      </c>
      <c r="B334" s="5" t="str">
        <f>GetAddress(A334)</f>
        <v>\\chno0276\Aseguranza de Calidad\Control de Documentos\Doc. controlados PDF\Formas\CNWI-QAAS (aseguranza de calidad)\CNWI-QAAS-F014 Reporte de Inspección Final.doc</v>
      </c>
      <c r="C334" s="5" t="str">
        <f>MID(B334,LEN(B334) - FIND(".",REVERSETEXT(B334))+2,1000)</f>
        <v>doc</v>
      </c>
      <c r="D334" s="6">
        <v>5</v>
      </c>
      <c r="E334" s="7" t="s">
        <v>42</v>
      </c>
      <c r="F334" s="7" t="s">
        <v>256</v>
      </c>
      <c r="G334" s="8" t="s">
        <v>266</v>
      </c>
      <c r="H334" s="8">
        <v>9</v>
      </c>
      <c r="I334" s="8"/>
      <c r="J334" s="8"/>
      <c r="K334" s="8"/>
      <c r="L334" s="8"/>
      <c r="M334" s="7" t="s">
        <v>256</v>
      </c>
      <c r="N334" s="7" t="s">
        <v>2238</v>
      </c>
      <c r="O334" s="9">
        <v>40597</v>
      </c>
      <c r="P334" s="7" t="s">
        <v>27</v>
      </c>
      <c r="Q334" s="9" t="s">
        <v>28</v>
      </c>
      <c r="R334" s="7" t="s">
        <v>2062</v>
      </c>
      <c r="S334" s="8" t="s">
        <v>2063</v>
      </c>
      <c r="T334" s="7"/>
      <c r="U334" s="7"/>
      <c r="V334" s="7"/>
    </row>
    <row r="335" spans="1:22">
      <c r="A335" s="5" t="s">
        <v>2046</v>
      </c>
      <c r="B335" s="5" t="str">
        <f>GetAddress(A335)</f>
        <v>\\CHNO0276\Aseguranza de Calidad\Control de Documentos\Doc. controlados PDF\Formas\CNWI-QAAS (aseguranza de calidad)\CNWI-QAAS-F015  Codigos de Defectos de Proceso.pdf</v>
      </c>
      <c r="C335" s="5" t="str">
        <f>MID(B335,LEN(B335) - FIND(".",REVERSETEXT(B335))+2,1000)</f>
        <v>pdf</v>
      </c>
      <c r="D335" s="6">
        <v>5</v>
      </c>
      <c r="E335" s="7" t="s">
        <v>42</v>
      </c>
      <c r="F335" s="7" t="s">
        <v>256</v>
      </c>
      <c r="G335" s="8" t="s">
        <v>266</v>
      </c>
      <c r="H335" s="8">
        <v>9</v>
      </c>
      <c r="I335" s="8"/>
      <c r="J335" s="8"/>
      <c r="K335" s="8"/>
      <c r="L335" s="8"/>
      <c r="M335" s="7" t="s">
        <v>256</v>
      </c>
      <c r="N335" s="7" t="s">
        <v>2047</v>
      </c>
      <c r="O335" s="9">
        <v>41089</v>
      </c>
      <c r="P335" s="7" t="s">
        <v>261</v>
      </c>
      <c r="Q335" s="9" t="s">
        <v>28</v>
      </c>
      <c r="R335" s="7" t="s">
        <v>1887</v>
      </c>
      <c r="S335" s="8" t="s">
        <v>1888</v>
      </c>
      <c r="T335" s="7"/>
      <c r="U335" s="7"/>
      <c r="V335" s="7"/>
    </row>
    <row r="336" spans="1:22">
      <c r="A336" s="5" t="s">
        <v>2239</v>
      </c>
      <c r="B336" s="5" t="str">
        <f>GetAddress(A336)</f>
        <v>\\chno0276\Aseguranza de Calidad\Control de Documentos\Doc. controlados PDF\Formas\CNWI-QAAS (aseguranza de calidad)\CNWI-QAAS-F016 Reporte de Inspección en Proceso Itron.xls</v>
      </c>
      <c r="C336" s="5" t="str">
        <f>MID(B336,LEN(B336) - FIND(".",REVERSETEXT(B336))+2,1000)</f>
        <v>xls</v>
      </c>
      <c r="D336" s="6">
        <v>5</v>
      </c>
      <c r="E336" s="7" t="s">
        <v>42</v>
      </c>
      <c r="F336" s="7" t="s">
        <v>256</v>
      </c>
      <c r="G336" s="8" t="s">
        <v>266</v>
      </c>
      <c r="H336" s="8">
        <v>9</v>
      </c>
      <c r="I336" s="8"/>
      <c r="J336" s="8"/>
      <c r="K336" s="8"/>
      <c r="L336" s="8"/>
      <c r="M336" s="7" t="s">
        <v>256</v>
      </c>
      <c r="N336" s="7" t="s">
        <v>2240</v>
      </c>
      <c r="O336" s="9">
        <v>40597</v>
      </c>
      <c r="P336" s="7" t="s">
        <v>27</v>
      </c>
      <c r="Q336" s="9" t="s">
        <v>28</v>
      </c>
      <c r="R336" s="7" t="s">
        <v>2062</v>
      </c>
      <c r="S336" s="8" t="s">
        <v>2063</v>
      </c>
      <c r="T336" s="7"/>
      <c r="U336" s="7"/>
      <c r="V336" s="7"/>
    </row>
    <row r="337" spans="1:22">
      <c r="A337" s="5" t="s">
        <v>2241</v>
      </c>
      <c r="B337" s="5" t="str">
        <f>GetAddress(A337)</f>
        <v>\\chno0276\Aseguranza de Calidad\Control de Documentos\Doc. controlados PDF\Formas\CNWI-QAAS (aseguranza de calidad)\CNWI-QAAS-F017  Insulation Resistence Test Data Sheet.doc</v>
      </c>
      <c r="C337" s="5" t="str">
        <f>MID(B337,LEN(B337) - FIND(".",REVERSETEXT(B337))+2,1000)</f>
        <v>doc</v>
      </c>
      <c r="D337" s="6">
        <v>5</v>
      </c>
      <c r="E337" s="7" t="s">
        <v>42</v>
      </c>
      <c r="F337" s="7" t="s">
        <v>256</v>
      </c>
      <c r="G337" s="8" t="s">
        <v>266</v>
      </c>
      <c r="H337" s="8">
        <v>9</v>
      </c>
      <c r="I337" s="8"/>
      <c r="J337" s="8"/>
      <c r="K337" s="8"/>
      <c r="L337" s="8"/>
      <c r="M337" s="7" t="s">
        <v>256</v>
      </c>
      <c r="N337" s="7" t="s">
        <v>2242</v>
      </c>
      <c r="O337" s="9">
        <v>40597</v>
      </c>
      <c r="P337" s="7" t="s">
        <v>27</v>
      </c>
      <c r="Q337" s="9" t="s">
        <v>28</v>
      </c>
      <c r="R337" s="7" t="s">
        <v>2062</v>
      </c>
      <c r="S337" s="8" t="s">
        <v>2063</v>
      </c>
      <c r="T337" s="7"/>
      <c r="U337" s="7"/>
      <c r="V337" s="7"/>
    </row>
    <row r="338" spans="1:22">
      <c r="A338" s="5" t="s">
        <v>2243</v>
      </c>
      <c r="B338" s="5" t="str">
        <f>GetAddress(A338)</f>
        <v>\\chno0276\Aseguranza de Calidad\Control de Documentos\Doc. controlados PDF\Formas\CNWI-QAAS (aseguranza de calidad)\CNWI-QAAS-F018 Reporte de Lectura de Prensas.xls</v>
      </c>
      <c r="C338" s="5" t="str">
        <f>MID(B338,LEN(B338) - FIND(".",REVERSETEXT(B338))+2,1000)</f>
        <v>xls</v>
      </c>
      <c r="D338" s="6">
        <v>5</v>
      </c>
      <c r="E338" s="7" t="s">
        <v>42</v>
      </c>
      <c r="F338" s="7" t="s">
        <v>256</v>
      </c>
      <c r="G338" s="8" t="s">
        <v>266</v>
      </c>
      <c r="H338" s="8">
        <v>9</v>
      </c>
      <c r="I338" s="8"/>
      <c r="J338" s="8"/>
      <c r="K338" s="8"/>
      <c r="L338" s="8"/>
      <c r="M338" s="7" t="s">
        <v>256</v>
      </c>
      <c r="N338" s="7" t="s">
        <v>2244</v>
      </c>
      <c r="O338" s="9">
        <v>40597</v>
      </c>
      <c r="P338" s="7" t="s">
        <v>27</v>
      </c>
      <c r="Q338" s="9" t="s">
        <v>28</v>
      </c>
      <c r="R338" s="7" t="s">
        <v>2062</v>
      </c>
      <c r="S338" s="8" t="s">
        <v>2063</v>
      </c>
      <c r="T338" s="7"/>
      <c r="U338" s="7"/>
      <c r="V338" s="7"/>
    </row>
    <row r="339" spans="1:22">
      <c r="A339" s="5" t="s">
        <v>1843</v>
      </c>
      <c r="B339" s="5" t="str">
        <f>GetAddress(A339)</f>
        <v>\\chno0276\Aseguranza de Calidad\Control de Documentos\Doc. controlados PDF\Formas\CNWI-QAAS (aseguranza de calidad)\CNWI-QAAS-F019  reporte de prueba de jalon.xls</v>
      </c>
      <c r="C339" s="5" t="str">
        <f>MID(B339,LEN(B339) - FIND(".",REVERSETEXT(B339))+2,1000)</f>
        <v>xls</v>
      </c>
      <c r="D339" s="6">
        <v>5</v>
      </c>
      <c r="E339" s="7" t="s">
        <v>42</v>
      </c>
      <c r="F339" s="7" t="s">
        <v>256</v>
      </c>
      <c r="G339" s="8" t="s">
        <v>266</v>
      </c>
      <c r="H339" s="8">
        <v>9</v>
      </c>
      <c r="I339" s="8"/>
      <c r="J339" s="8"/>
      <c r="K339" s="8"/>
      <c r="L339" s="8"/>
      <c r="M339" s="7" t="s">
        <v>256</v>
      </c>
      <c r="N339" s="7" t="s">
        <v>1844</v>
      </c>
      <c r="O339" s="9">
        <v>40623</v>
      </c>
      <c r="P339" s="7" t="s">
        <v>46</v>
      </c>
      <c r="Q339" s="9" t="s">
        <v>28</v>
      </c>
      <c r="R339" s="7" t="s">
        <v>1583</v>
      </c>
      <c r="S339" s="8" t="s">
        <v>1584</v>
      </c>
      <c r="T339" s="7"/>
      <c r="U339" s="7"/>
      <c r="V339" s="7"/>
    </row>
    <row r="340" spans="1:22">
      <c r="A340" s="5" t="s">
        <v>310</v>
      </c>
      <c r="B340" s="5" t="str">
        <f>GetAddress(A340)</f>
        <v>\\chno0276\Aseguranza de Calidad\Control de Documentos\Doc. controlados PDF\Formas\CNWI-QAAS (aseguranza de calidad)\CNWI-QAAS-F020 Inspection Record Card.doc</v>
      </c>
      <c r="C340" s="5" t="str">
        <f>MID(B340,LEN(B340) - FIND(".",REVERSETEXT(B340))+2,1000)</f>
        <v>doc</v>
      </c>
      <c r="D340" s="6">
        <v>5</v>
      </c>
      <c r="E340" s="7" t="s">
        <v>42</v>
      </c>
      <c r="F340" s="7" t="s">
        <v>256</v>
      </c>
      <c r="G340" s="8" t="s">
        <v>266</v>
      </c>
      <c r="H340" s="8">
        <v>9</v>
      </c>
      <c r="I340" s="8"/>
      <c r="J340" s="8"/>
      <c r="K340" s="8"/>
      <c r="L340" s="8"/>
      <c r="M340" s="7" t="s">
        <v>256</v>
      </c>
      <c r="N340" s="7" t="s">
        <v>311</v>
      </c>
      <c r="O340" s="9">
        <v>40597</v>
      </c>
      <c r="P340" s="7" t="s">
        <v>27</v>
      </c>
      <c r="Q340" s="9" t="s">
        <v>28</v>
      </c>
      <c r="R340" s="7" t="s">
        <v>221</v>
      </c>
      <c r="S340" s="8" t="s">
        <v>222</v>
      </c>
      <c r="T340" s="7"/>
      <c r="U340" s="7"/>
      <c r="V340" s="7"/>
    </row>
    <row r="341" spans="1:22">
      <c r="A341" s="5" t="s">
        <v>312</v>
      </c>
      <c r="B341" s="5" t="str">
        <f>GetAddress(A341)</f>
        <v>\\chno0276\Aseguranza de Calidad\Control de Documentos\Doc. controlados PDF\Formas\CNWI-QAAS (aseguranza de calidad)\CNWI-QAAS-F022 Lista Maestra de Documentos controlados (Cross reference).xlsx</v>
      </c>
      <c r="C341" s="5" t="str">
        <f>MID(B341,LEN(B341) - FIND(".",REVERSETEXT(B341))+2,1000)</f>
        <v>xlsx</v>
      </c>
      <c r="D341" s="6">
        <v>5</v>
      </c>
      <c r="E341" s="7" t="s">
        <v>42</v>
      </c>
      <c r="F341" s="7" t="s">
        <v>256</v>
      </c>
      <c r="G341" s="8" t="s">
        <v>266</v>
      </c>
      <c r="H341" s="8">
        <v>9</v>
      </c>
      <c r="I341" s="8"/>
      <c r="J341" s="8"/>
      <c r="K341" s="8"/>
      <c r="L341" s="8"/>
      <c r="M341" s="7" t="s">
        <v>256</v>
      </c>
      <c r="N341" s="7" t="s">
        <v>313</v>
      </c>
      <c r="O341" s="9">
        <v>40598</v>
      </c>
      <c r="P341" s="7" t="s">
        <v>46</v>
      </c>
      <c r="Q341" s="9" t="s">
        <v>28</v>
      </c>
      <c r="R341" s="7" t="s">
        <v>221</v>
      </c>
      <c r="S341" s="8" t="s">
        <v>222</v>
      </c>
      <c r="T341" s="7"/>
      <c r="U341" s="7"/>
      <c r="V341" s="7"/>
    </row>
    <row r="342" spans="1:22">
      <c r="A342" s="5" t="s">
        <v>314</v>
      </c>
      <c r="B342" s="5" t="str">
        <f>GetAddress(A342)</f>
        <v>\\chno0276\Aseguranza de Calidad\Control de Documentos\Doc. controlados PDF\Formas\CNWI-QAAS (aseguranza de calidad)\CNWI-QAAS-F023 Bonding Process Certification Audit Log.xls</v>
      </c>
      <c r="C342" s="5" t="str">
        <f>MID(B342,LEN(B342) - FIND(".",REVERSETEXT(B342))+2,1000)</f>
        <v>xls</v>
      </c>
      <c r="D342" s="6">
        <v>5</v>
      </c>
      <c r="E342" s="7" t="s">
        <v>42</v>
      </c>
      <c r="F342" s="7" t="s">
        <v>256</v>
      </c>
      <c r="G342" s="8" t="s">
        <v>266</v>
      </c>
      <c r="H342" s="8">
        <v>9</v>
      </c>
      <c r="I342" s="8"/>
      <c r="J342" s="8"/>
      <c r="K342" s="8"/>
      <c r="L342" s="8"/>
      <c r="M342" s="7" t="s">
        <v>256</v>
      </c>
      <c r="N342" s="7" t="s">
        <v>315</v>
      </c>
      <c r="O342" s="9">
        <v>40599</v>
      </c>
      <c r="P342" s="7" t="s">
        <v>27</v>
      </c>
      <c r="Q342" s="9" t="s">
        <v>28</v>
      </c>
      <c r="R342" s="7" t="s">
        <v>221</v>
      </c>
      <c r="S342" s="8" t="s">
        <v>222</v>
      </c>
      <c r="T342" s="7"/>
      <c r="U342" s="7"/>
      <c r="V342" s="7"/>
    </row>
    <row r="343" spans="1:22">
      <c r="A343" s="5" t="s">
        <v>316</v>
      </c>
      <c r="B343" s="5" t="str">
        <f>GetAddress(A343)</f>
        <v>\\chno0276\Aseguranza de Calidad\Control de Documentos\Doc. controlados PDF\Formas\CNWI-QAAS (aseguranza de calidad)\CNWI-QAAS-F024 Bonding Process Certification Audit Log .xls</v>
      </c>
      <c r="C343" s="5" t="str">
        <f>MID(B343,LEN(B343) - FIND(".",REVERSETEXT(B343))+2,1000)</f>
        <v>xls</v>
      </c>
      <c r="D343" s="6">
        <v>5</v>
      </c>
      <c r="E343" s="7" t="s">
        <v>42</v>
      </c>
      <c r="F343" s="7" t="s">
        <v>256</v>
      </c>
      <c r="G343" s="8" t="s">
        <v>266</v>
      </c>
      <c r="H343" s="8">
        <v>9</v>
      </c>
      <c r="I343" s="8"/>
      <c r="J343" s="8"/>
      <c r="K343" s="8"/>
      <c r="L343" s="8"/>
      <c r="M343" s="7" t="s">
        <v>256</v>
      </c>
      <c r="N343" s="7" t="s">
        <v>317</v>
      </c>
      <c r="O343" s="9">
        <v>40599</v>
      </c>
      <c r="P343" s="7" t="s">
        <v>27</v>
      </c>
      <c r="Q343" s="9" t="s">
        <v>28</v>
      </c>
      <c r="R343" s="7" t="s">
        <v>221</v>
      </c>
      <c r="S343" s="8" t="s">
        <v>222</v>
      </c>
      <c r="T343" s="7"/>
      <c r="U343" s="7"/>
      <c r="V343" s="7"/>
    </row>
    <row r="344" spans="1:22">
      <c r="A344" s="5" t="s">
        <v>318</v>
      </c>
      <c r="B344" s="5" t="str">
        <f>GetAddress(A344)</f>
        <v>\\chno0276\Aseguranza de Calidad\Control de Documentos\Doc. controlados PDF\Formas\CNWI-QAAS (aseguranza de calidad)\CNWI-QAAS-F025 Layout Dimencional.xlsx</v>
      </c>
      <c r="C344" s="5" t="str">
        <f>MID(B344,LEN(B344) - FIND(".",REVERSETEXT(B344))+2,1000)</f>
        <v>xlsx</v>
      </c>
      <c r="D344" s="6">
        <v>5</v>
      </c>
      <c r="E344" s="7" t="s">
        <v>42</v>
      </c>
      <c r="F344" s="7" t="s">
        <v>256</v>
      </c>
      <c r="G344" s="8" t="s">
        <v>266</v>
      </c>
      <c r="H344" s="8">
        <v>9</v>
      </c>
      <c r="I344" s="8"/>
      <c r="J344" s="8"/>
      <c r="K344" s="8"/>
      <c r="L344" s="8"/>
      <c r="M344" s="7" t="s">
        <v>256</v>
      </c>
      <c r="N344" s="7" t="s">
        <v>319</v>
      </c>
      <c r="O344" s="9">
        <v>40604</v>
      </c>
      <c r="P344" s="7" t="s">
        <v>27</v>
      </c>
      <c r="Q344" s="9" t="s">
        <v>28</v>
      </c>
      <c r="R344" s="7" t="s">
        <v>221</v>
      </c>
      <c r="S344" s="8" t="s">
        <v>222</v>
      </c>
      <c r="T344" s="7"/>
      <c r="U344" s="7"/>
      <c r="V344" s="7"/>
    </row>
    <row r="345" spans="1:22">
      <c r="A345" s="5" t="s">
        <v>320</v>
      </c>
      <c r="B345" s="5" t="str">
        <f>GetAddress(A345)</f>
        <v>\\chno0276\Aseguranza de Calidad\Control de Documentos\Doc. controlados PDF\Formas\CNWI-QAAS (aseguranza de calidad)\CNWI-QAAS-F026 Prueba Remachado.doc</v>
      </c>
      <c r="C345" s="5" t="str">
        <f>MID(B345,LEN(B345) - FIND(".",REVERSETEXT(B345))+2,1000)</f>
        <v>doc</v>
      </c>
      <c r="D345" s="6">
        <v>5</v>
      </c>
      <c r="E345" s="7" t="s">
        <v>42</v>
      </c>
      <c r="F345" s="7" t="s">
        <v>256</v>
      </c>
      <c r="G345" s="8" t="s">
        <v>266</v>
      </c>
      <c r="H345" s="8">
        <v>9</v>
      </c>
      <c r="I345" s="8"/>
      <c r="J345" s="8"/>
      <c r="K345" s="8"/>
      <c r="L345" s="8"/>
      <c r="M345" s="7" t="s">
        <v>256</v>
      </c>
      <c r="N345" s="7" t="s">
        <v>321</v>
      </c>
      <c r="O345" s="9">
        <v>40604</v>
      </c>
      <c r="P345" s="7" t="s">
        <v>46</v>
      </c>
      <c r="Q345" s="9" t="s">
        <v>28</v>
      </c>
      <c r="R345" s="7" t="s">
        <v>221</v>
      </c>
      <c r="S345" s="8" t="s">
        <v>222</v>
      </c>
      <c r="T345" s="7"/>
      <c r="U345" s="7"/>
      <c r="V345" s="7"/>
    </row>
    <row r="346" spans="1:22">
      <c r="A346" s="5" t="s">
        <v>322</v>
      </c>
      <c r="B346" s="5" t="str">
        <f>GetAddress(A346)</f>
        <v>\\chno0276\Aseguranza de Calidad\Control de Documentos\Doc. controlados PDF\Formas\CNWI-QAAS (aseguranza de calidad)\CNWI-QAAS-F027 Lista de Verificacion Final.doc</v>
      </c>
      <c r="C346" s="5" t="str">
        <f>MID(B346,LEN(B346) - FIND(".",REVERSETEXT(B346))+2,1000)</f>
        <v>doc</v>
      </c>
      <c r="D346" s="6">
        <v>5</v>
      </c>
      <c r="E346" s="7" t="s">
        <v>42</v>
      </c>
      <c r="F346" s="7" t="s">
        <v>256</v>
      </c>
      <c r="G346" s="8" t="s">
        <v>266</v>
      </c>
      <c r="H346" s="8">
        <v>9</v>
      </c>
      <c r="I346" s="8"/>
      <c r="J346" s="8"/>
      <c r="K346" s="8"/>
      <c r="L346" s="8"/>
      <c r="M346" s="7" t="s">
        <v>256</v>
      </c>
      <c r="N346" s="7" t="s">
        <v>323</v>
      </c>
      <c r="O346" s="9">
        <v>40603</v>
      </c>
      <c r="P346" s="7" t="s">
        <v>46</v>
      </c>
      <c r="Q346" s="9" t="s">
        <v>28</v>
      </c>
      <c r="R346" s="7" t="s">
        <v>221</v>
      </c>
      <c r="S346" s="8" t="s">
        <v>222</v>
      </c>
      <c r="T346" s="7"/>
      <c r="U346" s="7"/>
      <c r="V346" s="7"/>
    </row>
    <row r="347" spans="1:22">
      <c r="A347" s="5" t="s">
        <v>324</v>
      </c>
      <c r="B347" s="5" t="str">
        <f>GetAddress(A347)</f>
        <v>\\chno0276\Aseguranza de Calidad\Control de Documentos\Doc. controlados PDF\Formas\CNWI-QAAS (aseguranza de calidad)\CNWI-QAAS-F028 Histograma.xls</v>
      </c>
      <c r="C347" s="5" t="str">
        <f>MID(B347,LEN(B347) - FIND(".",REVERSETEXT(B347))+2,1000)</f>
        <v>xls</v>
      </c>
      <c r="D347" s="6">
        <v>5</v>
      </c>
      <c r="E347" s="7" t="s">
        <v>42</v>
      </c>
      <c r="F347" s="7" t="s">
        <v>256</v>
      </c>
      <c r="G347" s="8" t="s">
        <v>266</v>
      </c>
      <c r="H347" s="8">
        <v>9</v>
      </c>
      <c r="I347" s="8"/>
      <c r="J347" s="8"/>
      <c r="K347" s="8"/>
      <c r="L347" s="8"/>
      <c r="M347" s="7" t="s">
        <v>256</v>
      </c>
      <c r="N347" s="7" t="s">
        <v>325</v>
      </c>
      <c r="O347" s="9">
        <v>40604</v>
      </c>
      <c r="P347" s="7" t="s">
        <v>27</v>
      </c>
      <c r="Q347" s="9" t="s">
        <v>28</v>
      </c>
      <c r="R347" s="7" t="s">
        <v>221</v>
      </c>
      <c r="S347" s="8" t="s">
        <v>222</v>
      </c>
      <c r="T347" s="7"/>
      <c r="U347" s="7"/>
      <c r="V347" s="7"/>
    </row>
    <row r="348" spans="1:22">
      <c r="A348" s="5" t="s">
        <v>2245</v>
      </c>
      <c r="B348" s="5" t="str">
        <f>GetAddress(A348)</f>
        <v>\\chno0276\Aseguranza de Calidad\Control de Documentos\Doc. controlados PDF\Formas\CNWI-QAAS (aseguranza de calidad)\CNWI-QAAS-F029 prue ba de conectores (AMC) .xls</v>
      </c>
      <c r="C348" s="5" t="str">
        <f>MID(B348,LEN(B348) - FIND(".",REVERSETEXT(B348))+2,1000)</f>
        <v>xls</v>
      </c>
      <c r="D348" s="6">
        <v>5</v>
      </c>
      <c r="E348" s="7" t="s">
        <v>42</v>
      </c>
      <c r="F348" s="7" t="s">
        <v>256</v>
      </c>
      <c r="G348" s="8" t="s">
        <v>266</v>
      </c>
      <c r="H348" s="8">
        <v>9</v>
      </c>
      <c r="I348" s="8"/>
      <c r="J348" s="8"/>
      <c r="K348" s="8"/>
      <c r="L348" s="8"/>
      <c r="M348" s="7" t="s">
        <v>256</v>
      </c>
      <c r="N348" s="7" t="s">
        <v>2246</v>
      </c>
      <c r="O348" s="9">
        <v>40605</v>
      </c>
      <c r="P348" s="7" t="s">
        <v>27</v>
      </c>
      <c r="Q348" s="9" t="s">
        <v>28</v>
      </c>
      <c r="R348" s="7" t="s">
        <v>2062</v>
      </c>
      <c r="S348" s="8" t="s">
        <v>2063</v>
      </c>
      <c r="T348" s="7"/>
      <c r="U348" s="7"/>
      <c r="V348" s="7"/>
    </row>
    <row r="349" spans="1:22">
      <c r="A349" s="5" t="s">
        <v>2247</v>
      </c>
      <c r="B349" s="5" t="str">
        <f>GetAddress(A349)</f>
        <v>\\chno0276\Aseguranza de Calidad\Control de Documentos\Doc. controlados PDF\Formas\CNWI-QAAS (aseguranza de calidad)\CNWI-QAAS-F030 Reporte de prueba de fuga)Mantener en ingles.doc</v>
      </c>
      <c r="C349" s="5" t="str">
        <f>MID(B349,LEN(B349) - FIND(".",REVERSETEXT(B349))+2,1000)</f>
        <v>doc</v>
      </c>
      <c r="D349" s="6">
        <v>5</v>
      </c>
      <c r="E349" s="7" t="s">
        <v>42</v>
      </c>
      <c r="F349" s="7" t="s">
        <v>256</v>
      </c>
      <c r="G349" s="8" t="s">
        <v>266</v>
      </c>
      <c r="H349" s="8">
        <v>9</v>
      </c>
      <c r="I349" s="8"/>
      <c r="J349" s="8"/>
      <c r="K349" s="8"/>
      <c r="L349" s="8"/>
      <c r="M349" s="7" t="s">
        <v>256</v>
      </c>
      <c r="N349" s="7" t="s">
        <v>2248</v>
      </c>
      <c r="O349" s="9">
        <v>40605</v>
      </c>
      <c r="P349" s="7" t="s">
        <v>27</v>
      </c>
      <c r="Q349" s="9" t="s">
        <v>28</v>
      </c>
      <c r="R349" s="7" t="s">
        <v>2062</v>
      </c>
      <c r="S349" s="8" t="s">
        <v>2063</v>
      </c>
      <c r="T349" s="7"/>
      <c r="U349" s="7"/>
      <c r="V349" s="7"/>
    </row>
    <row r="350" spans="1:22">
      <c r="A350" s="5" t="s">
        <v>326</v>
      </c>
      <c r="B350" s="5" t="str">
        <f>GetAddress(A350)</f>
        <v>\\chno0276\Aseguranza de Calidad\Control de Documentos\Doc. controlados PDF\Formas\CNWI-QAAS (aseguranza de calidad)\CNWI-QAAS-F031 C of C Nogales.doc</v>
      </c>
      <c r="C350" s="5" t="str">
        <f>MID(B350,LEN(B350) - FIND(".",REVERSETEXT(B350))+2,1000)</f>
        <v>doc</v>
      </c>
      <c r="D350" s="6">
        <v>5</v>
      </c>
      <c r="E350" s="7" t="s">
        <v>42</v>
      </c>
      <c r="F350" s="7" t="s">
        <v>256</v>
      </c>
      <c r="G350" s="8" t="s">
        <v>266</v>
      </c>
      <c r="H350" s="8">
        <v>9</v>
      </c>
      <c r="I350" s="8"/>
      <c r="J350" s="8"/>
      <c r="K350" s="8"/>
      <c r="L350" s="8"/>
      <c r="M350" s="7" t="s">
        <v>256</v>
      </c>
      <c r="N350" s="7" t="s">
        <v>327</v>
      </c>
      <c r="O350" s="9">
        <v>40609</v>
      </c>
      <c r="P350" s="7" t="s">
        <v>27</v>
      </c>
      <c r="Q350" s="9" t="s">
        <v>28</v>
      </c>
      <c r="R350" s="7" t="s">
        <v>221</v>
      </c>
      <c r="S350" s="8" t="s">
        <v>222</v>
      </c>
      <c r="T350" s="7"/>
      <c r="U350" s="7"/>
      <c r="V350" s="7"/>
    </row>
    <row r="351" spans="1:22">
      <c r="A351" s="5" t="s">
        <v>328</v>
      </c>
      <c r="B351" s="5" t="str">
        <f>GetAddress(A351)</f>
        <v>\\chno0276\Aseguranza de Calidad\Control de Documentos\Doc. controlados PDF\Formas\CNWI-QAAS (aseguranza de calidad)\CNWI-QAAS-F032 Plan Anual de Auditoria.xls</v>
      </c>
      <c r="C351" s="5" t="str">
        <f>MID(B351,LEN(B351) - FIND(".",REVERSETEXT(B351))+2,1000)</f>
        <v>xls</v>
      </c>
      <c r="D351" s="6">
        <v>5</v>
      </c>
      <c r="E351" s="7" t="s">
        <v>42</v>
      </c>
      <c r="F351" s="7" t="s">
        <v>256</v>
      </c>
      <c r="G351" s="8" t="s">
        <v>266</v>
      </c>
      <c r="H351" s="8">
        <v>9</v>
      </c>
      <c r="I351" s="8"/>
      <c r="J351" s="8"/>
      <c r="K351" s="8"/>
      <c r="L351" s="8"/>
      <c r="M351" s="7" t="s">
        <v>256</v>
      </c>
      <c r="N351" s="7" t="s">
        <v>329</v>
      </c>
      <c r="O351" s="9">
        <v>40983</v>
      </c>
      <c r="P351" s="7" t="s">
        <v>27</v>
      </c>
      <c r="Q351" s="9" t="s">
        <v>28</v>
      </c>
      <c r="R351" s="7" t="s">
        <v>221</v>
      </c>
      <c r="S351" s="8" t="s">
        <v>222</v>
      </c>
      <c r="T351" s="7"/>
      <c r="U351" s="7"/>
      <c r="V351" s="7"/>
    </row>
    <row r="352" spans="1:22">
      <c r="A352" s="5" t="s">
        <v>330</v>
      </c>
      <c r="B352" s="5" t="str">
        <f>GetAddress(A352)</f>
        <v>\\chno0276\Aseguranza de Calidad\Control de Documentos\Doc. controlados PDF\Formas\CNWI-QAAS (aseguranza de calidad)\CNWI-QAAS-F033 Auditores Internos y Procesos que pueden Auditar .xls</v>
      </c>
      <c r="C352" s="5" t="str">
        <f>MID(B352,LEN(B352) - FIND(".",REVERSETEXT(B352))+2,1000)</f>
        <v>xls</v>
      </c>
      <c r="D352" s="6">
        <v>5</v>
      </c>
      <c r="E352" s="7" t="s">
        <v>42</v>
      </c>
      <c r="F352" s="7" t="s">
        <v>256</v>
      </c>
      <c r="G352" s="8" t="s">
        <v>266</v>
      </c>
      <c r="H352" s="8">
        <v>9</v>
      </c>
      <c r="I352" s="8"/>
      <c r="J352" s="8"/>
      <c r="K352" s="8"/>
      <c r="L352" s="8"/>
      <c r="M352" s="7" t="s">
        <v>256</v>
      </c>
      <c r="N352" s="7" t="s">
        <v>331</v>
      </c>
      <c r="O352" s="9">
        <v>40609</v>
      </c>
      <c r="P352" s="7" t="s">
        <v>27</v>
      </c>
      <c r="Q352" s="9" t="s">
        <v>28</v>
      </c>
      <c r="R352" s="7" t="s">
        <v>221</v>
      </c>
      <c r="S352" s="8" t="s">
        <v>222</v>
      </c>
      <c r="T352" s="7"/>
      <c r="U352" s="7"/>
      <c r="V352" s="7"/>
    </row>
    <row r="353" spans="1:22">
      <c r="A353" s="5" t="s">
        <v>332</v>
      </c>
      <c r="B353" s="5" t="str">
        <f>GetAddress(A353)</f>
        <v>\\chno0276\Aseguranza de Calidad\Control de Documentos\Doc. controlados PDF\Formas\CNWI-QAAS (aseguranza de calidad)\CNWI-QAAS-F034 Junta de Apertura- Cierre de Auditoria Interna.docx</v>
      </c>
      <c r="C353" s="5" t="str">
        <f>MID(B353,LEN(B353) - FIND(".",REVERSETEXT(B353))+2,1000)</f>
        <v>docx</v>
      </c>
      <c r="D353" s="6">
        <v>5</v>
      </c>
      <c r="E353" s="7" t="s">
        <v>42</v>
      </c>
      <c r="F353" s="7" t="s">
        <v>256</v>
      </c>
      <c r="G353" s="8" t="s">
        <v>266</v>
      </c>
      <c r="H353" s="8">
        <v>9</v>
      </c>
      <c r="I353" s="8"/>
      <c r="J353" s="8"/>
      <c r="K353" s="8"/>
      <c r="L353" s="8"/>
      <c r="M353" s="7" t="s">
        <v>256</v>
      </c>
      <c r="N353" s="7" t="s">
        <v>333</v>
      </c>
      <c r="O353" s="9">
        <v>40609</v>
      </c>
      <c r="P353" s="7" t="s">
        <v>27</v>
      </c>
      <c r="Q353" s="9" t="s">
        <v>28</v>
      </c>
      <c r="R353" s="7" t="s">
        <v>221</v>
      </c>
      <c r="S353" s="8" t="s">
        <v>222</v>
      </c>
      <c r="T353" s="7"/>
      <c r="U353" s="7"/>
      <c r="V353" s="7"/>
    </row>
    <row r="354" spans="1:22">
      <c r="A354" s="5" t="s">
        <v>334</v>
      </c>
      <c r="B354" s="5" t="str">
        <f>GetAddress(A354)</f>
        <v>\\chno0276\Aseguranza de Calidad\Control de Documentos\Doc. controlados PDF\Formas\CNWI-QAAS (aseguranza de calidad)\CNWI-QAAS-F035 Agenda de Auditoria.xlsx</v>
      </c>
      <c r="C354" s="5" t="str">
        <f>MID(B354,LEN(B354) - FIND(".",REVERSETEXT(B354))+2,1000)</f>
        <v>xlsx</v>
      </c>
      <c r="D354" s="6">
        <v>5</v>
      </c>
      <c r="E354" s="7" t="s">
        <v>42</v>
      </c>
      <c r="F354" s="7" t="s">
        <v>256</v>
      </c>
      <c r="G354" s="8" t="s">
        <v>266</v>
      </c>
      <c r="H354" s="8">
        <v>9</v>
      </c>
      <c r="I354" s="8"/>
      <c r="J354" s="8"/>
      <c r="K354" s="8"/>
      <c r="L354" s="8"/>
      <c r="M354" s="7" t="s">
        <v>256</v>
      </c>
      <c r="N354" s="7" t="s">
        <v>335</v>
      </c>
      <c r="O354" s="9">
        <v>41000</v>
      </c>
      <c r="P354" s="7" t="s">
        <v>27</v>
      </c>
      <c r="Q354" s="9" t="s">
        <v>28</v>
      </c>
      <c r="R354" s="7" t="s">
        <v>221</v>
      </c>
      <c r="S354" s="8" t="s">
        <v>222</v>
      </c>
      <c r="T354" s="7"/>
      <c r="U354" s="7"/>
      <c r="V354" s="7"/>
    </row>
    <row r="355" spans="1:22">
      <c r="A355" s="5" t="s">
        <v>336</v>
      </c>
      <c r="B355" s="5" t="str">
        <f>GetAddress(A355)</f>
        <v>\\chno0276\Aseguranza de Calidad\Control de Documentos\Doc. controlados PDF\Formas\CNWI-QAAS (aseguranza de calidad)\CNWI-QAAS-F036 CAR Log.xls</v>
      </c>
      <c r="C355" s="5" t="str">
        <f>MID(B355,LEN(B355) - FIND(".",REVERSETEXT(B355))+2,1000)</f>
        <v>xls</v>
      </c>
      <c r="D355" s="6">
        <v>5</v>
      </c>
      <c r="E355" s="7" t="s">
        <v>42</v>
      </c>
      <c r="F355" s="7" t="s">
        <v>256</v>
      </c>
      <c r="G355" s="8" t="s">
        <v>266</v>
      </c>
      <c r="H355" s="8">
        <v>9</v>
      </c>
      <c r="I355" s="8"/>
      <c r="J355" s="8"/>
      <c r="K355" s="8"/>
      <c r="L355" s="8"/>
      <c r="M355" s="7" t="s">
        <v>256</v>
      </c>
      <c r="N355" s="7" t="s">
        <v>337</v>
      </c>
      <c r="O355" s="9">
        <v>40609</v>
      </c>
      <c r="P355" s="7" t="s">
        <v>27</v>
      </c>
      <c r="Q355" s="9" t="s">
        <v>28</v>
      </c>
      <c r="R355" s="7" t="s">
        <v>221</v>
      </c>
      <c r="S355" s="8" t="s">
        <v>222</v>
      </c>
      <c r="T355" s="7"/>
      <c r="U355" s="7"/>
      <c r="V355" s="7"/>
    </row>
    <row r="356" spans="1:22">
      <c r="A356" s="5" t="s">
        <v>338</v>
      </c>
      <c r="B356" s="5" t="str">
        <f>GetAddress(A356)</f>
        <v>\\chno0276\Aseguranza de Calidad\Control de Documentos\Doc. controlados PDF\Formas\CNWI-QAAS (aseguranza de calidad)\CNWI-QAAS-F037 Alerta de Calidad.pdf</v>
      </c>
      <c r="C356" s="5" t="str">
        <f>MID(B356,LEN(B356) - FIND(".",REVERSETEXT(B356))+2,1000)</f>
        <v>pdf</v>
      </c>
      <c r="D356" s="6">
        <v>5</v>
      </c>
      <c r="E356" s="7" t="s">
        <v>42</v>
      </c>
      <c r="F356" s="7" t="s">
        <v>256</v>
      </c>
      <c r="G356" s="8" t="s">
        <v>266</v>
      </c>
      <c r="H356" s="8">
        <v>9</v>
      </c>
      <c r="I356" s="8"/>
      <c r="J356" s="8"/>
      <c r="K356" s="8"/>
      <c r="L356" s="8"/>
      <c r="M356" s="7" t="s">
        <v>256</v>
      </c>
      <c r="N356" s="7" t="s">
        <v>339</v>
      </c>
      <c r="O356" s="9">
        <v>41128</v>
      </c>
      <c r="P356" s="7" t="s">
        <v>38</v>
      </c>
      <c r="Q356" s="9" t="s">
        <v>28</v>
      </c>
      <c r="R356" s="7" t="s">
        <v>221</v>
      </c>
      <c r="S356" s="8" t="s">
        <v>222</v>
      </c>
      <c r="T356" s="7"/>
      <c r="U356" s="7"/>
      <c r="V356" s="7"/>
    </row>
    <row r="357" spans="1:22">
      <c r="A357" s="5" t="s">
        <v>340</v>
      </c>
      <c r="B357" s="5" t="str">
        <f>GetAddress(A357)</f>
        <v>\\chno0276\Aseguranza de Calidad\Control de Documentos\Doc. controlados PDF\Formas\CNWI-QAAS (aseguranza de calidad)\CNWI-QAAS-F038 reporte de discrepancia  (DR).doc</v>
      </c>
      <c r="C357" s="5" t="str">
        <f>MID(B357,LEN(B357) - FIND(".",REVERSETEXT(B357))+2,1000)</f>
        <v>doc</v>
      </c>
      <c r="D357" s="6">
        <v>5</v>
      </c>
      <c r="E357" s="7" t="s">
        <v>42</v>
      </c>
      <c r="F357" s="7" t="s">
        <v>256</v>
      </c>
      <c r="G357" s="8" t="s">
        <v>266</v>
      </c>
      <c r="H357" s="8">
        <v>9</v>
      </c>
      <c r="I357" s="8"/>
      <c r="J357" s="8"/>
      <c r="K357" s="8"/>
      <c r="L357" s="8"/>
      <c r="M357" s="7" t="s">
        <v>256</v>
      </c>
      <c r="N357" s="7" t="s">
        <v>341</v>
      </c>
      <c r="O357" s="9">
        <v>40610</v>
      </c>
      <c r="P357" s="7" t="s">
        <v>27</v>
      </c>
      <c r="Q357" s="9" t="s">
        <v>28</v>
      </c>
      <c r="R357" s="7" t="s">
        <v>221</v>
      </c>
      <c r="S357" s="8" t="s">
        <v>222</v>
      </c>
      <c r="T357" s="7"/>
      <c r="U357" s="7"/>
      <c r="V357" s="7"/>
    </row>
    <row r="358" spans="1:22">
      <c r="A358" s="5" t="s">
        <v>342</v>
      </c>
      <c r="B358" s="5" t="str">
        <f>GetAddress(A358)</f>
        <v>\\chno0276\Aseguranza de Calidad\Control de Documentos\Doc. controlados PDF\Formas\CNWI-QAAS (aseguranza de calidad)\CNWI-QAAS-F040 AS9101_D Checklist.xlsx</v>
      </c>
      <c r="C358" s="5" t="str">
        <f>MID(B358,LEN(B358) - FIND(".",REVERSETEXT(B358))+2,1000)</f>
        <v>xlsx</v>
      </c>
      <c r="D358" s="6">
        <v>5</v>
      </c>
      <c r="E358" s="7" t="s">
        <v>42</v>
      </c>
      <c r="F358" s="7" t="s">
        <v>256</v>
      </c>
      <c r="G358" s="8" t="s">
        <v>266</v>
      </c>
      <c r="H358" s="8">
        <v>9</v>
      </c>
      <c r="I358" s="8"/>
      <c r="J358" s="8"/>
      <c r="K358" s="8"/>
      <c r="L358" s="8"/>
      <c r="M358" s="7" t="s">
        <v>256</v>
      </c>
      <c r="N358" s="7" t="s">
        <v>343</v>
      </c>
      <c r="O358" s="9">
        <v>40852</v>
      </c>
      <c r="P358" s="7" t="s">
        <v>27</v>
      </c>
      <c r="Q358" s="9" t="s">
        <v>28</v>
      </c>
      <c r="R358" s="7" t="s">
        <v>221</v>
      </c>
      <c r="S358" s="8" t="s">
        <v>222</v>
      </c>
      <c r="T358" s="7"/>
      <c r="U358" s="7"/>
      <c r="V358" s="7"/>
    </row>
    <row r="359" spans="1:22">
      <c r="A359" s="5" t="s">
        <v>2249</v>
      </c>
      <c r="B359" s="5" t="str">
        <f>GetAddress(A359)</f>
        <v>\\chno0276\Aseguranza de Calidad\Control de Documentos\Doc. controlados PDF\Formas\CNWI-QAAS (aseguranza de calidad)\CNWI-QAAS-F042 FAI Forms.xlsx</v>
      </c>
      <c r="C359" s="5" t="str">
        <f>MID(B359,LEN(B359) - FIND(".",REVERSETEXT(B359))+2,1000)</f>
        <v>xlsx</v>
      </c>
      <c r="D359" s="6">
        <v>5</v>
      </c>
      <c r="E359" s="7" t="s">
        <v>42</v>
      </c>
      <c r="F359" s="7" t="s">
        <v>256</v>
      </c>
      <c r="G359" s="8" t="s">
        <v>266</v>
      </c>
      <c r="H359" s="8">
        <v>9</v>
      </c>
      <c r="I359" s="8"/>
      <c r="J359" s="8"/>
      <c r="K359" s="8"/>
      <c r="L359" s="8"/>
      <c r="M359" s="7" t="s">
        <v>256</v>
      </c>
      <c r="N359" s="7" t="s">
        <v>2250</v>
      </c>
      <c r="O359" s="9">
        <v>40611</v>
      </c>
      <c r="P359" s="7" t="s">
        <v>27</v>
      </c>
      <c r="Q359" s="9" t="s">
        <v>28</v>
      </c>
      <c r="R359" s="7" t="s">
        <v>2062</v>
      </c>
      <c r="S359" s="8" t="s">
        <v>2063</v>
      </c>
      <c r="T359" s="7"/>
      <c r="U359" s="7"/>
      <c r="V359" s="7"/>
    </row>
    <row r="360" spans="1:22">
      <c r="A360" s="5" t="s">
        <v>1100</v>
      </c>
      <c r="B360" s="5" t="str">
        <f>GetAddress(A360)</f>
        <v>\\CHNO0276\Aseguranza de Calidad\Control de Documentos\Doc. controlados PDF\Formas\CNWI-QAAS (aseguranza de calidad)\CNWI-QAAS-F043  Flow Chart.xlsx</v>
      </c>
      <c r="C360" s="5" t="str">
        <f>MID(B360,LEN(B360) - FIND(".",REVERSETEXT(B360))+2,1000)</f>
        <v>xlsx</v>
      </c>
      <c r="D360" s="6">
        <v>5</v>
      </c>
      <c r="E360" s="7" t="s">
        <v>42</v>
      </c>
      <c r="F360" s="7" t="s">
        <v>256</v>
      </c>
      <c r="G360" s="8" t="s">
        <v>266</v>
      </c>
      <c r="H360" s="8">
        <v>9</v>
      </c>
      <c r="I360" s="8"/>
      <c r="J360" s="8"/>
      <c r="K360" s="8"/>
      <c r="L360" s="8"/>
      <c r="M360" s="7" t="s">
        <v>256</v>
      </c>
      <c r="N360" s="7" t="s">
        <v>1101</v>
      </c>
      <c r="O360" s="9">
        <v>41142</v>
      </c>
      <c r="P360" s="7" t="s">
        <v>46</v>
      </c>
      <c r="Q360" s="9" t="s">
        <v>28</v>
      </c>
      <c r="R360" s="7" t="s">
        <v>879</v>
      </c>
      <c r="S360" s="26" t="s">
        <v>880</v>
      </c>
      <c r="T360" s="7"/>
      <c r="U360" s="7"/>
      <c r="V360" s="7"/>
    </row>
    <row r="361" spans="1:22">
      <c r="A361" s="5" t="s">
        <v>1102</v>
      </c>
      <c r="B361" s="5" t="str">
        <f>GetAddress(A361)</f>
        <v>\\CHNO0276\Aseguranza de Calidad\Control de Documentos\Doc. controlados PDF\Formas\CNWI-QAAS (aseguranza de calidad)\CNWI-QAAS-F044 Rev. C FMEA.xlsx</v>
      </c>
      <c r="C361" s="5" t="str">
        <f>MID(B361,LEN(B361) - FIND(".",REVERSETEXT(B361))+2,1000)</f>
        <v>xlsx</v>
      </c>
      <c r="D361" s="6">
        <v>5</v>
      </c>
      <c r="E361" s="7" t="s">
        <v>42</v>
      </c>
      <c r="F361" s="7" t="s">
        <v>256</v>
      </c>
      <c r="G361" s="8" t="s">
        <v>266</v>
      </c>
      <c r="H361" s="8">
        <v>9</v>
      </c>
      <c r="I361" s="8"/>
      <c r="J361" s="8"/>
      <c r="K361" s="8"/>
      <c r="L361" s="8"/>
      <c r="M361" s="7" t="s">
        <v>256</v>
      </c>
      <c r="N361" s="7" t="s">
        <v>1103</v>
      </c>
      <c r="O361" s="9">
        <v>41143</v>
      </c>
      <c r="P361" s="7" t="s">
        <v>159</v>
      </c>
      <c r="Q361" s="9" t="s">
        <v>28</v>
      </c>
      <c r="R361" s="7" t="s">
        <v>879</v>
      </c>
      <c r="S361" s="26" t="s">
        <v>880</v>
      </c>
      <c r="T361" s="9"/>
      <c r="U361" s="7"/>
      <c r="V361" s="7"/>
    </row>
    <row r="362" spans="1:22">
      <c r="A362" s="5" t="s">
        <v>1104</v>
      </c>
      <c r="B362" s="5" t="str">
        <f>GetAddress(A362)</f>
        <v>\\chno0276\Control de Documentos\Doc. controlados PDF\Formas\CNWI-QAAS (aseguranza de calidad)\CNWI-QAAS-F045 Rev. E Control Plan.xlsx</v>
      </c>
      <c r="C362" s="5" t="str">
        <f>MID(B362,LEN(B362) - FIND(".",REVERSETEXT(B362))+2,1000)</f>
        <v>xlsx</v>
      </c>
      <c r="D362" s="6">
        <v>5</v>
      </c>
      <c r="E362" s="7" t="s">
        <v>42</v>
      </c>
      <c r="F362" s="7" t="s">
        <v>256</v>
      </c>
      <c r="G362" s="8" t="s">
        <v>266</v>
      </c>
      <c r="H362" s="8">
        <v>9</v>
      </c>
      <c r="I362" s="8"/>
      <c r="J362" s="8"/>
      <c r="K362" s="8"/>
      <c r="L362" s="8"/>
      <c r="M362" s="7" t="s">
        <v>256</v>
      </c>
      <c r="N362" s="7" t="s">
        <v>1105</v>
      </c>
      <c r="O362" s="9">
        <v>41151</v>
      </c>
      <c r="P362" s="7" t="s">
        <v>261</v>
      </c>
      <c r="Q362" s="9" t="s">
        <v>28</v>
      </c>
      <c r="R362" s="7" t="s">
        <v>879</v>
      </c>
      <c r="S362" s="26" t="s">
        <v>880</v>
      </c>
      <c r="T362" s="7"/>
      <c r="U362" s="7"/>
      <c r="V362" s="7"/>
    </row>
    <row r="363" spans="1:22">
      <c r="A363" s="5" t="s">
        <v>2422</v>
      </c>
      <c r="B363" s="5" t="str">
        <f>GetAddress(A363)</f>
        <v>\\chno0276\Aseguranza de Calidad\Control de Documentos\Doc. controlados PDF\Formas\CNWI-QAAS (aseguranza de calidad)\CNWI-QAAS-F046 Dimensional Data Sheet .xlsx</v>
      </c>
      <c r="C363" s="5" t="str">
        <f>MID(B363,LEN(B363) - FIND(".",REVERSETEXT(B363))+2,1000)</f>
        <v>xlsx</v>
      </c>
      <c r="D363" s="6">
        <v>5</v>
      </c>
      <c r="E363" s="7" t="s">
        <v>42</v>
      </c>
      <c r="F363" s="7" t="s">
        <v>256</v>
      </c>
      <c r="G363" s="8" t="s">
        <v>266</v>
      </c>
      <c r="H363" s="8">
        <v>9</v>
      </c>
      <c r="I363" s="8"/>
      <c r="J363" s="8"/>
      <c r="K363" s="8"/>
      <c r="L363" s="8"/>
      <c r="M363" s="7" t="s">
        <v>256</v>
      </c>
      <c r="N363" s="7" t="s">
        <v>2423</v>
      </c>
      <c r="O363" s="9">
        <v>40611</v>
      </c>
      <c r="P363" s="7" t="s">
        <v>27</v>
      </c>
      <c r="Q363" s="9" t="s">
        <v>28</v>
      </c>
      <c r="R363" s="7" t="s">
        <v>2419</v>
      </c>
      <c r="S363" s="8" t="s">
        <v>2063</v>
      </c>
      <c r="T363" s="7"/>
      <c r="U363" s="7"/>
      <c r="V363" s="7"/>
    </row>
    <row r="364" spans="1:22">
      <c r="A364" s="5" t="s">
        <v>344</v>
      </c>
      <c r="B364" s="5" t="str">
        <f>GetAddress(A364)</f>
        <v>\\chno0276\Aseguranza de Calidad\Control de Documentos\Doc. controlados PDF\Formas\CNWI-QAAS (aseguranza de calidad)\CNWI-QAAS-F047 BOM.xlsx</v>
      </c>
      <c r="C364" s="5" t="str">
        <f>MID(B364,LEN(B364) - FIND(".",REVERSETEXT(B364))+2,1000)</f>
        <v>xlsx</v>
      </c>
      <c r="D364" s="6">
        <v>5</v>
      </c>
      <c r="E364" s="7" t="s">
        <v>42</v>
      </c>
      <c r="F364" s="7" t="s">
        <v>256</v>
      </c>
      <c r="G364" s="8" t="s">
        <v>266</v>
      </c>
      <c r="H364" s="8">
        <v>9</v>
      </c>
      <c r="I364" s="8"/>
      <c r="J364" s="8"/>
      <c r="K364" s="8"/>
      <c r="L364" s="8"/>
      <c r="M364" s="7" t="s">
        <v>256</v>
      </c>
      <c r="N364" s="7" t="s">
        <v>345</v>
      </c>
      <c r="O364" s="9">
        <v>40611</v>
      </c>
      <c r="P364" s="7" t="s">
        <v>27</v>
      </c>
      <c r="Q364" s="9" t="s">
        <v>28</v>
      </c>
      <c r="R364" s="7" t="s">
        <v>221</v>
      </c>
      <c r="S364" s="8" t="s">
        <v>222</v>
      </c>
      <c r="T364" s="7"/>
      <c r="U364" s="7"/>
      <c r="V364" s="7"/>
    </row>
    <row r="365" spans="1:22">
      <c r="A365" s="5" t="s">
        <v>346</v>
      </c>
      <c r="B365" s="5" t="str">
        <f>GetAddress(A365)</f>
        <v>\\chno0276\Aseguranza de Calidad\Control de Documentos\Doc. controlados PDF\Formas\CNWI-QAAS (aseguranza de calidad)\CNWI-QAAS-F048 formato de entradas y salidas.xls</v>
      </c>
      <c r="C365" s="5" t="str">
        <f>MID(B365,LEN(B365) - FIND(".",REVERSETEXT(B365))+2,1000)</f>
        <v>xls</v>
      </c>
      <c r="D365" s="6">
        <v>5</v>
      </c>
      <c r="E365" s="7" t="s">
        <v>42</v>
      </c>
      <c r="F365" s="7" t="s">
        <v>256</v>
      </c>
      <c r="G365" s="8" t="s">
        <v>266</v>
      </c>
      <c r="H365" s="8">
        <v>9</v>
      </c>
      <c r="I365" s="8"/>
      <c r="J365" s="8"/>
      <c r="K365" s="8"/>
      <c r="L365" s="8"/>
      <c r="M365" s="7" t="s">
        <v>256</v>
      </c>
      <c r="N365" s="7" t="s">
        <v>347</v>
      </c>
      <c r="O365" s="9">
        <v>40612</v>
      </c>
      <c r="P365" s="7" t="s">
        <v>27</v>
      </c>
      <c r="Q365" s="9" t="s">
        <v>28</v>
      </c>
      <c r="R365" s="7" t="s">
        <v>221</v>
      </c>
      <c r="S365" s="8" t="s">
        <v>222</v>
      </c>
      <c r="T365" s="7"/>
      <c r="U365" s="7"/>
      <c r="V365" s="7"/>
    </row>
    <row r="366" spans="1:22">
      <c r="A366" s="5" t="s">
        <v>2251</v>
      </c>
      <c r="B366" s="5" t="str">
        <f>GetAddress(A366)</f>
        <v>\\chno0276\Aseguranza de Calidad\Control de Documentos\Doc. controlados PDF\Formas\CNWI-QAAS (aseguranza de calidad)\CNWI-QAAS-F049 Forma para CPK's xlsx.xlsx</v>
      </c>
      <c r="C366" s="5" t="str">
        <f>MID(B366,LEN(B366) - FIND(".",REVERSETEXT(B366))+2,1000)</f>
        <v>xlsx</v>
      </c>
      <c r="D366" s="6">
        <v>5</v>
      </c>
      <c r="E366" s="7" t="s">
        <v>42</v>
      </c>
      <c r="F366" s="7" t="s">
        <v>256</v>
      </c>
      <c r="G366" s="8" t="s">
        <v>266</v>
      </c>
      <c r="H366" s="8">
        <v>9</v>
      </c>
      <c r="I366" s="8"/>
      <c r="J366" s="8"/>
      <c r="K366" s="8"/>
      <c r="L366" s="8"/>
      <c r="M366" s="7" t="s">
        <v>256</v>
      </c>
      <c r="N366" s="7" t="s">
        <v>2252</v>
      </c>
      <c r="O366" s="9">
        <v>40612</v>
      </c>
      <c r="P366" s="7" t="s">
        <v>27</v>
      </c>
      <c r="Q366" s="9" t="s">
        <v>28</v>
      </c>
      <c r="R366" s="7" t="s">
        <v>2062</v>
      </c>
      <c r="S366" s="8" t="s">
        <v>2063</v>
      </c>
      <c r="T366" s="7"/>
      <c r="U366" s="7"/>
      <c r="V366" s="7"/>
    </row>
    <row r="367" spans="1:22">
      <c r="A367" s="5" t="s">
        <v>1513</v>
      </c>
      <c r="B367" s="5" t="str">
        <f>GetAddress(A367)</f>
        <v>\\chno0276\Aseguranza de Calidad\Control de Documentos\Doc. controlados PDF\Formas\CNWI-QAAS (aseguranza de calidad)\CNWI-QAAS-F050 Formato de IMC.xlsx</v>
      </c>
      <c r="C367" s="5" t="str">
        <f>MID(B367,LEN(B367) - FIND(".",REVERSETEXT(B367))+2,1000)</f>
        <v>xlsx</v>
      </c>
      <c r="D367" s="6">
        <v>5</v>
      </c>
      <c r="E367" s="7" t="s">
        <v>42</v>
      </c>
      <c r="F367" s="7" t="s">
        <v>256</v>
      </c>
      <c r="G367" s="8" t="s">
        <v>266</v>
      </c>
      <c r="H367" s="8">
        <v>9</v>
      </c>
      <c r="I367" s="8"/>
      <c r="J367" s="8"/>
      <c r="K367" s="8"/>
      <c r="L367" s="8"/>
      <c r="M367" s="7" t="s">
        <v>256</v>
      </c>
      <c r="N367" s="7" t="s">
        <v>1514</v>
      </c>
      <c r="O367" s="9">
        <v>40891</v>
      </c>
      <c r="P367" s="7" t="s">
        <v>46</v>
      </c>
      <c r="Q367" s="9" t="s">
        <v>28</v>
      </c>
      <c r="R367" s="7" t="s">
        <v>1503</v>
      </c>
      <c r="S367" s="8" t="s">
        <v>1504</v>
      </c>
      <c r="T367" s="7"/>
      <c r="U367" s="7"/>
      <c r="V367" s="7"/>
    </row>
    <row r="368" spans="1:22">
      <c r="A368" s="5" t="s">
        <v>2253</v>
      </c>
      <c r="B368" s="5" t="str">
        <f>GetAddress(A368)</f>
        <v>\\chno0276\Aseguranza de Calidad\Control de Documentos\Doc. controlados PDF\Formas\CNWI-QAAS (aseguranza de calidad)\CNWI-QAAS-F051 formato de resumen de lotes rechazados.xls</v>
      </c>
      <c r="C368" s="5" t="str">
        <f>MID(B368,LEN(B368) - FIND(".",REVERSETEXT(B368))+2,1000)</f>
        <v>xls</v>
      </c>
      <c r="D368" s="6">
        <v>5</v>
      </c>
      <c r="E368" s="7" t="s">
        <v>42</v>
      </c>
      <c r="F368" s="7" t="s">
        <v>256</v>
      </c>
      <c r="G368" s="8" t="s">
        <v>266</v>
      </c>
      <c r="H368" s="8">
        <v>9</v>
      </c>
      <c r="I368" s="8"/>
      <c r="J368" s="8"/>
      <c r="K368" s="8"/>
      <c r="L368" s="8"/>
      <c r="M368" s="7" t="s">
        <v>256</v>
      </c>
      <c r="N368" s="7" t="s">
        <v>2254</v>
      </c>
      <c r="O368" s="9">
        <v>40612</v>
      </c>
      <c r="P368" s="7" t="s">
        <v>27</v>
      </c>
      <c r="Q368" s="9" t="s">
        <v>28</v>
      </c>
      <c r="R368" s="7" t="s">
        <v>2062</v>
      </c>
      <c r="S368" s="8" t="s">
        <v>2063</v>
      </c>
      <c r="T368" s="7"/>
      <c r="U368" s="7"/>
      <c r="V368" s="7"/>
    </row>
    <row r="369" spans="1:22">
      <c r="A369" s="5" t="s">
        <v>348</v>
      </c>
      <c r="B369" s="5" t="str">
        <f>GetAddress(A369)</f>
        <v>\\chno0276\Aseguranza de Calidad\Control de Documentos\Doc. controlados PDF\Formas\CNWI-QAAS (aseguranza de calidad)\CNWI-QAAS-F052 Schedule Management Review.xls</v>
      </c>
      <c r="C369" s="5" t="str">
        <f>MID(B369,LEN(B369) - FIND(".",REVERSETEXT(B369))+2,1000)</f>
        <v>xls</v>
      </c>
      <c r="D369" s="6">
        <v>5</v>
      </c>
      <c r="E369" s="7" t="s">
        <v>42</v>
      </c>
      <c r="F369" s="7" t="s">
        <v>256</v>
      </c>
      <c r="G369" s="8" t="s">
        <v>266</v>
      </c>
      <c r="H369" s="8">
        <v>9</v>
      </c>
      <c r="I369" s="8"/>
      <c r="J369" s="8"/>
      <c r="K369" s="8"/>
      <c r="L369" s="8"/>
      <c r="M369" s="7" t="s">
        <v>256</v>
      </c>
      <c r="N369" s="7" t="s">
        <v>349</v>
      </c>
      <c r="O369" s="9">
        <v>40612</v>
      </c>
      <c r="P369" s="7" t="s">
        <v>27</v>
      </c>
      <c r="Q369" s="9" t="s">
        <v>28</v>
      </c>
      <c r="R369" s="7" t="s">
        <v>221</v>
      </c>
      <c r="S369" s="8" t="s">
        <v>222</v>
      </c>
      <c r="T369" s="7"/>
      <c r="U369" s="7"/>
      <c r="V369" s="7"/>
    </row>
    <row r="370" spans="1:22">
      <c r="A370" s="5" t="s">
        <v>350</v>
      </c>
      <c r="B370" s="5" t="str">
        <f>GetAddress(A370)</f>
        <v>\\chno0276\Aseguranza de Calidad\Control de Documentos\Doc. controlados PDF\Formas\CNWI-QAAS (aseguranza de calidad)\CNWI-QAAS-F054 Meeting Notice.docx</v>
      </c>
      <c r="C370" s="5" t="str">
        <f>MID(B370,LEN(B370) - FIND(".",REVERSETEXT(B370))+2,1000)</f>
        <v>docx</v>
      </c>
      <c r="D370" s="6">
        <v>5</v>
      </c>
      <c r="E370" s="7" t="s">
        <v>42</v>
      </c>
      <c r="F370" s="7" t="s">
        <v>256</v>
      </c>
      <c r="G370" s="8" t="s">
        <v>266</v>
      </c>
      <c r="H370" s="8">
        <v>9</v>
      </c>
      <c r="I370" s="8"/>
      <c r="J370" s="8"/>
      <c r="K370" s="8"/>
      <c r="L370" s="8"/>
      <c r="M370" s="7" t="s">
        <v>256</v>
      </c>
      <c r="N370" s="7" t="s">
        <v>351</v>
      </c>
      <c r="O370" s="9">
        <v>40617</v>
      </c>
      <c r="P370" s="7" t="s">
        <v>27</v>
      </c>
      <c r="Q370" s="9" t="s">
        <v>28</v>
      </c>
      <c r="R370" s="7" t="s">
        <v>221</v>
      </c>
      <c r="S370" s="8" t="s">
        <v>222</v>
      </c>
      <c r="T370" s="7"/>
      <c r="U370" s="7"/>
      <c r="V370" s="7"/>
    </row>
    <row r="371" spans="1:22">
      <c r="A371" s="5" t="s">
        <v>352</v>
      </c>
      <c r="B371" s="5" t="str">
        <f>GetAddress(A371)</f>
        <v>\\chno0276\Aseguranza de Calidad\Control de Documentos\Doc. controlados PDF\Formas\CNWI-QAAS (aseguranza de calidad)\CNWI-QAAS-F055 DR Report ordenes de retrabajo  Recibidas Fuera Del SAP 2011.xlsx</v>
      </c>
      <c r="C371" s="5" t="str">
        <f>MID(B371,LEN(B371) - FIND(".",REVERSETEXT(B371))+2,1000)</f>
        <v>xlsx</v>
      </c>
      <c r="D371" s="6">
        <v>5</v>
      </c>
      <c r="E371" s="7" t="s">
        <v>42</v>
      </c>
      <c r="F371" s="7" t="s">
        <v>256</v>
      </c>
      <c r="G371" s="8" t="s">
        <v>266</v>
      </c>
      <c r="H371" s="8">
        <v>9</v>
      </c>
      <c r="I371" s="8"/>
      <c r="J371" s="8"/>
      <c r="K371" s="8"/>
      <c r="L371" s="8"/>
      <c r="M371" s="7" t="s">
        <v>256</v>
      </c>
      <c r="N371" s="7" t="s">
        <v>353</v>
      </c>
      <c r="O371" s="9">
        <v>40617</v>
      </c>
      <c r="P371" s="7" t="s">
        <v>27</v>
      </c>
      <c r="Q371" s="9" t="s">
        <v>28</v>
      </c>
      <c r="R371" s="7" t="s">
        <v>221</v>
      </c>
      <c r="S371" s="8" t="s">
        <v>222</v>
      </c>
      <c r="T371" s="7"/>
      <c r="U371" s="7"/>
      <c r="V371" s="7"/>
    </row>
    <row r="372" spans="1:22">
      <c r="A372" s="5" t="s">
        <v>354</v>
      </c>
      <c r="B372" s="5" t="str">
        <f>GetAddress(A372)</f>
        <v>\\chno0276\Aseguranza de Calidad\Control de Documentos\Doc. controlados PDF\Formas\CNWI-QAAS (aseguranza de calidad)\CNWI-QAAS-F056 DR Reporte de retrabajo ordenes  Recibidas Dentro Del SAP 2011.xlsx</v>
      </c>
      <c r="C372" s="5" t="str">
        <f>MID(B372,LEN(B372) - FIND(".",REVERSETEXT(B372))+2,1000)</f>
        <v>xlsx</v>
      </c>
      <c r="D372" s="6">
        <v>5</v>
      </c>
      <c r="E372" s="7" t="s">
        <v>42</v>
      </c>
      <c r="F372" s="7" t="s">
        <v>256</v>
      </c>
      <c r="G372" s="8" t="s">
        <v>266</v>
      </c>
      <c r="H372" s="8">
        <v>9</v>
      </c>
      <c r="I372" s="8"/>
      <c r="J372" s="8"/>
      <c r="K372" s="8"/>
      <c r="L372" s="8"/>
      <c r="M372" s="7" t="s">
        <v>256</v>
      </c>
      <c r="N372" s="7" t="s">
        <v>355</v>
      </c>
      <c r="O372" s="9">
        <v>40617</v>
      </c>
      <c r="P372" s="7" t="s">
        <v>27</v>
      </c>
      <c r="Q372" s="9" t="s">
        <v>28</v>
      </c>
      <c r="R372" s="7" t="s">
        <v>221</v>
      </c>
      <c r="S372" s="8" t="s">
        <v>222</v>
      </c>
      <c r="T372" s="7"/>
      <c r="U372" s="7"/>
      <c r="V372" s="7"/>
    </row>
    <row r="373" spans="1:22">
      <c r="A373" s="5" t="s">
        <v>356</v>
      </c>
      <c r="B373" s="5" t="str">
        <f>GetAddress(A373)</f>
        <v>\\chno0276\Aseguranza de Calidad\Control de Documentos\Doc. controlados PDF\Formas\CNWI-QAAS (aseguranza de calidad)\CNWI-QAAS-F057 Formato de presentacion al proveedor.pptx</v>
      </c>
      <c r="C373" s="5" t="str">
        <f>MID(B373,LEN(B373) - FIND(".",REVERSETEXT(B373))+2,1000)</f>
        <v>pptx</v>
      </c>
      <c r="D373" s="6">
        <v>5</v>
      </c>
      <c r="E373" s="7" t="s">
        <v>42</v>
      </c>
      <c r="F373" s="7" t="s">
        <v>256</v>
      </c>
      <c r="G373" s="8" t="s">
        <v>266</v>
      </c>
      <c r="H373" s="8">
        <v>9</v>
      </c>
      <c r="I373" s="8"/>
      <c r="J373" s="8"/>
      <c r="K373" s="8"/>
      <c r="L373" s="8"/>
      <c r="M373" s="7" t="s">
        <v>256</v>
      </c>
      <c r="N373" s="7" t="s">
        <v>357</v>
      </c>
      <c r="O373" s="9">
        <v>40617</v>
      </c>
      <c r="P373" s="7" t="s">
        <v>27</v>
      </c>
      <c r="Q373" s="9" t="s">
        <v>28</v>
      </c>
      <c r="R373" s="7" t="s">
        <v>221</v>
      </c>
      <c r="S373" s="8" t="s">
        <v>222</v>
      </c>
      <c r="T373" s="7"/>
      <c r="U373" s="7"/>
      <c r="V373" s="7"/>
    </row>
    <row r="374" spans="1:22">
      <c r="A374" s="5" t="s">
        <v>358</v>
      </c>
      <c r="B374" s="5" t="str">
        <f>GetAddress(A374)</f>
        <v>\\chno0276\Aseguranza de Calidad\Control de Documentos\Doc. controlados PDF\Formas\CNWI-QAAS (aseguranza de calidad)\CNWI-QAAS-F058 Reporte DR2011.xlsx</v>
      </c>
      <c r="C374" s="5" t="str">
        <f>MID(B374,LEN(B374) - FIND(".",REVERSETEXT(B374))+2,1000)</f>
        <v>xlsx</v>
      </c>
      <c r="D374" s="6">
        <v>5</v>
      </c>
      <c r="E374" s="7" t="s">
        <v>42</v>
      </c>
      <c r="F374" s="7" t="s">
        <v>256</v>
      </c>
      <c r="G374" s="8" t="s">
        <v>266</v>
      </c>
      <c r="H374" s="8">
        <v>9</v>
      </c>
      <c r="I374" s="8"/>
      <c r="J374" s="8"/>
      <c r="K374" s="8"/>
      <c r="L374" s="8"/>
      <c r="M374" s="7" t="s">
        <v>256</v>
      </c>
      <c r="N374" s="7" t="s">
        <v>359</v>
      </c>
      <c r="O374" s="9">
        <v>40617</v>
      </c>
      <c r="P374" s="7" t="s">
        <v>27</v>
      </c>
      <c r="Q374" s="9" t="s">
        <v>28</v>
      </c>
      <c r="R374" s="7" t="s">
        <v>221</v>
      </c>
      <c r="S374" s="8" t="s">
        <v>222</v>
      </c>
      <c r="T374" s="7"/>
      <c r="U374" s="7"/>
      <c r="V374" s="7"/>
    </row>
    <row r="375" spans="1:22">
      <c r="A375" s="5" t="s">
        <v>1845</v>
      </c>
      <c r="B375" s="5" t="str">
        <f>GetAddress(A375)</f>
        <v>\\chno0276\Aseguranza de Calidad\Control de Documentos\Doc. controlados PDF\Formas\CNWI-QAAS (aseguranza de calidad)\CNWI-QAAS-F059 retrabajos micromini.xlsx</v>
      </c>
      <c r="C375" s="5" t="str">
        <f>MID(B375,LEN(B375) - FIND(".",REVERSETEXT(B375))+2,1000)</f>
        <v>xlsx</v>
      </c>
      <c r="D375" s="6">
        <v>5</v>
      </c>
      <c r="E375" s="7" t="s">
        <v>42</v>
      </c>
      <c r="F375" s="7" t="s">
        <v>256</v>
      </c>
      <c r="G375" s="8" t="s">
        <v>266</v>
      </c>
      <c r="H375" s="8">
        <v>9</v>
      </c>
      <c r="I375" s="8"/>
      <c r="J375" s="8"/>
      <c r="K375" s="8"/>
      <c r="L375" s="8"/>
      <c r="M375" s="7" t="s">
        <v>256</v>
      </c>
      <c r="N375" s="7" t="s">
        <v>1846</v>
      </c>
      <c r="O375" s="9">
        <v>40617</v>
      </c>
      <c r="P375" s="7" t="s">
        <v>27</v>
      </c>
      <c r="Q375" s="9" t="s">
        <v>28</v>
      </c>
      <c r="R375" s="7" t="s">
        <v>1583</v>
      </c>
      <c r="S375" s="8" t="s">
        <v>1584</v>
      </c>
      <c r="T375" s="7"/>
      <c r="U375" s="7"/>
      <c r="V375" s="7"/>
    </row>
    <row r="376" spans="1:22">
      <c r="A376" s="5" t="s">
        <v>2255</v>
      </c>
      <c r="B376" s="5" t="str">
        <f>GetAddress(A376)</f>
        <v>\\CHNO0276\Aseguranza de Calidad\Control de Documentos\Doc. controlados PDF\Formas\CNWI-QAAS (aseguranza de calidad)\CNWI-QAAS-F060 Retrabajos Itron y Mas.xlsx</v>
      </c>
      <c r="C376" s="5" t="str">
        <f>MID(B376,LEN(B376) - FIND(".",REVERSETEXT(B376))+2,1000)</f>
        <v>xlsx</v>
      </c>
      <c r="D376" s="6">
        <v>5</v>
      </c>
      <c r="E376" s="7" t="s">
        <v>42</v>
      </c>
      <c r="F376" s="7" t="s">
        <v>256</v>
      </c>
      <c r="G376" s="8" t="s">
        <v>266</v>
      </c>
      <c r="H376" s="8">
        <v>9</v>
      </c>
      <c r="I376" s="8"/>
      <c r="J376" s="8"/>
      <c r="K376" s="8"/>
      <c r="L376" s="8"/>
      <c r="M376" s="7" t="s">
        <v>256</v>
      </c>
      <c r="N376" s="7" t="s">
        <v>2256</v>
      </c>
      <c r="O376" s="9">
        <v>40617</v>
      </c>
      <c r="P376" s="7" t="s">
        <v>27</v>
      </c>
      <c r="Q376" s="9" t="s">
        <v>28</v>
      </c>
      <c r="R376" s="7" t="s">
        <v>2062</v>
      </c>
      <c r="S376" s="8" t="s">
        <v>2063</v>
      </c>
      <c r="T376" s="7"/>
      <c r="U376" s="7"/>
      <c r="V376" s="7"/>
    </row>
    <row r="377" spans="1:22">
      <c r="A377" s="5" t="s">
        <v>2257</v>
      </c>
      <c r="B377" s="5" t="str">
        <f>GetAddress(A377)</f>
        <v>\\CHNO0276\Aseguranza de Calidad\Control de Documentos\Doc. controlados PDF\Formas\CNWI-QAAS (aseguranza de calidad)\CNWI-QAAS-F061 Stock Purge Report.docx</v>
      </c>
      <c r="C377" s="5" t="str">
        <f>MID(B377,LEN(B377) - FIND(".",REVERSETEXT(B377))+2,1000)</f>
        <v>docx</v>
      </c>
      <c r="D377" s="6">
        <v>5</v>
      </c>
      <c r="E377" s="7" t="s">
        <v>42</v>
      </c>
      <c r="F377" s="7" t="s">
        <v>256</v>
      </c>
      <c r="G377" s="8" t="s">
        <v>266</v>
      </c>
      <c r="H377" s="8">
        <v>9</v>
      </c>
      <c r="I377" s="8"/>
      <c r="J377" s="8"/>
      <c r="K377" s="8"/>
      <c r="L377" s="8"/>
      <c r="M377" s="7" t="s">
        <v>256</v>
      </c>
      <c r="N377" s="7" t="s">
        <v>2258</v>
      </c>
      <c r="O377" s="9">
        <v>40617</v>
      </c>
      <c r="P377" s="7" t="s">
        <v>27</v>
      </c>
      <c r="Q377" s="9" t="s">
        <v>28</v>
      </c>
      <c r="R377" s="7" t="s">
        <v>2062</v>
      </c>
      <c r="S377" s="8" t="s">
        <v>2063</v>
      </c>
      <c r="T377" s="7"/>
      <c r="U377" s="7"/>
      <c r="V377" s="7"/>
    </row>
    <row r="378" spans="1:22">
      <c r="A378" s="5" t="s">
        <v>1120</v>
      </c>
      <c r="B378" s="5" t="str">
        <f>GetAddress(A378)</f>
        <v>\\CHNO0276\Aseguranza de Calidad\Control de Documentos\Doc. controlados PDF\Formas\CNWI-QAAS (aseguranza de calidad)\CNWI-QAAS-F063 Material Freezer storage.xls</v>
      </c>
      <c r="C378" s="5" t="str">
        <f>MID(B378,LEN(B378) - FIND(".",REVERSETEXT(B378))+2,1000)</f>
        <v>xls</v>
      </c>
      <c r="D378" s="6">
        <v>5</v>
      </c>
      <c r="E378" s="7" t="s">
        <v>42</v>
      </c>
      <c r="F378" s="7" t="s">
        <v>256</v>
      </c>
      <c r="G378" s="8" t="s">
        <v>266</v>
      </c>
      <c r="H378" s="8">
        <v>9</v>
      </c>
      <c r="I378" s="8"/>
      <c r="J378" s="8"/>
      <c r="K378" s="8"/>
      <c r="L378" s="8"/>
      <c r="M378" s="7" t="s">
        <v>256</v>
      </c>
      <c r="N378" s="7" t="s">
        <v>1121</v>
      </c>
      <c r="O378" s="9">
        <v>40617</v>
      </c>
      <c r="P378" s="7" t="s">
        <v>27</v>
      </c>
      <c r="Q378" s="9" t="s">
        <v>28</v>
      </c>
      <c r="R378" s="7" t="s">
        <v>1108</v>
      </c>
      <c r="S378" s="8" t="s">
        <v>1109</v>
      </c>
      <c r="T378" s="7"/>
      <c r="U378" s="7"/>
      <c r="V378" s="7"/>
    </row>
    <row r="379" spans="1:22">
      <c r="A379" s="5" t="s">
        <v>2048</v>
      </c>
      <c r="B379" s="5" t="str">
        <f>GetAddress(A379)</f>
        <v>\\CHNO0276\Aseguranza de Calidad\Control de Documentos\Doc. controlados PDF\Formas\CNWI-QAAS (aseguranza de calidad)\CNWI-QAAS-F064 Boleta de scrap.xls</v>
      </c>
      <c r="C379" s="5" t="str">
        <f>MID(B379,LEN(B379) - FIND(".",REVERSETEXT(B379))+2,1000)</f>
        <v>xls</v>
      </c>
      <c r="D379" s="6">
        <v>5</v>
      </c>
      <c r="E379" s="7" t="s">
        <v>42</v>
      </c>
      <c r="F379" s="7" t="s">
        <v>256</v>
      </c>
      <c r="G379" s="8" t="s">
        <v>266</v>
      </c>
      <c r="H379" s="8">
        <v>9</v>
      </c>
      <c r="I379" s="8"/>
      <c r="J379" s="8"/>
      <c r="K379" s="8"/>
      <c r="L379" s="8"/>
      <c r="M379" s="7" t="s">
        <v>256</v>
      </c>
      <c r="N379" s="7" t="s">
        <v>2049</v>
      </c>
      <c r="O379" s="9">
        <v>41061</v>
      </c>
      <c r="P379" s="7" t="s">
        <v>261</v>
      </c>
      <c r="Q379" s="9" t="s">
        <v>28</v>
      </c>
      <c r="R379" s="7" t="s">
        <v>1887</v>
      </c>
      <c r="S379" s="8" t="s">
        <v>1888</v>
      </c>
      <c r="T379" s="7"/>
      <c r="U379" s="7"/>
      <c r="V379" s="7"/>
    </row>
    <row r="380" spans="1:22">
      <c r="A380" s="5" t="s">
        <v>2050</v>
      </c>
      <c r="B380" s="5" t="str">
        <f>GetAddress(A380)</f>
        <v>\\CHNO0276\Aseguranza de Calidad\Control de Documentos\Doc. controlados PDF\Formas\CNWI-QAAS (aseguranza de calidad)\CNWI-QAAS-F065 Certificate  of Conformance .pdf</v>
      </c>
      <c r="C380" s="5" t="str">
        <f>MID(B380,LEN(B380) - FIND(".",REVERSETEXT(B380))+2,1000)</f>
        <v>pdf</v>
      </c>
      <c r="D380" s="6">
        <v>5</v>
      </c>
      <c r="E380" s="7" t="s">
        <v>42</v>
      </c>
      <c r="F380" s="7" t="s">
        <v>256</v>
      </c>
      <c r="G380" s="8" t="s">
        <v>266</v>
      </c>
      <c r="H380" s="8">
        <v>9</v>
      </c>
      <c r="I380" s="8"/>
      <c r="J380" s="8"/>
      <c r="K380" s="8"/>
      <c r="L380" s="8"/>
      <c r="M380" s="7" t="s">
        <v>256</v>
      </c>
      <c r="N380" s="7" t="s">
        <v>2051</v>
      </c>
      <c r="O380" s="9">
        <v>41108</v>
      </c>
      <c r="P380" s="7" t="s">
        <v>38</v>
      </c>
      <c r="Q380" s="9" t="s">
        <v>28</v>
      </c>
      <c r="R380" s="7" t="s">
        <v>1887</v>
      </c>
      <c r="S380" s="8" t="s">
        <v>1888</v>
      </c>
      <c r="T380" s="7"/>
      <c r="U380" s="7"/>
      <c r="V380" s="7"/>
    </row>
    <row r="381" spans="1:22">
      <c r="A381" s="5" t="s">
        <v>1122</v>
      </c>
      <c r="B381" s="5" t="str">
        <f>GetAddress(A381)</f>
        <v>\\CHNO0276\Aseguranza de Calidad\Control de Documentos\Doc. controlados PDF\Formas\CNWI-QAAS (aseguranza de calidad)\CNWI-QAAS-F066 Diagrama de flujo del producto.xls</v>
      </c>
      <c r="C381" s="5" t="str">
        <f>MID(B381,LEN(B381) - FIND(".",REVERSETEXT(B381))+2,1000)</f>
        <v>xls</v>
      </c>
      <c r="D381" s="6">
        <v>5</v>
      </c>
      <c r="E381" s="7" t="s">
        <v>42</v>
      </c>
      <c r="F381" s="7" t="s">
        <v>256</v>
      </c>
      <c r="G381" s="8" t="s">
        <v>266</v>
      </c>
      <c r="H381" s="8">
        <v>9</v>
      </c>
      <c r="I381" s="8"/>
      <c r="J381" s="8"/>
      <c r="K381" s="8"/>
      <c r="L381" s="8"/>
      <c r="M381" s="7" t="s">
        <v>256</v>
      </c>
      <c r="N381" s="7" t="s">
        <v>1123</v>
      </c>
      <c r="O381" s="9">
        <v>41102</v>
      </c>
      <c r="P381" s="7" t="s">
        <v>27</v>
      </c>
      <c r="Q381" s="9" t="s">
        <v>28</v>
      </c>
      <c r="R381" s="7" t="s">
        <v>1108</v>
      </c>
      <c r="S381" s="8" t="s">
        <v>1109</v>
      </c>
      <c r="T381" s="12"/>
      <c r="U381" s="7"/>
      <c r="V381" s="7"/>
    </row>
    <row r="382" spans="1:22">
      <c r="A382" s="5" t="s">
        <v>1124</v>
      </c>
      <c r="B382" s="5" t="str">
        <f>GetAddress(A382)</f>
        <v>\\CHNO0276\Aseguranza de Calidad\Control de Documentos\Doc. controlados PDF\Formas\CNWI-QAAS (aseguranza de calidad)\CNWI-QAAS-F067 Registro de Goma.xls</v>
      </c>
      <c r="C382" s="5" t="str">
        <f>MID(B382,LEN(B382) - FIND(".",REVERSETEXT(B382))+2,1000)</f>
        <v>xls</v>
      </c>
      <c r="D382" s="6">
        <v>5</v>
      </c>
      <c r="E382" s="7" t="s">
        <v>42</v>
      </c>
      <c r="F382" s="7" t="s">
        <v>256</v>
      </c>
      <c r="G382" s="8" t="s">
        <v>266</v>
      </c>
      <c r="H382" s="8">
        <v>9</v>
      </c>
      <c r="I382" s="8"/>
      <c r="J382" s="8"/>
      <c r="K382" s="8"/>
      <c r="L382" s="8"/>
      <c r="M382" s="7" t="s">
        <v>256</v>
      </c>
      <c r="N382" s="7" t="s">
        <v>1125</v>
      </c>
      <c r="O382" s="9">
        <v>40633</v>
      </c>
      <c r="P382" s="7" t="s">
        <v>27</v>
      </c>
      <c r="Q382" s="9" t="s">
        <v>28</v>
      </c>
      <c r="R382" s="7" t="s">
        <v>1108</v>
      </c>
      <c r="S382" s="8" t="s">
        <v>1109</v>
      </c>
      <c r="T382" s="7"/>
      <c r="U382" s="7"/>
      <c r="V382" s="7"/>
    </row>
    <row r="383" spans="1:22">
      <c r="A383" s="5" t="s">
        <v>360</v>
      </c>
      <c r="B383" s="5" t="str">
        <f>GetAddress(A383)</f>
        <v>\\CHNO0276\Aseguranza de Calidad\Control de Documentos\Doc. controlados PDF\Formas\CNWI-QAAS (aseguranza de calidad)\CNWI-QAAS-F068 Relacion de documentos externos.xls</v>
      </c>
      <c r="C383" s="5" t="str">
        <f>MID(B383,LEN(B383) - FIND(".",REVERSETEXT(B383))+2,1000)</f>
        <v>xls</v>
      </c>
      <c r="D383" s="6">
        <v>5</v>
      </c>
      <c r="E383" s="7" t="s">
        <v>42</v>
      </c>
      <c r="F383" s="7" t="s">
        <v>256</v>
      </c>
      <c r="G383" s="8" t="s">
        <v>266</v>
      </c>
      <c r="H383" s="8">
        <v>9</v>
      </c>
      <c r="I383" s="8"/>
      <c r="J383" s="8"/>
      <c r="K383" s="8"/>
      <c r="L383" s="8"/>
      <c r="M383" s="7" t="s">
        <v>256</v>
      </c>
      <c r="N383" s="7" t="s">
        <v>361</v>
      </c>
      <c r="O383" s="9">
        <v>40973</v>
      </c>
      <c r="P383" s="7" t="s">
        <v>27</v>
      </c>
      <c r="Q383" s="9" t="s">
        <v>28</v>
      </c>
      <c r="R383" s="12" t="s">
        <v>221</v>
      </c>
      <c r="S383" s="8" t="s">
        <v>222</v>
      </c>
      <c r="T383" s="7"/>
      <c r="U383" s="7"/>
      <c r="V383" s="7"/>
    </row>
    <row r="384" spans="1:22">
      <c r="A384" s="5" t="s">
        <v>362</v>
      </c>
      <c r="B384" s="5" t="str">
        <f>GetAddress(A384)</f>
        <v>\\chno0276\Aseguranza de Calidad\Control de Documentos\Documentos controlados\CN-QAAS (Aseguranza de calidad)\FORMAS\CNWI-QAAS-F069 Rev. C Comunicacion de cambios de documentos.xls</v>
      </c>
      <c r="C384" s="5" t="str">
        <f>MID(B384,LEN(B384) - FIND(".",REVERSETEXT(B384))+2,1000)</f>
        <v>xls</v>
      </c>
      <c r="D384" s="6">
        <v>5</v>
      </c>
      <c r="E384" s="7" t="s">
        <v>42</v>
      </c>
      <c r="F384" s="7" t="s">
        <v>256</v>
      </c>
      <c r="G384" s="8" t="s">
        <v>266</v>
      </c>
      <c r="H384" s="8">
        <v>9</v>
      </c>
      <c r="I384" s="8"/>
      <c r="J384" s="8"/>
      <c r="K384" s="8"/>
      <c r="L384" s="8"/>
      <c r="M384" s="7" t="s">
        <v>256</v>
      </c>
      <c r="N384" s="7" t="s">
        <v>363</v>
      </c>
      <c r="O384" s="9">
        <v>40988</v>
      </c>
      <c r="P384" s="7" t="s">
        <v>159</v>
      </c>
      <c r="Q384" s="9" t="s">
        <v>28</v>
      </c>
      <c r="R384" s="12" t="s">
        <v>221</v>
      </c>
      <c r="S384" s="8" t="s">
        <v>222</v>
      </c>
      <c r="T384" s="9"/>
      <c r="U384" s="7"/>
      <c r="V384" s="7"/>
    </row>
    <row r="385" spans="1:22">
      <c r="A385" s="5" t="s">
        <v>1847</v>
      </c>
      <c r="B385" s="5" t="str">
        <f>GetAddress(A385)</f>
        <v>\\CHNO0276\Aseguranza de Calidad\Control de Documentos\Doc. controlados PDF\Formas\CNWI-QAAS (aseguranza de calidad)\CNWI-QAAS-F070 Matriz de PULL TEST(MICRO-MINI).xls</v>
      </c>
      <c r="C385" s="5" t="str">
        <f>MID(B385,LEN(B385) - FIND(".",REVERSETEXT(B385))+2,1000)</f>
        <v>xls</v>
      </c>
      <c r="D385" s="6">
        <v>5</v>
      </c>
      <c r="E385" s="7" t="s">
        <v>42</v>
      </c>
      <c r="F385" s="7" t="s">
        <v>256</v>
      </c>
      <c r="G385" s="8" t="s">
        <v>266</v>
      </c>
      <c r="H385" s="8">
        <v>9</v>
      </c>
      <c r="I385" s="8"/>
      <c r="J385" s="8"/>
      <c r="K385" s="8"/>
      <c r="L385" s="8"/>
      <c r="M385" s="7" t="s">
        <v>256</v>
      </c>
      <c r="N385" s="7" t="s">
        <v>1848</v>
      </c>
      <c r="O385" s="9">
        <v>40644</v>
      </c>
      <c r="P385" s="7" t="s">
        <v>27</v>
      </c>
      <c r="Q385" s="9" t="s">
        <v>28</v>
      </c>
      <c r="R385" s="7" t="s">
        <v>1583</v>
      </c>
      <c r="S385" s="8" t="s">
        <v>1584</v>
      </c>
      <c r="T385" s="7"/>
      <c r="U385" s="7"/>
      <c r="V385" s="7"/>
    </row>
    <row r="386" spans="1:22">
      <c r="A386" s="5" t="s">
        <v>501</v>
      </c>
      <c r="B386" s="5" t="str">
        <f>GetAddress(A386)</f>
        <v>\\CHNO0276\Aseguranza de Calidad\Control de Documentos\Doc. controlados PDF\Formas\CNWI-QAAS (aseguranza de calidad)\CNWI-QAAS-F071 molding process.xls</v>
      </c>
      <c r="C386" s="5" t="str">
        <f>MID(B386,LEN(B386) - FIND(".",REVERSETEXT(B386))+2,1000)</f>
        <v>xls</v>
      </c>
      <c r="D386" s="6">
        <v>5</v>
      </c>
      <c r="E386" s="7" t="s">
        <v>42</v>
      </c>
      <c r="F386" s="7" t="s">
        <v>256</v>
      </c>
      <c r="G386" s="8" t="s">
        <v>266</v>
      </c>
      <c r="H386" s="8">
        <v>9</v>
      </c>
      <c r="I386" s="8"/>
      <c r="J386" s="8"/>
      <c r="K386" s="8"/>
      <c r="L386" s="8"/>
      <c r="M386" s="7" t="s">
        <v>256</v>
      </c>
      <c r="N386" s="7" t="s">
        <v>502</v>
      </c>
      <c r="O386" s="9" t="s">
        <v>503</v>
      </c>
      <c r="P386" s="7" t="s">
        <v>27</v>
      </c>
      <c r="Q386" s="9" t="s">
        <v>28</v>
      </c>
      <c r="R386" s="7" t="s">
        <v>437</v>
      </c>
      <c r="S386" s="8" t="s">
        <v>438</v>
      </c>
      <c r="T386" s="7"/>
      <c r="U386" s="7"/>
      <c r="V386" s="7"/>
    </row>
    <row r="387" spans="1:22">
      <c r="A387" s="5" t="s">
        <v>364</v>
      </c>
      <c r="B387" s="5" t="str">
        <f>GetAddress(A387)</f>
        <v>\\chno0276\Control de Documentos\Doc. controlados PDF\Formas\CNWI-QAAS (aseguranza de calidad)\CNWI-QAAS-F072 Rev. A Part Number Accountability.xls</v>
      </c>
      <c r="C387" s="5" t="str">
        <f>MID(B387,LEN(B387) - FIND(".",REVERSETEXT(B387))+2,1000)</f>
        <v>xls</v>
      </c>
      <c r="D387" s="6">
        <v>5</v>
      </c>
      <c r="E387" s="7" t="s">
        <v>42</v>
      </c>
      <c r="F387" s="7" t="s">
        <v>256</v>
      </c>
      <c r="G387" s="8" t="s">
        <v>266</v>
      </c>
      <c r="H387" s="8">
        <v>9</v>
      </c>
      <c r="I387" s="8"/>
      <c r="J387" s="8"/>
      <c r="K387" s="8"/>
      <c r="L387" s="8"/>
      <c r="M387" s="7" t="s">
        <v>256</v>
      </c>
      <c r="N387" s="7" t="s">
        <v>365</v>
      </c>
      <c r="O387" s="9" t="s">
        <v>366</v>
      </c>
      <c r="P387" s="7" t="s">
        <v>27</v>
      </c>
      <c r="Q387" s="9" t="s">
        <v>28</v>
      </c>
      <c r="R387" s="12" t="s">
        <v>221</v>
      </c>
      <c r="S387" s="8" t="s">
        <v>222</v>
      </c>
      <c r="T387" s="7"/>
      <c r="U387" s="7"/>
      <c r="V387" s="7"/>
    </row>
    <row r="388" spans="1:22">
      <c r="A388" s="5" t="s">
        <v>367</v>
      </c>
      <c r="B388" s="5" t="str">
        <f>GetAddress(A388)</f>
        <v>\\chno0276\Control de Documentos\Doc. controlados PDF\Formas\CNWI-QAAS (aseguranza de calidad)\CNWI-QAAS-F073 Rev. A Product accontability.xls</v>
      </c>
      <c r="C388" s="5" t="str">
        <f>MID(B388,LEN(B388) - FIND(".",REVERSETEXT(B388))+2,1000)</f>
        <v>xls</v>
      </c>
      <c r="D388" s="6">
        <v>5</v>
      </c>
      <c r="E388" s="7" t="s">
        <v>42</v>
      </c>
      <c r="F388" s="7" t="s">
        <v>256</v>
      </c>
      <c r="G388" s="8" t="s">
        <v>266</v>
      </c>
      <c r="H388" s="8">
        <v>9</v>
      </c>
      <c r="I388" s="8"/>
      <c r="J388" s="8"/>
      <c r="K388" s="8"/>
      <c r="L388" s="8"/>
      <c r="M388" s="7" t="s">
        <v>256</v>
      </c>
      <c r="N388" s="7" t="s">
        <v>368</v>
      </c>
      <c r="O388" s="9" t="s">
        <v>366</v>
      </c>
      <c r="P388" s="7" t="s">
        <v>27</v>
      </c>
      <c r="Q388" s="9" t="s">
        <v>28</v>
      </c>
      <c r="R388" s="12" t="s">
        <v>221</v>
      </c>
      <c r="S388" s="8" t="s">
        <v>222</v>
      </c>
      <c r="T388" s="7"/>
      <c r="U388" s="7"/>
      <c r="V388" s="7"/>
    </row>
    <row r="389" spans="1:22">
      <c r="A389" s="5" t="s">
        <v>369</v>
      </c>
      <c r="B389" s="5" t="str">
        <f>GetAddress(A389)</f>
        <v>\\CHNO0276\Aseguranza de Calidad\Control de Documentos\Doc. controlados PDF\Formas\CNWI-QAAS (aseguranza de calidad)\CNWI-QAAS-F074 Characteristics Accountability, Verification and Compatibility Evaluation.xls</v>
      </c>
      <c r="C389" s="5" t="str">
        <f>MID(B389,LEN(B389) - FIND(".",REVERSETEXT(B389))+2,1000)</f>
        <v>xls</v>
      </c>
      <c r="D389" s="6">
        <v>5</v>
      </c>
      <c r="E389" s="7" t="s">
        <v>42</v>
      </c>
      <c r="F389" s="7" t="s">
        <v>256</v>
      </c>
      <c r="G389" s="8" t="s">
        <v>266</v>
      </c>
      <c r="H389" s="8">
        <v>9</v>
      </c>
      <c r="I389" s="8"/>
      <c r="J389" s="8"/>
      <c r="K389" s="8"/>
      <c r="L389" s="8"/>
      <c r="M389" s="7" t="s">
        <v>256</v>
      </c>
      <c r="N389" s="7" t="s">
        <v>370</v>
      </c>
      <c r="O389" s="9" t="s">
        <v>366</v>
      </c>
      <c r="P389" s="7" t="s">
        <v>27</v>
      </c>
      <c r="Q389" s="9" t="s">
        <v>28</v>
      </c>
      <c r="R389" s="12" t="s">
        <v>221</v>
      </c>
      <c r="S389" s="8" t="s">
        <v>222</v>
      </c>
      <c r="T389" s="7"/>
      <c r="U389" s="7"/>
      <c r="V389" s="7"/>
    </row>
    <row r="390" spans="1:22">
      <c r="A390" s="5" t="s">
        <v>371</v>
      </c>
      <c r="B390" s="5" t="str">
        <f>GetAddress(A390)</f>
        <v>\\CHNO0276\Aseguranza de Calidad\Control de Documentos\Doc. controlados PDF\Formas\CNWI-QAAS (aseguranza de calidad)\CNWI-QAAS-F075 formato Registro de Medidores.xls</v>
      </c>
      <c r="C390" s="5" t="str">
        <f>MID(B390,LEN(B390) - FIND(".",REVERSETEXT(B390))+2,1000)</f>
        <v>xls</v>
      </c>
      <c r="D390" s="6">
        <v>5</v>
      </c>
      <c r="E390" s="7" t="s">
        <v>42</v>
      </c>
      <c r="F390" s="7" t="s">
        <v>256</v>
      </c>
      <c r="G390" s="8" t="s">
        <v>266</v>
      </c>
      <c r="H390" s="8">
        <v>9</v>
      </c>
      <c r="I390" s="8"/>
      <c r="J390" s="8"/>
      <c r="K390" s="8"/>
      <c r="L390" s="8"/>
      <c r="M390" s="7" t="s">
        <v>256</v>
      </c>
      <c r="N390" s="7" t="s">
        <v>372</v>
      </c>
      <c r="O390" s="9" t="s">
        <v>373</v>
      </c>
      <c r="P390" s="7" t="s">
        <v>27</v>
      </c>
      <c r="Q390" s="9" t="s">
        <v>28</v>
      </c>
      <c r="R390" s="12" t="s">
        <v>221</v>
      </c>
      <c r="S390" s="8" t="s">
        <v>222</v>
      </c>
      <c r="T390" s="7"/>
      <c r="U390" s="7"/>
      <c r="V390" s="7"/>
    </row>
    <row r="391" spans="1:22">
      <c r="A391" s="5" t="s">
        <v>374</v>
      </c>
      <c r="B391" s="5" t="str">
        <f>GetAddress(A391)</f>
        <v>\\CHNO0276\Aseguranza de Calidad\Control de Documentos\Doc. controlados PDF\Formas\CNWI-QAAS (aseguranza de calidad)\CNWI-QAAS-F076 Auditoria al producto UL.xls</v>
      </c>
      <c r="C391" s="5" t="str">
        <f>MID(B391,LEN(B391) - FIND(".",REVERSETEXT(B391))+2,1000)</f>
        <v>xls</v>
      </c>
      <c r="D391" s="6">
        <v>5</v>
      </c>
      <c r="E391" s="7" t="s">
        <v>42</v>
      </c>
      <c r="F391" s="7" t="s">
        <v>256</v>
      </c>
      <c r="G391" s="8" t="s">
        <v>266</v>
      </c>
      <c r="H391" s="8">
        <v>9</v>
      </c>
      <c r="I391" s="8"/>
      <c r="J391" s="8"/>
      <c r="K391" s="8"/>
      <c r="L391" s="8"/>
      <c r="M391" s="7" t="s">
        <v>256</v>
      </c>
      <c r="N391" s="7" t="s">
        <v>375</v>
      </c>
      <c r="O391" s="9">
        <v>40852</v>
      </c>
      <c r="P391" s="7" t="s">
        <v>46</v>
      </c>
      <c r="Q391" s="9" t="s">
        <v>28</v>
      </c>
      <c r="R391" s="12" t="s">
        <v>221</v>
      </c>
      <c r="S391" s="8" t="s">
        <v>222</v>
      </c>
      <c r="T391" s="7"/>
      <c r="U391" s="7"/>
      <c r="V391" s="7"/>
    </row>
    <row r="392" spans="1:22">
      <c r="A392" s="5" t="s">
        <v>376</v>
      </c>
      <c r="B392" s="5" t="str">
        <f>GetAddress(A392)</f>
        <v>\\CHNO0276\Aseguranza de Calidad\Control de Documentos\Doc. controlados PDF\Formas\CNWI-QAAS (aseguranza de calidad)\CNWI-QAAS-F077 Estado de Acciones Correctivas.xls</v>
      </c>
      <c r="C392" s="5" t="str">
        <f>MID(B392,LEN(B392) - FIND(".",REVERSETEXT(B392))+2,1000)</f>
        <v>xls</v>
      </c>
      <c r="D392" s="6">
        <v>5</v>
      </c>
      <c r="E392" s="7" t="s">
        <v>42</v>
      </c>
      <c r="F392" s="7" t="s">
        <v>256</v>
      </c>
      <c r="G392" s="8" t="s">
        <v>266</v>
      </c>
      <c r="H392" s="8">
        <v>9</v>
      </c>
      <c r="I392" s="8"/>
      <c r="J392" s="8"/>
      <c r="K392" s="8"/>
      <c r="L392" s="8"/>
      <c r="M392" s="7" t="s">
        <v>256</v>
      </c>
      <c r="N392" s="7" t="s">
        <v>377</v>
      </c>
      <c r="O392" s="9">
        <v>40864</v>
      </c>
      <c r="P392" s="7" t="s">
        <v>27</v>
      </c>
      <c r="Q392" s="9" t="s">
        <v>28</v>
      </c>
      <c r="R392" s="12" t="s">
        <v>221</v>
      </c>
      <c r="S392" s="8" t="s">
        <v>222</v>
      </c>
      <c r="T392" s="7"/>
      <c r="U392" s="7"/>
      <c r="V392" s="7"/>
    </row>
    <row r="393" spans="1:22">
      <c r="A393" s="5" t="s">
        <v>378</v>
      </c>
      <c r="B393" s="5" t="str">
        <f>GetAddress(A393)</f>
        <v>\\CHNO0276\Aseguranza de Calidad\Control de Documentos\Doc. controlados PDF\Formas\CNWI-QAAS (aseguranza de calidad)\CNWI-QAAS-F078 forma Ethernet Serial Number.xls</v>
      </c>
      <c r="C393" s="5" t="str">
        <f>MID(B393,LEN(B393) - FIND(".",REVERSETEXT(B393))+2,1000)</f>
        <v>xls</v>
      </c>
      <c r="D393" s="6">
        <v>5</v>
      </c>
      <c r="E393" s="7" t="s">
        <v>42</v>
      </c>
      <c r="F393" s="7" t="s">
        <v>256</v>
      </c>
      <c r="G393" s="8" t="s">
        <v>266</v>
      </c>
      <c r="H393" s="8">
        <v>9</v>
      </c>
      <c r="I393" s="8"/>
      <c r="J393" s="8"/>
      <c r="K393" s="8"/>
      <c r="L393" s="8"/>
      <c r="M393" s="7" t="s">
        <v>256</v>
      </c>
      <c r="N393" s="7" t="s">
        <v>379</v>
      </c>
      <c r="O393" s="9">
        <v>40761</v>
      </c>
      <c r="P393" s="7" t="s">
        <v>27</v>
      </c>
      <c r="Q393" s="9" t="s">
        <v>28</v>
      </c>
      <c r="R393" s="12" t="s">
        <v>221</v>
      </c>
      <c r="S393" s="8" t="s">
        <v>222</v>
      </c>
      <c r="T393" s="7"/>
      <c r="U393" s="7"/>
      <c r="V393" s="7"/>
    </row>
    <row r="394" spans="1:22">
      <c r="A394" s="5" t="s">
        <v>380</v>
      </c>
      <c r="B394" s="5" t="str">
        <f>GetAddress(A394)</f>
        <v>\\CHNO0276\Aseguranza de Calidad\Control de Documentos\Doc. controlados PDF\Formas\CNWI-QAAS (aseguranza de calidad)\CNWI-QAAS-F079 Certificate of Compliance (LABINAL).xls</v>
      </c>
      <c r="C394" s="5" t="str">
        <f>MID(B394,LEN(B394) - FIND(".",REVERSETEXT(B394))+2,1000)</f>
        <v>xls</v>
      </c>
      <c r="D394" s="6">
        <v>5</v>
      </c>
      <c r="E394" s="7" t="s">
        <v>42</v>
      </c>
      <c r="F394" s="7" t="s">
        <v>256</v>
      </c>
      <c r="G394" s="8" t="s">
        <v>266</v>
      </c>
      <c r="H394" s="8">
        <v>9</v>
      </c>
      <c r="I394" s="8"/>
      <c r="J394" s="8"/>
      <c r="K394" s="8"/>
      <c r="L394" s="8"/>
      <c r="M394" s="7" t="s">
        <v>256</v>
      </c>
      <c r="N394" s="7" t="s">
        <v>381</v>
      </c>
      <c r="O394" s="9">
        <v>40927</v>
      </c>
      <c r="P394" s="7" t="s">
        <v>38</v>
      </c>
      <c r="Q394" s="9" t="s">
        <v>28</v>
      </c>
      <c r="R394" s="12" t="s">
        <v>221</v>
      </c>
      <c r="S394" s="8" t="s">
        <v>222</v>
      </c>
      <c r="T394" s="7"/>
      <c r="U394" s="7"/>
      <c r="V394" s="7"/>
    </row>
    <row r="395" spans="1:22">
      <c r="A395" s="5" t="s">
        <v>2259</v>
      </c>
      <c r="B395" s="5" t="str">
        <f>GetAddress(A395)</f>
        <v>\\CHNO0276\Aseguranza de Calidad\Control de Documentos\Doc. controlados PDF\Formas\CNWI-QAAS (aseguranza de calidad)\CNWI-QAAS-F080 Lista para Sellos.xls</v>
      </c>
      <c r="C395" s="5" t="str">
        <f>MID(B395,LEN(B395) - FIND(".",REVERSETEXT(B395))+2,1000)</f>
        <v>xls</v>
      </c>
      <c r="D395" s="6">
        <v>5</v>
      </c>
      <c r="E395" s="7" t="s">
        <v>42</v>
      </c>
      <c r="F395" s="7" t="s">
        <v>256</v>
      </c>
      <c r="G395" s="8" t="s">
        <v>266</v>
      </c>
      <c r="H395" s="8">
        <v>9</v>
      </c>
      <c r="I395" s="8"/>
      <c r="J395" s="8"/>
      <c r="K395" s="8"/>
      <c r="L395" s="8"/>
      <c r="M395" s="7" t="s">
        <v>256</v>
      </c>
      <c r="N395" s="7" t="s">
        <v>2260</v>
      </c>
      <c r="O395" s="9">
        <v>40715</v>
      </c>
      <c r="P395" s="7" t="s">
        <v>27</v>
      </c>
      <c r="Q395" s="9" t="s">
        <v>28</v>
      </c>
      <c r="R395" s="7" t="s">
        <v>2062</v>
      </c>
      <c r="S395" s="8" t="s">
        <v>2063</v>
      </c>
      <c r="T395" s="7"/>
      <c r="U395" s="7"/>
      <c r="V395" s="7"/>
    </row>
    <row r="396" spans="1:22">
      <c r="A396" s="5" t="s">
        <v>2052</v>
      </c>
      <c r="B396" s="5" t="str">
        <f>GetAddress(A396)</f>
        <v>\\CHNO0276\Aseguranza de Calidad\Control de Documentos\Doc. controlados PDF\Formas\CNWI-QAAS (aseguranza de calidad)\CNWI-QAAS-F081 Grafica de scrap por dia piezas.xls</v>
      </c>
      <c r="C396" s="5" t="str">
        <f>MID(B396,LEN(B396) - FIND(".",REVERSETEXT(B396))+2,1000)</f>
        <v>xls</v>
      </c>
      <c r="D396" s="6">
        <v>5</v>
      </c>
      <c r="E396" s="7" t="s">
        <v>42</v>
      </c>
      <c r="F396" s="7" t="s">
        <v>256</v>
      </c>
      <c r="G396" s="8" t="s">
        <v>266</v>
      </c>
      <c r="H396" s="8">
        <v>9</v>
      </c>
      <c r="I396" s="8"/>
      <c r="J396" s="8"/>
      <c r="K396" s="8"/>
      <c r="L396" s="8"/>
      <c r="M396" s="7" t="s">
        <v>256</v>
      </c>
      <c r="N396" s="7" t="s">
        <v>2053</v>
      </c>
      <c r="O396" s="9">
        <v>40940</v>
      </c>
      <c r="P396" s="7" t="s">
        <v>27</v>
      </c>
      <c r="Q396" s="9" t="s">
        <v>28</v>
      </c>
      <c r="R396" s="7" t="s">
        <v>1887</v>
      </c>
      <c r="S396" s="8" t="s">
        <v>1888</v>
      </c>
      <c r="T396" s="7"/>
      <c r="U396" s="7"/>
      <c r="V396" s="7"/>
    </row>
    <row r="397" spans="1:22">
      <c r="A397" s="5" t="s">
        <v>1126</v>
      </c>
      <c r="B397" s="5" t="str">
        <f>GetAddress(A397)</f>
        <v>\\CHNO0276\Aseguranza de Calidad\Control de Documentos\Doc. controlados PDF\Formas\CNWI-QAAS (aseguranza de calidad)\CNWI-QAAS-F082 Rev. A  Retorno de producto.doc</v>
      </c>
      <c r="C397" s="5" t="str">
        <f>MID(B397,LEN(B397) - FIND(".",REVERSETEXT(B397))+2,1000)</f>
        <v>doc</v>
      </c>
      <c r="D397" s="6">
        <v>5</v>
      </c>
      <c r="E397" s="7" t="s">
        <v>42</v>
      </c>
      <c r="F397" s="7" t="s">
        <v>256</v>
      </c>
      <c r="G397" s="8" t="s">
        <v>266</v>
      </c>
      <c r="H397" s="8">
        <v>9</v>
      </c>
      <c r="I397" s="8"/>
      <c r="J397" s="8"/>
      <c r="K397" s="8"/>
      <c r="L397" s="8"/>
      <c r="M397" s="7" t="s">
        <v>256</v>
      </c>
      <c r="N397" s="7" t="s">
        <v>1127</v>
      </c>
      <c r="O397" s="9">
        <v>41053</v>
      </c>
      <c r="P397" s="7" t="s">
        <v>27</v>
      </c>
      <c r="Q397" s="9" t="s">
        <v>28</v>
      </c>
      <c r="R397" s="7" t="s">
        <v>1108</v>
      </c>
      <c r="S397" s="8" t="s">
        <v>1109</v>
      </c>
      <c r="T397" s="7"/>
      <c r="U397" s="7"/>
      <c r="V397" s="7"/>
    </row>
    <row r="398" spans="1:22">
      <c r="A398" s="5" t="s">
        <v>504</v>
      </c>
      <c r="B398" s="5" t="str">
        <f>GetAddress(A398)</f>
        <v>\\CHNO0276\Aseguranza de Calidad\Control de Documentos\Doc. controlados PDF\Formas\CNWI-QAAS (aseguranza de calidad)\CNWI-QAAS-F083 Registro de inspeccion de moldeo.xlsx</v>
      </c>
      <c r="C398" s="5" t="str">
        <f>MID(B398,LEN(B398) - FIND(".",REVERSETEXT(B398))+2,1000)</f>
        <v>xlsx</v>
      </c>
      <c r="D398" s="6">
        <v>5</v>
      </c>
      <c r="E398" s="7" t="s">
        <v>42</v>
      </c>
      <c r="F398" s="7" t="s">
        <v>256</v>
      </c>
      <c r="G398" s="8" t="s">
        <v>266</v>
      </c>
      <c r="H398" s="8">
        <v>9</v>
      </c>
      <c r="I398" s="8"/>
      <c r="J398" s="8"/>
      <c r="K398" s="8"/>
      <c r="L398" s="8"/>
      <c r="M398" s="7" t="s">
        <v>256</v>
      </c>
      <c r="N398" s="7" t="s">
        <v>505</v>
      </c>
      <c r="O398" s="9">
        <v>41053</v>
      </c>
      <c r="P398" s="7" t="s">
        <v>27</v>
      </c>
      <c r="Q398" s="9" t="s">
        <v>28</v>
      </c>
      <c r="R398" s="7" t="s">
        <v>437</v>
      </c>
      <c r="S398" s="8" t="s">
        <v>438</v>
      </c>
      <c r="T398" s="7"/>
      <c r="U398" s="7"/>
      <c r="V398" s="7"/>
    </row>
    <row r="399" spans="1:22">
      <c r="A399" s="5" t="s">
        <v>1190</v>
      </c>
      <c r="B399" s="5" t="str">
        <f>GetAddress(A399)</f>
        <v>\\chno0276\Control de Documentos\Doc. controlados PDF\Formas\CNWI-QAAS (aseguranza de calidad)\CNWI-QAAS-F084 Bascula forma.xlsx</v>
      </c>
      <c r="C399" s="5" t="str">
        <f>MID(B399,LEN(B399) - FIND(".",REVERSETEXT(B399))+2,1000)</f>
        <v>xlsx</v>
      </c>
      <c r="D399" s="6">
        <v>5</v>
      </c>
      <c r="E399" s="7" t="s">
        <v>42</v>
      </c>
      <c r="F399" s="7" t="s">
        <v>256</v>
      </c>
      <c r="G399" s="8" t="s">
        <v>266</v>
      </c>
      <c r="H399" s="8">
        <v>9</v>
      </c>
      <c r="I399" s="8"/>
      <c r="J399" s="8"/>
      <c r="K399" s="8"/>
      <c r="L399" s="8"/>
      <c r="M399" s="7" t="s">
        <v>256</v>
      </c>
      <c r="N399" s="7" t="s">
        <v>1191</v>
      </c>
      <c r="O399" s="9">
        <v>40976</v>
      </c>
      <c r="P399" s="7" t="s">
        <v>46</v>
      </c>
      <c r="Q399" s="9" t="s">
        <v>28</v>
      </c>
      <c r="R399" s="7" t="s">
        <v>1156</v>
      </c>
      <c r="S399" s="8" t="s">
        <v>1157</v>
      </c>
      <c r="T399" s="7"/>
      <c r="U399" s="7"/>
      <c r="V399" s="7"/>
    </row>
    <row r="400" spans="1:22">
      <c r="A400" s="5" t="s">
        <v>1192</v>
      </c>
      <c r="B400" s="5" t="str">
        <f>GetAddress(A400)</f>
        <v>\\chno0276\Control de Documentos\Doc. controlados PDF\Formas\CNWI-QAAS (aseguranza de calidad)\CNWI-QAAS-F085 Registro calibracion micrometros.xlsx</v>
      </c>
      <c r="C400" s="5" t="str">
        <f>MID(B400,LEN(B400) - FIND(".",REVERSETEXT(B400))+2,1000)</f>
        <v>xlsx</v>
      </c>
      <c r="D400" s="6">
        <v>5</v>
      </c>
      <c r="E400" s="7" t="s">
        <v>42</v>
      </c>
      <c r="F400" s="7" t="s">
        <v>256</v>
      </c>
      <c r="G400" s="8" t="s">
        <v>266</v>
      </c>
      <c r="H400" s="8">
        <v>9</v>
      </c>
      <c r="I400" s="8"/>
      <c r="J400" s="8"/>
      <c r="K400" s="8"/>
      <c r="L400" s="8"/>
      <c r="M400" s="7" t="s">
        <v>256</v>
      </c>
      <c r="N400" s="7" t="s">
        <v>1193</v>
      </c>
      <c r="O400" s="9">
        <v>40976</v>
      </c>
      <c r="P400" s="7" t="s">
        <v>46</v>
      </c>
      <c r="Q400" s="9" t="s">
        <v>28</v>
      </c>
      <c r="R400" s="7" t="s">
        <v>1156</v>
      </c>
      <c r="S400" s="8" t="s">
        <v>1157</v>
      </c>
      <c r="T400" s="7"/>
      <c r="U400" s="7"/>
      <c r="V400" s="7"/>
    </row>
    <row r="401" spans="1:22">
      <c r="A401" s="5" t="s">
        <v>1194</v>
      </c>
      <c r="B401" s="5" t="str">
        <f>GetAddress(A401)</f>
        <v>\\chno0276\Control de Documentos\Doc. controlados PDF\Formas\CNWI-QAAS (aseguranza de calidad)\CNWI-QAAS-F086 Registro calibracion reglas.xlsx</v>
      </c>
      <c r="C401" s="5" t="str">
        <f>MID(B401,LEN(B401) - FIND(".",REVERSETEXT(B401))+2,1000)</f>
        <v>xlsx</v>
      </c>
      <c r="D401" s="6">
        <v>5</v>
      </c>
      <c r="E401" s="7" t="s">
        <v>42</v>
      </c>
      <c r="F401" s="7" t="s">
        <v>256</v>
      </c>
      <c r="G401" s="8" t="s">
        <v>266</v>
      </c>
      <c r="H401" s="8">
        <v>9</v>
      </c>
      <c r="I401" s="8"/>
      <c r="J401" s="8"/>
      <c r="K401" s="8"/>
      <c r="L401" s="8"/>
      <c r="M401" s="7" t="s">
        <v>256</v>
      </c>
      <c r="N401" s="7" t="s">
        <v>1195</v>
      </c>
      <c r="O401" s="9">
        <v>40976</v>
      </c>
      <c r="P401" s="7" t="s">
        <v>46</v>
      </c>
      <c r="Q401" s="9" t="s">
        <v>28</v>
      </c>
      <c r="R401" s="7" t="s">
        <v>1156</v>
      </c>
      <c r="S401" s="8" t="s">
        <v>1157</v>
      </c>
      <c r="T401" s="7"/>
      <c r="U401" s="7"/>
      <c r="V401" s="7"/>
    </row>
    <row r="402" spans="1:22">
      <c r="A402" s="5" t="s">
        <v>1196</v>
      </c>
      <c r="B402" s="5" t="str">
        <f>GetAddress(A402)</f>
        <v>\\CHNO0276\Aseguranza de Calidad\Control de Documentos\Doc. controlados PDF\Formas\CNWI-QAAS (aseguranza de calidad)\CNWI-QAAS-F087 Formato proceso master Product.xls</v>
      </c>
      <c r="C402" s="5" t="str">
        <f>MID(B402,LEN(B402) - FIND(".",REVERSETEXT(B402))+2,1000)</f>
        <v>xls</v>
      </c>
      <c r="D402" s="6">
        <v>5</v>
      </c>
      <c r="E402" s="7" t="s">
        <v>42</v>
      </c>
      <c r="F402" s="7" t="s">
        <v>256</v>
      </c>
      <c r="G402" s="8" t="s">
        <v>266</v>
      </c>
      <c r="H402" s="8">
        <v>9</v>
      </c>
      <c r="I402" s="8"/>
      <c r="J402" s="8"/>
      <c r="K402" s="8"/>
      <c r="L402" s="8"/>
      <c r="M402" s="7" t="s">
        <v>256</v>
      </c>
      <c r="N402" s="7" t="s">
        <v>1197</v>
      </c>
      <c r="O402" s="9">
        <v>40941</v>
      </c>
      <c r="P402" s="7" t="s">
        <v>27</v>
      </c>
      <c r="Q402" s="9" t="s">
        <v>28</v>
      </c>
      <c r="R402" s="7" t="s">
        <v>1156</v>
      </c>
      <c r="S402" s="8" t="s">
        <v>1157</v>
      </c>
      <c r="T402" s="7"/>
      <c r="U402" s="7"/>
      <c r="V402" s="7"/>
    </row>
    <row r="403" spans="1:22">
      <c r="A403" s="5" t="s">
        <v>382</v>
      </c>
      <c r="B403" s="5" t="str">
        <f>GetAddress(A403)</f>
        <v>\\CHNO0276\Aseguranza de Calidad\Control de Documentos\Doc. controlados PDF\Formas\CNWI-QAAS (aseguranza de calidad)\CNWI-QAAS-F088 Check list Flujo de proceso.xls</v>
      </c>
      <c r="C403" s="5" t="str">
        <f>MID(B403,LEN(B403) - FIND(".",REVERSETEXT(B403))+2,1000)</f>
        <v>xls</v>
      </c>
      <c r="D403" s="6">
        <v>5</v>
      </c>
      <c r="E403" s="7" t="s">
        <v>42</v>
      </c>
      <c r="F403" s="7" t="s">
        <v>256</v>
      </c>
      <c r="G403" s="8" t="s">
        <v>266</v>
      </c>
      <c r="H403" s="8">
        <v>9</v>
      </c>
      <c r="I403" s="8"/>
      <c r="J403" s="8"/>
      <c r="K403" s="8"/>
      <c r="L403" s="8"/>
      <c r="M403" s="7" t="s">
        <v>256</v>
      </c>
      <c r="N403" s="7" t="s">
        <v>383</v>
      </c>
      <c r="O403" s="9">
        <v>40784</v>
      </c>
      <c r="P403" s="7" t="s">
        <v>27</v>
      </c>
      <c r="Q403" s="9" t="s">
        <v>28</v>
      </c>
      <c r="R403" s="7" t="s">
        <v>221</v>
      </c>
      <c r="S403" s="8" t="s">
        <v>222</v>
      </c>
      <c r="T403" s="7"/>
      <c r="U403" s="7"/>
      <c r="V403" s="7"/>
    </row>
    <row r="404" spans="1:22">
      <c r="A404" s="5" t="s">
        <v>384</v>
      </c>
      <c r="B404" s="5" t="str">
        <f>GetAddress(A404)</f>
        <v>\\CHNO0276\Aseguranza de Calidad\Control de Documentos\Doc. controlados PDF\Formas\CNWI-QAAS (aseguranza de calidad)\CNWI-QAAS-F089 SQD.pptx</v>
      </c>
      <c r="C404" s="5" t="str">
        <f>MID(B404,LEN(B404) - FIND(".",REVERSETEXT(B404))+2,1000)</f>
        <v>pptx</v>
      </c>
      <c r="D404" s="6">
        <v>5</v>
      </c>
      <c r="E404" s="7" t="s">
        <v>42</v>
      </c>
      <c r="F404" s="7" t="s">
        <v>256</v>
      </c>
      <c r="G404" s="8" t="s">
        <v>266</v>
      </c>
      <c r="H404" s="8">
        <v>9</v>
      </c>
      <c r="I404" s="8"/>
      <c r="J404" s="8"/>
      <c r="K404" s="8"/>
      <c r="L404" s="8"/>
      <c r="M404" s="7" t="s">
        <v>256</v>
      </c>
      <c r="N404" s="7" t="s">
        <v>385</v>
      </c>
      <c r="O404" s="9">
        <v>40759</v>
      </c>
      <c r="P404" s="7" t="s">
        <v>46</v>
      </c>
      <c r="Q404" s="9" t="s">
        <v>28</v>
      </c>
      <c r="R404" s="7" t="s">
        <v>221</v>
      </c>
      <c r="S404" s="8" t="s">
        <v>222</v>
      </c>
      <c r="T404" s="7"/>
      <c r="U404" s="7"/>
      <c r="V404" s="7"/>
    </row>
    <row r="405" spans="1:22">
      <c r="A405" s="5" t="s">
        <v>1128</v>
      </c>
      <c r="B405" s="5" t="str">
        <f>GetAddress(A405)</f>
        <v>\\CHNO0276\Aseguranza de Calidad\Control de Documentos\Doc. controlados PDF\Formas\CNWI-QAAS (aseguranza de calidad)\CNWI-QAAS-F090 Incoming Check list.xls</v>
      </c>
      <c r="C405" s="5" t="str">
        <f>MID(B405,LEN(B405) - FIND(".",REVERSETEXT(B405))+2,1000)</f>
        <v>xls</v>
      </c>
      <c r="D405" s="6">
        <v>5</v>
      </c>
      <c r="E405" s="7" t="s">
        <v>42</v>
      </c>
      <c r="F405" s="7" t="s">
        <v>256</v>
      </c>
      <c r="G405" s="8" t="s">
        <v>266</v>
      </c>
      <c r="H405" s="8">
        <v>9</v>
      </c>
      <c r="I405" s="8"/>
      <c r="J405" s="8"/>
      <c r="K405" s="8"/>
      <c r="L405" s="8"/>
      <c r="M405" s="7" t="s">
        <v>256</v>
      </c>
      <c r="N405" s="7" t="s">
        <v>1129</v>
      </c>
      <c r="O405" s="9">
        <v>40792</v>
      </c>
      <c r="P405" s="7" t="s">
        <v>27</v>
      </c>
      <c r="Q405" s="9" t="s">
        <v>28</v>
      </c>
      <c r="R405" s="7" t="s">
        <v>1108</v>
      </c>
      <c r="S405" s="8" t="s">
        <v>1109</v>
      </c>
      <c r="T405" s="7"/>
      <c r="U405" s="7"/>
      <c r="V405" s="7"/>
    </row>
    <row r="406" spans="1:22">
      <c r="A406" s="5" t="s">
        <v>2261</v>
      </c>
      <c r="B406" s="5" t="str">
        <f>GetAddress(A406)</f>
        <v>\\CHNO0276\Aseguranza de Calidad\Control de Documentos\Doc. controlados PDF\Formas\CNWI-QAAS (aseguranza de calidad)\CNWI-QAAS-F091 Formato cpk para equipos.xls</v>
      </c>
      <c r="C406" s="5" t="str">
        <f>MID(B406,LEN(B406) - FIND(".",REVERSETEXT(B406))+2,1000)</f>
        <v>xls</v>
      </c>
      <c r="D406" s="6">
        <v>5</v>
      </c>
      <c r="E406" s="7" t="s">
        <v>42</v>
      </c>
      <c r="F406" s="7" t="s">
        <v>256</v>
      </c>
      <c r="G406" s="8" t="s">
        <v>266</v>
      </c>
      <c r="H406" s="8">
        <v>9</v>
      </c>
      <c r="I406" s="8"/>
      <c r="J406" s="8"/>
      <c r="K406" s="8"/>
      <c r="L406" s="8"/>
      <c r="M406" s="7" t="s">
        <v>256</v>
      </c>
      <c r="N406" s="7" t="s">
        <v>2262</v>
      </c>
      <c r="O406" s="9">
        <v>40815</v>
      </c>
      <c r="P406" s="7" t="s">
        <v>27</v>
      </c>
      <c r="Q406" s="9" t="s">
        <v>28</v>
      </c>
      <c r="R406" s="7" t="s">
        <v>2062</v>
      </c>
      <c r="S406" s="8" t="s">
        <v>2063</v>
      </c>
      <c r="T406" s="7"/>
      <c r="U406" s="7"/>
      <c r="V406" s="7"/>
    </row>
    <row r="407" spans="1:22">
      <c r="A407" s="5" t="s">
        <v>386</v>
      </c>
      <c r="B407" s="5" t="str">
        <f>GetAddress(A407)</f>
        <v>\\CHNO0276\Aseguranza de Calidad\Control de Documentos\Doc. controlados PDF\Formas\CNWI-QAAS (aseguranza de calidad)\CNWI-QAAS-F092 Grafico de Scrap.pptx</v>
      </c>
      <c r="C407" s="5" t="str">
        <f>MID(B407,LEN(B407) - FIND(".",REVERSETEXT(B407))+2,1000)</f>
        <v>pptx</v>
      </c>
      <c r="D407" s="6">
        <v>5</v>
      </c>
      <c r="E407" s="7" t="s">
        <v>42</v>
      </c>
      <c r="F407" s="7" t="s">
        <v>256</v>
      </c>
      <c r="G407" s="8" t="s">
        <v>266</v>
      </c>
      <c r="H407" s="8">
        <v>9</v>
      </c>
      <c r="I407" s="8"/>
      <c r="J407" s="8"/>
      <c r="K407" s="8"/>
      <c r="L407" s="8"/>
      <c r="M407" s="7" t="s">
        <v>256</v>
      </c>
      <c r="N407" s="7" t="s">
        <v>387</v>
      </c>
      <c r="O407" s="9">
        <v>40836</v>
      </c>
      <c r="P407" s="7" t="s">
        <v>27</v>
      </c>
      <c r="Q407" s="9" t="s">
        <v>28</v>
      </c>
      <c r="R407" s="7" t="s">
        <v>221</v>
      </c>
      <c r="S407" s="8" t="s">
        <v>222</v>
      </c>
      <c r="T407" s="7"/>
      <c r="U407" s="7"/>
      <c r="V407" s="7"/>
    </row>
    <row r="408" spans="1:22">
      <c r="A408" s="5" t="s">
        <v>2406</v>
      </c>
      <c r="B408" s="5" t="str">
        <f>GetAddress(A408)</f>
        <v>\\CHNO0276\Aseguranza de Calidad\Control de Documentos\Doc. controlados PDF\Formas\CNWI-QAAS (aseguranza de calidad)\CNWI-QAAS-F093  ID Customer Owned Material.xlsx</v>
      </c>
      <c r="C408" s="5" t="str">
        <f>MID(B408,LEN(B408) - FIND(".",REVERSETEXT(B408))+2,1000)</f>
        <v>xlsx</v>
      </c>
      <c r="D408" s="6">
        <v>5</v>
      </c>
      <c r="E408" s="7" t="s">
        <v>42</v>
      </c>
      <c r="F408" s="7" t="s">
        <v>256</v>
      </c>
      <c r="G408" s="8" t="s">
        <v>266</v>
      </c>
      <c r="H408" s="8">
        <v>9</v>
      </c>
      <c r="I408" s="8"/>
      <c r="J408" s="8"/>
      <c r="K408" s="8"/>
      <c r="L408" s="8"/>
      <c r="M408" s="7" t="s">
        <v>256</v>
      </c>
      <c r="N408" s="7" t="s">
        <v>2407</v>
      </c>
      <c r="O408" s="9">
        <v>40837</v>
      </c>
      <c r="P408" s="7" t="s">
        <v>27</v>
      </c>
      <c r="Q408" s="9" t="s">
        <v>28</v>
      </c>
      <c r="R408" s="7" t="s">
        <v>2283</v>
      </c>
      <c r="S408" s="8" t="s">
        <v>2284</v>
      </c>
      <c r="T408" s="7"/>
      <c r="U408" s="7"/>
      <c r="V408" s="7"/>
    </row>
    <row r="409" spans="1:22">
      <c r="A409" s="5" t="s">
        <v>2263</v>
      </c>
      <c r="B409" s="5" t="str">
        <f>GetAddress(A409)</f>
        <v>\\CHNO0276\Aseguranza de Calidad\Control de Documentos\Doc. controlados PDF\Formas\CNWI-QAAS (aseguranza de calidad)\CNWI-QAAS-F094 Analisis de piezas Rechazadas por cliente.xls</v>
      </c>
      <c r="C409" s="5" t="str">
        <f>MID(B409,LEN(B409) - FIND(".",REVERSETEXT(B409))+2,1000)</f>
        <v>xls</v>
      </c>
      <c r="D409" s="6">
        <v>5</v>
      </c>
      <c r="E409" s="7" t="s">
        <v>42</v>
      </c>
      <c r="F409" s="7" t="s">
        <v>256</v>
      </c>
      <c r="G409" s="8" t="s">
        <v>266</v>
      </c>
      <c r="H409" s="8">
        <v>9</v>
      </c>
      <c r="I409" s="8"/>
      <c r="J409" s="8"/>
      <c r="K409" s="8"/>
      <c r="L409" s="8"/>
      <c r="M409" s="7" t="s">
        <v>256</v>
      </c>
      <c r="N409" s="7" t="s">
        <v>2264</v>
      </c>
      <c r="O409" s="9">
        <v>40843</v>
      </c>
      <c r="P409" s="7" t="s">
        <v>27</v>
      </c>
      <c r="Q409" s="9" t="s">
        <v>28</v>
      </c>
      <c r="R409" s="7" t="s">
        <v>2062</v>
      </c>
      <c r="S409" s="8" t="s">
        <v>2063</v>
      </c>
      <c r="T409" s="7"/>
      <c r="U409" s="7"/>
      <c r="V409" s="7"/>
    </row>
    <row r="410" spans="1:22">
      <c r="A410" s="5" t="s">
        <v>2408</v>
      </c>
      <c r="B410" s="5" t="str">
        <f>GetAddress(A410)</f>
        <v>\\CHNO0276\Aseguranza de Calidad\Control de Documentos\Doc. controlados PDF\Formas\CNWI-QAAS (aseguranza de calidad)\CNWI-QAAS-F095 liberacion de equipo.docx</v>
      </c>
      <c r="C410" s="5" t="str">
        <f>MID(B410,LEN(B410) - FIND(".",REVERSETEXT(B410))+2,1000)</f>
        <v>docx</v>
      </c>
      <c r="D410" s="6">
        <v>5</v>
      </c>
      <c r="E410" s="7" t="s">
        <v>42</v>
      </c>
      <c r="F410" s="7" t="s">
        <v>256</v>
      </c>
      <c r="G410" s="8" t="s">
        <v>266</v>
      </c>
      <c r="H410" s="8">
        <v>9</v>
      </c>
      <c r="I410" s="8"/>
      <c r="J410" s="8"/>
      <c r="K410" s="8"/>
      <c r="L410" s="8"/>
      <c r="M410" s="7" t="s">
        <v>256</v>
      </c>
      <c r="N410" s="7" t="s">
        <v>2409</v>
      </c>
      <c r="O410" s="9">
        <v>40850</v>
      </c>
      <c r="P410" s="7" t="s">
        <v>27</v>
      </c>
      <c r="Q410" s="9" t="s">
        <v>28</v>
      </c>
      <c r="R410" s="7" t="s">
        <v>2283</v>
      </c>
      <c r="S410" s="8" t="s">
        <v>2284</v>
      </c>
      <c r="T410" s="7"/>
      <c r="U410" s="7"/>
      <c r="V410" s="7"/>
    </row>
    <row r="411" spans="1:22">
      <c r="A411" s="5" t="s">
        <v>2265</v>
      </c>
      <c r="B411" s="5" t="str">
        <f>GetAddress(A411)</f>
        <v>\\CHNO0276\Aseguranza de Calidad\Control de Documentos\Doc. controlados PDF\Formas\CNWI-QAAS (aseguranza de calidad)\CNWI-QAAS-F096 FORMATO DE CALIDAD PPM`S.pdf</v>
      </c>
      <c r="C411" s="5" t="str">
        <f>MID(B411,LEN(B411) - FIND(".",REVERSETEXT(B411))+2,1000)</f>
        <v>pdf</v>
      </c>
      <c r="D411" s="6">
        <v>5</v>
      </c>
      <c r="E411" s="7" t="s">
        <v>42</v>
      </c>
      <c r="F411" s="7" t="s">
        <v>256</v>
      </c>
      <c r="G411" s="8" t="s">
        <v>266</v>
      </c>
      <c r="H411" s="8">
        <v>9</v>
      </c>
      <c r="I411" s="8"/>
      <c r="J411" s="8"/>
      <c r="K411" s="8"/>
      <c r="L411" s="8"/>
      <c r="M411" s="7" t="s">
        <v>256</v>
      </c>
      <c r="N411" s="7" t="s">
        <v>2266</v>
      </c>
      <c r="O411" s="9">
        <v>41155</v>
      </c>
      <c r="P411" s="7" t="s">
        <v>159</v>
      </c>
      <c r="Q411" s="9" t="s">
        <v>28</v>
      </c>
      <c r="R411" s="7" t="s">
        <v>2062</v>
      </c>
      <c r="S411" s="8" t="s">
        <v>2063</v>
      </c>
      <c r="T411" s="7"/>
      <c r="U411" s="7"/>
      <c r="V411" s="7"/>
    </row>
    <row r="412" spans="1:22">
      <c r="A412" s="5" t="s">
        <v>1198</v>
      </c>
      <c r="B412" s="5" t="str">
        <f>GetAddress(A412)</f>
        <v>\\CHNO0276\Aseguranza de Calidad\Control de Documentos\Doc. controlados PDF\Formas\CNWI-QAAS (aseguranza de calidad)\CNWI-QAAS-F097 No Calibration required.doc</v>
      </c>
      <c r="C412" s="5" t="str">
        <f>MID(B412,LEN(B412) - FIND(".",REVERSETEXT(B412))+2,1000)</f>
        <v>doc</v>
      </c>
      <c r="D412" s="6">
        <v>5</v>
      </c>
      <c r="E412" s="7" t="s">
        <v>42</v>
      </c>
      <c r="F412" s="7" t="s">
        <v>256</v>
      </c>
      <c r="G412" s="8" t="s">
        <v>266</v>
      </c>
      <c r="H412" s="8">
        <v>9</v>
      </c>
      <c r="I412" s="8"/>
      <c r="J412" s="8"/>
      <c r="K412" s="8"/>
      <c r="L412" s="8"/>
      <c r="M412" s="7" t="s">
        <v>256</v>
      </c>
      <c r="N412" s="7" t="s">
        <v>1199</v>
      </c>
      <c r="O412" s="9">
        <v>40576</v>
      </c>
      <c r="P412" s="7" t="s">
        <v>27</v>
      </c>
      <c r="Q412" s="9" t="s">
        <v>28</v>
      </c>
      <c r="R412" s="7" t="s">
        <v>1156</v>
      </c>
      <c r="S412" s="8" t="s">
        <v>1157</v>
      </c>
      <c r="T412" s="7"/>
      <c r="U412" s="7"/>
      <c r="V412" s="7"/>
    </row>
    <row r="413" spans="1:22">
      <c r="A413" s="5" t="s">
        <v>1200</v>
      </c>
      <c r="B413" s="5" t="str">
        <f>GetAddress(A413)</f>
        <v>\\CHNO0276\Aseguranza de Calidad\Control de Documentos\Doc. controlados PDF\Formas\CNWI-QAAS (aseguranza de calidad)\CNWI-QAAS-F098 ID Instrumento Inactivo.xlsx</v>
      </c>
      <c r="C413" s="5" t="str">
        <f>MID(B413,LEN(B413) - FIND(".",REVERSETEXT(B413))+2,1000)</f>
        <v>xlsx</v>
      </c>
      <c r="D413" s="6">
        <v>5</v>
      </c>
      <c r="E413" s="7" t="s">
        <v>42</v>
      </c>
      <c r="F413" s="7" t="s">
        <v>256</v>
      </c>
      <c r="G413" s="8" t="s">
        <v>266</v>
      </c>
      <c r="H413" s="8">
        <v>9</v>
      </c>
      <c r="I413" s="8"/>
      <c r="J413" s="8"/>
      <c r="K413" s="8"/>
      <c r="L413" s="8"/>
      <c r="M413" s="7" t="s">
        <v>256</v>
      </c>
      <c r="N413" s="7" t="s">
        <v>1201</v>
      </c>
      <c r="O413" s="9">
        <v>40924</v>
      </c>
      <c r="P413" s="7" t="s">
        <v>27</v>
      </c>
      <c r="Q413" s="9" t="s">
        <v>28</v>
      </c>
      <c r="R413" s="7" t="s">
        <v>1156</v>
      </c>
      <c r="S413" s="8" t="s">
        <v>1157</v>
      </c>
      <c r="T413" s="7"/>
      <c r="U413" s="7"/>
      <c r="V413" s="7"/>
    </row>
    <row r="414" spans="1:22">
      <c r="A414" s="5" t="s">
        <v>388</v>
      </c>
      <c r="B414" s="5" t="str">
        <f>GetAddress(A414)</f>
        <v>\\CHNO0276\Aseguranza de Calidad\Control de Documentos\Doc. controlados PDF\Formas\CNWI-QAAS (aseguranza de calidad)\CNWI-QAAS-F099 Gage-R&amp;R.xls</v>
      </c>
      <c r="C414" s="5" t="str">
        <f>MID(B414,LEN(B414) - FIND(".",REVERSETEXT(B414))+2,1000)</f>
        <v>xls</v>
      </c>
      <c r="D414" s="6">
        <v>5</v>
      </c>
      <c r="E414" s="7" t="s">
        <v>42</v>
      </c>
      <c r="F414" s="7" t="s">
        <v>256</v>
      </c>
      <c r="G414" s="8" t="s">
        <v>266</v>
      </c>
      <c r="H414" s="8">
        <v>9</v>
      </c>
      <c r="I414" s="8"/>
      <c r="J414" s="8"/>
      <c r="K414" s="8"/>
      <c r="L414" s="8"/>
      <c r="M414" s="7" t="s">
        <v>256</v>
      </c>
      <c r="N414" s="7" t="s">
        <v>389</v>
      </c>
      <c r="O414" s="9">
        <v>41065</v>
      </c>
      <c r="P414" s="7" t="s">
        <v>27</v>
      </c>
      <c r="Q414" s="9" t="s">
        <v>28</v>
      </c>
      <c r="R414" s="7" t="s">
        <v>221</v>
      </c>
      <c r="S414" s="8" t="s">
        <v>222</v>
      </c>
      <c r="T414" s="7"/>
      <c r="U414" s="7"/>
      <c r="V414" s="7"/>
    </row>
    <row r="415" spans="1:22">
      <c r="A415" s="5" t="s">
        <v>1202</v>
      </c>
      <c r="B415" s="5" t="str">
        <f>GetAddress(A415)</f>
        <v>\\CHNO0276\Aseguranza de Calidad\Control de Documentos\Doc. controlados PDF\Formas\CNWI-QAAS (aseguranza de calidad)\CNWI-QAAS-F100 Etiqueta de Calibracion.xls</v>
      </c>
      <c r="C415" s="5" t="str">
        <f>MID(B415,LEN(B415) - FIND(".",REVERSETEXT(B415))+2,1000)</f>
        <v>xls</v>
      </c>
      <c r="D415" s="6">
        <v>5</v>
      </c>
      <c r="E415" s="7" t="s">
        <v>42</v>
      </c>
      <c r="F415" s="7" t="s">
        <v>256</v>
      </c>
      <c r="G415" s="8" t="s">
        <v>266</v>
      </c>
      <c r="H415" s="8">
        <v>9</v>
      </c>
      <c r="I415" s="8"/>
      <c r="J415" s="8"/>
      <c r="K415" s="8"/>
      <c r="L415" s="8"/>
      <c r="M415" s="7" t="s">
        <v>256</v>
      </c>
      <c r="N415" s="7" t="s">
        <v>1203</v>
      </c>
      <c r="O415" s="9">
        <v>40869</v>
      </c>
      <c r="P415" s="7" t="s">
        <v>27</v>
      </c>
      <c r="Q415" s="9" t="s">
        <v>28</v>
      </c>
      <c r="R415" s="7" t="s">
        <v>1156</v>
      </c>
      <c r="S415" s="8" t="s">
        <v>1157</v>
      </c>
      <c r="T415" s="7"/>
      <c r="U415" s="7"/>
      <c r="V415" s="7"/>
    </row>
    <row r="416" spans="1:22">
      <c r="A416" s="5" t="s">
        <v>1204</v>
      </c>
      <c r="B416" s="5" t="str">
        <f>GetAddress(A416)</f>
        <v>\\CHNO0276\Aseguranza de Calidad\Control de Documentos\Doc. controlados PDF\Formas\CNWI-QAAS (aseguranza de calidad)\CNWI-QAAS-F101 Change Request form (for Customer approval.pdf</v>
      </c>
      <c r="C416" s="5" t="str">
        <f>MID(B416,LEN(B416) - FIND(".",REVERSETEXT(B416))+2,1000)</f>
        <v>pdf</v>
      </c>
      <c r="D416" s="6">
        <v>5</v>
      </c>
      <c r="E416" s="7" t="s">
        <v>42</v>
      </c>
      <c r="F416" s="7" t="s">
        <v>256</v>
      </c>
      <c r="G416" s="8" t="s">
        <v>266</v>
      </c>
      <c r="H416" s="8">
        <v>9</v>
      </c>
      <c r="I416" s="8"/>
      <c r="J416" s="8"/>
      <c r="K416" s="8"/>
      <c r="L416" s="8"/>
      <c r="M416" s="7" t="s">
        <v>256</v>
      </c>
      <c r="N416" s="7" t="s">
        <v>1205</v>
      </c>
      <c r="O416" s="9">
        <v>40924</v>
      </c>
      <c r="P416" s="7" t="s">
        <v>46</v>
      </c>
      <c r="Q416" s="9" t="s">
        <v>28</v>
      </c>
      <c r="R416" s="7" t="s">
        <v>1156</v>
      </c>
      <c r="S416" s="8" t="s">
        <v>1157</v>
      </c>
      <c r="T416" s="7"/>
      <c r="U416" s="7"/>
      <c r="V416" s="7"/>
    </row>
    <row r="417" spans="1:22">
      <c r="A417" s="5" t="s">
        <v>1206</v>
      </c>
      <c r="B417" s="5" t="str">
        <f>GetAddress(A417)</f>
        <v>\\chno0276\Control de Documentos\Doc. controlados PDF\Formas\CNWI-QAAS (aseguranza de calidad)\CNWI-QAAS-F102 Formato de Calipers.xlsx</v>
      </c>
      <c r="C417" s="5" t="str">
        <f>MID(B417,LEN(B417) - FIND(".",REVERSETEXT(B417))+2,1000)</f>
        <v>xlsx</v>
      </c>
      <c r="D417" s="6">
        <v>5</v>
      </c>
      <c r="E417" s="7" t="s">
        <v>42</v>
      </c>
      <c r="F417" s="7" t="s">
        <v>256</v>
      </c>
      <c r="G417" s="8" t="s">
        <v>266</v>
      </c>
      <c r="H417" s="8">
        <v>9</v>
      </c>
      <c r="I417" s="8"/>
      <c r="J417" s="8"/>
      <c r="K417" s="8"/>
      <c r="L417" s="8"/>
      <c r="M417" s="7" t="s">
        <v>256</v>
      </c>
      <c r="N417" s="7" t="s">
        <v>1207</v>
      </c>
      <c r="O417" s="9">
        <v>40976</v>
      </c>
      <c r="P417" s="7" t="s">
        <v>159</v>
      </c>
      <c r="Q417" s="9" t="s">
        <v>28</v>
      </c>
      <c r="R417" s="7" t="s">
        <v>1156</v>
      </c>
      <c r="S417" s="8" t="s">
        <v>1157</v>
      </c>
      <c r="T417" s="7"/>
      <c r="U417" s="7"/>
      <c r="V417" s="7"/>
    </row>
    <row r="418" spans="1:22">
      <c r="A418" s="5" t="s">
        <v>1208</v>
      </c>
      <c r="B418" s="5" t="str">
        <f>GetAddress(A418)</f>
        <v>\\chno0276\Control de Documentos\Doc. controlados PDF\Formas\CNWI-QAAS (aseguranza de calidad)\CNWI-QAAS-F103 Registros de datos de calibracion para hornos (2).xlsx</v>
      </c>
      <c r="C418" s="5" t="str">
        <f>MID(B418,LEN(B418) - FIND(".",REVERSETEXT(B418))+2,1000)</f>
        <v>xlsx</v>
      </c>
      <c r="D418" s="6">
        <v>5</v>
      </c>
      <c r="E418" s="7" t="s">
        <v>42</v>
      </c>
      <c r="F418" s="7" t="s">
        <v>256</v>
      </c>
      <c r="G418" s="8" t="s">
        <v>266</v>
      </c>
      <c r="H418" s="8">
        <v>9</v>
      </c>
      <c r="I418" s="8"/>
      <c r="J418" s="8"/>
      <c r="K418" s="8"/>
      <c r="L418" s="8"/>
      <c r="M418" s="7" t="s">
        <v>256</v>
      </c>
      <c r="N418" s="7" t="s">
        <v>1209</v>
      </c>
      <c r="O418" s="9">
        <v>40976</v>
      </c>
      <c r="P418" s="7" t="s">
        <v>46</v>
      </c>
      <c r="Q418" s="9" t="s">
        <v>28</v>
      </c>
      <c r="R418" s="7" t="s">
        <v>1156</v>
      </c>
      <c r="S418" s="8" t="s">
        <v>1157</v>
      </c>
      <c r="T418" s="7"/>
      <c r="U418" s="7"/>
      <c r="V418" s="7"/>
    </row>
    <row r="419" spans="1:22">
      <c r="A419" s="5" t="s">
        <v>2054</v>
      </c>
      <c r="B419" s="5" t="str">
        <f>GetAddress(A419)</f>
        <v>\\CHNO0276\Aseguranza de Calidad\Control de Documentos\Doc. controlados PDF\Formas\CNWI-QAAS (aseguranza de calidad)\CNWI-QAAS-F104 Codigo de defectos.doc</v>
      </c>
      <c r="C419" s="5" t="str">
        <f>MID(B419,LEN(B419) - FIND(".",REVERSETEXT(B419))+2,1000)</f>
        <v>doc</v>
      </c>
      <c r="D419" s="6">
        <v>5</v>
      </c>
      <c r="E419" s="7" t="s">
        <v>42</v>
      </c>
      <c r="F419" s="7" t="s">
        <v>256</v>
      </c>
      <c r="G419" s="8" t="s">
        <v>266</v>
      </c>
      <c r="H419" s="8">
        <v>9</v>
      </c>
      <c r="I419" s="8"/>
      <c r="J419" s="8"/>
      <c r="K419" s="8"/>
      <c r="L419" s="8"/>
      <c r="M419" s="7" t="s">
        <v>256</v>
      </c>
      <c r="N419" s="7" t="s">
        <v>2055</v>
      </c>
      <c r="O419" s="9">
        <v>40875</v>
      </c>
      <c r="P419" s="7" t="s">
        <v>27</v>
      </c>
      <c r="Q419" s="9" t="s">
        <v>28</v>
      </c>
      <c r="R419" s="7" t="s">
        <v>1887</v>
      </c>
      <c r="S419" s="8" t="s">
        <v>1888</v>
      </c>
      <c r="T419" s="7"/>
      <c r="U419" s="7"/>
      <c r="V419" s="7"/>
    </row>
    <row r="420" spans="1:22">
      <c r="A420" s="5" t="s">
        <v>390</v>
      </c>
      <c r="B420" s="5" t="str">
        <f>GetAddress(A420)</f>
        <v>\\CHNO0276\Aseguranza de Calidad\Control de Documentos\Doc. controlados PDF\Formas\CNWI-QAAS (aseguranza de calidad)\CNWI-QAAS-F105 CERTIFICATE OF CONFORMANCE -RoHs.doc</v>
      </c>
      <c r="C420" s="5" t="str">
        <f>MID(B420,LEN(B420) - FIND(".",REVERSETEXT(B420))+2,1000)</f>
        <v>doc</v>
      </c>
      <c r="D420" s="6">
        <v>5</v>
      </c>
      <c r="E420" s="7" t="s">
        <v>42</v>
      </c>
      <c r="F420" s="7" t="s">
        <v>256</v>
      </c>
      <c r="G420" s="8" t="s">
        <v>266</v>
      </c>
      <c r="H420" s="8">
        <v>9</v>
      </c>
      <c r="I420" s="8"/>
      <c r="J420" s="8"/>
      <c r="K420" s="8"/>
      <c r="L420" s="8"/>
      <c r="M420" s="7" t="s">
        <v>256</v>
      </c>
      <c r="N420" s="7" t="s">
        <v>391</v>
      </c>
      <c r="O420" s="9">
        <v>40854</v>
      </c>
      <c r="P420" s="7" t="s">
        <v>27</v>
      </c>
      <c r="Q420" s="9" t="s">
        <v>28</v>
      </c>
      <c r="R420" s="7" t="s">
        <v>221</v>
      </c>
      <c r="S420" s="8" t="s">
        <v>222</v>
      </c>
      <c r="T420" s="7"/>
      <c r="U420" s="7"/>
      <c r="V420" s="7"/>
    </row>
    <row r="421" spans="1:22">
      <c r="A421" s="5" t="s">
        <v>1210</v>
      </c>
      <c r="B421" s="5" t="str">
        <f>GetAddress(A421)</f>
        <v>\\CHNO0276\Aseguranza de Calidad\Control de Documentos\Doc. controlados PDF\Formas\CNWI-QAAS (aseguranza de calidad)\CNWI-QAAS-F106 Formato de Calibracion de indicadores.xlsx</v>
      </c>
      <c r="C421" s="5" t="str">
        <f>MID(B421,LEN(B421) - FIND(".",REVERSETEXT(B421))+2,1000)</f>
        <v>xlsx</v>
      </c>
      <c r="D421" s="6">
        <v>5</v>
      </c>
      <c r="E421" s="7" t="s">
        <v>42</v>
      </c>
      <c r="F421" s="7" t="s">
        <v>256</v>
      </c>
      <c r="G421" s="8" t="s">
        <v>266</v>
      </c>
      <c r="H421" s="8">
        <v>9</v>
      </c>
      <c r="I421" s="8"/>
      <c r="J421" s="8"/>
      <c r="K421" s="8"/>
      <c r="L421" s="8"/>
      <c r="M421" s="7" t="s">
        <v>256</v>
      </c>
      <c r="N421" s="7" t="s">
        <v>1211</v>
      </c>
      <c r="O421" s="9">
        <v>40976</v>
      </c>
      <c r="P421" s="7" t="s">
        <v>46</v>
      </c>
      <c r="Q421" s="9" t="s">
        <v>28</v>
      </c>
      <c r="R421" s="7" t="s">
        <v>1156</v>
      </c>
      <c r="S421" s="8" t="s">
        <v>1157</v>
      </c>
      <c r="T421" s="7"/>
      <c r="U421" s="7"/>
      <c r="V421" s="7"/>
    </row>
    <row r="422" spans="1:22">
      <c r="A422" s="5" t="s">
        <v>2267</v>
      </c>
      <c r="B422" s="5" t="str">
        <f>GetAddress(A422)</f>
        <v>\\CHNO0276\Aseguranza de Calidad\Control de Documentos\Doc. controlados PDF\Formas\CNWI-QAAS (aseguranza de calidad)\CNWI-QAAS-F107 Production Process Verification Checklist.doc</v>
      </c>
      <c r="C422" s="5" t="str">
        <f>MID(B422,LEN(B422) - FIND(".",REVERSETEXT(B422))+2,1000)</f>
        <v>doc</v>
      </c>
      <c r="D422" s="6">
        <v>5</v>
      </c>
      <c r="E422" s="7" t="s">
        <v>42</v>
      </c>
      <c r="F422" s="7" t="s">
        <v>256</v>
      </c>
      <c r="G422" s="8" t="s">
        <v>266</v>
      </c>
      <c r="H422" s="8">
        <v>9</v>
      </c>
      <c r="I422" s="8"/>
      <c r="J422" s="8"/>
      <c r="K422" s="8"/>
      <c r="L422" s="8"/>
      <c r="M422" s="7" t="s">
        <v>256</v>
      </c>
      <c r="N422" s="7" t="s">
        <v>2268</v>
      </c>
      <c r="O422" s="9">
        <v>40913</v>
      </c>
      <c r="P422" s="7" t="s">
        <v>46</v>
      </c>
      <c r="Q422" s="9" t="s">
        <v>28</v>
      </c>
      <c r="R422" s="7" t="s">
        <v>2062</v>
      </c>
      <c r="S422" s="8" t="s">
        <v>2063</v>
      </c>
      <c r="T422" s="7"/>
      <c r="U422" s="7"/>
      <c r="V422" s="7"/>
    </row>
    <row r="423" spans="1:22">
      <c r="A423" s="5" t="s">
        <v>2056</v>
      </c>
      <c r="B423" s="5" t="str">
        <f>GetAddress(A423)</f>
        <v>\\CHNO0276\Aseguranza de Calidad\Control de Documentos\Doc. controlados PDF\Formas\CNWI-QAAS (aseguranza de calidad)\CNWI-QAAS-F108 Formato de PPM.xlsx</v>
      </c>
      <c r="C423" s="5" t="str">
        <f>MID(B423,LEN(B423) - FIND(".",REVERSETEXT(B423))+2,1000)</f>
        <v>xlsx</v>
      </c>
      <c r="D423" s="6">
        <v>5</v>
      </c>
      <c r="E423" s="7" t="s">
        <v>42</v>
      </c>
      <c r="F423" s="7" t="s">
        <v>256</v>
      </c>
      <c r="G423" s="8" t="s">
        <v>266</v>
      </c>
      <c r="H423" s="8">
        <v>9</v>
      </c>
      <c r="I423" s="8"/>
      <c r="J423" s="8"/>
      <c r="K423" s="8"/>
      <c r="L423" s="8"/>
      <c r="M423" s="7" t="s">
        <v>256</v>
      </c>
      <c r="N423" s="7" t="s">
        <v>2057</v>
      </c>
      <c r="O423" s="9">
        <v>40927</v>
      </c>
      <c r="P423" s="7" t="s">
        <v>27</v>
      </c>
      <c r="Q423" s="9" t="s">
        <v>28</v>
      </c>
      <c r="R423" s="7" t="s">
        <v>1887</v>
      </c>
      <c r="S423" s="8" t="s">
        <v>1888</v>
      </c>
      <c r="T423" s="7"/>
      <c r="U423" s="7"/>
      <c r="V423" s="7"/>
    </row>
    <row r="424" spans="1:22">
      <c r="A424" s="5" t="s">
        <v>392</v>
      </c>
      <c r="B424" s="5" t="str">
        <f>GetAddress(A424)</f>
        <v>\\chno0276\Aseguranza de Calidad\Control de Documentos\Doc. controlados PDF\Formas\CNWI-QAAS (aseguranza de calidad)\CNWI-QAAS-F109 Risk Management Matrix.xlsx</v>
      </c>
      <c r="C424" s="5" t="str">
        <f>MID(B424,LEN(B424) - FIND(".",REVERSETEXT(B424))+2,1000)</f>
        <v>xlsx</v>
      </c>
      <c r="D424" s="6">
        <v>5</v>
      </c>
      <c r="E424" s="7" t="s">
        <v>42</v>
      </c>
      <c r="F424" s="7" t="s">
        <v>256</v>
      </c>
      <c r="G424" s="8" t="s">
        <v>266</v>
      </c>
      <c r="H424" s="8">
        <v>9</v>
      </c>
      <c r="I424" s="8"/>
      <c r="J424" s="8"/>
      <c r="K424" s="8"/>
      <c r="L424" s="8"/>
      <c r="M424" s="7" t="s">
        <v>256</v>
      </c>
      <c r="N424" s="7" t="s">
        <v>393</v>
      </c>
      <c r="O424" s="9">
        <v>40988</v>
      </c>
      <c r="P424" s="7" t="s">
        <v>27</v>
      </c>
      <c r="Q424" s="9" t="s">
        <v>28</v>
      </c>
      <c r="R424" s="7" t="s">
        <v>221</v>
      </c>
      <c r="S424" s="8" t="s">
        <v>222</v>
      </c>
      <c r="T424" s="7"/>
      <c r="U424" s="7"/>
      <c r="V424" s="7"/>
    </row>
    <row r="425" spans="1:22">
      <c r="A425" s="5" t="s">
        <v>394</v>
      </c>
      <c r="B425" s="5" t="str">
        <f>GetAddress(A425)</f>
        <v>\\CHNO0276\Aseguranza de Calidad\Control de Documentos\Doc. controlados PDF\Formas\CNWI-QAAS (aseguranza de calidad)\CNWI-QAAS-F110 Change Request form -Customer Notification.doc</v>
      </c>
      <c r="C425" s="5" t="str">
        <f>MID(B425,LEN(B425) - FIND(".",REVERSETEXT(B425))+2,1000)</f>
        <v>doc</v>
      </c>
      <c r="D425" s="6">
        <v>5</v>
      </c>
      <c r="E425" s="7" t="s">
        <v>42</v>
      </c>
      <c r="F425" s="7" t="s">
        <v>256</v>
      </c>
      <c r="G425" s="8" t="s">
        <v>266</v>
      </c>
      <c r="H425" s="8">
        <v>9</v>
      </c>
      <c r="I425" s="8"/>
      <c r="J425" s="8"/>
      <c r="K425" s="8"/>
      <c r="L425" s="8"/>
      <c r="M425" s="7" t="s">
        <v>256</v>
      </c>
      <c r="N425" s="7" t="s">
        <v>395</v>
      </c>
      <c r="O425" s="9">
        <v>40924</v>
      </c>
      <c r="P425" s="7" t="s">
        <v>46</v>
      </c>
      <c r="Q425" s="9" t="s">
        <v>28</v>
      </c>
      <c r="R425" s="7" t="s">
        <v>221</v>
      </c>
      <c r="S425" s="8" t="s">
        <v>222</v>
      </c>
      <c r="T425" s="7"/>
      <c r="U425" s="7"/>
      <c r="V425" s="7"/>
    </row>
    <row r="426" spans="1:22">
      <c r="A426" s="5" t="s">
        <v>396</v>
      </c>
      <c r="B426" s="5" t="str">
        <f>GetAddress(A426)</f>
        <v>\\CHNO0276\Aseguranza de Calidad\Control de Documentos\Doc. controlados PDF\Formas\CNWI-QAAS (aseguranza de calidad)\CNWI-QAAS-F111 Change Request form (for cooper approval).doc</v>
      </c>
      <c r="C426" s="5" t="str">
        <f>MID(B426,LEN(B426) - FIND(".",REVERSETEXT(B426))+2,1000)</f>
        <v>doc</v>
      </c>
      <c r="D426" s="6">
        <v>5</v>
      </c>
      <c r="E426" s="7" t="s">
        <v>42</v>
      </c>
      <c r="F426" s="7" t="s">
        <v>256</v>
      </c>
      <c r="G426" s="8" t="s">
        <v>266</v>
      </c>
      <c r="H426" s="8">
        <v>9</v>
      </c>
      <c r="I426" s="8"/>
      <c r="J426" s="8"/>
      <c r="K426" s="8"/>
      <c r="L426" s="8"/>
      <c r="M426" s="7" t="s">
        <v>256</v>
      </c>
      <c r="N426" s="7" t="s">
        <v>397</v>
      </c>
      <c r="O426" s="9">
        <v>40911</v>
      </c>
      <c r="P426" s="7" t="s">
        <v>27</v>
      </c>
      <c r="Q426" s="9" t="s">
        <v>28</v>
      </c>
      <c r="R426" s="7" t="s">
        <v>221</v>
      </c>
      <c r="S426" s="8" t="s">
        <v>222</v>
      </c>
      <c r="T426" s="7"/>
      <c r="U426" s="7"/>
      <c r="V426" s="7"/>
    </row>
    <row r="427" spans="1:22">
      <c r="A427" s="5" t="s">
        <v>398</v>
      </c>
      <c r="B427" s="5" t="str">
        <f>GetAddress(A427)</f>
        <v>\\CHNO0276\Aseguranza de Calidad\Control de Documentos\Doc. controlados PDF\Formas\CNWI-QAAS (aseguranza de calidad)\CNWI-QAAS-F112 A3  Format .pptx</v>
      </c>
      <c r="C427" s="5" t="str">
        <f>MID(B427,LEN(B427) - FIND(".",REVERSETEXT(B427))+2,1000)</f>
        <v>pptx</v>
      </c>
      <c r="D427" s="6">
        <v>5</v>
      </c>
      <c r="E427" s="7" t="s">
        <v>42</v>
      </c>
      <c r="F427" s="7" t="s">
        <v>256</v>
      </c>
      <c r="G427" s="8" t="s">
        <v>266</v>
      </c>
      <c r="H427" s="8">
        <v>9</v>
      </c>
      <c r="I427" s="8"/>
      <c r="J427" s="8"/>
      <c r="K427" s="8"/>
      <c r="L427" s="8"/>
      <c r="M427" s="7" t="s">
        <v>256</v>
      </c>
      <c r="N427" s="7" t="s">
        <v>399</v>
      </c>
      <c r="O427" s="9">
        <v>40911</v>
      </c>
      <c r="P427" s="7" t="s">
        <v>27</v>
      </c>
      <c r="Q427" s="9" t="s">
        <v>28</v>
      </c>
      <c r="R427" s="7" t="s">
        <v>221</v>
      </c>
      <c r="S427" s="8" t="s">
        <v>222</v>
      </c>
      <c r="T427" s="7"/>
      <c r="U427" s="7"/>
      <c r="V427" s="7"/>
    </row>
    <row r="428" spans="1:22">
      <c r="A428" s="5" t="s">
        <v>400</v>
      </c>
      <c r="B428" s="5" t="str">
        <f>GetAddress(A428)</f>
        <v>\\CHNO0276\Aseguranza de Calidad\Control de Documentos\Doc. controlados PDF\Formas\CNWI-QAAS (aseguranza de calidad)\CNWI-QAAS-F113 First Part Approval.doc</v>
      </c>
      <c r="C428" s="5" t="str">
        <f>MID(B428,LEN(B428) - FIND(".",REVERSETEXT(B428))+2,1000)</f>
        <v>doc</v>
      </c>
      <c r="D428" s="6">
        <v>5</v>
      </c>
      <c r="E428" s="7" t="s">
        <v>42</v>
      </c>
      <c r="F428" s="7" t="s">
        <v>256</v>
      </c>
      <c r="G428" s="8" t="s">
        <v>266</v>
      </c>
      <c r="H428" s="8">
        <v>9</v>
      </c>
      <c r="I428" s="8"/>
      <c r="J428" s="8"/>
      <c r="K428" s="8"/>
      <c r="L428" s="8"/>
      <c r="M428" s="7" t="s">
        <v>256</v>
      </c>
      <c r="N428" s="7" t="s">
        <v>401</v>
      </c>
      <c r="O428" s="9">
        <v>40914</v>
      </c>
      <c r="P428" s="7" t="s">
        <v>27</v>
      </c>
      <c r="Q428" s="9" t="s">
        <v>28</v>
      </c>
      <c r="R428" s="7" t="s">
        <v>221</v>
      </c>
      <c r="S428" s="8" t="s">
        <v>222</v>
      </c>
      <c r="T428" s="7"/>
      <c r="U428" s="7"/>
      <c r="V428" s="7"/>
    </row>
    <row r="429" spans="1:22">
      <c r="A429" s="5" t="s">
        <v>402</v>
      </c>
      <c r="B429" s="5" t="str">
        <f>GetAddress(A429)</f>
        <v>\\CHNO0276\Aseguranza de Calidad\Control de Documentos\Doc. controlados PDF\Formas\CNWI-QAAS (aseguranza de calidad)\CNWI-QAAS-F114 First Part Rejection.docx</v>
      </c>
      <c r="C429" s="5" t="str">
        <f>MID(B429,LEN(B429) - FIND(".",REVERSETEXT(B429))+2,1000)</f>
        <v>docx</v>
      </c>
      <c r="D429" s="6">
        <v>5</v>
      </c>
      <c r="E429" s="7" t="s">
        <v>42</v>
      </c>
      <c r="F429" s="7" t="s">
        <v>256</v>
      </c>
      <c r="G429" s="8" t="s">
        <v>266</v>
      </c>
      <c r="H429" s="8">
        <v>9</v>
      </c>
      <c r="I429" s="8"/>
      <c r="J429" s="8"/>
      <c r="K429" s="8"/>
      <c r="L429" s="8"/>
      <c r="M429" s="7" t="s">
        <v>256</v>
      </c>
      <c r="N429" s="7" t="s">
        <v>403</v>
      </c>
      <c r="O429" s="9">
        <v>40917</v>
      </c>
      <c r="P429" s="7" t="s">
        <v>27</v>
      </c>
      <c r="Q429" s="9" t="s">
        <v>28</v>
      </c>
      <c r="R429" s="7" t="s">
        <v>221</v>
      </c>
      <c r="S429" s="8" t="s">
        <v>222</v>
      </c>
      <c r="T429" s="7"/>
      <c r="U429" s="7"/>
      <c r="V429" s="7"/>
    </row>
    <row r="430" spans="1:22">
      <c r="A430" s="5" t="s">
        <v>404</v>
      </c>
      <c r="B430" s="5" t="str">
        <f>GetAddress(A430)</f>
        <v>\\CHNO0276\Aseguranza de Calidad\Control de Documentos\Doc. controlados PDF\Formas\CNWI-QAAS (aseguranza de calidad)\CNWI-QAAS-F115 Check list FAI Component .xls</v>
      </c>
      <c r="C430" s="5" t="str">
        <f>MID(B430,LEN(B430) - FIND(".",REVERSETEXT(B430))+2,1000)</f>
        <v>xls</v>
      </c>
      <c r="D430" s="6">
        <v>5</v>
      </c>
      <c r="E430" s="7" t="s">
        <v>42</v>
      </c>
      <c r="F430" s="7" t="s">
        <v>256</v>
      </c>
      <c r="G430" s="8" t="s">
        <v>266</v>
      </c>
      <c r="H430" s="8">
        <v>9</v>
      </c>
      <c r="I430" s="8"/>
      <c r="J430" s="8"/>
      <c r="K430" s="8"/>
      <c r="L430" s="8"/>
      <c r="M430" s="7" t="s">
        <v>256</v>
      </c>
      <c r="N430" s="7" t="s">
        <v>405</v>
      </c>
      <c r="O430" s="9">
        <v>40924</v>
      </c>
      <c r="P430" s="7" t="s">
        <v>27</v>
      </c>
      <c r="Q430" s="9" t="s">
        <v>28</v>
      </c>
      <c r="R430" s="7" t="s">
        <v>221</v>
      </c>
      <c r="S430" s="8" t="s">
        <v>222</v>
      </c>
      <c r="T430" s="7"/>
      <c r="U430" s="7"/>
      <c r="V430" s="7"/>
    </row>
    <row r="431" spans="1:22">
      <c r="A431" s="5" t="s">
        <v>406</v>
      </c>
      <c r="B431" s="5" t="str">
        <f>GetAddress(A431)</f>
        <v>\\CHNO0276\Aseguranza de Calidad\Control de Documentos\Doc. controlados PDF\Formas\CNWI-QAAS (aseguranza de calidad)\CNWI-QAAS-F116 Weekly PPM on FAI.xls</v>
      </c>
      <c r="C431" s="5" t="str">
        <f>MID(B431,LEN(B431) - FIND(".",REVERSETEXT(B431))+2,1000)</f>
        <v>xls</v>
      </c>
      <c r="D431" s="6">
        <v>5</v>
      </c>
      <c r="E431" s="7" t="s">
        <v>42</v>
      </c>
      <c r="F431" s="7" t="s">
        <v>256</v>
      </c>
      <c r="G431" s="8" t="s">
        <v>266</v>
      </c>
      <c r="H431" s="8">
        <v>9</v>
      </c>
      <c r="I431" s="8"/>
      <c r="J431" s="8"/>
      <c r="K431" s="8"/>
      <c r="L431" s="8"/>
      <c r="M431" s="7" t="s">
        <v>256</v>
      </c>
      <c r="N431" s="7" t="s">
        <v>407</v>
      </c>
      <c r="O431" s="9">
        <v>40926</v>
      </c>
      <c r="P431" s="7" t="s">
        <v>27</v>
      </c>
      <c r="Q431" s="9" t="s">
        <v>28</v>
      </c>
      <c r="R431" s="7" t="s">
        <v>221</v>
      </c>
      <c r="S431" s="8" t="s">
        <v>222</v>
      </c>
      <c r="T431" s="7"/>
      <c r="U431" s="7"/>
      <c r="V431" s="7"/>
    </row>
    <row r="432" spans="1:22">
      <c r="A432" s="5" t="s">
        <v>408</v>
      </c>
      <c r="B432" s="5" t="str">
        <f>GetAddress(A432)</f>
        <v>\\CHNO0276\Aseguranza de Calidad\Control de Documentos\Doc. controlados PDF\Formas\CNWI-QAAS (aseguranza de calidad)\CNWI-QAAS-F117 Diagrama de Tortuga.xls</v>
      </c>
      <c r="C432" s="5" t="str">
        <f>MID(B432,LEN(B432) - FIND(".",REVERSETEXT(B432))+2,1000)</f>
        <v>xls</v>
      </c>
      <c r="D432" s="6">
        <v>5</v>
      </c>
      <c r="E432" s="7" t="s">
        <v>42</v>
      </c>
      <c r="F432" s="7" t="s">
        <v>256</v>
      </c>
      <c r="G432" s="8" t="s">
        <v>266</v>
      </c>
      <c r="H432" s="8">
        <v>9</v>
      </c>
      <c r="I432" s="8"/>
      <c r="J432" s="8"/>
      <c r="K432" s="8"/>
      <c r="L432" s="8"/>
      <c r="M432" s="7" t="s">
        <v>256</v>
      </c>
      <c r="N432" s="7" t="s">
        <v>409</v>
      </c>
      <c r="O432" s="9">
        <v>40940</v>
      </c>
      <c r="P432" s="7" t="s">
        <v>27</v>
      </c>
      <c r="Q432" s="9" t="s">
        <v>28</v>
      </c>
      <c r="R432" s="7" t="s">
        <v>221</v>
      </c>
      <c r="S432" s="8" t="s">
        <v>222</v>
      </c>
      <c r="T432" s="7"/>
      <c r="U432" s="7"/>
      <c r="V432" s="7"/>
    </row>
    <row r="433" spans="1:22">
      <c r="A433" s="5" t="s">
        <v>410</v>
      </c>
      <c r="B433" s="5" t="str">
        <f>GetAddress(A433)</f>
        <v>\\chno0276\Control de Documentos\Doc. controlados PDF\Formas\CNWI-QAAS (aseguranza de calidad)\CNWI-QAAS-F118 Control de boletas de Scrap.xlsx</v>
      </c>
      <c r="C433" s="5" t="str">
        <f>MID(B433,LEN(B433) - FIND(".",REVERSETEXT(B433))+2,1000)</f>
        <v>xlsx</v>
      </c>
      <c r="D433" s="6">
        <v>5</v>
      </c>
      <c r="E433" s="7" t="s">
        <v>42</v>
      </c>
      <c r="F433" s="7" t="s">
        <v>256</v>
      </c>
      <c r="G433" s="8" t="s">
        <v>266</v>
      </c>
      <c r="H433" s="8">
        <v>9</v>
      </c>
      <c r="I433" s="8"/>
      <c r="J433" s="8"/>
      <c r="K433" s="8"/>
      <c r="L433" s="8"/>
      <c r="M433" s="7" t="s">
        <v>256</v>
      </c>
      <c r="N433" s="7" t="s">
        <v>411</v>
      </c>
      <c r="O433" s="9">
        <v>40941</v>
      </c>
      <c r="P433" s="7" t="s">
        <v>27</v>
      </c>
      <c r="Q433" s="9" t="s">
        <v>28</v>
      </c>
      <c r="R433" s="7" t="s">
        <v>221</v>
      </c>
      <c r="S433" s="8" t="s">
        <v>222</v>
      </c>
      <c r="T433" s="7"/>
      <c r="U433" s="7"/>
      <c r="V433" s="7"/>
    </row>
    <row r="434" spans="1:22">
      <c r="A434" s="5" t="s">
        <v>412</v>
      </c>
      <c r="B434" s="5" t="str">
        <f>GetAddress(A434)</f>
        <v>\\CHNO0276\Aseguranza de Calidad\Control de Documentos\Doc. controlados PDF\Formas\CNWI-QAAS (aseguranza de calidad)\CNWI-QAAS-F119 Diagrama de interaccion de procesos.pdf</v>
      </c>
      <c r="C434" s="5" t="str">
        <f>MID(B434,LEN(B434) - FIND(".",REVERSETEXT(B434))+2,1000)</f>
        <v>pdf</v>
      </c>
      <c r="D434" s="6">
        <v>5</v>
      </c>
      <c r="E434" s="7" t="s">
        <v>42</v>
      </c>
      <c r="F434" s="7" t="s">
        <v>256</v>
      </c>
      <c r="G434" s="8" t="s">
        <v>266</v>
      </c>
      <c r="H434" s="8">
        <v>9</v>
      </c>
      <c r="I434" s="8"/>
      <c r="J434" s="8"/>
      <c r="K434" s="8"/>
      <c r="L434" s="8"/>
      <c r="M434" s="7" t="s">
        <v>256</v>
      </c>
      <c r="N434" s="7" t="s">
        <v>413</v>
      </c>
      <c r="O434" s="9">
        <v>40959</v>
      </c>
      <c r="P434" s="7" t="s">
        <v>46</v>
      </c>
      <c r="Q434" s="9" t="s">
        <v>28</v>
      </c>
      <c r="R434" s="7" t="s">
        <v>221</v>
      </c>
      <c r="S434" s="8" t="s">
        <v>222</v>
      </c>
      <c r="T434" s="7"/>
      <c r="U434" s="7"/>
      <c r="V434" s="7"/>
    </row>
    <row r="435" spans="1:22">
      <c r="A435" s="5" t="s">
        <v>414</v>
      </c>
      <c r="B435" s="5" t="str">
        <f>GetAddress(A435)</f>
        <v>\\CHNO0276\Aseguranza de Calidad\Control de Documentos\Doc. controlados PDF\Formas\CNWI-QAAS (aseguranza de calidad)\CNWI-QAAS-F120 Control de scrap.xls</v>
      </c>
      <c r="C435" s="5" t="str">
        <f>MID(B435,LEN(B435) - FIND(".",REVERSETEXT(B435))+2,1000)</f>
        <v>xls</v>
      </c>
      <c r="D435" s="6">
        <v>5</v>
      </c>
      <c r="E435" s="7" t="s">
        <v>42</v>
      </c>
      <c r="F435" s="7" t="s">
        <v>256</v>
      </c>
      <c r="G435" s="8" t="s">
        <v>266</v>
      </c>
      <c r="H435" s="8">
        <v>9</v>
      </c>
      <c r="I435" s="8"/>
      <c r="J435" s="8"/>
      <c r="K435" s="8"/>
      <c r="L435" s="8"/>
      <c r="M435" s="7" t="s">
        <v>256</v>
      </c>
      <c r="N435" s="7" t="s">
        <v>415</v>
      </c>
      <c r="O435" s="9">
        <v>40968</v>
      </c>
      <c r="P435" s="7" t="s">
        <v>27</v>
      </c>
      <c r="Q435" s="9" t="s">
        <v>28</v>
      </c>
      <c r="R435" s="7" t="s">
        <v>221</v>
      </c>
      <c r="S435" s="8" t="s">
        <v>222</v>
      </c>
      <c r="T435" s="9"/>
      <c r="U435" s="7"/>
      <c r="V435" s="7"/>
    </row>
    <row r="436" spans="1:22">
      <c r="A436" s="5" t="s">
        <v>416</v>
      </c>
      <c r="B436" s="5" t="str">
        <f>GetAddress(A436)</f>
        <v>\\CHNO0276\Aseguranza de Calidad\Control de Documentos\Doc. controlados PDF\Formas\CNWI-QAAS (aseguranza de calidad)\CNWI-QAAS-F121 Minuta.doc</v>
      </c>
      <c r="C436" s="5" t="str">
        <f>MID(B436,LEN(B436) - FIND(".",REVERSETEXT(B436))+2,1000)</f>
        <v>doc</v>
      </c>
      <c r="D436" s="6">
        <v>5</v>
      </c>
      <c r="E436" s="7" t="s">
        <v>42</v>
      </c>
      <c r="F436" s="7" t="s">
        <v>256</v>
      </c>
      <c r="G436" s="8" t="s">
        <v>266</v>
      </c>
      <c r="H436" s="8">
        <v>9</v>
      </c>
      <c r="I436" s="8"/>
      <c r="J436" s="8"/>
      <c r="K436" s="8"/>
      <c r="L436" s="8"/>
      <c r="M436" s="7" t="s">
        <v>256</v>
      </c>
      <c r="N436" s="7" t="s">
        <v>417</v>
      </c>
      <c r="O436" s="9">
        <v>40983</v>
      </c>
      <c r="P436" s="7" t="s">
        <v>27</v>
      </c>
      <c r="Q436" s="9" t="s">
        <v>28</v>
      </c>
      <c r="R436" s="7" t="s">
        <v>221</v>
      </c>
      <c r="S436" s="8" t="s">
        <v>222</v>
      </c>
      <c r="T436" s="9"/>
      <c r="U436" s="7"/>
      <c r="V436" s="7"/>
    </row>
    <row r="437" spans="1:22">
      <c r="A437" s="5" t="s">
        <v>1212</v>
      </c>
      <c r="B437" s="5" t="str">
        <f>GetAddress(A437)</f>
        <v>\\chno0276\Aseguranza de Calidad\Control de Documentos\Doc. controlados PDF\Formas\CNWI-QAAS (aseguranza de calidad)\CNWI-QAAS-F122 Check list de revision de euqipo de pruebas.doc</v>
      </c>
      <c r="C437" s="5" t="str">
        <f>MID(B437,LEN(B437) - FIND(".",REVERSETEXT(B437))+2,1000)</f>
        <v>doc</v>
      </c>
      <c r="D437" s="6">
        <v>5</v>
      </c>
      <c r="E437" s="7" t="s">
        <v>42</v>
      </c>
      <c r="F437" s="7" t="s">
        <v>256</v>
      </c>
      <c r="G437" s="8" t="s">
        <v>266</v>
      </c>
      <c r="H437" s="8">
        <v>9</v>
      </c>
      <c r="I437" s="8"/>
      <c r="J437" s="8"/>
      <c r="K437" s="8"/>
      <c r="L437" s="8"/>
      <c r="M437" s="7" t="s">
        <v>256</v>
      </c>
      <c r="N437" s="7" t="s">
        <v>1213</v>
      </c>
      <c r="O437" s="9">
        <v>40983</v>
      </c>
      <c r="P437" s="7" t="s">
        <v>27</v>
      </c>
      <c r="Q437" s="9" t="s">
        <v>28</v>
      </c>
      <c r="R437" s="7" t="s">
        <v>1156</v>
      </c>
      <c r="S437" s="8" t="s">
        <v>1157</v>
      </c>
      <c r="T437" s="9"/>
      <c r="U437" s="7"/>
      <c r="V437" s="7"/>
    </row>
    <row r="438" spans="1:22">
      <c r="A438" s="5" t="s">
        <v>418</v>
      </c>
      <c r="B438" s="5" t="str">
        <f>GetAddress(A438)</f>
        <v>\\chno0276\Control de Documentos\Doc. controlados PDF\Formas\CNWI-QAAS (aseguranza de calidad)\Cambios Docs -CNWI-QAAS-F123 Risk management Rev. A.xls</v>
      </c>
      <c r="C438" s="5" t="str">
        <f>MID(B438,LEN(B438) - FIND(".",REVERSETEXT(B438))+2,1000)</f>
        <v>xls</v>
      </c>
      <c r="D438" s="6">
        <v>5</v>
      </c>
      <c r="E438" s="7" t="s">
        <v>42</v>
      </c>
      <c r="F438" s="7" t="s">
        <v>256</v>
      </c>
      <c r="G438" s="8" t="s">
        <v>266</v>
      </c>
      <c r="H438" s="8">
        <v>9</v>
      </c>
      <c r="I438" s="8"/>
      <c r="J438" s="8"/>
      <c r="K438" s="8"/>
      <c r="L438" s="8"/>
      <c r="M438" s="7" t="s">
        <v>256</v>
      </c>
      <c r="N438" s="7" t="s">
        <v>419</v>
      </c>
      <c r="O438" s="9">
        <v>40988</v>
      </c>
      <c r="P438" s="7" t="s">
        <v>27</v>
      </c>
      <c r="Q438" s="9" t="s">
        <v>28</v>
      </c>
      <c r="R438" s="7" t="s">
        <v>221</v>
      </c>
      <c r="S438" s="8" t="s">
        <v>222</v>
      </c>
      <c r="T438" s="9"/>
      <c r="U438" s="7"/>
      <c r="V438" s="7"/>
    </row>
    <row r="439" spans="1:22">
      <c r="A439" s="5" t="s">
        <v>1849</v>
      </c>
      <c r="B439" s="5" t="str">
        <f>GetAddress(A439)</f>
        <v>\\chno0276\Control de Documentos\Doc. controlados PDF\Formas\CNWI-QAAS (aseguranza de calidad)\CNWI-QAAS-F124 New PPAP Formato.xls</v>
      </c>
      <c r="C439" s="5" t="str">
        <f>MID(B439,LEN(B439) - FIND(".",REVERSETEXT(B439))+2,1000)</f>
        <v>xls</v>
      </c>
      <c r="D439" s="6">
        <v>5</v>
      </c>
      <c r="E439" s="7" t="s">
        <v>42</v>
      </c>
      <c r="F439" s="7" t="s">
        <v>256</v>
      </c>
      <c r="G439" s="8" t="s">
        <v>266</v>
      </c>
      <c r="H439" s="8">
        <v>9</v>
      </c>
      <c r="I439" s="8"/>
      <c r="J439" s="8"/>
      <c r="K439" s="8"/>
      <c r="L439" s="8"/>
      <c r="M439" s="7" t="s">
        <v>256</v>
      </c>
      <c r="N439" s="7" t="s">
        <v>1850</v>
      </c>
      <c r="O439" s="9">
        <v>40990</v>
      </c>
      <c r="P439" s="7" t="s">
        <v>27</v>
      </c>
      <c r="Q439" s="9" t="s">
        <v>28</v>
      </c>
      <c r="R439" s="7" t="s">
        <v>1583</v>
      </c>
      <c r="S439" s="8" t="s">
        <v>1584</v>
      </c>
      <c r="T439" s="9"/>
      <c r="U439" s="7"/>
      <c r="V439" s="7"/>
    </row>
    <row r="440" spans="1:22">
      <c r="A440" s="5" t="s">
        <v>521</v>
      </c>
      <c r="B440" s="5" t="str">
        <f>GetAddress(A440)</f>
        <v>\\chno0276\Control de Documentos\Doc. controlados PDF\Formas\CNWI-QAAS (aseguranza de calidad)\CNWI-QAAS-F125 PPAP de salida de Equipo.xls</v>
      </c>
      <c r="C440" s="5" t="str">
        <f>MID(B440,LEN(B440) - FIND(".",REVERSETEXT(B440))+2,1000)</f>
        <v>xls</v>
      </c>
      <c r="D440" s="6">
        <v>5</v>
      </c>
      <c r="E440" s="7" t="s">
        <v>42</v>
      </c>
      <c r="F440" s="7" t="s">
        <v>256</v>
      </c>
      <c r="G440" s="8" t="s">
        <v>266</v>
      </c>
      <c r="H440" s="8">
        <v>9</v>
      </c>
      <c r="I440" s="8"/>
      <c r="J440" s="8"/>
      <c r="K440" s="8"/>
      <c r="L440" s="8"/>
      <c r="M440" s="7" t="s">
        <v>256</v>
      </c>
      <c r="N440" s="7" t="s">
        <v>522</v>
      </c>
      <c r="O440" s="9">
        <v>40990</v>
      </c>
      <c r="P440" s="7" t="s">
        <v>27</v>
      </c>
      <c r="Q440" s="9" t="s">
        <v>28</v>
      </c>
      <c r="R440" s="7" t="s">
        <v>519</v>
      </c>
      <c r="S440" s="8" t="s">
        <v>520</v>
      </c>
      <c r="T440" s="9"/>
      <c r="U440" s="7"/>
      <c r="V440" s="7"/>
    </row>
    <row r="441" spans="1:22">
      <c r="A441" s="5" t="s">
        <v>2058</v>
      </c>
      <c r="B441" s="5" t="str">
        <f>GetAddress(A441)</f>
        <v>\\CHNO0276\Aseguranza de Calidad\Control de Documentos\Doc. controlados PDF\Formas\CNWI-QAAS (aseguranza de calidad)\CNWI-QAAS-F126 Rev. C OOB Micromini.pdf</v>
      </c>
      <c r="C441" s="5" t="str">
        <f>MID(B441,LEN(B441) - FIND(".",REVERSETEXT(B441))+2,1000)</f>
        <v>pdf</v>
      </c>
      <c r="D441" s="6">
        <v>5</v>
      </c>
      <c r="E441" s="7" t="s">
        <v>42</v>
      </c>
      <c r="F441" s="7" t="s">
        <v>256</v>
      </c>
      <c r="G441" s="8" t="s">
        <v>266</v>
      </c>
      <c r="H441" s="8">
        <v>9</v>
      </c>
      <c r="I441" s="8"/>
      <c r="J441" s="8"/>
      <c r="K441" s="8"/>
      <c r="L441" s="8"/>
      <c r="M441" s="7" t="s">
        <v>256</v>
      </c>
      <c r="N441" s="7" t="s">
        <v>2059</v>
      </c>
      <c r="O441" s="9">
        <v>41101</v>
      </c>
      <c r="P441" s="7" t="s">
        <v>159</v>
      </c>
      <c r="Q441" s="9" t="s">
        <v>28</v>
      </c>
      <c r="R441" s="7" t="s">
        <v>1887</v>
      </c>
      <c r="S441" s="8" t="s">
        <v>1888</v>
      </c>
      <c r="T441" s="9"/>
      <c r="U441" s="7"/>
      <c r="V441" s="7"/>
    </row>
    <row r="442" spans="1:22">
      <c r="A442" s="5" t="s">
        <v>420</v>
      </c>
      <c r="B442" s="5" t="str">
        <f>GetAddress(A442)</f>
        <v>\\chno0276\Aseguranza de Calidad\Control de Documentos\Doc. controlados PDF\Formas\CNWI-QAAS (aseguranza de calidad)\CNWI-QAAS-F127 Registro de asistencia a juntas.xlsx</v>
      </c>
      <c r="C442" s="5" t="str">
        <f>MID(B442,LEN(B442) - FIND(".",REVERSETEXT(B442))+2,1000)</f>
        <v>xlsx</v>
      </c>
      <c r="D442" s="6">
        <v>5</v>
      </c>
      <c r="E442" s="7" t="s">
        <v>42</v>
      </c>
      <c r="F442" s="7" t="s">
        <v>256</v>
      </c>
      <c r="G442" s="8" t="s">
        <v>266</v>
      </c>
      <c r="H442" s="8">
        <v>9</v>
      </c>
      <c r="I442" s="8"/>
      <c r="J442" s="8"/>
      <c r="K442" s="8"/>
      <c r="L442" s="8"/>
      <c r="M442" s="7" t="s">
        <v>256</v>
      </c>
      <c r="N442" s="7" t="s">
        <v>421</v>
      </c>
      <c r="O442" s="9">
        <v>41044</v>
      </c>
      <c r="P442" s="7" t="s">
        <v>46</v>
      </c>
      <c r="Q442" s="9" t="s">
        <v>28</v>
      </c>
      <c r="R442" s="7" t="s">
        <v>221</v>
      </c>
      <c r="S442" s="8" t="s">
        <v>222</v>
      </c>
      <c r="T442" s="9"/>
      <c r="U442" s="7"/>
      <c r="V442" s="7"/>
    </row>
    <row r="443" spans="1:22">
      <c r="A443" s="5" t="s">
        <v>1851</v>
      </c>
      <c r="B443" s="5" t="str">
        <f>GetAddress(A443)</f>
        <v>\\chno0276\Aseguranza de Calidad\Control de Documentos\Doc. controlados PDF\Formas\CNWI-QAAS (aseguranza de calidad)\CNWI-QAAS-F128 OOB Itron-generales.xlsx</v>
      </c>
      <c r="C443" s="5" t="str">
        <f>MID(B443,LEN(B443) - FIND(".",REVERSETEXT(B443))+2,1000)</f>
        <v>xlsx</v>
      </c>
      <c r="D443" s="6">
        <v>5</v>
      </c>
      <c r="E443" s="7" t="s">
        <v>42</v>
      </c>
      <c r="F443" s="7" t="s">
        <v>256</v>
      </c>
      <c r="G443" s="8" t="s">
        <v>266</v>
      </c>
      <c r="H443" s="8">
        <v>9</v>
      </c>
      <c r="I443" s="8"/>
      <c r="J443" s="8"/>
      <c r="K443" s="8"/>
      <c r="L443" s="8"/>
      <c r="M443" s="7" t="s">
        <v>256</v>
      </c>
      <c r="N443" s="7" t="s">
        <v>1852</v>
      </c>
      <c r="O443" s="9">
        <v>41043</v>
      </c>
      <c r="P443" s="7" t="s">
        <v>46</v>
      </c>
      <c r="Q443" s="9" t="s">
        <v>28</v>
      </c>
      <c r="R443" s="7" t="s">
        <v>1583</v>
      </c>
      <c r="S443" s="8" t="s">
        <v>1584</v>
      </c>
      <c r="T443" s="9"/>
      <c r="U443" s="7"/>
      <c r="V443" s="7"/>
    </row>
    <row r="444" spans="1:22">
      <c r="A444" s="5" t="s">
        <v>1853</v>
      </c>
      <c r="B444" s="5" t="str">
        <f>GetAddress(A444)</f>
        <v>\\chno0276\Aseguranza de Calidad\Control de Documentos\Doc. controlados PDF\Formas\CNWI-QAAS (aseguranza de calidad)\CNWI-QAAS-F129 OOB Amsafe-bonding.xlsx</v>
      </c>
      <c r="C444" s="5" t="str">
        <f>MID(B444,LEN(B444) - FIND(".",REVERSETEXT(B444))+2,1000)</f>
        <v>xlsx</v>
      </c>
      <c r="D444" s="6">
        <v>5</v>
      </c>
      <c r="E444" s="7" t="s">
        <v>42</v>
      </c>
      <c r="F444" s="7" t="s">
        <v>256</v>
      </c>
      <c r="G444" s="8" t="s">
        <v>266</v>
      </c>
      <c r="H444" s="8">
        <v>9</v>
      </c>
      <c r="I444" s="8"/>
      <c r="J444" s="8"/>
      <c r="K444" s="8"/>
      <c r="L444" s="8"/>
      <c r="M444" s="7" t="s">
        <v>256</v>
      </c>
      <c r="N444" s="7" t="s">
        <v>1854</v>
      </c>
      <c r="O444" s="9">
        <v>41044</v>
      </c>
      <c r="P444" s="7" t="s">
        <v>46</v>
      </c>
      <c r="Q444" s="9" t="s">
        <v>28</v>
      </c>
      <c r="R444" s="7" t="s">
        <v>1583</v>
      </c>
      <c r="S444" s="8" t="s">
        <v>1584</v>
      </c>
      <c r="T444" s="9"/>
      <c r="U444" s="7"/>
      <c r="V444" s="7"/>
    </row>
    <row r="445" spans="1:22">
      <c r="A445" s="5" t="s">
        <v>422</v>
      </c>
      <c r="B445" s="5" t="str">
        <f>GetAddress(A445)</f>
        <v>\\chno0276\Aseguranza de Calidad\Control de Documentos\Documentos controlados\CN-QAAS (Aseguranza de calidad)\FORMAS\CNWI-QAAS-F130 Rev. A Action Plan.xlsx</v>
      </c>
      <c r="C445" s="5" t="str">
        <f>MID(B445,LEN(B445) - FIND(".",REVERSETEXT(B445))+2,1000)</f>
        <v>xlsx</v>
      </c>
      <c r="D445" s="6">
        <v>5</v>
      </c>
      <c r="E445" s="7" t="s">
        <v>42</v>
      </c>
      <c r="F445" s="7" t="s">
        <v>256</v>
      </c>
      <c r="G445" s="8" t="s">
        <v>266</v>
      </c>
      <c r="H445" s="8">
        <v>9</v>
      </c>
      <c r="I445" s="8"/>
      <c r="J445" s="8"/>
      <c r="K445" s="8"/>
      <c r="L445" s="8"/>
      <c r="M445" s="7" t="s">
        <v>256</v>
      </c>
      <c r="N445" s="7" t="s">
        <v>423</v>
      </c>
      <c r="O445" s="9">
        <v>40999</v>
      </c>
      <c r="P445" s="7" t="s">
        <v>27</v>
      </c>
      <c r="Q445" s="9" t="s">
        <v>28</v>
      </c>
      <c r="R445" s="7" t="s">
        <v>221</v>
      </c>
      <c r="S445" s="8" t="s">
        <v>222</v>
      </c>
      <c r="T445" s="9"/>
      <c r="U445" s="7"/>
      <c r="V445" s="7"/>
    </row>
    <row r="446" spans="1:22">
      <c r="A446" s="5" t="s">
        <v>424</v>
      </c>
      <c r="B446" s="5" t="str">
        <f>GetAddress(A446)</f>
        <v>\\chno0276\Aseguranza de Calidad\Control de Documentos\Documentos controlados\CN-QAAS (Aseguranza de calidad)\FORMAS\CNWI-QAAS-F131 Rev. A QMS Assessment.xls</v>
      </c>
      <c r="C446" s="5" t="str">
        <f>MID(B446,LEN(B446) - FIND(".",REVERSETEXT(B446))+2,1000)</f>
        <v>xls</v>
      </c>
      <c r="D446" s="6">
        <v>5</v>
      </c>
      <c r="E446" s="7" t="s">
        <v>42</v>
      </c>
      <c r="F446" s="7" t="s">
        <v>256</v>
      </c>
      <c r="G446" s="8" t="s">
        <v>266</v>
      </c>
      <c r="H446" s="8">
        <v>9</v>
      </c>
      <c r="I446" s="8"/>
      <c r="J446" s="8"/>
      <c r="K446" s="8"/>
      <c r="L446" s="8"/>
      <c r="M446" s="7" t="s">
        <v>256</v>
      </c>
      <c r="N446" s="7" t="s">
        <v>425</v>
      </c>
      <c r="O446" s="9">
        <v>40999</v>
      </c>
      <c r="P446" s="7" t="s">
        <v>27</v>
      </c>
      <c r="Q446" s="9" t="s">
        <v>28</v>
      </c>
      <c r="R446" s="7" t="s">
        <v>221</v>
      </c>
      <c r="S446" s="8" t="s">
        <v>222</v>
      </c>
      <c r="T446" s="9"/>
      <c r="U446" s="7"/>
      <c r="V446" s="7"/>
    </row>
    <row r="447" spans="1:22">
      <c r="A447" s="5" t="s">
        <v>1515</v>
      </c>
      <c r="B447" s="5" t="str">
        <f>GetAddress(A447)</f>
        <v>\\chno0276\Control de Documentos\Doc. controlados PDF\Formas\CNWI-QAAS (aseguranza de calidad)\CNWI-QAAS-F132 Operacion y control de dispositivos pokayoke.xlsx</v>
      </c>
      <c r="C447" s="5" t="str">
        <f>MID(B447,LEN(B447) - FIND(".",REVERSETEXT(B447))+2,1000)</f>
        <v>xlsx</v>
      </c>
      <c r="D447" s="6">
        <v>5</v>
      </c>
      <c r="E447" s="7" t="s">
        <v>42</v>
      </c>
      <c r="F447" s="7" t="s">
        <v>256</v>
      </c>
      <c r="G447" s="8" t="s">
        <v>266</v>
      </c>
      <c r="H447" s="8">
        <v>9</v>
      </c>
      <c r="I447" s="8"/>
      <c r="J447" s="8"/>
      <c r="K447" s="8"/>
      <c r="L447" s="8"/>
      <c r="M447" s="7" t="s">
        <v>256</v>
      </c>
      <c r="N447" s="7" t="s">
        <v>1516</v>
      </c>
      <c r="O447" s="9">
        <v>41029</v>
      </c>
      <c r="P447" s="7" t="s">
        <v>27</v>
      </c>
      <c r="Q447" s="9" t="s">
        <v>28</v>
      </c>
      <c r="R447" s="7" t="s">
        <v>1503</v>
      </c>
      <c r="S447" s="8" t="s">
        <v>1504</v>
      </c>
      <c r="T447" s="9"/>
      <c r="U447" s="7"/>
      <c r="V447" s="7"/>
    </row>
    <row r="448" spans="1:22">
      <c r="A448" s="5" t="s">
        <v>1855</v>
      </c>
      <c r="B448" s="5" t="str">
        <f>GetAddress(A448)</f>
        <v>\\chno0276\Aseguranza de Calidad\Control de Documentos\Documentos controlados\CN-QAAS (Aseguranza de calidad)\FORMAS\CNWI-QAAS-F131 Rev. A QMS Assessment.xls</v>
      </c>
      <c r="C448" s="5" t="str">
        <f>MID(B448,LEN(B448) - FIND(".",REVERSETEXT(B448))+2,1000)</f>
        <v>xls</v>
      </c>
      <c r="D448" s="6">
        <v>5</v>
      </c>
      <c r="E448" s="7" t="s">
        <v>42</v>
      </c>
      <c r="F448" s="7" t="s">
        <v>256</v>
      </c>
      <c r="G448" s="8" t="s">
        <v>266</v>
      </c>
      <c r="H448" s="8">
        <v>9</v>
      </c>
      <c r="I448" s="8"/>
      <c r="J448" s="8"/>
      <c r="K448" s="8"/>
      <c r="L448" s="8"/>
      <c r="M448" s="7" t="s">
        <v>256</v>
      </c>
      <c r="N448" s="7" t="s">
        <v>1856</v>
      </c>
      <c r="O448" s="9">
        <v>41031</v>
      </c>
      <c r="P448" s="7" t="s">
        <v>27</v>
      </c>
      <c r="Q448" s="9" t="s">
        <v>28</v>
      </c>
      <c r="R448" s="7" t="s">
        <v>1583</v>
      </c>
      <c r="S448" s="8" t="s">
        <v>1584</v>
      </c>
      <c r="T448" s="9"/>
      <c r="U448" s="7"/>
      <c r="V448" s="7"/>
    </row>
    <row r="449" spans="1:22">
      <c r="A449" s="5" t="s">
        <v>1857</v>
      </c>
      <c r="B449" s="5" t="str">
        <f>GetAddress(A449)</f>
        <v>\\CHNO0276\Aseguranza de Calidad\Control de Documentos\Doc. controlados PDF\Formas\CNWI-QAAS (aseguranza de calidad)\CNWI-QAAS-F134 OOB Solar  First solar .xlsx</v>
      </c>
      <c r="C449" s="5" t="str">
        <f>MID(B449,LEN(B449) - FIND(".",REVERSETEXT(B449))+2,1000)</f>
        <v>xlsx</v>
      </c>
      <c r="D449" s="6">
        <v>5</v>
      </c>
      <c r="E449" s="7" t="s">
        <v>42</v>
      </c>
      <c r="F449" s="7" t="s">
        <v>256</v>
      </c>
      <c r="G449" s="8" t="s">
        <v>266</v>
      </c>
      <c r="H449" s="8">
        <v>9</v>
      </c>
      <c r="I449" s="8"/>
      <c r="J449" s="8"/>
      <c r="K449" s="8"/>
      <c r="L449" s="8"/>
      <c r="M449" s="7" t="s">
        <v>256</v>
      </c>
      <c r="N449" s="7" t="s">
        <v>1858</v>
      </c>
      <c r="O449" s="9">
        <v>41136</v>
      </c>
      <c r="P449" s="7" t="s">
        <v>46</v>
      </c>
      <c r="Q449" s="9" t="s">
        <v>28</v>
      </c>
      <c r="R449" s="7" t="s">
        <v>1583</v>
      </c>
      <c r="S449" s="8" t="s">
        <v>1584</v>
      </c>
      <c r="T449" s="9"/>
      <c r="U449" s="7"/>
      <c r="V449" s="7"/>
    </row>
    <row r="450" spans="1:22">
      <c r="A450" s="5" t="s">
        <v>1859</v>
      </c>
      <c r="B450" s="5" t="str">
        <f>GetAddress(A450)</f>
        <v>\\CHNO0276\Aseguranza de Calidad\Control de Documentos\Doc. controlados PDF\Formas\CNWI-QAAS (aseguranza de calidad)\CNWI-QAAS-F135 Calendario out of box.xls</v>
      </c>
      <c r="C450" s="5" t="str">
        <f>MID(B450,LEN(B450) - FIND(".",REVERSETEXT(B450))+2,1000)</f>
        <v>xls</v>
      </c>
      <c r="D450" s="6">
        <v>5</v>
      </c>
      <c r="E450" s="7" t="s">
        <v>42</v>
      </c>
      <c r="F450" s="7" t="s">
        <v>256</v>
      </c>
      <c r="G450" s="8" t="s">
        <v>266</v>
      </c>
      <c r="H450" s="8">
        <v>9</v>
      </c>
      <c r="I450" s="8"/>
      <c r="J450" s="8"/>
      <c r="K450" s="8"/>
      <c r="L450" s="8"/>
      <c r="M450" s="7" t="s">
        <v>256</v>
      </c>
      <c r="N450" s="7" t="s">
        <v>1860</v>
      </c>
      <c r="O450" s="9">
        <v>41086</v>
      </c>
      <c r="P450" s="7" t="s">
        <v>27</v>
      </c>
      <c r="Q450" s="9" t="s">
        <v>28</v>
      </c>
      <c r="R450" s="7" t="s">
        <v>1583</v>
      </c>
      <c r="S450" s="8" t="s">
        <v>1584</v>
      </c>
      <c r="T450" s="9"/>
      <c r="U450" s="7"/>
      <c r="V450" s="7"/>
    </row>
    <row r="451" spans="1:22">
      <c r="A451" s="5" t="s">
        <v>2269</v>
      </c>
      <c r="B451" s="5" t="str">
        <f>GetAddress(A451)</f>
        <v>\\chno0276\Aseguranza de Calidad\Control de Documentos\Documentos controlados\CN-QAAS (Aseguranza de calidad)\FORMAS\CNWI-QAAS-F136 Rev.A Formato para AMC.xlsx</v>
      </c>
      <c r="C451" s="5" t="str">
        <f>MID(B451,LEN(B451) - FIND(".",REVERSETEXT(B451))+2,1000)</f>
        <v>xlsx</v>
      </c>
      <c r="D451" s="6">
        <v>5</v>
      </c>
      <c r="E451" s="7" t="s">
        <v>42</v>
      </c>
      <c r="F451" s="7" t="s">
        <v>256</v>
      </c>
      <c r="G451" s="8" t="s">
        <v>266</v>
      </c>
      <c r="H451" s="8">
        <v>9</v>
      </c>
      <c r="I451" s="8"/>
      <c r="J451" s="8"/>
      <c r="K451" s="8"/>
      <c r="L451" s="8"/>
      <c r="M451" s="7" t="s">
        <v>256</v>
      </c>
      <c r="N451" s="7" t="s">
        <v>2270</v>
      </c>
      <c r="O451" s="9">
        <v>41106</v>
      </c>
      <c r="P451" s="7" t="s">
        <v>27</v>
      </c>
      <c r="Q451" s="9" t="s">
        <v>28</v>
      </c>
      <c r="R451" s="7" t="s">
        <v>2062</v>
      </c>
      <c r="S451" s="8" t="s">
        <v>2063</v>
      </c>
      <c r="T451" s="9"/>
      <c r="U451" s="7"/>
      <c r="V451" s="7"/>
    </row>
    <row r="452" spans="1:22">
      <c r="A452" s="5" t="s">
        <v>426</v>
      </c>
      <c r="B452" s="5" t="str">
        <f>GetAddress(A452)</f>
        <v>\\chno0276\Aseguranza de Calidad\Control de Documentos\Documentos controlados\CN-QAAS (Aseguranza de calidad)\FORMAS\CNWI-QAAS-F137 Rev.A Diseño forma de registro.xlsx</v>
      </c>
      <c r="C452" s="5" t="str">
        <f>MID(B452,LEN(B452) - FIND(".",REVERSETEXT(B452))+2,1000)</f>
        <v>xlsx</v>
      </c>
      <c r="D452" s="6">
        <v>5</v>
      </c>
      <c r="E452" s="7" t="s">
        <v>42</v>
      </c>
      <c r="F452" s="7" t="s">
        <v>256</v>
      </c>
      <c r="G452" s="8" t="s">
        <v>266</v>
      </c>
      <c r="H452" s="8">
        <v>9</v>
      </c>
      <c r="I452" s="8"/>
      <c r="J452" s="8"/>
      <c r="K452" s="8"/>
      <c r="L452" s="8"/>
      <c r="M452" s="7" t="s">
        <v>256</v>
      </c>
      <c r="N452" s="7" t="s">
        <v>427</v>
      </c>
      <c r="O452" s="9">
        <v>41106</v>
      </c>
      <c r="P452" s="7" t="s">
        <v>27</v>
      </c>
      <c r="Q452" s="9" t="s">
        <v>28</v>
      </c>
      <c r="R452" s="7" t="s">
        <v>221</v>
      </c>
      <c r="S452" s="8" t="s">
        <v>222</v>
      </c>
      <c r="T452" s="9"/>
      <c r="U452" s="7"/>
      <c r="V452" s="7"/>
    </row>
    <row r="453" spans="1:22">
      <c r="A453" s="5" t="s">
        <v>523</v>
      </c>
      <c r="B453" s="5" t="str">
        <f>GetAddress(A453)</f>
        <v>\\chno0276\Control de Documentos\Doc. controlados PDF\Formas\CNWI-QAAS (aseguranza de calidad)\CNWI-QAAS-F138 Rev. A  3 UP Nogales form.xlsx</v>
      </c>
      <c r="C453" s="5" t="str">
        <f>MID(B453,LEN(B453) - FIND(".",REVERSETEXT(B453))+2,1000)</f>
        <v>xlsx</v>
      </c>
      <c r="D453" s="6">
        <v>5</v>
      </c>
      <c r="E453" s="7" t="s">
        <v>42</v>
      </c>
      <c r="F453" s="7" t="s">
        <v>256</v>
      </c>
      <c r="G453" s="8" t="s">
        <v>266</v>
      </c>
      <c r="H453" s="8">
        <v>9</v>
      </c>
      <c r="I453" s="8"/>
      <c r="J453" s="8"/>
      <c r="K453" s="8"/>
      <c r="L453" s="8"/>
      <c r="M453" s="7" t="s">
        <v>256</v>
      </c>
      <c r="N453" s="7" t="s">
        <v>524</v>
      </c>
      <c r="O453" s="9">
        <v>41110</v>
      </c>
      <c r="P453" s="7" t="s">
        <v>27</v>
      </c>
      <c r="Q453" s="9" t="s">
        <v>28</v>
      </c>
      <c r="R453" s="7" t="s">
        <v>519</v>
      </c>
      <c r="S453" s="8" t="s">
        <v>520</v>
      </c>
      <c r="T453" s="9"/>
      <c r="U453" s="7"/>
      <c r="V453" s="7"/>
    </row>
    <row r="454" spans="1:22">
      <c r="A454" s="5" t="s">
        <v>2271</v>
      </c>
      <c r="B454" s="5" t="str">
        <f>GetAddress(A454)</f>
        <v>\\CHNO0276\Aseguranza de Calidad\Control de Documentos\Doc. controlados PDF\Formas\CNWI-QAAS (aseguranza de calidad)\CNWI-QAAS-F139   Formato Functional Test.pdf</v>
      </c>
      <c r="C454" s="5" t="str">
        <f>MID(B454,LEN(B454) - FIND(".",REVERSETEXT(B454))+2,1000)</f>
        <v>pdf</v>
      </c>
      <c r="D454" s="6">
        <v>5</v>
      </c>
      <c r="E454" s="7" t="s">
        <v>42</v>
      </c>
      <c r="F454" s="7" t="s">
        <v>256</v>
      </c>
      <c r="G454" s="8" t="s">
        <v>266</v>
      </c>
      <c r="H454" s="8">
        <v>9</v>
      </c>
      <c r="I454" s="8"/>
      <c r="J454" s="8"/>
      <c r="K454" s="8"/>
      <c r="L454" s="8"/>
      <c r="M454" s="7" t="s">
        <v>256</v>
      </c>
      <c r="N454" s="7" t="s">
        <v>2272</v>
      </c>
      <c r="O454" s="9">
        <v>41113</v>
      </c>
      <c r="P454" s="7" t="s">
        <v>27</v>
      </c>
      <c r="Q454" s="9" t="s">
        <v>28</v>
      </c>
      <c r="R454" s="7" t="s">
        <v>2062</v>
      </c>
      <c r="S454" s="8" t="s">
        <v>2063</v>
      </c>
      <c r="T454" s="9"/>
      <c r="U454" s="7"/>
      <c r="V454" s="7"/>
    </row>
    <row r="455" spans="1:22">
      <c r="A455" s="5" t="s">
        <v>525</v>
      </c>
      <c r="B455" s="5" t="str">
        <f>GetAddress(A455)</f>
        <v>\\CHNO0276\Aseguranza de Calidad\Control de Documentos\Doc. controlados PDF\Formas\CNWI-QAAS (aseguranza de calidad)\CNWI-QAAS-F143 Rev. A Standard Work Form.xlsx</v>
      </c>
      <c r="C455" s="5" t="str">
        <f>MID(B455,LEN(B455) - FIND(".",REVERSETEXT(B455))+2,1000)</f>
        <v>xlsx</v>
      </c>
      <c r="D455" s="6">
        <v>5</v>
      </c>
      <c r="E455" s="7" t="s">
        <v>42</v>
      </c>
      <c r="F455" s="7" t="s">
        <v>256</v>
      </c>
      <c r="G455" s="8" t="s">
        <v>266</v>
      </c>
      <c r="H455" s="8">
        <v>9</v>
      </c>
      <c r="I455" s="8"/>
      <c r="J455" s="8"/>
      <c r="K455" s="8"/>
      <c r="L455" s="8"/>
      <c r="M455" s="7" t="s">
        <v>256</v>
      </c>
      <c r="N455" s="7" t="s">
        <v>526</v>
      </c>
      <c r="O455" s="9">
        <v>41131</v>
      </c>
      <c r="P455" s="7" t="s">
        <v>27</v>
      </c>
      <c r="Q455" s="9" t="s">
        <v>28</v>
      </c>
      <c r="R455" s="7" t="s">
        <v>519</v>
      </c>
      <c r="S455" s="8" t="s">
        <v>520</v>
      </c>
      <c r="T455" s="9"/>
      <c r="U455" s="7"/>
      <c r="V455" s="7"/>
    </row>
    <row r="456" spans="1:22">
      <c r="A456" s="5" t="s">
        <v>2273</v>
      </c>
      <c r="B456" s="5" t="str">
        <f>GetAddress(A456)</f>
        <v>\\CHNO0276\Aseguranza de Calidad\Control de Documentos\Doc. controlados PDF\Formas\CNWI-QAAS (aseguranza de calidad)\CNWI-QAAS-F145 BITACORA DE MOLDEO.xls</v>
      </c>
      <c r="C456" s="5" t="str">
        <f>MID(B456,LEN(B456) - FIND(".",REVERSETEXT(B456))+2,1000)</f>
        <v>xls</v>
      </c>
      <c r="D456" s="6">
        <v>5</v>
      </c>
      <c r="E456" s="7" t="s">
        <v>42</v>
      </c>
      <c r="F456" s="7" t="s">
        <v>256</v>
      </c>
      <c r="G456" s="8" t="s">
        <v>266</v>
      </c>
      <c r="H456" s="8">
        <v>9</v>
      </c>
      <c r="I456" s="8"/>
      <c r="J456" s="8"/>
      <c r="K456" s="8"/>
      <c r="L456" s="8"/>
      <c r="M456" s="7" t="s">
        <v>256</v>
      </c>
      <c r="N456" s="7" t="s">
        <v>2274</v>
      </c>
      <c r="O456" s="9">
        <v>41143</v>
      </c>
      <c r="P456" s="7" t="s">
        <v>27</v>
      </c>
      <c r="Q456" s="9" t="s">
        <v>28</v>
      </c>
      <c r="R456" s="7" t="s">
        <v>2062</v>
      </c>
      <c r="S456" s="8" t="s">
        <v>2063</v>
      </c>
      <c r="T456" s="9"/>
      <c r="U456" s="7"/>
      <c r="V456" s="7"/>
    </row>
    <row r="457" spans="1:22">
      <c r="A457" s="5" t="s">
        <v>2275</v>
      </c>
      <c r="B457" s="5" t="str">
        <f>GetAddress(A457)</f>
        <v>\\chno0276\Aseguranza de Calidad\Control de Documentos\Doc. controlados PDF\Formas\CNWI-QAAS (aseguranza de calidad)\CNWI-QAAS-F146  Control de Temperaturas de hornos.pdf</v>
      </c>
      <c r="C457" s="5" t="str">
        <f>MID(B457,LEN(B457) - FIND(".",REVERSETEXT(B457))+2,1000)</f>
        <v>pdf</v>
      </c>
      <c r="D457" s="6">
        <v>5</v>
      </c>
      <c r="E457" s="7" t="s">
        <v>42</v>
      </c>
      <c r="F457" s="7" t="s">
        <v>256</v>
      </c>
      <c r="G457" s="8" t="s">
        <v>266</v>
      </c>
      <c r="H457" s="8">
        <v>9</v>
      </c>
      <c r="I457" s="8"/>
      <c r="J457" s="8"/>
      <c r="K457" s="8"/>
      <c r="L457" s="8"/>
      <c r="M457" s="7" t="s">
        <v>256</v>
      </c>
      <c r="N457" s="7" t="s">
        <v>2276</v>
      </c>
      <c r="O457" s="9">
        <v>41151</v>
      </c>
      <c r="P457" s="7" t="s">
        <v>27</v>
      </c>
      <c r="Q457" s="9" t="s">
        <v>28</v>
      </c>
      <c r="R457" s="7" t="s">
        <v>2062</v>
      </c>
      <c r="S457" s="8" t="s">
        <v>2063</v>
      </c>
      <c r="T457" s="9"/>
      <c r="U457" s="7"/>
      <c r="V457" s="7"/>
    </row>
    <row r="458" spans="1:22">
      <c r="A458" s="5" t="s">
        <v>428</v>
      </c>
      <c r="B458" s="5" t="str">
        <f>GetAddress(A458)</f>
        <v>\\chno0276\Aseguranza de Calidad\Control de Documentos\Doc. controlados PDF\Formas\CNWI-QAAS (aseguranza de calidad)\CNWI-QAAS-F148 Formato de Presentaciones.pdf</v>
      </c>
      <c r="C458" s="5" t="str">
        <f>MID(B458,LEN(B458) - FIND(".",REVERSETEXT(B458))+2,1000)</f>
        <v>pdf</v>
      </c>
      <c r="D458" s="6">
        <v>5</v>
      </c>
      <c r="E458" s="7" t="s">
        <v>42</v>
      </c>
      <c r="F458" s="7" t="s">
        <v>256</v>
      </c>
      <c r="G458" s="8" t="s">
        <v>266</v>
      </c>
      <c r="H458" s="8">
        <v>9</v>
      </c>
      <c r="I458" s="8"/>
      <c r="J458" s="8"/>
      <c r="K458" s="8"/>
      <c r="L458" s="8"/>
      <c r="M458" s="7" t="s">
        <v>256</v>
      </c>
      <c r="N458" s="7" t="s">
        <v>429</v>
      </c>
      <c r="O458" s="9">
        <v>41162</v>
      </c>
      <c r="P458" s="7" t="s">
        <v>27</v>
      </c>
      <c r="Q458" s="9" t="s">
        <v>28</v>
      </c>
      <c r="R458" s="7" t="s">
        <v>221</v>
      </c>
      <c r="S458" s="8" t="s">
        <v>222</v>
      </c>
      <c r="T458" s="9"/>
      <c r="U458" s="7"/>
      <c r="V458" s="7"/>
    </row>
    <row r="459" spans="1:22">
      <c r="A459" s="5" t="s">
        <v>430</v>
      </c>
      <c r="B459" s="5" t="str">
        <f>GetAddress(A459)</f>
        <v>\\chno0276\Aseguranza de Calidad\Control de Documentos\Documentos controlados\CN-QAAS (Aseguranza de calidad)\FORMAS\CNWI-QAAS-F149  Rev. A check list de Nuevos Productos.xlsx</v>
      </c>
      <c r="C459" s="5" t="str">
        <f>MID(B459,LEN(B459) - FIND(".",REVERSETEXT(B459))+2,1000)</f>
        <v>xlsx</v>
      </c>
      <c r="D459" s="6">
        <v>5</v>
      </c>
      <c r="E459" s="7" t="s">
        <v>42</v>
      </c>
      <c r="F459" s="7" t="s">
        <v>256</v>
      </c>
      <c r="G459" s="8" t="s">
        <v>266</v>
      </c>
      <c r="H459" s="8">
        <v>9</v>
      </c>
      <c r="I459" s="8"/>
      <c r="J459" s="8"/>
      <c r="K459" s="8"/>
      <c r="L459" s="8"/>
      <c r="M459" s="7" t="s">
        <v>256</v>
      </c>
      <c r="N459" s="7" t="s">
        <v>431</v>
      </c>
      <c r="O459" s="9">
        <v>41177</v>
      </c>
      <c r="P459" s="7" t="s">
        <v>27</v>
      </c>
      <c r="Q459" s="9" t="s">
        <v>28</v>
      </c>
      <c r="R459" s="7" t="s">
        <v>221</v>
      </c>
      <c r="S459" s="8" t="s">
        <v>222</v>
      </c>
      <c r="T459" s="9"/>
      <c r="U459" s="7"/>
      <c r="V459" s="7"/>
    </row>
    <row r="460" spans="1:22">
      <c r="A460" s="5" t="s">
        <v>1861</v>
      </c>
      <c r="B460" s="5" t="str">
        <f>GetAddress(A460)</f>
        <v>\\chno0276\Aseguranza de Calidad\Control de Documentos\Documentos controlados\CN-QAAS (Aseguranza de calidad)\FORMAS\CNWI-QAAS-F152  Rev. A TABLA HORACIADORA.xlsx</v>
      </c>
      <c r="C460" s="5" t="str">
        <f>MID(B460,LEN(B460) - FIND(".",REVERSETEXT(B460))+2,1000)</f>
        <v>xlsx</v>
      </c>
      <c r="D460" s="6">
        <v>5</v>
      </c>
      <c r="E460" s="7" t="s">
        <v>42</v>
      </c>
      <c r="F460" s="7" t="s">
        <v>256</v>
      </c>
      <c r="G460" s="8" t="s">
        <v>266</v>
      </c>
      <c r="H460" s="8">
        <v>9</v>
      </c>
      <c r="I460" s="8"/>
      <c r="J460" s="8"/>
      <c r="K460" s="8"/>
      <c r="L460" s="8"/>
      <c r="M460" s="7" t="s">
        <v>256</v>
      </c>
      <c r="N460" s="7" t="s">
        <v>1862</v>
      </c>
      <c r="O460" s="9">
        <v>41179</v>
      </c>
      <c r="P460" s="7" t="s">
        <v>27</v>
      </c>
      <c r="Q460" s="9" t="s">
        <v>28</v>
      </c>
      <c r="R460" s="7" t="s">
        <v>1583</v>
      </c>
      <c r="S460" s="8" t="s">
        <v>1584</v>
      </c>
      <c r="T460" s="9"/>
      <c r="U460" s="7"/>
      <c r="V460" s="7"/>
    </row>
    <row r="461" spans="1:22">
      <c r="A461" s="5" t="s">
        <v>432</v>
      </c>
      <c r="B461" s="5" t="str">
        <f>GetAddress(A461)</f>
        <v>\\chno0276\Aseguranza de Calidad\Control de Documentos\Documentos controlados\CN-QAAS (Aseguranza de calidad)\FORMAS\CNWI-QAAS-F152  Rev. A TABLA HORACIADORA.xlsx</v>
      </c>
      <c r="C461" s="5" t="str">
        <f>MID(B461,LEN(B461) - FIND(".",REVERSETEXT(B461))+2,1000)</f>
        <v>xlsx</v>
      </c>
      <c r="D461" s="6">
        <v>5</v>
      </c>
      <c r="E461" s="7" t="s">
        <v>42</v>
      </c>
      <c r="F461" s="7" t="s">
        <v>256</v>
      </c>
      <c r="G461" s="8" t="s">
        <v>266</v>
      </c>
      <c r="H461" s="8">
        <v>9</v>
      </c>
      <c r="I461" s="8"/>
      <c r="J461" s="8"/>
      <c r="K461" s="8"/>
      <c r="L461" s="8"/>
      <c r="M461" s="7" t="s">
        <v>256</v>
      </c>
      <c r="N461" s="7" t="s">
        <v>433</v>
      </c>
      <c r="O461" s="9">
        <v>41179</v>
      </c>
      <c r="P461" s="7" t="s">
        <v>27</v>
      </c>
      <c r="Q461" s="9" t="s">
        <v>28</v>
      </c>
      <c r="R461" s="7" t="s">
        <v>221</v>
      </c>
      <c r="S461" s="8" t="s">
        <v>222</v>
      </c>
      <c r="T461" s="9"/>
      <c r="U461" s="7"/>
      <c r="V461" s="7"/>
    </row>
    <row r="462" spans="1:22">
      <c r="A462" s="5" t="s">
        <v>136</v>
      </c>
      <c r="B462" s="5" t="str">
        <f>GetAddress(A462)</f>
        <v>\\chno0276\Aseguranza de Calidad\Control de Documentos\Doc. controlados PDF\Instructivos\CNWI-SHAE\CNWI-SHAE-0001 Control de Accesos.pdf</v>
      </c>
      <c r="C462" s="5" t="str">
        <f>MID(B462,LEN(B462) - FIND(".",REVERSETEXT(B462))+2,1000)</f>
        <v>pdf</v>
      </c>
      <c r="D462" s="6">
        <v>4</v>
      </c>
      <c r="E462" s="7" t="s">
        <v>33</v>
      </c>
      <c r="F462" s="7" t="s">
        <v>137</v>
      </c>
      <c r="G462" s="8" t="s">
        <v>138</v>
      </c>
      <c r="H462" s="8">
        <v>7</v>
      </c>
      <c r="I462" s="8" t="s">
        <v>139</v>
      </c>
      <c r="J462" s="8">
        <v>27</v>
      </c>
      <c r="K462" s="8"/>
      <c r="L462" s="8"/>
      <c r="M462" s="7" t="s">
        <v>137</v>
      </c>
      <c r="N462" s="7" t="s">
        <v>140</v>
      </c>
      <c r="O462" s="9">
        <v>40667</v>
      </c>
      <c r="P462" s="7" t="s">
        <v>46</v>
      </c>
      <c r="Q462" s="9" t="s">
        <v>28</v>
      </c>
      <c r="R462" s="7" t="s">
        <v>141</v>
      </c>
      <c r="S462" s="8" t="s">
        <v>142</v>
      </c>
      <c r="T462" s="7"/>
      <c r="U462" s="13"/>
      <c r="V462" s="15"/>
    </row>
    <row r="463" spans="1:22">
      <c r="A463" s="5" t="s">
        <v>143</v>
      </c>
      <c r="B463" s="5" t="str">
        <f>GetAddress(A463)</f>
        <v>\\chno0276\Aseguranza de Calidad\Control de Documentos\Doc. controlados PDF\Instructivos\CNWI-SHAE\CNWI-SHAE-0002 Reglas de seguridad.pdf</v>
      </c>
      <c r="C463" s="5" t="str">
        <f>MID(B463,LEN(B463) - FIND(".",REVERSETEXT(B463))+2,1000)</f>
        <v>pdf</v>
      </c>
      <c r="D463" s="6">
        <v>4</v>
      </c>
      <c r="E463" s="7" t="s">
        <v>33</v>
      </c>
      <c r="F463" s="7" t="s">
        <v>137</v>
      </c>
      <c r="G463" s="8" t="s">
        <v>138</v>
      </c>
      <c r="H463" s="8">
        <v>7</v>
      </c>
      <c r="I463" s="8" t="s">
        <v>139</v>
      </c>
      <c r="J463" s="8">
        <v>27</v>
      </c>
      <c r="K463" s="8"/>
      <c r="L463" s="8"/>
      <c r="M463" s="7" t="s">
        <v>137</v>
      </c>
      <c r="N463" s="7" t="s">
        <v>144</v>
      </c>
      <c r="O463" s="9">
        <v>40721</v>
      </c>
      <c r="P463" s="7" t="s">
        <v>27</v>
      </c>
      <c r="Q463" s="9" t="s">
        <v>28</v>
      </c>
      <c r="R463" s="7" t="s">
        <v>141</v>
      </c>
      <c r="S463" s="8" t="s">
        <v>142</v>
      </c>
      <c r="T463" s="7"/>
      <c r="U463" s="13"/>
      <c r="V463" s="15"/>
    </row>
    <row r="464" spans="1:22">
      <c r="A464" s="5" t="s">
        <v>145</v>
      </c>
      <c r="B464" s="5" t="str">
        <f>GetAddress(A464)</f>
        <v>\\chno0276\Aseguranza de Calidad\Control de Documentos\Doc. controlados PDF\Instructivos\CNWI-SHAE\CNWI-SHAE-0003 Programa de Seguridad Azul.pdf</v>
      </c>
      <c r="C464" s="5" t="str">
        <f>MID(B464,LEN(B464) - FIND(".",REVERSETEXT(B464))+2,1000)</f>
        <v>pdf</v>
      </c>
      <c r="D464" s="6">
        <v>4</v>
      </c>
      <c r="E464" s="7" t="s">
        <v>33</v>
      </c>
      <c r="F464" s="7" t="s">
        <v>137</v>
      </c>
      <c r="G464" s="8" t="s">
        <v>138</v>
      </c>
      <c r="H464" s="8">
        <v>7</v>
      </c>
      <c r="I464" s="8" t="s">
        <v>139</v>
      </c>
      <c r="J464" s="8">
        <v>27</v>
      </c>
      <c r="K464" s="8"/>
      <c r="L464" s="8"/>
      <c r="M464" s="7" t="s">
        <v>137</v>
      </c>
      <c r="N464" s="7" t="s">
        <v>146</v>
      </c>
      <c r="O464" s="9">
        <v>40631</v>
      </c>
      <c r="P464" s="7" t="s">
        <v>27</v>
      </c>
      <c r="Q464" s="9" t="s">
        <v>28</v>
      </c>
      <c r="R464" s="7" t="s">
        <v>141</v>
      </c>
      <c r="S464" s="8" t="s">
        <v>142</v>
      </c>
      <c r="T464" s="7"/>
      <c r="U464" s="13"/>
      <c r="V464" s="15"/>
    </row>
    <row r="465" spans="1:22">
      <c r="A465" s="5" t="s">
        <v>147</v>
      </c>
      <c r="B465" s="5" t="str">
        <f>GetAddress(A465)</f>
        <v>\\chno0276\Aseguranza de Calidad\Control de Documentos\Doc. controlados PDF\Instructivos\CNWI-SHAE\CNWI-SHAE-0004 Infraestructura y Ambiente de Trabajo.pdf</v>
      </c>
      <c r="C465" s="5" t="str">
        <f>MID(B465,LEN(B465) - FIND(".",REVERSETEXT(B465))+2,1000)</f>
        <v>pdf</v>
      </c>
      <c r="D465" s="6">
        <v>4</v>
      </c>
      <c r="E465" s="7" t="s">
        <v>33</v>
      </c>
      <c r="F465" s="7" t="s">
        <v>137</v>
      </c>
      <c r="G465" s="8" t="s">
        <v>138</v>
      </c>
      <c r="H465" s="8">
        <v>7</v>
      </c>
      <c r="I465" s="8" t="s">
        <v>139</v>
      </c>
      <c r="J465" s="8">
        <v>27</v>
      </c>
      <c r="K465" s="8"/>
      <c r="L465" s="8"/>
      <c r="M465" s="7" t="s">
        <v>137</v>
      </c>
      <c r="N465" s="7" t="s">
        <v>148</v>
      </c>
      <c r="O465" s="9">
        <v>40630</v>
      </c>
      <c r="P465" s="7" t="s">
        <v>27</v>
      </c>
      <c r="Q465" s="9" t="s">
        <v>28</v>
      </c>
      <c r="R465" s="7" t="s">
        <v>141</v>
      </c>
      <c r="S465" s="8" t="s">
        <v>142</v>
      </c>
      <c r="T465" s="7"/>
      <c r="U465" s="13"/>
      <c r="V465" s="15"/>
    </row>
    <row r="466" spans="1:22">
      <c r="A466" s="5" t="s">
        <v>149</v>
      </c>
      <c r="B466" s="5" t="str">
        <f>GetAddress(A466)</f>
        <v>\\chno0276\Aseguranza de Calidad\Control de Documentos\Documentos controlados\CN-SHAE (Seguridad e higiene y medio ambiente)\WI\CNWI-SHAE-0005 Mantenimiento y Limpieza de Rampa 9.docx</v>
      </c>
      <c r="C466" s="5" t="str">
        <f>MID(B466,LEN(B466) - FIND(".",REVERSETEXT(B466))+2,1000)</f>
        <v>docx</v>
      </c>
      <c r="D466" s="6">
        <v>4</v>
      </c>
      <c r="E466" s="7" t="s">
        <v>33</v>
      </c>
      <c r="F466" s="7" t="s">
        <v>137</v>
      </c>
      <c r="G466" s="8" t="s">
        <v>138</v>
      </c>
      <c r="H466" s="8">
        <v>7</v>
      </c>
      <c r="I466" s="8" t="s">
        <v>139</v>
      </c>
      <c r="J466" s="8">
        <v>27</v>
      </c>
      <c r="K466" s="8"/>
      <c r="L466" s="8"/>
      <c r="M466" s="7" t="s">
        <v>137</v>
      </c>
      <c r="N466" s="7" t="s">
        <v>150</v>
      </c>
      <c r="O466" s="9">
        <v>41117</v>
      </c>
      <c r="P466" s="7" t="s">
        <v>27</v>
      </c>
      <c r="Q466" s="9" t="s">
        <v>28</v>
      </c>
      <c r="R466" s="7" t="s">
        <v>141</v>
      </c>
      <c r="S466" s="8" t="s">
        <v>142</v>
      </c>
      <c r="T466" s="7"/>
      <c r="U466" s="13"/>
      <c r="V466" s="15"/>
    </row>
    <row r="467" spans="1:22">
      <c r="A467" s="5" t="s">
        <v>151</v>
      </c>
      <c r="B467" s="5" t="str">
        <f>GetAddress(A467)</f>
        <v>\\chno0276\Aseguranza de Calidad\Control de Documentos\Doc. controlados PDF\Instructivos\CNWI-SHAE\CNWI-SHAE-0006 Plan de contingencia.pdf</v>
      </c>
      <c r="C467" s="5" t="str">
        <f>MID(B467,LEN(B467) - FIND(".",REVERSETEXT(B467))+2,1000)</f>
        <v>pdf</v>
      </c>
      <c r="D467" s="6">
        <v>4</v>
      </c>
      <c r="E467" s="7" t="s">
        <v>33</v>
      </c>
      <c r="F467" s="7" t="s">
        <v>137</v>
      </c>
      <c r="G467" s="8" t="s">
        <v>138</v>
      </c>
      <c r="H467" s="8">
        <v>7</v>
      </c>
      <c r="I467" s="8" t="s">
        <v>139</v>
      </c>
      <c r="J467" s="8">
        <v>27</v>
      </c>
      <c r="K467" s="8"/>
      <c r="L467" s="8"/>
      <c r="M467" s="7" t="s">
        <v>137</v>
      </c>
      <c r="N467" s="7" t="s">
        <v>152</v>
      </c>
      <c r="O467" s="9">
        <v>40928</v>
      </c>
      <c r="P467" s="7" t="s">
        <v>27</v>
      </c>
      <c r="Q467" s="9" t="s">
        <v>28</v>
      </c>
      <c r="R467" s="7" t="s">
        <v>141</v>
      </c>
      <c r="S467" s="8" t="s">
        <v>142</v>
      </c>
      <c r="T467" s="7"/>
      <c r="U467" s="13"/>
      <c r="V467" s="15"/>
    </row>
    <row r="468" spans="1:22">
      <c r="A468" s="5" t="s">
        <v>153</v>
      </c>
      <c r="B468" s="5" t="str">
        <f>GetAddress(A468)</f>
        <v>\\chno0276\Aseguranza de Calidad\Control de Documentos\Doc. controlados PDF\Instructivos\CNWI-SHAE\CNWI-SHAE-0007 Comunicacion de riesgos.pdf</v>
      </c>
      <c r="C468" s="5" t="str">
        <f>MID(B468,LEN(B468) - FIND(".",REVERSETEXT(B468))+2,1000)</f>
        <v>pdf</v>
      </c>
      <c r="D468" s="6">
        <v>4</v>
      </c>
      <c r="E468" s="7" t="s">
        <v>33</v>
      </c>
      <c r="F468" s="7" t="s">
        <v>137</v>
      </c>
      <c r="G468" s="8" t="s">
        <v>138</v>
      </c>
      <c r="H468" s="8">
        <v>7</v>
      </c>
      <c r="I468" s="8" t="s">
        <v>139</v>
      </c>
      <c r="J468" s="8">
        <v>27</v>
      </c>
      <c r="K468" s="8"/>
      <c r="L468" s="8"/>
      <c r="M468" s="7" t="s">
        <v>137</v>
      </c>
      <c r="N468" s="7" t="s">
        <v>154</v>
      </c>
      <c r="O468" s="9">
        <v>40931</v>
      </c>
      <c r="P468" s="7" t="s">
        <v>27</v>
      </c>
      <c r="Q468" s="9" t="s">
        <v>28</v>
      </c>
      <c r="R468" s="7" t="s">
        <v>141</v>
      </c>
      <c r="S468" s="8" t="s">
        <v>142</v>
      </c>
      <c r="T468" s="7"/>
      <c r="U468" s="13"/>
      <c r="V468" s="15"/>
    </row>
    <row r="469" spans="1:22">
      <c r="A469" s="5" t="s">
        <v>155</v>
      </c>
      <c r="B469" s="5" t="str">
        <f>GetAddress(A469)</f>
        <v>\\CHNO0276\Aseguranza de Calidad\Control de Documentos\Doc. controlados PDF\Instructivos\CNWI-SHAE\CNWI-SHAE-0008 Procedimiento FOD (eliminación de objetos extraños).pdf</v>
      </c>
      <c r="C469" s="5" t="str">
        <f>MID(B469,LEN(B469) - FIND(".",REVERSETEXT(B469))+2,1000)</f>
        <v>pdf</v>
      </c>
      <c r="D469" s="6">
        <v>4</v>
      </c>
      <c r="E469" s="7" t="s">
        <v>33</v>
      </c>
      <c r="F469" s="7" t="s">
        <v>137</v>
      </c>
      <c r="G469" s="8" t="s">
        <v>138</v>
      </c>
      <c r="H469" s="8">
        <v>7</v>
      </c>
      <c r="I469" s="8" t="s">
        <v>139</v>
      </c>
      <c r="J469" s="8">
        <v>27</v>
      </c>
      <c r="K469" s="8"/>
      <c r="L469" s="8"/>
      <c r="M469" s="7" t="s">
        <v>137</v>
      </c>
      <c r="N469" s="7" t="s">
        <v>156</v>
      </c>
      <c r="O469" s="9">
        <v>40939</v>
      </c>
      <c r="P469" s="7" t="s">
        <v>27</v>
      </c>
      <c r="Q469" s="9" t="s">
        <v>28</v>
      </c>
      <c r="R469" s="7" t="s">
        <v>141</v>
      </c>
      <c r="S469" s="8" t="s">
        <v>142</v>
      </c>
      <c r="T469" s="7"/>
      <c r="U469" s="13"/>
      <c r="V469" s="15"/>
    </row>
    <row r="470" spans="1:22">
      <c r="A470" s="5" t="s">
        <v>157</v>
      </c>
      <c r="B470" s="5" t="str">
        <f>GetAddress(A470)</f>
        <v>\\chno0276\Aseguranza de Calidad\Control de Documentos\Doc. controlados PDF\Formas\CNWI-SHAE (Seguridad e higiene y medio ambiente)\CNWI-SHAE-F001 Formato de Evaluacion 5s.xls</v>
      </c>
      <c r="C470" s="5" t="str">
        <f>MID(B470,LEN(B470) - FIND(".",REVERSETEXT(B470))+2,1000)</f>
        <v>xls</v>
      </c>
      <c r="D470" s="6">
        <v>5</v>
      </c>
      <c r="E470" s="7" t="s">
        <v>42</v>
      </c>
      <c r="F470" s="7" t="s">
        <v>137</v>
      </c>
      <c r="G470" s="8" t="s">
        <v>138</v>
      </c>
      <c r="H470" s="8">
        <v>7</v>
      </c>
      <c r="I470" s="8" t="s">
        <v>139</v>
      </c>
      <c r="J470" s="8">
        <v>27</v>
      </c>
      <c r="K470" s="8"/>
      <c r="L470" s="8"/>
      <c r="M470" s="7" t="s">
        <v>28</v>
      </c>
      <c r="N470" s="7" t="s">
        <v>158</v>
      </c>
      <c r="O470" s="9">
        <v>40560</v>
      </c>
      <c r="P470" s="7" t="s">
        <v>159</v>
      </c>
      <c r="Q470" s="9" t="s">
        <v>28</v>
      </c>
      <c r="R470" s="7" t="s">
        <v>141</v>
      </c>
      <c r="S470" s="8" t="s">
        <v>142</v>
      </c>
      <c r="T470" s="7"/>
      <c r="U470" s="7"/>
      <c r="V470" s="7"/>
    </row>
    <row r="471" spans="1:22">
      <c r="A471" s="5" t="s">
        <v>160</v>
      </c>
      <c r="B471" s="5" t="str">
        <f>GetAddress(A471)</f>
        <v>\\chno0276\Aseguranza de Calidad\Control de Documentos\Doc. controlados PDF\Formas\CNWI-SHAE (Seguridad e higiene y medio ambiente)\CNWI-SHAE-F002 orden de trabajo planta .xls</v>
      </c>
      <c r="C471" s="5" t="str">
        <f>MID(B471,LEN(B471) - FIND(".",REVERSETEXT(B471))+2,1000)</f>
        <v>xls</v>
      </c>
      <c r="D471" s="6">
        <v>5</v>
      </c>
      <c r="E471" s="7" t="s">
        <v>42</v>
      </c>
      <c r="F471" s="7" t="s">
        <v>137</v>
      </c>
      <c r="G471" s="8" t="s">
        <v>138</v>
      </c>
      <c r="H471" s="8">
        <v>7</v>
      </c>
      <c r="I471" s="8" t="s">
        <v>139</v>
      </c>
      <c r="J471" s="8">
        <v>27</v>
      </c>
      <c r="K471" s="8"/>
      <c r="L471" s="8"/>
      <c r="M471" s="7" t="s">
        <v>28</v>
      </c>
      <c r="N471" s="7" t="s">
        <v>161</v>
      </c>
      <c r="O471" s="9">
        <v>40604</v>
      </c>
      <c r="P471" s="7" t="s">
        <v>27</v>
      </c>
      <c r="Q471" s="9" t="s">
        <v>28</v>
      </c>
      <c r="R471" s="7" t="s">
        <v>141</v>
      </c>
      <c r="S471" s="8" t="s">
        <v>142</v>
      </c>
      <c r="T471" s="7"/>
      <c r="U471" s="7"/>
      <c r="V471" s="7"/>
    </row>
    <row r="472" spans="1:22">
      <c r="A472" s="5" t="s">
        <v>162</v>
      </c>
      <c r="B472" s="5" t="str">
        <f>GetAddress(A472)</f>
        <v>\\chno0276\Aseguranza de Calidad\Control de Documentos\Doc. controlados PDF\Formas\CNWI-SHAE (Seguridad e higiene y medio ambiente)\CNWI-SHAE-F003 Registro de visitantes .xls</v>
      </c>
      <c r="C472" s="5" t="str">
        <f>MID(B472,LEN(B472) - FIND(".",REVERSETEXT(B472))+2,1000)</f>
        <v>xls</v>
      </c>
      <c r="D472" s="6">
        <v>5</v>
      </c>
      <c r="E472" s="7" t="s">
        <v>42</v>
      </c>
      <c r="F472" s="7" t="s">
        <v>137</v>
      </c>
      <c r="G472" s="8" t="s">
        <v>138</v>
      </c>
      <c r="H472" s="8">
        <v>7</v>
      </c>
      <c r="I472" s="8" t="s">
        <v>139</v>
      </c>
      <c r="J472" s="8">
        <v>27</v>
      </c>
      <c r="K472" s="8"/>
      <c r="L472" s="8"/>
      <c r="M472" s="7" t="s">
        <v>28</v>
      </c>
      <c r="N472" s="7" t="s">
        <v>163</v>
      </c>
      <c r="O472" s="9">
        <v>40604</v>
      </c>
      <c r="P472" s="7" t="s">
        <v>27</v>
      </c>
      <c r="Q472" s="9" t="s">
        <v>28</v>
      </c>
      <c r="R472" s="7" t="s">
        <v>141</v>
      </c>
      <c r="S472" s="8" t="s">
        <v>142</v>
      </c>
      <c r="T472" s="7"/>
      <c r="U472" s="7"/>
      <c r="V472" s="7"/>
    </row>
    <row r="473" spans="1:22">
      <c r="A473" s="5" t="s">
        <v>164</v>
      </c>
      <c r="B473" s="5" t="str">
        <f>GetAddress(A473)</f>
        <v>\\chno0276\Aseguranza de Calidad\Control de Documentos\Doc. controlados PDF\Formas\CNWI-SHAE (Seguridad e higiene y medio ambiente)\CNWI-SHAE-F004 control de entradas y salidas contratistas .xls</v>
      </c>
      <c r="C473" s="5" t="str">
        <f>MID(B473,LEN(B473) - FIND(".",REVERSETEXT(B473))+2,1000)</f>
        <v>xls</v>
      </c>
      <c r="D473" s="6">
        <v>5</v>
      </c>
      <c r="E473" s="7" t="s">
        <v>42</v>
      </c>
      <c r="F473" s="7" t="s">
        <v>137</v>
      </c>
      <c r="G473" s="8" t="s">
        <v>138</v>
      </c>
      <c r="H473" s="8">
        <v>7</v>
      </c>
      <c r="I473" s="8" t="s">
        <v>139</v>
      </c>
      <c r="J473" s="8">
        <v>27</v>
      </c>
      <c r="K473" s="8"/>
      <c r="L473" s="8"/>
      <c r="M473" s="7" t="s">
        <v>28</v>
      </c>
      <c r="N473" s="7" t="s">
        <v>165</v>
      </c>
      <c r="O473" s="9">
        <v>40604</v>
      </c>
      <c r="P473" s="7" t="s">
        <v>27</v>
      </c>
      <c r="Q473" s="9" t="s">
        <v>28</v>
      </c>
      <c r="R473" s="7" t="s">
        <v>141</v>
      </c>
      <c r="S473" s="8" t="s">
        <v>142</v>
      </c>
      <c r="T473" s="7"/>
      <c r="U473" s="7"/>
      <c r="V473" s="7"/>
    </row>
    <row r="474" spans="1:22">
      <c r="A474" s="5" t="s">
        <v>166</v>
      </c>
      <c r="B474" s="5" t="str">
        <f>GetAddress(A474)</f>
        <v>\\chno0276\Aseguranza de Calidad\Control de Documentos\Doc. controlados PDF\Formas\CNWI-SHAE (Seguridad e higiene y medio ambiente)\CNWI-SHAE-F005 control de entra y salida de herramienta .xls</v>
      </c>
      <c r="C474" s="5" t="str">
        <f>MID(B474,LEN(B474) - FIND(".",REVERSETEXT(B474))+2,1000)</f>
        <v>xls</v>
      </c>
      <c r="D474" s="6">
        <v>5</v>
      </c>
      <c r="E474" s="7" t="s">
        <v>42</v>
      </c>
      <c r="F474" s="7" t="s">
        <v>137</v>
      </c>
      <c r="G474" s="8" t="s">
        <v>138</v>
      </c>
      <c r="H474" s="8">
        <v>7</v>
      </c>
      <c r="I474" s="8" t="s">
        <v>139</v>
      </c>
      <c r="J474" s="8">
        <v>27</v>
      </c>
      <c r="K474" s="8"/>
      <c r="L474" s="8"/>
      <c r="M474" s="7" t="s">
        <v>28</v>
      </c>
      <c r="N474" s="7" t="s">
        <v>167</v>
      </c>
      <c r="O474" s="9">
        <v>40604</v>
      </c>
      <c r="P474" s="7" t="s">
        <v>27</v>
      </c>
      <c r="Q474" s="9" t="s">
        <v>28</v>
      </c>
      <c r="R474" s="7" t="s">
        <v>141</v>
      </c>
      <c r="S474" s="8" t="s">
        <v>142</v>
      </c>
      <c r="T474" s="7"/>
      <c r="U474" s="7"/>
      <c r="V474" s="7"/>
    </row>
    <row r="475" spans="1:22">
      <c r="A475" s="5" t="s">
        <v>168</v>
      </c>
      <c r="B475" s="5" t="str">
        <f>GetAddress(A475)</f>
        <v>\\chno0276\Aseguranza de Calidad\Control de Documentos\Doc. controlados PDF\Formas\CNWI-SHAE (Seguridad e higiene y medio ambiente)\CNWI-SHAE-F006 Safety Cross.xls</v>
      </c>
      <c r="C475" s="5" t="str">
        <f>MID(B475,LEN(B475) - FIND(".",REVERSETEXT(B475))+2,1000)</f>
        <v>xls</v>
      </c>
      <c r="D475" s="6">
        <v>5</v>
      </c>
      <c r="E475" s="7" t="s">
        <v>42</v>
      </c>
      <c r="F475" s="7" t="s">
        <v>137</v>
      </c>
      <c r="G475" s="8" t="s">
        <v>138</v>
      </c>
      <c r="H475" s="8">
        <v>7</v>
      </c>
      <c r="I475" s="8" t="s">
        <v>139</v>
      </c>
      <c r="J475" s="8">
        <v>27</v>
      </c>
      <c r="K475" s="8"/>
      <c r="L475" s="8"/>
      <c r="M475" s="7" t="s">
        <v>28</v>
      </c>
      <c r="N475" s="7" t="s">
        <v>169</v>
      </c>
      <c r="O475" s="9">
        <v>40617</v>
      </c>
      <c r="P475" s="7" t="s">
        <v>27</v>
      </c>
      <c r="Q475" s="9" t="s">
        <v>28</v>
      </c>
      <c r="R475" s="7" t="s">
        <v>141</v>
      </c>
      <c r="S475" s="8" t="s">
        <v>142</v>
      </c>
      <c r="T475" s="7"/>
      <c r="U475" s="7"/>
      <c r="V475" s="7"/>
    </row>
    <row r="476" spans="1:22">
      <c r="A476" s="5" t="s">
        <v>170</v>
      </c>
      <c r="B476" s="5" t="str">
        <f>GetAddress(A476)</f>
        <v>\\chno0276\Aseguranza de Calidad\Control de Documentos\Doc. controlados PDF\Formas\CNWI-SHAE (Seguridad e higiene y medio ambiente)\CNWI-SHAE-F007 Tarjeta de hallazgo.xls</v>
      </c>
      <c r="C476" s="5" t="str">
        <f>MID(B476,LEN(B476) - FIND(".",REVERSETEXT(B476))+2,1000)</f>
        <v>xls</v>
      </c>
      <c r="D476" s="6">
        <v>5</v>
      </c>
      <c r="E476" s="7" t="s">
        <v>42</v>
      </c>
      <c r="F476" s="7" t="s">
        <v>171</v>
      </c>
      <c r="G476" s="8" t="s">
        <v>138</v>
      </c>
      <c r="H476" s="8">
        <v>7</v>
      </c>
      <c r="I476" s="8" t="s">
        <v>139</v>
      </c>
      <c r="J476" s="8">
        <v>27</v>
      </c>
      <c r="K476" s="8"/>
      <c r="L476" s="8"/>
      <c r="M476" s="7" t="s">
        <v>28</v>
      </c>
      <c r="N476" s="7" t="s">
        <v>172</v>
      </c>
      <c r="O476" s="9">
        <v>40617</v>
      </c>
      <c r="P476" s="7" t="s">
        <v>27</v>
      </c>
      <c r="Q476" s="9" t="s">
        <v>28</v>
      </c>
      <c r="R476" s="7" t="s">
        <v>141</v>
      </c>
      <c r="S476" s="8" t="s">
        <v>142</v>
      </c>
      <c r="T476" s="7"/>
      <c r="U476" s="7"/>
      <c r="V476" s="7"/>
    </row>
    <row r="477" spans="1:22">
      <c r="A477" s="5" t="s">
        <v>173</v>
      </c>
      <c r="B477" s="5" t="str">
        <f>GetAddress(A477)</f>
        <v>\\chno0276\Aseguranza de Calidad\Control de Documentos\Doc. controlados PDF\Formas\CNWI-SHAE (Seguridad e higiene y medio ambiente)\CNWI-SHAE-F008 Formato de aprobación de quimico nuevo.doc</v>
      </c>
      <c r="C477" s="5" t="str">
        <f>MID(B477,LEN(B477) - FIND(".",REVERSETEXT(B477))+2,1000)</f>
        <v>doc</v>
      </c>
      <c r="D477" s="6">
        <v>5</v>
      </c>
      <c r="E477" s="7" t="s">
        <v>42</v>
      </c>
      <c r="F477" s="7" t="s">
        <v>171</v>
      </c>
      <c r="G477" s="8" t="s">
        <v>138</v>
      </c>
      <c r="H477" s="8">
        <v>7</v>
      </c>
      <c r="I477" s="8" t="s">
        <v>139</v>
      </c>
      <c r="J477" s="8">
        <v>27</v>
      </c>
      <c r="K477" s="8"/>
      <c r="L477" s="8"/>
      <c r="M477" s="7" t="s">
        <v>28</v>
      </c>
      <c r="N477" s="7" t="s">
        <v>174</v>
      </c>
      <c r="O477" s="9">
        <v>40620</v>
      </c>
      <c r="P477" s="7" t="s">
        <v>27</v>
      </c>
      <c r="Q477" s="9" t="s">
        <v>28</v>
      </c>
      <c r="R477" s="7" t="s">
        <v>141</v>
      </c>
      <c r="S477" s="8" t="s">
        <v>142</v>
      </c>
      <c r="T477" s="7"/>
      <c r="U477" s="7"/>
      <c r="V477" s="7"/>
    </row>
    <row r="478" spans="1:22">
      <c r="A478" s="5" t="s">
        <v>175</v>
      </c>
      <c r="B478" s="5" t="str">
        <f>GetAddress(A478)</f>
        <v>\\chno0276\Aseguranza de Calidad\Control de Documentos\Doc. controlados PDF\Formas\CNWI-SHAE (Seguridad e higiene y medio ambiente)\CNWI-SHAE-F009 Formato AST.doc</v>
      </c>
      <c r="C478" s="5" t="str">
        <f>MID(B478,LEN(B478) - FIND(".",REVERSETEXT(B478))+2,1000)</f>
        <v>doc</v>
      </c>
      <c r="D478" s="6">
        <v>5</v>
      </c>
      <c r="E478" s="7" t="s">
        <v>42</v>
      </c>
      <c r="F478" s="7" t="s">
        <v>171</v>
      </c>
      <c r="G478" s="8" t="s">
        <v>138</v>
      </c>
      <c r="H478" s="8">
        <v>7</v>
      </c>
      <c r="I478" s="8" t="s">
        <v>139</v>
      </c>
      <c r="J478" s="8">
        <v>27</v>
      </c>
      <c r="K478" s="8"/>
      <c r="L478" s="8"/>
      <c r="M478" s="7" t="s">
        <v>28</v>
      </c>
      <c r="N478" s="7" t="s">
        <v>176</v>
      </c>
      <c r="O478" s="9">
        <v>40655</v>
      </c>
      <c r="P478" s="7" t="s">
        <v>27</v>
      </c>
      <c r="Q478" s="9" t="s">
        <v>28</v>
      </c>
      <c r="R478" s="7" t="s">
        <v>141</v>
      </c>
      <c r="S478" s="8" t="s">
        <v>142</v>
      </c>
      <c r="T478" s="7"/>
      <c r="U478" s="7"/>
      <c r="V478" s="7"/>
    </row>
    <row r="479" spans="1:22">
      <c r="A479" s="5" t="s">
        <v>177</v>
      </c>
      <c r="B479" s="5" t="str">
        <f>GetAddress(A479)</f>
        <v>\\chno0276\Aseguranza de Calidad\Control de Documentos\Doc. controlados PDF\Formas\CNWI-SHAE (Seguridad e higiene y medio ambiente)\CNWI-SHAE-F010 Checklist de Montacarga.XLS</v>
      </c>
      <c r="C479" s="5" t="str">
        <f>MID(B479,LEN(B479) - FIND(".",REVERSETEXT(B479))+2,1000)</f>
        <v>XLS</v>
      </c>
      <c r="D479" s="6">
        <v>5</v>
      </c>
      <c r="E479" s="7" t="s">
        <v>42</v>
      </c>
      <c r="F479" s="7" t="s">
        <v>178</v>
      </c>
      <c r="G479" s="8" t="s">
        <v>138</v>
      </c>
      <c r="H479" s="8">
        <v>7</v>
      </c>
      <c r="I479" s="8" t="s">
        <v>139</v>
      </c>
      <c r="J479" s="8">
        <v>27</v>
      </c>
      <c r="K479" s="8"/>
      <c r="L479" s="8"/>
      <c r="M479" s="7" t="s">
        <v>28</v>
      </c>
      <c r="N479" s="7" t="s">
        <v>179</v>
      </c>
      <c r="O479" s="9">
        <v>40689</v>
      </c>
      <c r="P479" s="7" t="s">
        <v>27</v>
      </c>
      <c r="Q479" s="9" t="s">
        <v>28</v>
      </c>
      <c r="R479" s="7" t="s">
        <v>141</v>
      </c>
      <c r="S479" s="8" t="s">
        <v>142</v>
      </c>
      <c r="T479" s="7"/>
      <c r="U479" s="7"/>
      <c r="V479" s="7"/>
    </row>
    <row r="480" spans="1:22">
      <c r="A480" s="5" t="s">
        <v>180</v>
      </c>
      <c r="B480" s="5" t="str">
        <f>GetAddress(A480)</f>
        <v>\\chno0276\Aseguranza de Calidad\Control de Documentos\Doc. controlados PDF\Formas\CNWI-SHAE (Seguridad e higiene y medio ambiente)\CNWI-SHAE-F011 Desviación EPP.xls</v>
      </c>
      <c r="C480" s="5" t="str">
        <f>MID(B480,LEN(B480) - FIND(".",REVERSETEXT(B480))+2,1000)</f>
        <v>xls</v>
      </c>
      <c r="D480" s="6">
        <v>5</v>
      </c>
      <c r="E480" s="7" t="s">
        <v>42</v>
      </c>
      <c r="F480" s="7" t="s">
        <v>178</v>
      </c>
      <c r="G480" s="8" t="s">
        <v>138</v>
      </c>
      <c r="H480" s="8">
        <v>7</v>
      </c>
      <c r="I480" s="8" t="s">
        <v>139</v>
      </c>
      <c r="J480" s="8">
        <v>27</v>
      </c>
      <c r="K480" s="8"/>
      <c r="L480" s="8"/>
      <c r="M480" s="7" t="s">
        <v>28</v>
      </c>
      <c r="N480" s="7" t="s">
        <v>181</v>
      </c>
      <c r="O480" s="9">
        <v>40689</v>
      </c>
      <c r="P480" s="7" t="s">
        <v>27</v>
      </c>
      <c r="Q480" s="9" t="s">
        <v>28</v>
      </c>
      <c r="R480" s="7" t="s">
        <v>141</v>
      </c>
      <c r="S480" s="8" t="s">
        <v>142</v>
      </c>
      <c r="T480" s="7"/>
      <c r="U480" s="7"/>
      <c r="V480" s="7"/>
    </row>
    <row r="481" spans="1:22">
      <c r="A481" s="5" t="s">
        <v>182</v>
      </c>
      <c r="B481" s="5" t="str">
        <f>GetAddress(A481)</f>
        <v>\\chno0276\Aseguranza de Calidad\Control de Documentos\Doc. controlados PDF\Formas\CNWI-SHAE (Seguridad e higiene y medio ambiente)\CNWI-SHAE-F012 Permiso para trabajos en alturas.xls</v>
      </c>
      <c r="C481" s="5" t="str">
        <f>MID(B481,LEN(B481) - FIND(".",REVERSETEXT(B481))+2,1000)</f>
        <v>xls</v>
      </c>
      <c r="D481" s="6">
        <v>5</v>
      </c>
      <c r="E481" s="7" t="s">
        <v>42</v>
      </c>
      <c r="F481" s="7" t="s">
        <v>183</v>
      </c>
      <c r="G481" s="8" t="s">
        <v>138</v>
      </c>
      <c r="H481" s="8">
        <v>7</v>
      </c>
      <c r="I481" s="8" t="s">
        <v>139</v>
      </c>
      <c r="J481" s="8">
        <v>27</v>
      </c>
      <c r="K481" s="8"/>
      <c r="L481" s="8"/>
      <c r="M481" s="7" t="s">
        <v>28</v>
      </c>
      <c r="N481" s="7" t="s">
        <v>184</v>
      </c>
      <c r="O481" s="9">
        <v>40689</v>
      </c>
      <c r="P481" s="7" t="s">
        <v>27</v>
      </c>
      <c r="Q481" s="9" t="s">
        <v>28</v>
      </c>
      <c r="R481" s="7" t="s">
        <v>141</v>
      </c>
      <c r="S481" s="8" t="s">
        <v>142</v>
      </c>
      <c r="T481" s="7"/>
      <c r="U481" s="7"/>
      <c r="V481" s="7"/>
    </row>
    <row r="482" spans="1:22">
      <c r="A482" s="5" t="s">
        <v>185</v>
      </c>
      <c r="B482" s="5" t="str">
        <f>GetAddress(A482)</f>
        <v>\\chno0276\Aseguranza de Calidad\Control de Documentos\Doc. controlados PDF\Formas\CNWI-SHAE (Seguridad e higiene y medio ambiente)\CNWI-SHAE-F013 CONTACTO PERSONAL.xls</v>
      </c>
      <c r="C482" s="5" t="str">
        <f>MID(B482,LEN(B482) - FIND(".",REVERSETEXT(B482))+2,1000)</f>
        <v>xls</v>
      </c>
      <c r="D482" s="6">
        <v>5</v>
      </c>
      <c r="E482" s="7" t="s">
        <v>42</v>
      </c>
      <c r="F482" s="7" t="s">
        <v>22</v>
      </c>
      <c r="G482" s="8" t="s">
        <v>138</v>
      </c>
      <c r="H482" s="8">
        <v>7</v>
      </c>
      <c r="I482" s="8" t="s">
        <v>139</v>
      </c>
      <c r="J482" s="8">
        <v>27</v>
      </c>
      <c r="K482" s="8"/>
      <c r="L482" s="8"/>
      <c r="M482" s="7" t="s">
        <v>28</v>
      </c>
      <c r="N482" s="7" t="s">
        <v>186</v>
      </c>
      <c r="O482" s="9">
        <v>40689</v>
      </c>
      <c r="P482" s="7" t="s">
        <v>27</v>
      </c>
      <c r="Q482" s="9" t="s">
        <v>28</v>
      </c>
      <c r="R482" s="7" t="s">
        <v>141</v>
      </c>
      <c r="S482" s="8" t="s">
        <v>142</v>
      </c>
      <c r="T482" s="7"/>
      <c r="U482" s="7"/>
      <c r="V482" s="7"/>
    </row>
    <row r="483" spans="1:22">
      <c r="A483" s="5" t="s">
        <v>187</v>
      </c>
      <c r="B483" s="5" t="str">
        <f>GetAddress(A483)</f>
        <v>\\chno0276\Aseguranza de Calidad\Control de Documentos\Doc. controlados PDF\Formas\CNWI-SHAE (Seguridad e higiene y medio ambiente)\CNWI-SHAE-F014 VALE DE DESCUENTO POR NÓMINA.xls</v>
      </c>
      <c r="C483" s="5" t="str">
        <f>MID(B483,LEN(B483) - FIND(".",REVERSETEXT(B483))+2,1000)</f>
        <v>xls</v>
      </c>
      <c r="D483" s="6">
        <v>5</v>
      </c>
      <c r="E483" s="7" t="s">
        <v>42</v>
      </c>
      <c r="F483" s="7" t="s">
        <v>22</v>
      </c>
      <c r="G483" s="8" t="s">
        <v>138</v>
      </c>
      <c r="H483" s="8">
        <v>7</v>
      </c>
      <c r="I483" s="8" t="s">
        <v>139</v>
      </c>
      <c r="J483" s="8">
        <v>27</v>
      </c>
      <c r="K483" s="8"/>
      <c r="L483" s="8"/>
      <c r="M483" s="7" t="s">
        <v>28</v>
      </c>
      <c r="N483" s="7" t="s">
        <v>188</v>
      </c>
      <c r="O483" s="9">
        <v>40689</v>
      </c>
      <c r="P483" s="7" t="s">
        <v>27</v>
      </c>
      <c r="Q483" s="9" t="s">
        <v>28</v>
      </c>
      <c r="R483" s="7" t="s">
        <v>141</v>
      </c>
      <c r="S483" s="8" t="s">
        <v>142</v>
      </c>
      <c r="T483" s="7"/>
      <c r="U483" s="7"/>
      <c r="V483" s="7"/>
    </row>
    <row r="484" spans="1:22">
      <c r="A484" s="5" t="s">
        <v>189</v>
      </c>
      <c r="B484" s="5" t="str">
        <f>GetAddress(A484)</f>
        <v>\\chno0276\Aseguranza de Calidad\Control de Documentos\Doc. controlados PDF\Formas\CNWI-SHAE (Seguridad e higiene y medio ambiente)\CNWI-SHAE-F015 Permiso de Acceso a Espacios Confinados.doc</v>
      </c>
      <c r="C484" s="5" t="str">
        <f>MID(B484,LEN(B484) - FIND(".",REVERSETEXT(B484))+2,1000)</f>
        <v>doc</v>
      </c>
      <c r="D484" s="6">
        <v>5</v>
      </c>
      <c r="E484" s="7" t="s">
        <v>42</v>
      </c>
      <c r="F484" s="7" t="s">
        <v>22</v>
      </c>
      <c r="G484" s="8" t="s">
        <v>138</v>
      </c>
      <c r="H484" s="8">
        <v>7</v>
      </c>
      <c r="I484" s="8" t="s">
        <v>139</v>
      </c>
      <c r="J484" s="8">
        <v>27</v>
      </c>
      <c r="K484" s="8"/>
      <c r="L484" s="8"/>
      <c r="M484" s="7" t="s">
        <v>28</v>
      </c>
      <c r="N484" s="7" t="s">
        <v>190</v>
      </c>
      <c r="O484" s="9">
        <v>40689</v>
      </c>
      <c r="P484" s="7" t="s">
        <v>27</v>
      </c>
      <c r="Q484" s="9" t="s">
        <v>28</v>
      </c>
      <c r="R484" s="7" t="s">
        <v>141</v>
      </c>
      <c r="S484" s="8" t="s">
        <v>142</v>
      </c>
      <c r="T484" s="7"/>
      <c r="U484" s="7"/>
      <c r="V484" s="7"/>
    </row>
    <row r="485" spans="1:22">
      <c r="A485" s="5" t="s">
        <v>191</v>
      </c>
      <c r="B485" s="5" t="str">
        <f>GetAddress(A485)</f>
        <v>\\chno0276\Aseguranza de Calidad\Control de Documentos\Doc. controlados PDF\Formas\CNWI-SHAE (Seguridad e higiene y medio ambiente)\CNWI-SHAE-F016 Pase de salida Scrap.xls</v>
      </c>
      <c r="C485" s="5" t="str">
        <f>MID(B485,LEN(B485) - FIND(".",REVERSETEXT(B485))+2,1000)</f>
        <v>xls</v>
      </c>
      <c r="D485" s="6">
        <v>5</v>
      </c>
      <c r="E485" s="7" t="s">
        <v>42</v>
      </c>
      <c r="F485" s="7" t="s">
        <v>22</v>
      </c>
      <c r="G485" s="8" t="s">
        <v>138</v>
      </c>
      <c r="H485" s="8">
        <v>7</v>
      </c>
      <c r="I485" s="8" t="s">
        <v>139</v>
      </c>
      <c r="J485" s="8">
        <v>27</v>
      </c>
      <c r="K485" s="8"/>
      <c r="L485" s="8"/>
      <c r="M485" s="7" t="s">
        <v>28</v>
      </c>
      <c r="N485" s="7" t="s">
        <v>192</v>
      </c>
      <c r="O485" s="9">
        <v>40940</v>
      </c>
      <c r="P485" s="7" t="s">
        <v>27</v>
      </c>
      <c r="Q485" s="9" t="s">
        <v>28</v>
      </c>
      <c r="R485" s="7" t="s">
        <v>141</v>
      </c>
      <c r="S485" s="8" t="s">
        <v>142</v>
      </c>
      <c r="T485" s="7"/>
      <c r="U485" s="7"/>
      <c r="V485" s="7"/>
    </row>
    <row r="486" spans="1:22">
      <c r="A486" s="5" t="s">
        <v>193</v>
      </c>
      <c r="B486" s="5" t="str">
        <f>GetAddress(A486)</f>
        <v>\\chno0276\Control de Documentos\Doc. controlados PDF\Formas\CNWI-SHAE (Seguridad e higiene y medio ambiente)\CNWI-SHAE-F017 Tarjetas de Observaciones de Seguridad BBS.xlsx</v>
      </c>
      <c r="C486" s="5" t="str">
        <f>MID(B486,LEN(B486) - FIND(".",REVERSETEXT(B486))+2,1000)</f>
        <v>xlsx</v>
      </c>
      <c r="D486" s="6">
        <v>5</v>
      </c>
      <c r="E486" s="7" t="s">
        <v>42</v>
      </c>
      <c r="F486" s="7" t="s">
        <v>22</v>
      </c>
      <c r="G486" s="8" t="s">
        <v>138</v>
      </c>
      <c r="H486" s="8">
        <v>7</v>
      </c>
      <c r="I486" s="8" t="s">
        <v>139</v>
      </c>
      <c r="J486" s="8">
        <v>27</v>
      </c>
      <c r="K486" s="8"/>
      <c r="L486" s="8"/>
      <c r="M486" s="7" t="s">
        <v>28</v>
      </c>
      <c r="N486" s="7" t="s">
        <v>194</v>
      </c>
      <c r="O486" s="9">
        <v>41199</v>
      </c>
      <c r="P486" s="7" t="s">
        <v>159</v>
      </c>
      <c r="Q486" s="9" t="s">
        <v>28</v>
      </c>
      <c r="R486" s="7" t="s">
        <v>141</v>
      </c>
      <c r="S486" s="8" t="s">
        <v>142</v>
      </c>
      <c r="T486" s="7"/>
      <c r="U486" s="7"/>
      <c r="V486" s="7"/>
    </row>
    <row r="487" spans="1:22">
      <c r="A487" s="5" t="s">
        <v>195</v>
      </c>
      <c r="B487" s="5" t="str">
        <f>GetAddress(A487)</f>
        <v>\\chno0276\Aseguranza de Calidad\Control de Documentos\Doc. controlados PDF\Formas\CNWI-SHAE (Seguridad e higiene y medio ambiente)\CNWI-SHAE-F018 LISTO PARA CORRER.xls</v>
      </c>
      <c r="C487" s="5" t="str">
        <f>MID(B487,LEN(B487) - FIND(".",REVERSETEXT(B487))+2,1000)</f>
        <v>xls</v>
      </c>
      <c r="D487" s="6">
        <v>5</v>
      </c>
      <c r="E487" s="7" t="s">
        <v>42</v>
      </c>
      <c r="F487" s="7" t="s">
        <v>22</v>
      </c>
      <c r="G487" s="8" t="s">
        <v>138</v>
      </c>
      <c r="H487" s="8">
        <v>7</v>
      </c>
      <c r="I487" s="8" t="s">
        <v>139</v>
      </c>
      <c r="J487" s="8">
        <v>27</v>
      </c>
      <c r="K487" s="8"/>
      <c r="L487" s="8"/>
      <c r="M487" s="7" t="s">
        <v>28</v>
      </c>
      <c r="N487" s="7" t="s">
        <v>196</v>
      </c>
      <c r="O487" s="9">
        <v>40758</v>
      </c>
      <c r="P487" s="7" t="s">
        <v>27</v>
      </c>
      <c r="Q487" s="9" t="s">
        <v>28</v>
      </c>
      <c r="R487" s="7" t="s">
        <v>141</v>
      </c>
      <c r="S487" s="8" t="s">
        <v>142</v>
      </c>
      <c r="T487" s="7"/>
      <c r="U487" s="7"/>
      <c r="V487" s="7"/>
    </row>
    <row r="488" spans="1:22">
      <c r="A488" s="5" t="s">
        <v>197</v>
      </c>
      <c r="B488" s="5" t="str">
        <f>GetAddress(A488)</f>
        <v>\\chno0276\Aseguranza de Calidad\Control de Documentos\Doc. controlados PDF\Formas\CNWI-SHAE (Seguridad e higiene y medio ambiente)\CNWI-SHAE-F019 Checklist de Grua y Accesorios de Izaje.xls</v>
      </c>
      <c r="C488" s="5" t="str">
        <f>MID(B488,LEN(B488) - FIND(".",REVERSETEXT(B488))+2,1000)</f>
        <v>xls</v>
      </c>
      <c r="D488" s="6">
        <v>5</v>
      </c>
      <c r="E488" s="7" t="s">
        <v>42</v>
      </c>
      <c r="F488" s="7" t="s">
        <v>22</v>
      </c>
      <c r="G488" s="8" t="s">
        <v>138</v>
      </c>
      <c r="H488" s="8">
        <v>7</v>
      </c>
      <c r="I488" s="8" t="s">
        <v>139</v>
      </c>
      <c r="J488" s="8">
        <v>27</v>
      </c>
      <c r="K488" s="8"/>
      <c r="L488" s="8"/>
      <c r="M488" s="7" t="s">
        <v>28</v>
      </c>
      <c r="N488" s="7" t="s">
        <v>198</v>
      </c>
      <c r="O488" s="9">
        <v>40806</v>
      </c>
      <c r="P488" s="7" t="s">
        <v>27</v>
      </c>
      <c r="Q488" s="9" t="s">
        <v>28</v>
      </c>
      <c r="R488" s="7" t="s">
        <v>141</v>
      </c>
      <c r="S488" s="8" t="s">
        <v>142</v>
      </c>
      <c r="T488" s="7"/>
      <c r="U488" s="7"/>
      <c r="V488" s="7"/>
    </row>
    <row r="489" spans="1:22">
      <c r="A489" s="5" t="s">
        <v>199</v>
      </c>
      <c r="B489" s="5" t="str">
        <f>GetAddress(A489)</f>
        <v>\\chno0276\Aseguranza de Calidad\Control de Documentos\Doc. controlados PDF\Formas\CNWI-SHAE (Seguridad e higiene y medio ambiente)\CNWI-SHAE-F020 Formato de Control de Herramientas y Equipo.xls</v>
      </c>
      <c r="C489" s="5" t="str">
        <f>MID(B489,LEN(B489) - FIND(".",REVERSETEXT(B489))+2,1000)</f>
        <v>xls</v>
      </c>
      <c r="D489" s="6">
        <v>5</v>
      </c>
      <c r="E489" s="7" t="s">
        <v>42</v>
      </c>
      <c r="F489" s="7" t="s">
        <v>22</v>
      </c>
      <c r="G489" s="8" t="s">
        <v>138</v>
      </c>
      <c r="H489" s="8">
        <v>7</v>
      </c>
      <c r="I489" s="8" t="s">
        <v>139</v>
      </c>
      <c r="J489" s="8">
        <v>27</v>
      </c>
      <c r="K489" s="8"/>
      <c r="L489" s="8"/>
      <c r="M489" s="7" t="s">
        <v>28</v>
      </c>
      <c r="N489" s="7" t="s">
        <v>200</v>
      </c>
      <c r="O489" s="9">
        <v>40998</v>
      </c>
      <c r="P489" s="7" t="s">
        <v>46</v>
      </c>
      <c r="Q489" s="9" t="s">
        <v>28</v>
      </c>
      <c r="R489" s="7" t="s">
        <v>141</v>
      </c>
      <c r="S489" s="8" t="s">
        <v>142</v>
      </c>
      <c r="T489" s="7"/>
      <c r="U489" s="7"/>
      <c r="V489" s="7"/>
    </row>
    <row r="490" spans="1:22">
      <c r="A490" s="5" t="s">
        <v>201</v>
      </c>
      <c r="B490" s="5" t="str">
        <f>GetAddress(A490)</f>
        <v>\\chno0276\Aseguranza de Calidad\Control de Documentos\Doc. controlados PDF\Formas\CNWI-SHAE (Seguridad e higiene y medio ambiente)\CNWI-SHAE-F021 Check list baños.pdf</v>
      </c>
      <c r="C490" s="5" t="str">
        <f>MID(B490,LEN(B490) - FIND(".",REVERSETEXT(B490))+2,1000)</f>
        <v>pdf</v>
      </c>
      <c r="D490" s="6">
        <v>5</v>
      </c>
      <c r="E490" s="7" t="s">
        <v>42</v>
      </c>
      <c r="F490" s="7" t="s">
        <v>22</v>
      </c>
      <c r="G490" s="8" t="s">
        <v>138</v>
      </c>
      <c r="H490" s="8">
        <v>7</v>
      </c>
      <c r="I490" s="8" t="s">
        <v>139</v>
      </c>
      <c r="J490" s="8">
        <v>27</v>
      </c>
      <c r="K490" s="8"/>
      <c r="L490" s="8"/>
      <c r="M490" s="7" t="s">
        <v>28</v>
      </c>
      <c r="N490" s="7" t="s">
        <v>202</v>
      </c>
      <c r="O490" s="9">
        <v>40928</v>
      </c>
      <c r="P490" s="7" t="s">
        <v>27</v>
      </c>
      <c r="Q490" s="9" t="s">
        <v>28</v>
      </c>
      <c r="R490" s="7" t="s">
        <v>141</v>
      </c>
      <c r="S490" s="8" t="s">
        <v>142</v>
      </c>
      <c r="T490" s="7"/>
      <c r="U490" s="7"/>
      <c r="V490" s="7"/>
    </row>
    <row r="491" spans="1:22">
      <c r="A491" s="5" t="s">
        <v>203</v>
      </c>
      <c r="B491" s="5" t="str">
        <f>GetAddress(A491)</f>
        <v>\\chno0276\Aseguranza de Calidad\Control de Documentos\Doc. controlados PDF\Formas\CNWI-SHAE (Seguridad e higiene y medio ambiente)\CNWI-SHAE-F023 Evaluacion para aprobar EPP.doc</v>
      </c>
      <c r="C491" s="5" t="str">
        <f>MID(B491,LEN(B491) - FIND(".",REVERSETEXT(B491))+2,1000)</f>
        <v>doc</v>
      </c>
      <c r="D491" s="6">
        <v>5</v>
      </c>
      <c r="E491" s="7" t="s">
        <v>42</v>
      </c>
      <c r="F491" s="7" t="s">
        <v>22</v>
      </c>
      <c r="G491" s="8" t="s">
        <v>138</v>
      </c>
      <c r="H491" s="8">
        <v>7</v>
      </c>
      <c r="I491" s="8" t="s">
        <v>139</v>
      </c>
      <c r="J491" s="8">
        <v>27</v>
      </c>
      <c r="K491" s="8"/>
      <c r="L491" s="8"/>
      <c r="M491" s="7" t="s">
        <v>28</v>
      </c>
      <c r="N491" s="7" t="s">
        <v>204</v>
      </c>
      <c r="O491" s="9">
        <v>40928</v>
      </c>
      <c r="P491" s="7" t="s">
        <v>27</v>
      </c>
      <c r="Q491" s="9" t="s">
        <v>28</v>
      </c>
      <c r="R491" s="7" t="s">
        <v>141</v>
      </c>
      <c r="S491" s="8" t="s">
        <v>142</v>
      </c>
      <c r="T491" s="7"/>
      <c r="U491" s="7"/>
      <c r="V491" s="7"/>
    </row>
    <row r="492" spans="1:22">
      <c r="A492" s="5" t="s">
        <v>205</v>
      </c>
      <c r="B492" s="5" t="str">
        <f>GetAddress(A492)</f>
        <v>\\chno0276\Aseguranza de Calidad\Control de Documentos\Doc. controlados PDF\Formas\CNWI-SHAE (Seguridad e higiene y medio ambiente)\CNWI-SHAE-F024 Lista de verificación EHS.xls</v>
      </c>
      <c r="C492" s="5" t="str">
        <f>MID(B492,LEN(B492) - FIND(".",REVERSETEXT(B492))+2,1000)</f>
        <v>xls</v>
      </c>
      <c r="D492" s="6">
        <v>5</v>
      </c>
      <c r="E492" s="7" t="s">
        <v>42</v>
      </c>
      <c r="F492" s="7" t="s">
        <v>22</v>
      </c>
      <c r="G492" s="8" t="s">
        <v>138</v>
      </c>
      <c r="H492" s="8">
        <v>7</v>
      </c>
      <c r="I492" s="8" t="s">
        <v>139</v>
      </c>
      <c r="J492" s="8">
        <v>27</v>
      </c>
      <c r="K492" s="8"/>
      <c r="L492" s="8"/>
      <c r="M492" s="7" t="s">
        <v>28</v>
      </c>
      <c r="N492" s="7" t="s">
        <v>206</v>
      </c>
      <c r="O492" s="9">
        <v>40928</v>
      </c>
      <c r="P492" s="7" t="s">
        <v>27</v>
      </c>
      <c r="Q492" s="9" t="s">
        <v>28</v>
      </c>
      <c r="R492" s="7" t="s">
        <v>141</v>
      </c>
      <c r="S492" s="8" t="s">
        <v>142</v>
      </c>
      <c r="T492" s="7"/>
      <c r="U492" s="7"/>
      <c r="V492" s="7"/>
    </row>
    <row r="493" spans="1:22">
      <c r="A493" s="5" t="s">
        <v>207</v>
      </c>
      <c r="B493" s="5" t="str">
        <f>GetAddress(A493)</f>
        <v>\\chno0276\Aseguranza de Calidad\Control de Documentos\Doc. controlados PDF\Formas\CNWI-SHAE (Seguridad e higiene y medio ambiente)\CNWI-SHAE-F025 Listado de epp entregado.xls</v>
      </c>
      <c r="C493" s="5" t="str">
        <f>MID(B493,LEN(B493) - FIND(".",REVERSETEXT(B493))+2,1000)</f>
        <v>xls</v>
      </c>
      <c r="D493" s="6">
        <v>5</v>
      </c>
      <c r="E493" s="7" t="s">
        <v>42</v>
      </c>
      <c r="F493" s="7" t="s">
        <v>22</v>
      </c>
      <c r="G493" s="8" t="s">
        <v>138</v>
      </c>
      <c r="H493" s="8">
        <v>7</v>
      </c>
      <c r="I493" s="8" t="s">
        <v>139</v>
      </c>
      <c r="J493" s="8">
        <v>27</v>
      </c>
      <c r="K493" s="8"/>
      <c r="L493" s="8"/>
      <c r="M493" s="7" t="s">
        <v>28</v>
      </c>
      <c r="N493" s="7" t="s">
        <v>208</v>
      </c>
      <c r="O493" s="9">
        <v>40928</v>
      </c>
      <c r="P493" s="7" t="s">
        <v>27</v>
      </c>
      <c r="Q493" s="9" t="s">
        <v>28</v>
      </c>
      <c r="R493" s="7" t="s">
        <v>141</v>
      </c>
      <c r="S493" s="8" t="s">
        <v>142</v>
      </c>
      <c r="T493" s="7"/>
      <c r="U493" s="7"/>
      <c r="V493" s="7"/>
    </row>
    <row r="494" spans="1:22">
      <c r="A494" s="5" t="s">
        <v>209</v>
      </c>
      <c r="B494" s="5" t="str">
        <f>GetAddress(A494)</f>
        <v>\\chno0276\Aseguranza de Calidad\Control de Documentos\Doc. controlados PDF\Formas\CNWI-SHAE (Seguridad e higiene y medio ambiente)\CNWI-SHAE-F026 OSHME FORMATO DE REVISION ANUAL.xls</v>
      </c>
      <c r="C494" s="5" t="str">
        <f>MID(B494,LEN(B494) - FIND(".",REVERSETEXT(B494))+2,1000)</f>
        <v>xls</v>
      </c>
      <c r="D494" s="6">
        <v>5</v>
      </c>
      <c r="E494" s="7" t="s">
        <v>42</v>
      </c>
      <c r="F494" s="7" t="s">
        <v>22</v>
      </c>
      <c r="G494" s="8" t="s">
        <v>138</v>
      </c>
      <c r="H494" s="8">
        <v>7</v>
      </c>
      <c r="I494" s="8" t="s">
        <v>139</v>
      </c>
      <c r="J494" s="8">
        <v>27</v>
      </c>
      <c r="K494" s="8"/>
      <c r="L494" s="8"/>
      <c r="M494" s="7" t="s">
        <v>28</v>
      </c>
      <c r="N494" s="7" t="s">
        <v>210</v>
      </c>
      <c r="O494" s="9">
        <v>40928</v>
      </c>
      <c r="P494" s="7" t="s">
        <v>27</v>
      </c>
      <c r="Q494" s="9" t="s">
        <v>28</v>
      </c>
      <c r="R494" s="7" t="s">
        <v>141</v>
      </c>
      <c r="S494" s="8" t="s">
        <v>142</v>
      </c>
      <c r="T494" s="7"/>
      <c r="U494" s="7"/>
      <c r="V494" s="7"/>
    </row>
    <row r="495" spans="1:22">
      <c r="A495" s="5" t="s">
        <v>211</v>
      </c>
      <c r="B495" s="5" t="str">
        <f>GetAddress(A495)</f>
        <v>\\chno0276\Aseguranza de Calidad\Control de Documentos\Doc. controlados PDF\Formas\CNWI-SHAE (Seguridad e higiene y medio ambiente)\CNWI-SHAE-F027 Reporte de investigacion de accidente.xls</v>
      </c>
      <c r="C495" s="5" t="str">
        <f>MID(B495,LEN(B495) - FIND(".",REVERSETEXT(B495))+2,1000)</f>
        <v>xls</v>
      </c>
      <c r="D495" s="6">
        <v>5</v>
      </c>
      <c r="E495" s="7" t="s">
        <v>42</v>
      </c>
      <c r="F495" s="7" t="s">
        <v>22</v>
      </c>
      <c r="G495" s="8" t="s">
        <v>138</v>
      </c>
      <c r="H495" s="8">
        <v>7</v>
      </c>
      <c r="I495" s="8" t="s">
        <v>139</v>
      </c>
      <c r="J495" s="8">
        <v>27</v>
      </c>
      <c r="K495" s="8"/>
      <c r="L495" s="8"/>
      <c r="M495" s="7" t="s">
        <v>28</v>
      </c>
      <c r="N495" s="7" t="s">
        <v>212</v>
      </c>
      <c r="O495" s="9">
        <v>40928</v>
      </c>
      <c r="P495" s="7" t="s">
        <v>27</v>
      </c>
      <c r="Q495" s="9" t="s">
        <v>28</v>
      </c>
      <c r="R495" s="7" t="s">
        <v>141</v>
      </c>
      <c r="S495" s="8" t="s">
        <v>142</v>
      </c>
      <c r="T495" s="7"/>
      <c r="U495" s="7"/>
      <c r="V495" s="7"/>
    </row>
    <row r="496" spans="1:22">
      <c r="A496" s="5" t="s">
        <v>213</v>
      </c>
      <c r="B496" s="5" t="str">
        <f>GetAddress(A496)</f>
        <v>\\chno0276\Aseguranza de Calidad\Control de Documentos\Doc. controlados PDF\Formas\CNWI-SHAE (Seguridad e higiene y medio ambiente)\CNWI-SHAE-F028  RESGUARDO CELULARES.xls</v>
      </c>
      <c r="C496" s="5" t="str">
        <f>MID(B496,LEN(B496) - FIND(".",REVERSETEXT(B496))+2,1000)</f>
        <v>xls</v>
      </c>
      <c r="D496" s="6">
        <v>5</v>
      </c>
      <c r="E496" s="7" t="s">
        <v>42</v>
      </c>
      <c r="F496" s="7" t="s">
        <v>22</v>
      </c>
      <c r="G496" s="8" t="s">
        <v>138</v>
      </c>
      <c r="H496" s="8">
        <v>7</v>
      </c>
      <c r="I496" s="8" t="s">
        <v>139</v>
      </c>
      <c r="J496" s="8">
        <v>27</v>
      </c>
      <c r="K496" s="8"/>
      <c r="L496" s="8"/>
      <c r="M496" s="7" t="s">
        <v>28</v>
      </c>
      <c r="N496" s="7" t="s">
        <v>214</v>
      </c>
      <c r="O496" s="9">
        <v>40928</v>
      </c>
      <c r="P496" s="7" t="s">
        <v>27</v>
      </c>
      <c r="Q496" s="9" t="s">
        <v>28</v>
      </c>
      <c r="R496" s="7" t="s">
        <v>141</v>
      </c>
      <c r="S496" s="8" t="s">
        <v>142</v>
      </c>
      <c r="T496" s="7"/>
      <c r="U496" s="7"/>
      <c r="V496" s="7"/>
    </row>
    <row r="497" spans="1:22">
      <c r="A497" s="5" t="s">
        <v>215</v>
      </c>
      <c r="B497" s="5" t="str">
        <f>GetAddress(A497)</f>
        <v>\\chno0276\Aseguranza de Calidad\Control de Documentos\Doc. controlados PDF\Formas\CNWI-SHAE (Seguridad e higiene y medio ambiente)\CNWI-SHAE-F029 Revision de guardas.doc</v>
      </c>
      <c r="C497" s="5" t="str">
        <f>MID(B497,LEN(B497) - FIND(".",REVERSETEXT(B497))+2,1000)</f>
        <v>doc</v>
      </c>
      <c r="D497" s="6">
        <v>5</v>
      </c>
      <c r="E497" s="7" t="s">
        <v>42</v>
      </c>
      <c r="F497" s="7" t="s">
        <v>22</v>
      </c>
      <c r="G497" s="8" t="s">
        <v>138</v>
      </c>
      <c r="H497" s="8">
        <v>7</v>
      </c>
      <c r="I497" s="8" t="s">
        <v>139</v>
      </c>
      <c r="J497" s="8">
        <v>27</v>
      </c>
      <c r="K497" s="8"/>
      <c r="L497" s="8"/>
      <c r="M497" s="7" t="s">
        <v>28</v>
      </c>
      <c r="N497" s="7" t="s">
        <v>216</v>
      </c>
      <c r="O497" s="9">
        <v>40928</v>
      </c>
      <c r="P497" s="7" t="s">
        <v>27</v>
      </c>
      <c r="Q497" s="9" t="s">
        <v>28</v>
      </c>
      <c r="R497" s="7" t="s">
        <v>141</v>
      </c>
      <c r="S497" s="8" t="s">
        <v>142</v>
      </c>
      <c r="T497" s="7"/>
      <c r="U497" s="7"/>
      <c r="V497" s="7"/>
    </row>
    <row r="498" spans="1:22">
      <c r="A498" s="5" t="s">
        <v>217</v>
      </c>
      <c r="B498" s="5" t="str">
        <f>GetAddress(A498)</f>
        <v>\\chno0276\Aseguranza de Calidad\Control de Documentos\Documentos controlados\CN-SHAE (Seguridad e higiene y medio ambiente)\FORMAS\CNWI-SHAE-F030 Rev. A Control de Materiales.xls</v>
      </c>
      <c r="C498" s="5" t="str">
        <f>MID(B498,LEN(B498) - FIND(".",REVERSETEXT(B498))+2,1000)</f>
        <v>xls</v>
      </c>
      <c r="D498" s="6">
        <v>5</v>
      </c>
      <c r="E498" s="7" t="s">
        <v>42</v>
      </c>
      <c r="F498" s="7" t="s">
        <v>22</v>
      </c>
      <c r="G498" s="8" t="s">
        <v>138</v>
      </c>
      <c r="H498" s="8">
        <v>7</v>
      </c>
      <c r="I498" s="8" t="s">
        <v>139</v>
      </c>
      <c r="J498" s="8">
        <v>27</v>
      </c>
      <c r="K498" s="8"/>
      <c r="L498" s="8"/>
      <c r="M498" s="7" t="s">
        <v>28</v>
      </c>
      <c r="N498" s="7" t="s">
        <v>218</v>
      </c>
      <c r="O498" s="9">
        <v>40939</v>
      </c>
      <c r="P498" s="7" t="s">
        <v>159</v>
      </c>
      <c r="Q498" s="9" t="s">
        <v>28</v>
      </c>
      <c r="R498" s="7" t="s">
        <v>141</v>
      </c>
      <c r="S498" s="8" t="s">
        <v>142</v>
      </c>
      <c r="T498" s="7"/>
      <c r="U498" s="7"/>
      <c r="V498" s="7"/>
    </row>
    <row r="499" spans="1:22">
      <c r="A499" s="5" t="s">
        <v>32</v>
      </c>
      <c r="B499" s="5" t="str">
        <f>GetAddress(A499)</f>
        <v>\\chno0276\Control de Documentos\Doc. controlados PDF\Instructivos\CNWI-SHIPPING\CNWI-SHIP-0001 Instructivo de envios.pdf</v>
      </c>
      <c r="C499" s="5" t="str">
        <f>MID(B499,LEN(B499) - FIND(".",REVERSETEXT(B499))+2,1000)</f>
        <v>pdf</v>
      </c>
      <c r="D499" s="6">
        <v>4</v>
      </c>
      <c r="E499" s="7" t="s">
        <v>33</v>
      </c>
      <c r="F499" s="7" t="s">
        <v>34</v>
      </c>
      <c r="G499" s="8" t="s">
        <v>35</v>
      </c>
      <c r="H499" s="8">
        <v>13</v>
      </c>
      <c r="I499" s="8" t="s">
        <v>36</v>
      </c>
      <c r="J499" s="8">
        <v>28</v>
      </c>
      <c r="K499" s="8"/>
      <c r="L499" s="8"/>
      <c r="M499" s="7" t="s">
        <v>34</v>
      </c>
      <c r="N499" s="7" t="s">
        <v>37</v>
      </c>
      <c r="O499" s="9">
        <v>41166</v>
      </c>
      <c r="P499" s="7" t="s">
        <v>38</v>
      </c>
      <c r="Q499" s="9" t="s">
        <v>28</v>
      </c>
      <c r="R499" s="7" t="s">
        <v>39</v>
      </c>
      <c r="S499" s="8" t="s">
        <v>40</v>
      </c>
      <c r="T499" s="7"/>
      <c r="U499" s="7"/>
      <c r="V499" s="7"/>
    </row>
    <row r="500" spans="1:22">
      <c r="A500" s="5" t="s">
        <v>41</v>
      </c>
      <c r="B500" s="5" t="str">
        <f>GetAddress(A500)</f>
        <v>\\CHNO0276\Aseguranza de Calidad\Control de Documentos\Doc. controlados PDF\Formas\CNWI-SHIP ( Embarques )\CNWI-SHIP-F001 Master Track.xls</v>
      </c>
      <c r="C500" s="5" t="str">
        <f>MID(B500,LEN(B500) - FIND(".",REVERSETEXT(B500))+2,1000)</f>
        <v>xls</v>
      </c>
      <c r="D500" s="6">
        <v>5</v>
      </c>
      <c r="E500" s="7" t="s">
        <v>42</v>
      </c>
      <c r="F500" s="7" t="s">
        <v>34</v>
      </c>
      <c r="G500" s="8" t="s">
        <v>35</v>
      </c>
      <c r="H500" s="8">
        <v>13</v>
      </c>
      <c r="I500" s="8" t="s">
        <v>36</v>
      </c>
      <c r="J500" s="8">
        <v>28</v>
      </c>
      <c r="K500" s="8"/>
      <c r="L500" s="8"/>
      <c r="M500" s="7" t="s">
        <v>34</v>
      </c>
      <c r="N500" s="7" t="s">
        <v>43</v>
      </c>
      <c r="O500" s="9">
        <v>40625</v>
      </c>
      <c r="P500" s="7" t="s">
        <v>27</v>
      </c>
      <c r="Q500" s="9" t="s">
        <v>28</v>
      </c>
      <c r="R500" s="7" t="s">
        <v>39</v>
      </c>
      <c r="S500" s="8" t="s">
        <v>40</v>
      </c>
      <c r="T500" s="7"/>
      <c r="U500" s="7"/>
      <c r="V500" s="7"/>
    </row>
    <row r="501" spans="1:22">
      <c r="A501" s="5" t="s">
        <v>44</v>
      </c>
      <c r="B501" s="5" t="str">
        <f>GetAddress(A501)</f>
        <v>\\CHNO0276\Aseguranza de Calidad\Control de Documentos\Doc. controlados PDF\Formas\CNWI-SHIP ( Embarques )\CNWI-SHIP-F002 LISTA DE VERIFICACION.xlsx</v>
      </c>
      <c r="C501" s="5" t="str">
        <f>MID(B501,LEN(B501) - FIND(".",REVERSETEXT(B501))+2,1000)</f>
        <v>xlsx</v>
      </c>
      <c r="D501" s="6">
        <v>5</v>
      </c>
      <c r="E501" s="7" t="s">
        <v>42</v>
      </c>
      <c r="F501" s="7" t="s">
        <v>34</v>
      </c>
      <c r="G501" s="8" t="s">
        <v>35</v>
      </c>
      <c r="H501" s="8">
        <v>13</v>
      </c>
      <c r="I501" s="8" t="s">
        <v>36</v>
      </c>
      <c r="J501" s="8">
        <v>28</v>
      </c>
      <c r="K501" s="8"/>
      <c r="L501" s="8"/>
      <c r="M501" s="7" t="s">
        <v>34</v>
      </c>
      <c r="N501" s="7" t="s">
        <v>45</v>
      </c>
      <c r="O501" s="9">
        <v>40648</v>
      </c>
      <c r="P501" s="7" t="s">
        <v>46</v>
      </c>
      <c r="Q501" s="9" t="s">
        <v>28</v>
      </c>
      <c r="R501" s="7" t="s">
        <v>39</v>
      </c>
      <c r="S501" s="8" t="s">
        <v>40</v>
      </c>
      <c r="T501" s="7"/>
      <c r="U501" s="7"/>
      <c r="V501" s="7"/>
    </row>
    <row r="502" spans="1:22">
      <c r="A502" s="5" t="s">
        <v>47</v>
      </c>
      <c r="B502" s="5" t="str">
        <f>GetAddress(A502)</f>
        <v>\\CHNO0276\Aseguranza de Calidad\Control de Documentos\Doc. controlados PDF\Formas\CNWI-SHIP ( Embarques )\CNWI-SHIP-F003 REGISTRO PARA ENTRADA A EMBARQUES.xlsx</v>
      </c>
      <c r="C502" s="5" t="str">
        <f>MID(B502,LEN(B502) - FIND(".",REVERSETEXT(B502))+2,1000)</f>
        <v>xlsx</v>
      </c>
      <c r="D502" s="6">
        <v>5</v>
      </c>
      <c r="E502" s="7" t="s">
        <v>42</v>
      </c>
      <c r="F502" s="7" t="s">
        <v>34</v>
      </c>
      <c r="G502" s="8" t="s">
        <v>35</v>
      </c>
      <c r="H502" s="8">
        <v>13</v>
      </c>
      <c r="I502" s="8" t="s">
        <v>36</v>
      </c>
      <c r="J502" s="8">
        <v>28</v>
      </c>
      <c r="K502" s="8"/>
      <c r="L502" s="8"/>
      <c r="M502" s="7" t="s">
        <v>34</v>
      </c>
      <c r="N502" s="7" t="s">
        <v>48</v>
      </c>
      <c r="O502" s="9">
        <v>40648</v>
      </c>
      <c r="P502" s="7" t="s">
        <v>46</v>
      </c>
      <c r="Q502" s="9" t="s">
        <v>28</v>
      </c>
      <c r="R502" s="7" t="s">
        <v>39</v>
      </c>
      <c r="S502" s="8" t="s">
        <v>40</v>
      </c>
      <c r="T502" s="7"/>
      <c r="U502" s="7"/>
      <c r="V502" s="7"/>
    </row>
    <row r="503" spans="1:22">
      <c r="A503" s="5" t="s">
        <v>49</v>
      </c>
      <c r="B503" s="5" t="str">
        <f>GetAddress(A503)</f>
        <v>\\chno0276\Aseguranza de Calidad\Control de Documentos\Doc. controlados PDF\Formas\CNWI-SHIP ( Embarques )\CNWI-SHIP-F004  Control de embarques - formato de verificación.pdf</v>
      </c>
      <c r="C503" s="5" t="str">
        <f>MID(B503,LEN(B503) - FIND(".",REVERSETEXT(B503))+2,1000)</f>
        <v>pdf</v>
      </c>
      <c r="D503" s="6">
        <v>5</v>
      </c>
      <c r="E503" s="7" t="s">
        <v>42</v>
      </c>
      <c r="F503" s="7" t="s">
        <v>34</v>
      </c>
      <c r="G503" s="8" t="s">
        <v>35</v>
      </c>
      <c r="H503" s="8">
        <v>13</v>
      </c>
      <c r="I503" s="8" t="s">
        <v>36</v>
      </c>
      <c r="J503" s="8">
        <v>28</v>
      </c>
      <c r="K503" s="8"/>
      <c r="L503" s="8"/>
      <c r="M503" s="7" t="s">
        <v>34</v>
      </c>
      <c r="N503" s="7" t="s">
        <v>50</v>
      </c>
      <c r="O503" s="9">
        <v>41151</v>
      </c>
      <c r="P503" s="7" t="s">
        <v>46</v>
      </c>
      <c r="Q503" s="9" t="s">
        <v>28</v>
      </c>
      <c r="R503" s="7" t="s">
        <v>39</v>
      </c>
      <c r="S503" s="8" t="s">
        <v>40</v>
      </c>
      <c r="T503" s="7"/>
      <c r="U503" s="7"/>
      <c r="V503" s="7"/>
    </row>
    <row r="504" spans="1:22">
      <c r="A504" s="5" t="s">
        <v>51</v>
      </c>
      <c r="B504" s="5" t="str">
        <f>GetAddress(A504)</f>
        <v>\\CHNO0276\Aseguranza de Calidad\Control de Documentos\Doc. controlados PDF\Formas\CNWI-WRHS (Almacen)\CNWI-WRHS-F005 Control recibo de Medidores.xls</v>
      </c>
      <c r="C504" s="5" t="str">
        <f>MID(B504,LEN(B504) - FIND(".",REVERSETEXT(B504))+2,1000)</f>
        <v>xls</v>
      </c>
      <c r="D504" s="6">
        <v>5</v>
      </c>
      <c r="E504" s="7" t="s">
        <v>42</v>
      </c>
      <c r="F504" s="7" t="s">
        <v>34</v>
      </c>
      <c r="G504" s="8" t="s">
        <v>35</v>
      </c>
      <c r="H504" s="8">
        <v>13</v>
      </c>
      <c r="I504" s="8" t="s">
        <v>36</v>
      </c>
      <c r="J504" s="8">
        <v>28</v>
      </c>
      <c r="K504" s="8"/>
      <c r="L504" s="8"/>
      <c r="M504" s="7" t="s">
        <v>34</v>
      </c>
      <c r="N504" s="7" t="s">
        <v>52</v>
      </c>
      <c r="O504" s="9">
        <v>40648</v>
      </c>
      <c r="P504" s="7" t="s">
        <v>27</v>
      </c>
      <c r="Q504" s="9" t="s">
        <v>28</v>
      </c>
      <c r="R504" s="7" t="s">
        <v>39</v>
      </c>
      <c r="S504" s="8" t="s">
        <v>40</v>
      </c>
      <c r="T504" s="7"/>
      <c r="U504" s="7"/>
      <c r="V504" s="7"/>
    </row>
    <row r="505" spans="1:22">
      <c r="A505" s="5" t="s">
        <v>53</v>
      </c>
      <c r="B505" s="5" t="str">
        <f>GetAddress(A505)</f>
        <v>\\CHNO0276\Aseguranza de Calidad\Control de Documentos\Doc. controlados PDF\Formas\CNWI-SHIP ( Embarques )\CNWI-SHIP-F007 FORMATO ENTREGAS.pptx</v>
      </c>
      <c r="C505" s="5" t="str">
        <f>MID(B505,LEN(B505) - FIND(".",REVERSETEXT(B505))+2,1000)</f>
        <v>pptx</v>
      </c>
      <c r="D505" s="6">
        <v>5</v>
      </c>
      <c r="E505" s="7" t="s">
        <v>42</v>
      </c>
      <c r="F505" s="7" t="s">
        <v>34</v>
      </c>
      <c r="G505" s="8" t="s">
        <v>35</v>
      </c>
      <c r="H505" s="8">
        <v>13</v>
      </c>
      <c r="I505" s="8" t="s">
        <v>36</v>
      </c>
      <c r="J505" s="8">
        <v>28</v>
      </c>
      <c r="K505" s="8"/>
      <c r="L505" s="8"/>
      <c r="M505" s="7" t="s">
        <v>34</v>
      </c>
      <c r="N505" s="7" t="s">
        <v>54</v>
      </c>
      <c r="O505" s="9">
        <v>40836</v>
      </c>
      <c r="P505" s="7" t="s">
        <v>27</v>
      </c>
      <c r="Q505" s="9" t="s">
        <v>28</v>
      </c>
      <c r="R505" s="7" t="s">
        <v>39</v>
      </c>
      <c r="S505" s="8" t="s">
        <v>40</v>
      </c>
      <c r="T505" s="7"/>
      <c r="U505" s="7"/>
      <c r="V505" s="7"/>
    </row>
    <row r="506" spans="1:22">
      <c r="A506" s="5" t="s">
        <v>55</v>
      </c>
      <c r="B506" s="5" t="str">
        <f>GetAddress(A506)</f>
        <v>\\chno0276\Control de Documentos\Doc. controlados PDF\Formas\CNWI-SHIP ( Embarques )\CNWI-SHIP-F008 Control de material para embarcar.xlsx</v>
      </c>
      <c r="C506" s="5" t="str">
        <f>MID(B506,LEN(B506) - FIND(".",REVERSETEXT(B506))+2,1000)</f>
        <v>xlsx</v>
      </c>
      <c r="D506" s="6">
        <v>5</v>
      </c>
      <c r="E506" s="7" t="s">
        <v>42</v>
      </c>
      <c r="F506" s="7" t="s">
        <v>34</v>
      </c>
      <c r="G506" s="8" t="s">
        <v>35</v>
      </c>
      <c r="H506" s="8">
        <v>13</v>
      </c>
      <c r="I506" s="8" t="s">
        <v>36</v>
      </c>
      <c r="J506" s="8">
        <v>28</v>
      </c>
      <c r="K506" s="8"/>
      <c r="L506" s="8"/>
      <c r="M506" s="7" t="s">
        <v>34</v>
      </c>
      <c r="N506" s="7" t="s">
        <v>56</v>
      </c>
      <c r="O506" s="9">
        <v>41001</v>
      </c>
      <c r="P506" s="7" t="s">
        <v>46</v>
      </c>
      <c r="Q506" s="9" t="s">
        <v>28</v>
      </c>
      <c r="R506" s="7" t="s">
        <v>39</v>
      </c>
      <c r="S506" s="8" t="s">
        <v>40</v>
      </c>
      <c r="T506" s="7"/>
      <c r="U506" s="7"/>
      <c r="V506" s="7"/>
    </row>
    <row r="507" spans="1:22">
      <c r="A507" s="5" t="s">
        <v>57</v>
      </c>
      <c r="B507" s="5" t="str">
        <f>GetAddress(A507)</f>
        <v>\\CHNO0276\Aseguranza de Calidad\Control de Documentos\Doc. controlados PDF\Formas\CNWI-SHIP ( Embarques )\CNWI-SHIP-F009 Rev. A SPECIAL REQ LOGISTICS.xlsx</v>
      </c>
      <c r="C507" s="5" t="str">
        <f>MID(B507,LEN(B507) - FIND(".",REVERSETEXT(B507))+2,1000)</f>
        <v>xlsx</v>
      </c>
      <c r="D507" s="6">
        <v>5</v>
      </c>
      <c r="E507" s="7" t="s">
        <v>42</v>
      </c>
      <c r="F507" s="7" t="s">
        <v>34</v>
      </c>
      <c r="G507" s="8" t="s">
        <v>35</v>
      </c>
      <c r="H507" s="8">
        <v>13</v>
      </c>
      <c r="I507" s="8" t="s">
        <v>36</v>
      </c>
      <c r="J507" s="8">
        <v>28</v>
      </c>
      <c r="K507" s="8"/>
      <c r="L507" s="8"/>
      <c r="M507" s="7" t="s">
        <v>34</v>
      </c>
      <c r="N507" s="7" t="s">
        <v>58</v>
      </c>
      <c r="O507" s="9">
        <v>41082</v>
      </c>
      <c r="P507" s="7" t="s">
        <v>27</v>
      </c>
      <c r="Q507" s="9" t="s">
        <v>28</v>
      </c>
      <c r="R507" s="7" t="s">
        <v>39</v>
      </c>
      <c r="S507" s="8" t="s">
        <v>40</v>
      </c>
      <c r="T507" s="7"/>
      <c r="U507" s="7"/>
      <c r="V507" s="7"/>
    </row>
    <row r="508" spans="1:22">
      <c r="A508" s="5" t="s">
        <v>2541</v>
      </c>
      <c r="B508" s="5" t="str">
        <f>GetAddress(A508)</f>
        <v>\\CHNO0276\Aseguranza de Calidad\Control de Documentos\Doc. controlados PDF\Ayudas visuales\Camarillo\Bonding\CNWI-VSHP-000001 Rev. A (002314-0000).pub</v>
      </c>
      <c r="C508" s="5" t="str">
        <f>MID(B508,LEN(B508) - FIND(".",REVERSETEXT(B508))+2,1000)</f>
        <v>pub</v>
      </c>
      <c r="D508" s="6">
        <v>6</v>
      </c>
      <c r="E508" s="7" t="s">
        <v>83</v>
      </c>
      <c r="F508" s="7" t="s">
        <v>22</v>
      </c>
      <c r="G508" s="8" t="s">
        <v>23</v>
      </c>
      <c r="H508" s="8">
        <v>5</v>
      </c>
      <c r="I508" s="8" t="s">
        <v>874</v>
      </c>
      <c r="J508" s="8">
        <v>10</v>
      </c>
      <c r="K508" s="8" t="s">
        <v>967</v>
      </c>
      <c r="L508" s="8">
        <v>10</v>
      </c>
      <c r="M508" s="7" t="s">
        <v>968</v>
      </c>
      <c r="N508" s="13" t="s">
        <v>2542</v>
      </c>
      <c r="O508" s="7" t="s">
        <v>2543</v>
      </c>
      <c r="P508" s="7" t="s">
        <v>27</v>
      </c>
      <c r="Q508" s="7" t="s">
        <v>2544</v>
      </c>
      <c r="R508" s="7" t="s">
        <v>2426</v>
      </c>
      <c r="S508" s="8" t="s">
        <v>2427</v>
      </c>
      <c r="T508" s="7" t="s">
        <v>2545</v>
      </c>
      <c r="U508" s="13" t="s">
        <v>1473</v>
      </c>
      <c r="V508" s="7"/>
    </row>
    <row r="509" spans="1:22">
      <c r="A509" s="5" t="s">
        <v>2546</v>
      </c>
      <c r="B509" s="5" t="str">
        <f>GetAddress(A509)</f>
        <v>\\CHNO0276\Aseguranza de Calidad\Control de Documentos\Doc. controlados PDF\Ayudas visuales\Camarillo\Bonding\CNWI-VSHP-000002 Rev. A (000103-0419).pub</v>
      </c>
      <c r="C509" s="5" t="str">
        <f>MID(B509,LEN(B509) - FIND(".",REVERSETEXT(B509))+2,1000)</f>
        <v>pub</v>
      </c>
      <c r="D509" s="6">
        <v>6</v>
      </c>
      <c r="E509" s="7" t="s">
        <v>83</v>
      </c>
      <c r="F509" s="7" t="s">
        <v>22</v>
      </c>
      <c r="G509" s="8" t="s">
        <v>23</v>
      </c>
      <c r="H509" s="8">
        <v>5</v>
      </c>
      <c r="I509" s="8" t="s">
        <v>874</v>
      </c>
      <c r="J509" s="8">
        <v>10</v>
      </c>
      <c r="K509" s="8" t="s">
        <v>967</v>
      </c>
      <c r="L509" s="8">
        <v>10</v>
      </c>
      <c r="M509" s="7" t="s">
        <v>968</v>
      </c>
      <c r="N509" s="13" t="s">
        <v>2547</v>
      </c>
      <c r="O509" s="7" t="s">
        <v>2543</v>
      </c>
      <c r="P509" s="7" t="s">
        <v>27</v>
      </c>
      <c r="Q509" s="7" t="s">
        <v>2548</v>
      </c>
      <c r="R509" s="7" t="s">
        <v>2426</v>
      </c>
      <c r="S509" s="8" t="s">
        <v>2427</v>
      </c>
      <c r="T509" s="7"/>
      <c r="U509" s="13"/>
      <c r="V509" s="7"/>
    </row>
    <row r="510" spans="1:22">
      <c r="A510" s="5" t="s">
        <v>2549</v>
      </c>
      <c r="B510" s="5" t="str">
        <f>GetAddress(A510)</f>
        <v>\\CHNO0276\Aseguranza de Calidad\Control de Documentos\Doc. controlados PDF\Ayudas visuales\Camarillo\Bonding\CNWI-VSHP-000003 Rev. B (000102-0145).pub</v>
      </c>
      <c r="C510" s="5" t="str">
        <f>MID(B510,LEN(B510) - FIND(".",REVERSETEXT(B510))+2,1000)</f>
        <v>pub</v>
      </c>
      <c r="D510" s="6">
        <v>6</v>
      </c>
      <c r="E510" s="7" t="s">
        <v>83</v>
      </c>
      <c r="F510" s="7" t="s">
        <v>22</v>
      </c>
      <c r="G510" s="8" t="s">
        <v>23</v>
      </c>
      <c r="H510" s="8">
        <v>5</v>
      </c>
      <c r="I510" s="8" t="s">
        <v>874</v>
      </c>
      <c r="J510" s="8">
        <v>10</v>
      </c>
      <c r="K510" s="8" t="s">
        <v>967</v>
      </c>
      <c r="L510" s="8">
        <v>10</v>
      </c>
      <c r="M510" s="7" t="s">
        <v>968</v>
      </c>
      <c r="N510" s="13" t="s">
        <v>2550</v>
      </c>
      <c r="O510" s="9">
        <v>40612</v>
      </c>
      <c r="P510" s="7" t="s">
        <v>46</v>
      </c>
      <c r="Q510" s="7" t="s">
        <v>2551</v>
      </c>
      <c r="R510" s="7" t="s">
        <v>2426</v>
      </c>
      <c r="S510" s="8" t="s">
        <v>2427</v>
      </c>
      <c r="T510" s="7"/>
      <c r="U510" s="13"/>
      <c r="V510" s="7"/>
    </row>
    <row r="511" spans="1:22">
      <c r="A511" s="5" t="s">
        <v>2552</v>
      </c>
      <c r="B511" s="5" t="str">
        <f>GetAddress(A511)</f>
        <v>\\CHNO0276\Aseguranza de Calidad\Control de Documentos\Doc. controlados PDF\Ayudas visuales\Camarillo\Bonding\CNWI-VSHP-000004 Rev. B (002360-0000).pub</v>
      </c>
      <c r="C511" s="5" t="str">
        <f>MID(B511,LEN(B511) - FIND(".",REVERSETEXT(B511))+2,1000)</f>
        <v>pub</v>
      </c>
      <c r="D511" s="6">
        <v>6</v>
      </c>
      <c r="E511" s="7" t="s">
        <v>83</v>
      </c>
      <c r="F511" s="7" t="s">
        <v>22</v>
      </c>
      <c r="G511" s="8" t="s">
        <v>23</v>
      </c>
      <c r="H511" s="8">
        <v>5</v>
      </c>
      <c r="I511" s="8" t="s">
        <v>874</v>
      </c>
      <c r="J511" s="8">
        <v>10</v>
      </c>
      <c r="K511" s="8" t="s">
        <v>967</v>
      </c>
      <c r="L511" s="8">
        <v>10</v>
      </c>
      <c r="M511" s="7" t="s">
        <v>968</v>
      </c>
      <c r="N511" s="13" t="s">
        <v>2553</v>
      </c>
      <c r="O511" s="9">
        <v>40583</v>
      </c>
      <c r="P511" s="7" t="s">
        <v>46</v>
      </c>
      <c r="Q511" s="7" t="s">
        <v>2554</v>
      </c>
      <c r="R511" s="7" t="s">
        <v>2426</v>
      </c>
      <c r="S511" s="8" t="s">
        <v>2427</v>
      </c>
      <c r="T511" s="7" t="s">
        <v>30</v>
      </c>
      <c r="U511" s="13" t="s">
        <v>1473</v>
      </c>
      <c r="V511" s="7"/>
    </row>
    <row r="512" spans="1:22">
      <c r="A512" s="5" t="s">
        <v>2775</v>
      </c>
      <c r="B512" s="5" t="str">
        <f>GetAddress(A512)</f>
        <v>\\CHNO0276\Aseguranza de Calidad\Control de Documentos\Doc. controlados PDF\Ayudas visuales\Camarillo\Salem\CNWI-VSHP-000005 Rev. A (102-117G1).pub</v>
      </c>
      <c r="C512" s="5" t="str">
        <f>MID(B512,LEN(B512) - FIND(".",REVERSETEXT(B512))+2,1000)</f>
        <v>pub</v>
      </c>
      <c r="D512" s="6">
        <v>6</v>
      </c>
      <c r="E512" s="7" t="s">
        <v>83</v>
      </c>
      <c r="F512" s="7" t="s">
        <v>22</v>
      </c>
      <c r="G512" s="8" t="s">
        <v>23</v>
      </c>
      <c r="H512" s="8">
        <v>5</v>
      </c>
      <c r="I512" s="8" t="s">
        <v>2205</v>
      </c>
      <c r="J512" s="8">
        <v>34</v>
      </c>
      <c r="K512" s="8" t="s">
        <v>2205</v>
      </c>
      <c r="L512" s="8">
        <v>25</v>
      </c>
      <c r="M512" s="7" t="s">
        <v>2206</v>
      </c>
      <c r="N512" s="13" t="s">
        <v>2776</v>
      </c>
      <c r="O512" s="9">
        <v>40568</v>
      </c>
      <c r="P512" s="7" t="s">
        <v>27</v>
      </c>
      <c r="Q512" s="7" t="s">
        <v>2777</v>
      </c>
      <c r="R512" s="7" t="s">
        <v>2426</v>
      </c>
      <c r="S512" s="8" t="s">
        <v>2427</v>
      </c>
      <c r="T512" s="7" t="s">
        <v>2778</v>
      </c>
      <c r="U512" s="7" t="s">
        <v>479</v>
      </c>
      <c r="V512" s="7"/>
    </row>
    <row r="513" spans="1:22">
      <c r="A513" s="5" t="s">
        <v>506</v>
      </c>
      <c r="B513" s="5" t="str">
        <f>GetAddress(A513)</f>
        <v>\\CHNO0276\Aseguranza de Calidad\Control de Documentos\Doc. controlados PDF\Ayudas visuales\Micromini\General\CNWI-VSHP-000007 Rev. A (MEZCLA DE EPOXY).pub</v>
      </c>
      <c r="C513" s="5" t="str">
        <f>MID(B513,LEN(B513) - FIND(".",REVERSETEXT(B513))+2,1000)</f>
        <v>pub</v>
      </c>
      <c r="D513" s="6">
        <v>6</v>
      </c>
      <c r="E513" s="7" t="s">
        <v>83</v>
      </c>
      <c r="F513" s="7" t="s">
        <v>22</v>
      </c>
      <c r="G513" s="8" t="s">
        <v>23</v>
      </c>
      <c r="H513" s="8">
        <v>5</v>
      </c>
      <c r="I513" s="8" t="s">
        <v>84</v>
      </c>
      <c r="J513" s="8">
        <v>33</v>
      </c>
      <c r="K513" s="8" t="s">
        <v>85</v>
      </c>
      <c r="L513" s="8">
        <v>28</v>
      </c>
      <c r="M513" s="7" t="s">
        <v>86</v>
      </c>
      <c r="N513" s="13" t="s">
        <v>507</v>
      </c>
      <c r="O513" s="9">
        <v>40568</v>
      </c>
      <c r="P513" s="7" t="s">
        <v>27</v>
      </c>
      <c r="Q513" s="7" t="s">
        <v>88</v>
      </c>
      <c r="R513" s="7" t="s">
        <v>508</v>
      </c>
      <c r="S513" s="8" t="s">
        <v>509</v>
      </c>
      <c r="T513" s="7"/>
      <c r="U513" s="7"/>
      <c r="V513" s="7"/>
    </row>
    <row r="514" spans="1:22">
      <c r="A514" s="5" t="s">
        <v>616</v>
      </c>
      <c r="B514" s="5" t="str">
        <f>GetAddress(A514)</f>
        <v>\\CHNO0276\Aseguranza de Calidad\Control de Documentos\Doc. controlados PDF\Ayudas visuales\Micromini\General\CNWI-VSHP-000009 Rev. A  (Impresion de etiquetas Micro-Mini).pub</v>
      </c>
      <c r="C514" s="5" t="str">
        <f>MID(B514,LEN(B514) - FIND(".",REVERSETEXT(B514))+2,1000)</f>
        <v>pub</v>
      </c>
      <c r="D514" s="6">
        <v>6</v>
      </c>
      <c r="E514" s="7" t="s">
        <v>83</v>
      </c>
      <c r="F514" s="7" t="s">
        <v>22</v>
      </c>
      <c r="G514" s="8" t="s">
        <v>23</v>
      </c>
      <c r="H514" s="8">
        <v>5</v>
      </c>
      <c r="I514" s="8" t="s">
        <v>84</v>
      </c>
      <c r="J514" s="8">
        <v>33</v>
      </c>
      <c r="K514" s="8" t="s">
        <v>85</v>
      </c>
      <c r="L514" s="8">
        <v>28</v>
      </c>
      <c r="M514" s="7" t="s">
        <v>86</v>
      </c>
      <c r="N514" s="13" t="s">
        <v>617</v>
      </c>
      <c r="O514" s="9">
        <v>40568</v>
      </c>
      <c r="P514" s="7" t="s">
        <v>27</v>
      </c>
      <c r="Q514" s="7" t="s">
        <v>88</v>
      </c>
      <c r="R514" s="7" t="s">
        <v>604</v>
      </c>
      <c r="S514" s="8" t="s">
        <v>605</v>
      </c>
      <c r="T514" s="7"/>
      <c r="U514" s="7"/>
      <c r="V514" s="7"/>
    </row>
    <row r="515" spans="1:22">
      <c r="A515" s="5" t="s">
        <v>618</v>
      </c>
      <c r="B515" s="5" t="str">
        <f>GetAddress(A515)</f>
        <v>\\CHNO0276\Aseguranza de Calidad\Control de Documentos\Doc. controlados PDF\Ayudas visuales\Micromini\General\CNWI-VSHP-000010 Rev. A (Manejo de Crisol).pub</v>
      </c>
      <c r="C515" s="5" t="str">
        <f>MID(B515,LEN(B515) - FIND(".",REVERSETEXT(B515))+2,1000)</f>
        <v>pub</v>
      </c>
      <c r="D515" s="6">
        <v>6</v>
      </c>
      <c r="E515" s="7" t="s">
        <v>83</v>
      </c>
      <c r="F515" s="7" t="s">
        <v>22</v>
      </c>
      <c r="G515" s="8" t="s">
        <v>23</v>
      </c>
      <c r="H515" s="8">
        <v>5</v>
      </c>
      <c r="I515" s="8" t="s">
        <v>84</v>
      </c>
      <c r="J515" s="8">
        <v>33</v>
      </c>
      <c r="K515" s="8" t="s">
        <v>85</v>
      </c>
      <c r="L515" s="8">
        <v>28</v>
      </c>
      <c r="M515" s="7" t="s">
        <v>86</v>
      </c>
      <c r="N515" s="13" t="s">
        <v>619</v>
      </c>
      <c r="O515" s="9">
        <v>40569</v>
      </c>
      <c r="P515" s="7" t="s">
        <v>27</v>
      </c>
      <c r="Q515" s="7" t="s">
        <v>88</v>
      </c>
      <c r="R515" s="7" t="s">
        <v>604</v>
      </c>
      <c r="S515" s="8" t="s">
        <v>605</v>
      </c>
      <c r="T515" s="7"/>
      <c r="U515" s="7"/>
      <c r="V515" s="7"/>
    </row>
    <row r="516" spans="1:22">
      <c r="A516" s="5" t="s">
        <v>620</v>
      </c>
      <c r="B516" s="5" t="str">
        <f>GetAddress(A516)</f>
        <v>\\CHNO0276\Aseguranza de Calidad\Control de Documentos\Doc. controlados PDF\Ayudas visuales\Micromini\General\CNWI-VSHP-000011 Rev. A (PRUEBA MAYOR DE 12 POLOS).pub</v>
      </c>
      <c r="C516" s="5" t="str">
        <f>MID(B516,LEN(B516) - FIND(".",REVERSETEXT(B516))+2,1000)</f>
        <v>pub</v>
      </c>
      <c r="D516" s="6">
        <v>6</v>
      </c>
      <c r="E516" s="7" t="s">
        <v>83</v>
      </c>
      <c r="F516" s="7" t="s">
        <v>22</v>
      </c>
      <c r="G516" s="8" t="s">
        <v>23</v>
      </c>
      <c r="H516" s="8">
        <v>5</v>
      </c>
      <c r="I516" s="8" t="s">
        <v>84</v>
      </c>
      <c r="J516" s="8">
        <v>33</v>
      </c>
      <c r="K516" s="8" t="s">
        <v>85</v>
      </c>
      <c r="L516" s="8">
        <v>28</v>
      </c>
      <c r="M516" s="7" t="s">
        <v>86</v>
      </c>
      <c r="N516" s="13" t="s">
        <v>621</v>
      </c>
      <c r="O516" s="9">
        <v>40568</v>
      </c>
      <c r="P516" s="7" t="s">
        <v>27</v>
      </c>
      <c r="Q516" s="7" t="s">
        <v>88</v>
      </c>
      <c r="R516" s="7" t="s">
        <v>604</v>
      </c>
      <c r="S516" s="8" t="s">
        <v>605</v>
      </c>
      <c r="T516" s="7" t="s">
        <v>478</v>
      </c>
      <c r="U516" s="7" t="s">
        <v>90</v>
      </c>
      <c r="V516" s="7"/>
    </row>
    <row r="517" spans="1:22">
      <c r="A517" s="5" t="s">
        <v>510</v>
      </c>
      <c r="B517" s="5" t="str">
        <f>GetAddress(A517)</f>
        <v>\\CHNO0276\Aseguranza de Calidad\Control de Documentos\Doc. controlados PDF\Ayudas visuales\Micromini\General\CNWI-VSHP-000012 Rev. A (PULL TEST MICRO-MINI).pub</v>
      </c>
      <c r="C517" s="5" t="str">
        <f>MID(B517,LEN(B517) - FIND(".",REVERSETEXT(B517))+2,1000)</f>
        <v>pub</v>
      </c>
      <c r="D517" s="6">
        <v>6</v>
      </c>
      <c r="E517" s="7" t="s">
        <v>83</v>
      </c>
      <c r="F517" s="7" t="s">
        <v>22</v>
      </c>
      <c r="G517" s="8" t="s">
        <v>23</v>
      </c>
      <c r="H517" s="8">
        <v>5</v>
      </c>
      <c r="I517" s="8" t="s">
        <v>84</v>
      </c>
      <c r="J517" s="8">
        <v>33</v>
      </c>
      <c r="K517" s="8" t="s">
        <v>85</v>
      </c>
      <c r="L517" s="8">
        <v>28</v>
      </c>
      <c r="M517" s="7" t="s">
        <v>86</v>
      </c>
      <c r="N517" s="13" t="s">
        <v>511</v>
      </c>
      <c r="O517" s="9">
        <v>40625</v>
      </c>
      <c r="P517" s="7" t="s">
        <v>27</v>
      </c>
      <c r="Q517" s="7" t="s">
        <v>88</v>
      </c>
      <c r="R517" s="7" t="s">
        <v>508</v>
      </c>
      <c r="S517" s="8" t="s">
        <v>509</v>
      </c>
      <c r="T517" s="7"/>
      <c r="U517" s="7"/>
      <c r="V517" s="7"/>
    </row>
    <row r="518" spans="1:22">
      <c r="A518" s="5" t="s">
        <v>512</v>
      </c>
      <c r="B518" s="5" t="str">
        <f>GetAddress(A518)</f>
        <v>\\CHNO0276\Aseguranza de Calidad\Control de Documentos\Doc. controlados PDF\Ayudas visuales\Micromini\General\CNWI-VSHP-000013 REV. A (Uso de dispenser potted).pub</v>
      </c>
      <c r="C518" s="5" t="str">
        <f>MID(B518,LEN(B518) - FIND(".",REVERSETEXT(B518))+2,1000)</f>
        <v>pub</v>
      </c>
      <c r="D518" s="6">
        <v>6</v>
      </c>
      <c r="E518" s="7" t="s">
        <v>83</v>
      </c>
      <c r="F518" s="7" t="s">
        <v>22</v>
      </c>
      <c r="G518" s="8" t="s">
        <v>23</v>
      </c>
      <c r="H518" s="8">
        <v>5</v>
      </c>
      <c r="I518" s="8" t="s">
        <v>84</v>
      </c>
      <c r="J518" s="8">
        <v>33</v>
      </c>
      <c r="K518" s="8" t="s">
        <v>85</v>
      </c>
      <c r="L518" s="8">
        <v>28</v>
      </c>
      <c r="M518" s="7" t="s">
        <v>86</v>
      </c>
      <c r="N518" s="13" t="s">
        <v>513</v>
      </c>
      <c r="O518" s="9">
        <v>40570</v>
      </c>
      <c r="P518" s="7" t="s">
        <v>27</v>
      </c>
      <c r="Q518" s="7" t="s">
        <v>88</v>
      </c>
      <c r="R518" s="7" t="s">
        <v>508</v>
      </c>
      <c r="S518" s="8" t="s">
        <v>509</v>
      </c>
      <c r="T518" s="7"/>
      <c r="U518" s="7"/>
      <c r="V518" s="7"/>
    </row>
    <row r="519" spans="1:22">
      <c r="A519" s="5" t="s">
        <v>2701</v>
      </c>
      <c r="B519" s="5" t="str">
        <f>GetAddress(A519)</f>
        <v>\\CHNO0276\Aseguranza de Calidad\Control de Documentos\Doc. controlados PDF\Ayudas visuales\Camarillo\Itron\CNWI-VSHP-000014 Rev. A (Retrabajo Convertir 28-3265-0001 a 28-3264-0001).pub</v>
      </c>
      <c r="C519" s="5" t="str">
        <f>MID(B519,LEN(B519) - FIND(".",REVERSETEXT(B519))+2,1000)</f>
        <v>pub</v>
      </c>
      <c r="D519" s="6">
        <v>6</v>
      </c>
      <c r="E519" s="7" t="s">
        <v>83</v>
      </c>
      <c r="F519" s="7" t="s">
        <v>22</v>
      </c>
      <c r="G519" s="8" t="s">
        <v>23</v>
      </c>
      <c r="H519" s="8">
        <v>5</v>
      </c>
      <c r="I519" s="8" t="s">
        <v>257</v>
      </c>
      <c r="J519" s="8">
        <v>9</v>
      </c>
      <c r="K519" s="8" t="s">
        <v>258</v>
      </c>
      <c r="L519" s="8">
        <v>8</v>
      </c>
      <c r="M519" s="7" t="s">
        <v>259</v>
      </c>
      <c r="N519" s="13" t="s">
        <v>2702</v>
      </c>
      <c r="O519" s="9">
        <v>40568</v>
      </c>
      <c r="P519" s="7" t="s">
        <v>27</v>
      </c>
      <c r="Q519" s="7" t="s">
        <v>2703</v>
      </c>
      <c r="R519" s="7" t="s">
        <v>2426</v>
      </c>
      <c r="S519" s="8" t="s">
        <v>2427</v>
      </c>
      <c r="T519" s="7" t="s">
        <v>610</v>
      </c>
      <c r="U519" s="13" t="s">
        <v>1473</v>
      </c>
      <c r="V519" s="7"/>
    </row>
    <row r="520" spans="1:22">
      <c r="A520" s="5" t="s">
        <v>2555</v>
      </c>
      <c r="B520" s="5" t="str">
        <f>GetAddress(A520)</f>
        <v>\\CHNO0276\Aseguranza de Calidad\Control de Documentos\Doc. controlados PDF\Ayudas visuales\Camarillo\Bonding\CNWI-VSHP-000015 Rev. A (000300-1561).pub</v>
      </c>
      <c r="C520" s="5" t="str">
        <f>MID(B520,LEN(B520) - FIND(".",REVERSETEXT(B520))+2,1000)</f>
        <v>pub</v>
      </c>
      <c r="D520" s="6">
        <v>6</v>
      </c>
      <c r="E520" s="7" t="s">
        <v>83</v>
      </c>
      <c r="F520" s="7" t="s">
        <v>22</v>
      </c>
      <c r="G520" s="8" t="s">
        <v>23</v>
      </c>
      <c r="H520" s="8">
        <v>5</v>
      </c>
      <c r="I520" s="8" t="s">
        <v>874</v>
      </c>
      <c r="J520" s="8">
        <v>10</v>
      </c>
      <c r="K520" s="8" t="s">
        <v>967</v>
      </c>
      <c r="L520" s="8">
        <v>10</v>
      </c>
      <c r="M520" s="7" t="s">
        <v>968</v>
      </c>
      <c r="N520" s="13" t="s">
        <v>2556</v>
      </c>
      <c r="O520" s="9">
        <v>40570</v>
      </c>
      <c r="P520" s="7" t="s">
        <v>27</v>
      </c>
      <c r="Q520" s="7" t="s">
        <v>2557</v>
      </c>
      <c r="R520" s="7" t="s">
        <v>2426</v>
      </c>
      <c r="S520" s="8" t="s">
        <v>2427</v>
      </c>
      <c r="T520" s="7" t="s">
        <v>2558</v>
      </c>
      <c r="U520" s="13" t="s">
        <v>1473</v>
      </c>
      <c r="V520" s="7"/>
    </row>
    <row r="521" spans="1:22">
      <c r="A521" s="5" t="s">
        <v>2634</v>
      </c>
      <c r="B521" s="5" t="str">
        <f>GetAddress(A521)</f>
        <v>\\CHNO0276\Aseguranza de Calidad\Control de Documentos\Doc. controlados PDF\Ayudas visuales\Camarillo\Ensamble general\CNWI-VSHP-000016 Rev. A (000201-4239).pub</v>
      </c>
      <c r="C521" s="5" t="str">
        <f>MID(B521,LEN(B521) - FIND(".",REVERSETEXT(B521))+2,1000)</f>
        <v>pub</v>
      </c>
      <c r="D521" s="6">
        <v>6</v>
      </c>
      <c r="E521" s="7" t="s">
        <v>83</v>
      </c>
      <c r="F521" s="7" t="s">
        <v>22</v>
      </c>
      <c r="G521" s="8" t="s">
        <v>23</v>
      </c>
      <c r="H521" s="8">
        <v>5</v>
      </c>
      <c r="I521" s="8" t="s">
        <v>2126</v>
      </c>
      <c r="J521" s="8">
        <v>36</v>
      </c>
      <c r="K521" s="8" t="s">
        <v>2126</v>
      </c>
      <c r="L521" s="8">
        <v>26</v>
      </c>
      <c r="M521" s="7" t="s">
        <v>2127</v>
      </c>
      <c r="N521" s="13" t="s">
        <v>2635</v>
      </c>
      <c r="O521" s="9">
        <v>40570</v>
      </c>
      <c r="P521" s="7" t="s">
        <v>27</v>
      </c>
      <c r="Q521" s="7" t="s">
        <v>2636</v>
      </c>
      <c r="R521" s="7" t="s">
        <v>2426</v>
      </c>
      <c r="S521" s="8" t="s">
        <v>2427</v>
      </c>
      <c r="T521" s="7" t="s">
        <v>2637</v>
      </c>
      <c r="U521" s="7" t="s">
        <v>479</v>
      </c>
      <c r="V521" s="7"/>
    </row>
    <row r="522" spans="1:22">
      <c r="A522" s="5" t="s">
        <v>2559</v>
      </c>
      <c r="B522" s="5" t="str">
        <f>GetAddress(A522)</f>
        <v>\\CHNO0276\Aseguranza de Calidad\Control de Documentos\Doc. controlados PDF\Ayudas visuales\Camarillo\Bonding\CNWI-VSHP-000017 Rev. A (508432).pub</v>
      </c>
      <c r="C522" s="5" t="str">
        <f>MID(B522,LEN(B522) - FIND(".",REVERSETEXT(B522))+2,1000)</f>
        <v>pub</v>
      </c>
      <c r="D522" s="6">
        <v>6</v>
      </c>
      <c r="E522" s="7" t="s">
        <v>83</v>
      </c>
      <c r="F522" s="7" t="s">
        <v>22</v>
      </c>
      <c r="G522" s="8" t="s">
        <v>23</v>
      </c>
      <c r="H522" s="8">
        <v>5</v>
      </c>
      <c r="I522" s="8" t="s">
        <v>874</v>
      </c>
      <c r="J522" s="8">
        <v>10</v>
      </c>
      <c r="K522" s="8" t="s">
        <v>967</v>
      </c>
      <c r="L522" s="8">
        <v>10</v>
      </c>
      <c r="M522" s="7" t="s">
        <v>968</v>
      </c>
      <c r="N522" s="13" t="s">
        <v>2560</v>
      </c>
      <c r="O522" s="9">
        <v>40545</v>
      </c>
      <c r="P522" s="7" t="s">
        <v>27</v>
      </c>
      <c r="Q522" s="7">
        <v>508432</v>
      </c>
      <c r="R522" s="7" t="s">
        <v>2426</v>
      </c>
      <c r="S522" s="8" t="s">
        <v>2427</v>
      </c>
      <c r="T522" s="7" t="s">
        <v>2561</v>
      </c>
      <c r="U522" s="13" t="s">
        <v>1473</v>
      </c>
      <c r="V522" s="7"/>
    </row>
    <row r="523" spans="1:22">
      <c r="A523" s="5" t="s">
        <v>662</v>
      </c>
      <c r="B523" s="5" t="str">
        <f>GetAddress(A523)</f>
        <v>\\CHNO0276\Aseguranza de Calidad\Control de Documentos\Doc. controlados PDF\Ayudas visuales\Micromini\A y B\CNWI-VSHP-000018 Rev. A (5000109_JS).pub</v>
      </c>
      <c r="C523" s="5" t="str">
        <f>MID(B523,LEN(B523) - FIND(".",REVERSETEXT(B523))+2,1000)</f>
        <v>pub</v>
      </c>
      <c r="D523" s="6">
        <v>6</v>
      </c>
      <c r="E523" s="7" t="s">
        <v>83</v>
      </c>
      <c r="F523" s="7" t="s">
        <v>22</v>
      </c>
      <c r="G523" s="8" t="s">
        <v>23</v>
      </c>
      <c r="H523" s="8">
        <v>5</v>
      </c>
      <c r="I523" s="8" t="s">
        <v>24</v>
      </c>
      <c r="J523" s="8">
        <v>12</v>
      </c>
      <c r="K523" s="8" t="s">
        <v>663</v>
      </c>
      <c r="L523" s="8">
        <v>3</v>
      </c>
      <c r="M523" s="7" t="s">
        <v>664</v>
      </c>
      <c r="N523" s="13" t="s">
        <v>665</v>
      </c>
      <c r="O523" s="9">
        <v>40625</v>
      </c>
      <c r="P523" s="7" t="s">
        <v>27</v>
      </c>
      <c r="Q523" s="7" t="s">
        <v>666</v>
      </c>
      <c r="R523" s="7" t="s">
        <v>604</v>
      </c>
      <c r="S523" s="8" t="s">
        <v>605</v>
      </c>
      <c r="T523" s="7"/>
      <c r="U523" s="7"/>
      <c r="V523" s="7"/>
    </row>
    <row r="524" spans="1:22">
      <c r="A524" s="5" t="s">
        <v>667</v>
      </c>
      <c r="B524" s="5" t="str">
        <f>GetAddress(A524)</f>
        <v>\\CHNO0276\Aseguranza de Calidad\Control de Documentos\Doc. controlados PDF\Ayudas visuales\Micromini\A y B\CNWI-VSHP-000019 Rev. A (5000111-BW).pub</v>
      </c>
      <c r="C524" s="5" t="str">
        <f>MID(B524,LEN(B524) - FIND(".",REVERSETEXT(B524))+2,1000)</f>
        <v>pub</v>
      </c>
      <c r="D524" s="6">
        <v>6</v>
      </c>
      <c r="E524" s="7" t="s">
        <v>83</v>
      </c>
      <c r="F524" s="7" t="s">
        <v>22</v>
      </c>
      <c r="G524" s="8" t="s">
        <v>23</v>
      </c>
      <c r="H524" s="8">
        <v>5</v>
      </c>
      <c r="I524" s="8" t="s">
        <v>24</v>
      </c>
      <c r="J524" s="8">
        <v>12</v>
      </c>
      <c r="K524" s="8" t="s">
        <v>663</v>
      </c>
      <c r="L524" s="8">
        <v>3</v>
      </c>
      <c r="M524" s="7" t="s">
        <v>664</v>
      </c>
      <c r="N524" s="13" t="s">
        <v>668</v>
      </c>
      <c r="O524" s="9">
        <v>40574</v>
      </c>
      <c r="P524" s="7" t="s">
        <v>27</v>
      </c>
      <c r="Q524" s="7" t="s">
        <v>28</v>
      </c>
      <c r="R524" s="7" t="s">
        <v>604</v>
      </c>
      <c r="S524" s="8" t="s">
        <v>605</v>
      </c>
      <c r="T524" s="7"/>
      <c r="U524" s="7"/>
      <c r="V524" s="7"/>
    </row>
    <row r="525" spans="1:22">
      <c r="A525" s="5" t="s">
        <v>669</v>
      </c>
      <c r="B525" s="5" t="str">
        <f>GetAddress(A525)</f>
        <v>\\CHNO0276\Aseguranza de Calidad\Control de Documentos\Doc. controlados PDF\Ayudas visuales\Micromini\A y B\CNWI-VSHP-000020 Rev. A (5000109R).pub</v>
      </c>
      <c r="C525" s="5" t="str">
        <f>MID(B525,LEN(B525) - FIND(".",REVERSETEXT(B525))+2,1000)</f>
        <v>pub</v>
      </c>
      <c r="D525" s="6">
        <v>6</v>
      </c>
      <c r="E525" s="7" t="s">
        <v>83</v>
      </c>
      <c r="F525" s="7" t="s">
        <v>22</v>
      </c>
      <c r="G525" s="8" t="s">
        <v>23</v>
      </c>
      <c r="H525" s="8">
        <v>5</v>
      </c>
      <c r="I525" s="8" t="s">
        <v>24</v>
      </c>
      <c r="J525" s="8">
        <v>12</v>
      </c>
      <c r="K525" s="8" t="s">
        <v>663</v>
      </c>
      <c r="L525" s="8">
        <v>3</v>
      </c>
      <c r="M525" s="7" t="s">
        <v>664</v>
      </c>
      <c r="N525" s="13" t="s">
        <v>670</v>
      </c>
      <c r="O525" s="9">
        <v>40574</v>
      </c>
      <c r="P525" s="7" t="s">
        <v>27</v>
      </c>
      <c r="Q525" s="7" t="s">
        <v>28</v>
      </c>
      <c r="R525" s="7" t="s">
        <v>604</v>
      </c>
      <c r="S525" s="8" t="s">
        <v>605</v>
      </c>
      <c r="T525" s="7"/>
      <c r="U525" s="7"/>
      <c r="V525" s="7"/>
    </row>
    <row r="526" spans="1:22">
      <c r="A526" s="5" t="s">
        <v>671</v>
      </c>
      <c r="B526" s="5" t="str">
        <f>GetAddress(A526)</f>
        <v>\\chno0276\Control de Documentos\Doc. controlados PDF\Ayudas visuales\Micromini\A y B\CNWI-VSHP-000021 Rev. A (5000117-GP5).pub</v>
      </c>
      <c r="C526" s="5" t="str">
        <f>MID(B526,LEN(B526) - FIND(".",REVERSETEXT(B526))+2,1000)</f>
        <v>pub</v>
      </c>
      <c r="D526" s="6">
        <v>6</v>
      </c>
      <c r="E526" s="7" t="s">
        <v>83</v>
      </c>
      <c r="F526" s="7" t="s">
        <v>22</v>
      </c>
      <c r="G526" s="8" t="s">
        <v>23</v>
      </c>
      <c r="H526" s="8">
        <v>5</v>
      </c>
      <c r="I526" s="8" t="s">
        <v>24</v>
      </c>
      <c r="J526" s="8">
        <v>12</v>
      </c>
      <c r="K526" s="8" t="s">
        <v>663</v>
      </c>
      <c r="L526" s="8">
        <v>3</v>
      </c>
      <c r="M526" s="7" t="s">
        <v>664</v>
      </c>
      <c r="N526" s="13" t="s">
        <v>672</v>
      </c>
      <c r="O526" s="9">
        <v>40575</v>
      </c>
      <c r="P526" s="7" t="s">
        <v>27</v>
      </c>
      <c r="Q526" s="7" t="s">
        <v>673</v>
      </c>
      <c r="R526" s="7" t="s">
        <v>604</v>
      </c>
      <c r="S526" s="8" t="s">
        <v>605</v>
      </c>
      <c r="T526" s="7"/>
      <c r="U526" s="7"/>
      <c r="V526" s="7"/>
    </row>
    <row r="527" spans="1:22">
      <c r="A527" s="5" t="s">
        <v>674</v>
      </c>
      <c r="B527" s="5" t="str">
        <f>GetAddress(A527)</f>
        <v>\\CHNO0276\Aseguranza de Calidad\Control de Documentos\Doc. controlados PDF\Ayudas visuales\Micromini\A y B\CNWI-VSHP-000022 Rev. A (5000118-A).pub</v>
      </c>
      <c r="C527" s="5" t="str">
        <f>MID(B527,LEN(B527) - FIND(".",REVERSETEXT(B527))+2,1000)</f>
        <v>pub</v>
      </c>
      <c r="D527" s="6">
        <v>6</v>
      </c>
      <c r="E527" s="7" t="s">
        <v>83</v>
      </c>
      <c r="F527" s="7" t="s">
        <v>22</v>
      </c>
      <c r="G527" s="8" t="s">
        <v>23</v>
      </c>
      <c r="H527" s="8">
        <v>5</v>
      </c>
      <c r="I527" s="8" t="s">
        <v>24</v>
      </c>
      <c r="J527" s="8">
        <v>12</v>
      </c>
      <c r="K527" s="8" t="s">
        <v>663</v>
      </c>
      <c r="L527" s="8">
        <v>3</v>
      </c>
      <c r="M527" s="7" t="s">
        <v>664</v>
      </c>
      <c r="N527" s="13" t="s">
        <v>675</v>
      </c>
      <c r="O527" s="9">
        <v>40575</v>
      </c>
      <c r="P527" s="7" t="s">
        <v>27</v>
      </c>
      <c r="Q527" s="7" t="s">
        <v>28</v>
      </c>
      <c r="R527" s="7" t="s">
        <v>604</v>
      </c>
      <c r="S527" s="8" t="s">
        <v>605</v>
      </c>
      <c r="T527" s="7"/>
      <c r="U527" s="7"/>
      <c r="V527" s="7"/>
    </row>
    <row r="528" spans="1:22">
      <c r="A528" s="5" t="s">
        <v>676</v>
      </c>
      <c r="B528" s="5" t="str">
        <f>GetAddress(A528)</f>
        <v>\\CHNO0276\Aseguranza de Calidad\Control de Documentos\Doc. controlados PDF\Ayudas visuales\Micromini\A y B\CNWI-VSHP-000023 Rev. A (5000129-AZ).pub</v>
      </c>
      <c r="C528" s="5" t="str">
        <f>MID(B528,LEN(B528) - FIND(".",REVERSETEXT(B528))+2,1000)</f>
        <v>pub</v>
      </c>
      <c r="D528" s="6">
        <v>6</v>
      </c>
      <c r="E528" s="7" t="s">
        <v>83</v>
      </c>
      <c r="F528" s="7" t="s">
        <v>22</v>
      </c>
      <c r="G528" s="8" t="s">
        <v>23</v>
      </c>
      <c r="H528" s="8">
        <v>5</v>
      </c>
      <c r="I528" s="8" t="s">
        <v>24</v>
      </c>
      <c r="J528" s="8">
        <v>12</v>
      </c>
      <c r="K528" s="8" t="s">
        <v>663</v>
      </c>
      <c r="L528" s="8">
        <v>3</v>
      </c>
      <c r="M528" s="7" t="s">
        <v>664</v>
      </c>
      <c r="N528" s="13" t="s">
        <v>677</v>
      </c>
      <c r="O528" s="9">
        <v>40578</v>
      </c>
      <c r="P528" s="7" t="s">
        <v>27</v>
      </c>
      <c r="Q528" s="7" t="s">
        <v>28</v>
      </c>
      <c r="R528" s="7" t="s">
        <v>604</v>
      </c>
      <c r="S528" s="8" t="s">
        <v>605</v>
      </c>
      <c r="T528" s="7"/>
      <c r="U528" s="7"/>
      <c r="V528" s="7"/>
    </row>
    <row r="529" spans="1:22">
      <c r="A529" s="5" t="s">
        <v>678</v>
      </c>
      <c r="B529" s="5" t="str">
        <f>GetAddress(A529)</f>
        <v>\\CHNO0276\Aseguranza de Calidad\Control de Documentos\Doc. controlados PDF\Ayudas visuales\Micromini\A y B\CNWI-VSHP-000024 Rev. B (DM4Q2M24E-A).pub</v>
      </c>
      <c r="C529" s="5" t="str">
        <f>MID(B529,LEN(B529) - FIND(".",REVERSETEXT(B529))+2,1000)</f>
        <v>pub</v>
      </c>
      <c r="D529" s="6">
        <v>6</v>
      </c>
      <c r="E529" s="7" t="s">
        <v>83</v>
      </c>
      <c r="F529" s="7" t="s">
        <v>22</v>
      </c>
      <c r="G529" s="8" t="s">
        <v>23</v>
      </c>
      <c r="H529" s="8">
        <v>5</v>
      </c>
      <c r="I529" s="8" t="s">
        <v>24</v>
      </c>
      <c r="J529" s="8">
        <v>12</v>
      </c>
      <c r="K529" s="8" t="s">
        <v>663</v>
      </c>
      <c r="L529" s="8">
        <v>3</v>
      </c>
      <c r="M529" s="7" t="s">
        <v>664</v>
      </c>
      <c r="N529" s="13" t="s">
        <v>679</v>
      </c>
      <c r="O529" s="9">
        <v>40578</v>
      </c>
      <c r="P529" s="7" t="s">
        <v>27</v>
      </c>
      <c r="Q529" s="7" t="s">
        <v>28</v>
      </c>
      <c r="R529" s="7" t="s">
        <v>604</v>
      </c>
      <c r="S529" s="8" t="s">
        <v>605</v>
      </c>
      <c r="T529" s="7"/>
      <c r="U529" s="7"/>
      <c r="V529" s="7"/>
    </row>
    <row r="530" spans="1:22">
      <c r="A530" s="5" t="s">
        <v>789</v>
      </c>
      <c r="B530" s="5" t="str">
        <f>GetAddress(A530)</f>
        <v>\\CHNO0276\Aseguranza de Calidad\Control de Documentos\Doc. controlados PDF\Ayudas visuales\Micromini\Potted\CNWI-VSHP-000025 Rev B  EMPAQUE POTTED 5000129-CF.pptx</v>
      </c>
      <c r="C530" s="5" t="str">
        <f>MID(B530,LEN(B530) - FIND(".",REVERSETEXT(B530))+2,1000)</f>
        <v>pptx</v>
      </c>
      <c r="D530" s="6">
        <v>6</v>
      </c>
      <c r="E530" s="7" t="s">
        <v>83</v>
      </c>
      <c r="F530" s="7" t="s">
        <v>22</v>
      </c>
      <c r="G530" s="8" t="s">
        <v>23</v>
      </c>
      <c r="H530" s="8">
        <v>5</v>
      </c>
      <c r="I530" s="8" t="s">
        <v>24</v>
      </c>
      <c r="J530" s="8">
        <v>12</v>
      </c>
      <c r="K530" s="8" t="s">
        <v>129</v>
      </c>
      <c r="L530" s="8">
        <v>18</v>
      </c>
      <c r="M530" s="7" t="s">
        <v>130</v>
      </c>
      <c r="N530" s="13" t="s">
        <v>790</v>
      </c>
      <c r="O530" s="9">
        <v>41046</v>
      </c>
      <c r="P530" s="7" t="s">
        <v>46</v>
      </c>
      <c r="Q530" s="7" t="s">
        <v>28</v>
      </c>
      <c r="R530" s="7" t="s">
        <v>604</v>
      </c>
      <c r="S530" s="8" t="s">
        <v>605</v>
      </c>
      <c r="T530" s="7" t="s">
        <v>30</v>
      </c>
      <c r="U530" s="7" t="s">
        <v>90</v>
      </c>
      <c r="V530" s="7"/>
    </row>
    <row r="531" spans="1:22">
      <c r="A531" s="5" t="s">
        <v>791</v>
      </c>
      <c r="B531" s="5" t="str">
        <f>GetAddress(A531)</f>
        <v>\\CHNO0276\Aseguranza de Calidad\Control de Documentos\Doc. controlados PDF\Ayudas visuales\Micromini\Potted\CNWI-VSHP-000026 Rev. A (A88N-F5AFA1-1F).pub</v>
      </c>
      <c r="C531" s="5" t="str">
        <f>MID(B531,LEN(B531) - FIND(".",REVERSETEXT(B531))+2,1000)</f>
        <v>pub</v>
      </c>
      <c r="D531" s="6">
        <v>6</v>
      </c>
      <c r="E531" s="7" t="s">
        <v>83</v>
      </c>
      <c r="F531" s="7" t="s">
        <v>22</v>
      </c>
      <c r="G531" s="8" t="s">
        <v>23</v>
      </c>
      <c r="H531" s="8">
        <v>5</v>
      </c>
      <c r="I531" s="8" t="s">
        <v>24</v>
      </c>
      <c r="J531" s="8">
        <v>12</v>
      </c>
      <c r="K531" s="8" t="s">
        <v>129</v>
      </c>
      <c r="L531" s="8">
        <v>18</v>
      </c>
      <c r="M531" s="7" t="s">
        <v>130</v>
      </c>
      <c r="N531" s="13" t="s">
        <v>792</v>
      </c>
      <c r="O531" s="9">
        <v>40578</v>
      </c>
      <c r="P531" s="7" t="s">
        <v>27</v>
      </c>
      <c r="Q531" s="7" t="s">
        <v>28</v>
      </c>
      <c r="R531" s="7" t="s">
        <v>604</v>
      </c>
      <c r="S531" s="8" t="s">
        <v>605</v>
      </c>
      <c r="T531" s="7"/>
      <c r="U531" s="7"/>
      <c r="V531" s="7"/>
    </row>
    <row r="532" spans="1:22">
      <c r="A532" s="5" t="s">
        <v>2704</v>
      </c>
      <c r="B532" s="5" t="str">
        <f>GetAddress(A532)</f>
        <v>\\CHNO0276\Aseguranza de Calidad\Control de Documentos\Doc. controlados PDF\Ayudas visuales\Camarillo\Itron\CNWI-VSHP-000027 Rev. B (CBA-0200-010).pub</v>
      </c>
      <c r="C532" s="5" t="str">
        <f>MID(B532,LEN(B532) - FIND(".",REVERSETEXT(B532))+2,1000)</f>
        <v>pub</v>
      </c>
      <c r="D532" s="6">
        <v>6</v>
      </c>
      <c r="E532" s="7" t="s">
        <v>83</v>
      </c>
      <c r="F532" s="7" t="s">
        <v>22</v>
      </c>
      <c r="G532" s="8" t="s">
        <v>23</v>
      </c>
      <c r="H532" s="8">
        <v>5</v>
      </c>
      <c r="I532" s="8" t="s">
        <v>257</v>
      </c>
      <c r="J532" s="8">
        <v>9</v>
      </c>
      <c r="K532" s="8" t="s">
        <v>258</v>
      </c>
      <c r="L532" s="8">
        <v>8</v>
      </c>
      <c r="M532" s="7" t="s">
        <v>259</v>
      </c>
      <c r="N532" s="13" t="s">
        <v>2705</v>
      </c>
      <c r="O532" s="9">
        <v>40674</v>
      </c>
      <c r="P532" s="7" t="s">
        <v>46</v>
      </c>
      <c r="Q532" s="7" t="s">
        <v>28</v>
      </c>
      <c r="R532" s="7" t="s">
        <v>2426</v>
      </c>
      <c r="S532" s="8" t="s">
        <v>2427</v>
      </c>
      <c r="T532" s="7"/>
      <c r="U532" s="13"/>
      <c r="V532" s="7"/>
    </row>
    <row r="533" spans="1:22">
      <c r="A533" s="5" t="s">
        <v>680</v>
      </c>
      <c r="B533" s="5" t="str">
        <f>GetAddress(A533)</f>
        <v>\\CHNO0276\Aseguranza de Calidad\Control de Documentos\Doc. controlados PDF\Ayudas visuales\Micromini\A y B\CNWI-VSHP-000028 Rev. A (5000118-DW).pub</v>
      </c>
      <c r="C533" s="5" t="str">
        <f>MID(B533,LEN(B533) - FIND(".",REVERSETEXT(B533))+2,1000)</f>
        <v>pub</v>
      </c>
      <c r="D533" s="6">
        <v>6</v>
      </c>
      <c r="E533" s="7" t="s">
        <v>83</v>
      </c>
      <c r="F533" s="7" t="s">
        <v>22</v>
      </c>
      <c r="G533" s="8" t="s">
        <v>23</v>
      </c>
      <c r="H533" s="8">
        <v>5</v>
      </c>
      <c r="I533" s="8" t="s">
        <v>24</v>
      </c>
      <c r="J533" s="8">
        <v>12</v>
      </c>
      <c r="K533" s="8" t="s">
        <v>663</v>
      </c>
      <c r="L533" s="8">
        <v>3</v>
      </c>
      <c r="M533" s="7" t="s">
        <v>664</v>
      </c>
      <c r="N533" s="13" t="s">
        <v>681</v>
      </c>
      <c r="O533" s="9">
        <v>40578</v>
      </c>
      <c r="P533" s="7" t="s">
        <v>27</v>
      </c>
      <c r="Q533" s="7" t="s">
        <v>28</v>
      </c>
      <c r="R533" s="7" t="s">
        <v>604</v>
      </c>
      <c r="S533" s="8" t="s">
        <v>605</v>
      </c>
      <c r="T533" s="7"/>
      <c r="U533" s="7"/>
      <c r="V533" s="7"/>
    </row>
    <row r="534" spans="1:22">
      <c r="A534" s="5" t="s">
        <v>2638</v>
      </c>
      <c r="B534" s="5" t="str">
        <f>GetAddress(A534)</f>
        <v>\\CHNO0276\Aseguranza de Calidad\Control de Documentos\Doc. controlados PDF\Ayudas visuales\Camarillo\Ensamble general\CNWI-VSHP-000029 Rev. A (000300-1304).pub</v>
      </c>
      <c r="C534" s="5" t="str">
        <f>MID(B534,LEN(B534) - FIND(".",REVERSETEXT(B534))+2,1000)</f>
        <v>pub</v>
      </c>
      <c r="D534" s="6">
        <v>6</v>
      </c>
      <c r="E534" s="7" t="s">
        <v>83</v>
      </c>
      <c r="F534" s="7" t="s">
        <v>22</v>
      </c>
      <c r="G534" s="8" t="s">
        <v>23</v>
      </c>
      <c r="H534" s="8">
        <v>5</v>
      </c>
      <c r="I534" s="8" t="s">
        <v>2126</v>
      </c>
      <c r="J534" s="8">
        <v>36</v>
      </c>
      <c r="K534" s="8" t="s">
        <v>2126</v>
      </c>
      <c r="L534" s="8">
        <v>26</v>
      </c>
      <c r="M534" s="7" t="s">
        <v>2127</v>
      </c>
      <c r="N534" s="13" t="s">
        <v>2639</v>
      </c>
      <c r="O534" s="9">
        <v>40788</v>
      </c>
      <c r="P534" s="7" t="s">
        <v>27</v>
      </c>
      <c r="Q534" s="7" t="s">
        <v>28</v>
      </c>
      <c r="R534" s="7" t="s">
        <v>2426</v>
      </c>
      <c r="S534" s="8" t="s">
        <v>2427</v>
      </c>
      <c r="T534" s="7" t="s">
        <v>2640</v>
      </c>
      <c r="U534" s="7" t="s">
        <v>479</v>
      </c>
      <c r="V534" s="7"/>
    </row>
    <row r="535" spans="1:22">
      <c r="A535" s="5" t="s">
        <v>2767</v>
      </c>
      <c r="B535" s="5" t="str">
        <f>GetAddress(A535)</f>
        <v>\\CHNO0276\Aseguranza de Calidad\Control de Documentos\Doc. controlados PDF\Ayudas visuales\Camarillo\Itron\CNWI-VSHP-000030 Rev.A Retrabajo (Convertir 28-3267-0001 a 28-3264-0001).pub</v>
      </c>
      <c r="C535" s="5" t="str">
        <f>MID(B535,LEN(B535) - FIND(".",REVERSETEXT(B535))+2,1000)</f>
        <v>pub</v>
      </c>
      <c r="D535" s="6">
        <v>6</v>
      </c>
      <c r="E535" s="7" t="s">
        <v>83</v>
      </c>
      <c r="F535" s="7" t="s">
        <v>22</v>
      </c>
      <c r="G535" s="8" t="s">
        <v>23</v>
      </c>
      <c r="H535" s="8">
        <v>5</v>
      </c>
      <c r="I535" s="8" t="s">
        <v>257</v>
      </c>
      <c r="J535" s="8">
        <v>9</v>
      </c>
      <c r="K535" s="8" t="s">
        <v>2183</v>
      </c>
      <c r="L535" s="8">
        <v>13</v>
      </c>
      <c r="M535" s="7" t="s">
        <v>2184</v>
      </c>
      <c r="N535" s="13" t="s">
        <v>2768</v>
      </c>
      <c r="O535" s="9">
        <v>40788</v>
      </c>
      <c r="P535" s="7" t="s">
        <v>27</v>
      </c>
      <c r="Q535" s="7" t="s">
        <v>28</v>
      </c>
      <c r="R535" s="7" t="s">
        <v>2426</v>
      </c>
      <c r="S535" s="8" t="s">
        <v>2427</v>
      </c>
      <c r="T535" s="7"/>
      <c r="U535" s="13"/>
      <c r="V535" s="7"/>
    </row>
    <row r="536" spans="1:22">
      <c r="A536" s="5" t="s">
        <v>2641</v>
      </c>
      <c r="B536" s="5" t="str">
        <f>GetAddress(A536)</f>
        <v>\\CHNO0276\Aseguranza de Calidad\Control de Documentos\Doc. controlados PDF\Ayudas visuales\Camarillo\Ensamble general\CNWI-VSHP-000031 Rev.A 000292-0000.pub</v>
      </c>
      <c r="C536" s="5" t="str">
        <f>MID(B536,LEN(B536) - FIND(".",REVERSETEXT(B536))+2,1000)</f>
        <v>pub</v>
      </c>
      <c r="D536" s="6">
        <v>6</v>
      </c>
      <c r="E536" s="7" t="s">
        <v>83</v>
      </c>
      <c r="F536" s="7" t="s">
        <v>22</v>
      </c>
      <c r="G536" s="8" t="s">
        <v>23</v>
      </c>
      <c r="H536" s="8">
        <v>5</v>
      </c>
      <c r="I536" s="8" t="s">
        <v>2126</v>
      </c>
      <c r="J536" s="8">
        <v>36</v>
      </c>
      <c r="K536" s="8" t="s">
        <v>2126</v>
      </c>
      <c r="L536" s="8">
        <v>26</v>
      </c>
      <c r="M536" s="7" t="s">
        <v>2127</v>
      </c>
      <c r="N536" s="13" t="s">
        <v>2642</v>
      </c>
      <c r="O536" s="9">
        <v>40849</v>
      </c>
      <c r="P536" s="7" t="s">
        <v>27</v>
      </c>
      <c r="Q536" s="7" t="s">
        <v>28</v>
      </c>
      <c r="R536" s="7" t="s">
        <v>2426</v>
      </c>
      <c r="S536" s="8" t="s">
        <v>2427</v>
      </c>
      <c r="T536" s="7" t="s">
        <v>2643</v>
      </c>
      <c r="U536" s="7" t="s">
        <v>479</v>
      </c>
      <c r="V536" s="7"/>
    </row>
    <row r="537" spans="1:22">
      <c r="A537" s="5" t="s">
        <v>770</v>
      </c>
      <c r="B537" s="5" t="str">
        <f>GetAddress(A537)</f>
        <v>\\chno0276\Control de Documentos\Doc. controlados PDF\Ayudas visuales\Micromini\MS\CNWI-VSHP-000032 Rev. A (Colocacion de loctite).pub</v>
      </c>
      <c r="C537" s="5" t="str">
        <f>MID(B537,LEN(B537) - FIND(".",REVERSETEXT(B537))+2,1000)</f>
        <v>pub</v>
      </c>
      <c r="D537" s="6">
        <v>6</v>
      </c>
      <c r="E537" s="7" t="s">
        <v>83</v>
      </c>
      <c r="F537" s="7" t="s">
        <v>22</v>
      </c>
      <c r="G537" s="8" t="s">
        <v>23</v>
      </c>
      <c r="H537" s="8">
        <v>5</v>
      </c>
      <c r="I537" s="8" t="s">
        <v>24</v>
      </c>
      <c r="J537" s="8">
        <v>12</v>
      </c>
      <c r="K537" s="8" t="s">
        <v>515</v>
      </c>
      <c r="L537" s="8">
        <v>16</v>
      </c>
      <c r="M537" s="7" t="s">
        <v>515</v>
      </c>
      <c r="N537" s="13" t="s">
        <v>771</v>
      </c>
      <c r="O537" s="9">
        <v>40818</v>
      </c>
      <c r="P537" s="7" t="s">
        <v>27</v>
      </c>
      <c r="Q537" s="7" t="s">
        <v>88</v>
      </c>
      <c r="R537" s="7" t="s">
        <v>604</v>
      </c>
      <c r="S537" s="8" t="s">
        <v>605</v>
      </c>
      <c r="T537" s="7"/>
      <c r="U537" s="7"/>
      <c r="V537" s="7"/>
    </row>
    <row r="538" spans="1:22">
      <c r="A538" s="5" t="s">
        <v>682</v>
      </c>
      <c r="B538" s="5" t="str">
        <f>GetAddress(A538)</f>
        <v>\\CHNO0276\Aseguranza de Calidad\Control de Documentos\Doc. controlados PDF\Ayudas visuales\Micromini\A y B\CNWI-VSHP-000033 Rev.A 5000129-X.pub</v>
      </c>
      <c r="C538" s="5" t="str">
        <f>MID(B538,LEN(B538) - FIND(".",REVERSETEXT(B538))+2,1000)</f>
        <v>pub</v>
      </c>
      <c r="D538" s="6">
        <v>6</v>
      </c>
      <c r="E538" s="7" t="s">
        <v>83</v>
      </c>
      <c r="F538" s="7" t="s">
        <v>22</v>
      </c>
      <c r="G538" s="8" t="s">
        <v>23</v>
      </c>
      <c r="H538" s="8">
        <v>5</v>
      </c>
      <c r="I538" s="8" t="s">
        <v>24</v>
      </c>
      <c r="J538" s="8">
        <v>12</v>
      </c>
      <c r="K538" s="8" t="s">
        <v>663</v>
      </c>
      <c r="L538" s="8">
        <v>3</v>
      </c>
      <c r="M538" s="7" t="s">
        <v>664</v>
      </c>
      <c r="N538" s="13" t="s">
        <v>683</v>
      </c>
      <c r="O538" s="9">
        <v>40818</v>
      </c>
      <c r="P538" s="7" t="s">
        <v>27</v>
      </c>
      <c r="Q538" s="7" t="s">
        <v>28</v>
      </c>
      <c r="R538" s="7" t="s">
        <v>604</v>
      </c>
      <c r="S538" s="8" t="s">
        <v>605</v>
      </c>
      <c r="T538" s="7"/>
      <c r="U538" s="7"/>
      <c r="V538" s="7"/>
    </row>
    <row r="539" spans="1:22">
      <c r="A539" s="5" t="s">
        <v>2644</v>
      </c>
      <c r="B539" s="5" t="str">
        <f>GetAddress(A539)</f>
        <v>\\CHNO0276\Aseguranza de Calidad\Control de Documentos\Doc. controlados PDF\Ayudas visuales\Camarillo\Ensamble general\CNWI-VSHP-000035 Rev. A. (000231-3854).pub</v>
      </c>
      <c r="C539" s="5" t="str">
        <f>MID(B539,LEN(B539) - FIND(".",REVERSETEXT(B539))+2,1000)</f>
        <v>pub</v>
      </c>
      <c r="D539" s="6">
        <v>6</v>
      </c>
      <c r="E539" s="7" t="s">
        <v>83</v>
      </c>
      <c r="F539" s="7" t="s">
        <v>22</v>
      </c>
      <c r="G539" s="8" t="s">
        <v>23</v>
      </c>
      <c r="H539" s="8">
        <v>5</v>
      </c>
      <c r="I539" s="8" t="s">
        <v>2126</v>
      </c>
      <c r="J539" s="8">
        <v>36</v>
      </c>
      <c r="K539" s="8" t="s">
        <v>2126</v>
      </c>
      <c r="L539" s="8">
        <v>26</v>
      </c>
      <c r="M539" s="7" t="s">
        <v>2127</v>
      </c>
      <c r="N539" s="13" t="s">
        <v>2645</v>
      </c>
      <c r="O539" s="9">
        <v>40589</v>
      </c>
      <c r="P539" s="7" t="s">
        <v>27</v>
      </c>
      <c r="Q539" s="7" t="s">
        <v>2646</v>
      </c>
      <c r="R539" s="7" t="s">
        <v>2426</v>
      </c>
      <c r="S539" s="8" t="s">
        <v>2427</v>
      </c>
      <c r="T539" s="7" t="s">
        <v>2637</v>
      </c>
      <c r="U539" s="7" t="s">
        <v>479</v>
      </c>
      <c r="V539" s="7"/>
    </row>
    <row r="540" spans="1:22">
      <c r="A540" s="5" t="s">
        <v>2647</v>
      </c>
      <c r="B540" s="5" t="str">
        <f>GetAddress(A540)</f>
        <v>\\CHNO0276\Aseguranza de Calidad\Control de Documentos\Doc. controlados PDF\Ayudas visuales\Camarillo\Ensamble general\CNWI-VSHP-000036 Rev. A (004006-0000).pub</v>
      </c>
      <c r="C540" s="5" t="str">
        <f>MID(B540,LEN(B540) - FIND(".",REVERSETEXT(B540))+2,1000)</f>
        <v>pub</v>
      </c>
      <c r="D540" s="6">
        <v>6</v>
      </c>
      <c r="E540" s="7" t="s">
        <v>83</v>
      </c>
      <c r="F540" s="7" t="s">
        <v>22</v>
      </c>
      <c r="G540" s="8" t="s">
        <v>23</v>
      </c>
      <c r="H540" s="8">
        <v>5</v>
      </c>
      <c r="I540" s="8" t="s">
        <v>2126</v>
      </c>
      <c r="J540" s="8">
        <v>36</v>
      </c>
      <c r="K540" s="8" t="s">
        <v>2126</v>
      </c>
      <c r="L540" s="8">
        <v>26</v>
      </c>
      <c r="M540" s="7" t="s">
        <v>2127</v>
      </c>
      <c r="N540" s="13" t="s">
        <v>2648</v>
      </c>
      <c r="O540" s="9">
        <v>40589</v>
      </c>
      <c r="P540" s="7" t="s">
        <v>27</v>
      </c>
      <c r="Q540" s="7" t="s">
        <v>2649</v>
      </c>
      <c r="R540" s="7" t="s">
        <v>2426</v>
      </c>
      <c r="S540" s="8" t="s">
        <v>2427</v>
      </c>
      <c r="T540" s="7" t="s">
        <v>2637</v>
      </c>
      <c r="U540" s="7" t="s">
        <v>479</v>
      </c>
      <c r="V540" s="7"/>
    </row>
    <row r="541" spans="1:22">
      <c r="A541" s="5" t="s">
        <v>2562</v>
      </c>
      <c r="B541" s="5" t="str">
        <f>GetAddress(A541)</f>
        <v>\\CHNO0276\Aseguranza de Calidad\Control de Documentos\Doc. controlados PDF\Ayudas visuales\Camarillo\Bonding\CNWI-VSHP-000038 Rev. A (000300-1562).pub</v>
      </c>
      <c r="C541" s="5" t="str">
        <f>MID(B541,LEN(B541) - FIND(".",REVERSETEXT(B541))+2,1000)</f>
        <v>pub</v>
      </c>
      <c r="D541" s="6">
        <v>6</v>
      </c>
      <c r="E541" s="7" t="s">
        <v>83</v>
      </c>
      <c r="F541" s="7" t="s">
        <v>22</v>
      </c>
      <c r="G541" s="8" t="s">
        <v>23</v>
      </c>
      <c r="H541" s="8">
        <v>5</v>
      </c>
      <c r="I541" s="8" t="s">
        <v>874</v>
      </c>
      <c r="J541" s="8">
        <v>10</v>
      </c>
      <c r="K541" s="8" t="s">
        <v>967</v>
      </c>
      <c r="L541" s="8">
        <v>10</v>
      </c>
      <c r="M541" s="7" t="s">
        <v>968</v>
      </c>
      <c r="N541" s="13" t="s">
        <v>2563</v>
      </c>
      <c r="O541" s="9">
        <v>40589</v>
      </c>
      <c r="P541" s="7" t="s">
        <v>27</v>
      </c>
      <c r="Q541" s="7" t="s">
        <v>2564</v>
      </c>
      <c r="R541" s="7" t="s">
        <v>2426</v>
      </c>
      <c r="S541" s="8" t="s">
        <v>2427</v>
      </c>
      <c r="T541" s="7" t="s">
        <v>2565</v>
      </c>
      <c r="U541" s="13" t="s">
        <v>1473</v>
      </c>
      <c r="V541" s="7"/>
    </row>
    <row r="542" spans="1:22">
      <c r="A542" s="5" t="s">
        <v>2650</v>
      </c>
      <c r="B542" s="5" t="str">
        <f>GetAddress(A542)</f>
        <v>\\CHNO0276\Aseguranza de Calidad\Control de Documentos\Doc. controlados PDF\Ayudas visuales\Camarillo\Ensamble general\CNWI-VSHP-000039 Rev.A (004008-0000).pub</v>
      </c>
      <c r="C542" s="5" t="str">
        <f>MID(B542,LEN(B542) - FIND(".",REVERSETEXT(B542))+2,1000)</f>
        <v>pub</v>
      </c>
      <c r="D542" s="6">
        <v>6</v>
      </c>
      <c r="E542" s="7" t="s">
        <v>83</v>
      </c>
      <c r="F542" s="7" t="s">
        <v>22</v>
      </c>
      <c r="G542" s="8" t="s">
        <v>23</v>
      </c>
      <c r="H542" s="8">
        <v>5</v>
      </c>
      <c r="I542" s="8" t="s">
        <v>2126</v>
      </c>
      <c r="J542" s="8">
        <v>36</v>
      </c>
      <c r="K542" s="8" t="s">
        <v>2126</v>
      </c>
      <c r="L542" s="8">
        <v>26</v>
      </c>
      <c r="M542" s="7" t="s">
        <v>2127</v>
      </c>
      <c r="N542" s="13" t="s">
        <v>2651</v>
      </c>
      <c r="O542" s="9">
        <v>40589</v>
      </c>
      <c r="P542" s="7" t="s">
        <v>27</v>
      </c>
      <c r="Q542" s="7" t="s">
        <v>2652</v>
      </c>
      <c r="R542" s="7" t="s">
        <v>2426</v>
      </c>
      <c r="S542" s="8" t="s">
        <v>2427</v>
      </c>
      <c r="T542" s="7" t="s">
        <v>2637</v>
      </c>
      <c r="U542" s="7" t="s">
        <v>479</v>
      </c>
      <c r="V542" s="7"/>
    </row>
    <row r="543" spans="1:22">
      <c r="A543" s="5" t="s">
        <v>684</v>
      </c>
      <c r="B543" s="5" t="str">
        <f>GetAddress(A543)</f>
        <v>\\CHNO0276\Aseguranza de Calidad\Control de Documentos\Doc. controlados PDF\Ayudas visuales\Micromini\A y B\CNWI-VSHP-000040 Rev. a (A89N-F10AF-5).pub</v>
      </c>
      <c r="C543" s="5" t="str">
        <f>MID(B543,LEN(B543) - FIND(".",REVERSETEXT(B543))+2,1000)</f>
        <v>pub</v>
      </c>
      <c r="D543" s="6">
        <v>6</v>
      </c>
      <c r="E543" s="7" t="s">
        <v>83</v>
      </c>
      <c r="F543" s="7" t="s">
        <v>22</v>
      </c>
      <c r="G543" s="8" t="s">
        <v>23</v>
      </c>
      <c r="H543" s="8">
        <v>5</v>
      </c>
      <c r="I543" s="8" t="s">
        <v>24</v>
      </c>
      <c r="J543" s="8">
        <v>12</v>
      </c>
      <c r="K543" s="8" t="s">
        <v>663</v>
      </c>
      <c r="L543" s="8">
        <v>3</v>
      </c>
      <c r="M543" s="7" t="s">
        <v>664</v>
      </c>
      <c r="N543" s="13" t="s">
        <v>685</v>
      </c>
      <c r="O543" s="9">
        <v>40588</v>
      </c>
      <c r="P543" s="7" t="s">
        <v>27</v>
      </c>
      <c r="Q543" s="7" t="s">
        <v>28</v>
      </c>
      <c r="R543" s="7" t="s">
        <v>604</v>
      </c>
      <c r="S543" s="8" t="s">
        <v>605</v>
      </c>
      <c r="T543" s="7"/>
      <c r="U543" s="7"/>
      <c r="V543" s="7"/>
    </row>
    <row r="544" spans="1:22">
      <c r="A544" s="5" t="s">
        <v>686</v>
      </c>
      <c r="B544" s="5" t="str">
        <f>GetAddress(A544)</f>
        <v>\\CHNO0276\Aseguranza de Calidad\Control de Documentos\Doc. controlados PDF\Ayudas visuales\Micromini\A y B\CNWI-VSHP-000041 Rev. A (A89N-F9AF-5).pub</v>
      </c>
      <c r="C544" s="5" t="str">
        <f>MID(B544,LEN(B544) - FIND(".",REVERSETEXT(B544))+2,1000)</f>
        <v>pub</v>
      </c>
      <c r="D544" s="6">
        <v>6</v>
      </c>
      <c r="E544" s="7" t="s">
        <v>83</v>
      </c>
      <c r="F544" s="7" t="s">
        <v>22</v>
      </c>
      <c r="G544" s="8" t="s">
        <v>23</v>
      </c>
      <c r="H544" s="8">
        <v>5</v>
      </c>
      <c r="I544" s="8" t="s">
        <v>24</v>
      </c>
      <c r="J544" s="8">
        <v>12</v>
      </c>
      <c r="K544" s="8" t="s">
        <v>663</v>
      </c>
      <c r="L544" s="8">
        <v>3</v>
      </c>
      <c r="M544" s="7" t="s">
        <v>664</v>
      </c>
      <c r="N544" s="13" t="s">
        <v>687</v>
      </c>
      <c r="O544" s="9">
        <v>40588</v>
      </c>
      <c r="P544" s="7" t="s">
        <v>27</v>
      </c>
      <c r="Q544" s="7" t="s">
        <v>28</v>
      </c>
      <c r="R544" s="7" t="s">
        <v>604</v>
      </c>
      <c r="S544" s="8" t="s">
        <v>605</v>
      </c>
      <c r="T544" s="7"/>
      <c r="U544" s="7"/>
      <c r="V544" s="7"/>
    </row>
    <row r="545" spans="1:22">
      <c r="A545" s="5" t="s">
        <v>688</v>
      </c>
      <c r="B545" s="5" t="str">
        <f>GetAddress(A545)</f>
        <v>\\CHNO0276\Aseguranza de Calidad\Control de Documentos\Doc. controlados PDF\Ayudas visuales\Micromini\A y B\CNWI-VSHP-000042 Rev. A (A89N-F12AF-5).pub</v>
      </c>
      <c r="C545" s="5" t="str">
        <f>MID(B545,LEN(B545) - FIND(".",REVERSETEXT(B545))+2,1000)</f>
        <v>pub</v>
      </c>
      <c r="D545" s="6">
        <v>6</v>
      </c>
      <c r="E545" s="7" t="s">
        <v>83</v>
      </c>
      <c r="F545" s="7" t="s">
        <v>22</v>
      </c>
      <c r="G545" s="8" t="s">
        <v>23</v>
      </c>
      <c r="H545" s="8">
        <v>5</v>
      </c>
      <c r="I545" s="8" t="s">
        <v>24</v>
      </c>
      <c r="J545" s="8">
        <v>12</v>
      </c>
      <c r="K545" s="8" t="s">
        <v>663</v>
      </c>
      <c r="L545" s="8">
        <v>3</v>
      </c>
      <c r="M545" s="7" t="s">
        <v>664</v>
      </c>
      <c r="N545" s="13" t="s">
        <v>689</v>
      </c>
      <c r="O545" s="9">
        <v>40589</v>
      </c>
      <c r="P545" s="7" t="s">
        <v>27</v>
      </c>
      <c r="Q545" s="7" t="s">
        <v>28</v>
      </c>
      <c r="R545" s="7" t="s">
        <v>604</v>
      </c>
      <c r="S545" s="8" t="s">
        <v>605</v>
      </c>
      <c r="T545" s="7"/>
      <c r="U545" s="7"/>
      <c r="V545" s="7"/>
    </row>
    <row r="546" spans="1:22">
      <c r="A546" s="5" t="s">
        <v>690</v>
      </c>
      <c r="B546" s="5" t="str">
        <f>GetAddress(A546)</f>
        <v>\\CHNO0276\Aseguranza de Calidad\Control de Documentos\Doc. controlados PDF\Ayudas visuales\Micromini\A y B\CNWI-VSHP-000043 Rev. A (LMA682).pub</v>
      </c>
      <c r="C546" s="5" t="str">
        <f>MID(B546,LEN(B546) - FIND(".",REVERSETEXT(B546))+2,1000)</f>
        <v>pub</v>
      </c>
      <c r="D546" s="6">
        <v>6</v>
      </c>
      <c r="E546" s="7" t="s">
        <v>83</v>
      </c>
      <c r="F546" s="7" t="s">
        <v>22</v>
      </c>
      <c r="G546" s="8" t="s">
        <v>23</v>
      </c>
      <c r="H546" s="8">
        <v>5</v>
      </c>
      <c r="I546" s="8" t="s">
        <v>24</v>
      </c>
      <c r="J546" s="8">
        <v>12</v>
      </c>
      <c r="K546" s="8" t="s">
        <v>663</v>
      </c>
      <c r="L546" s="8">
        <v>3</v>
      </c>
      <c r="M546" s="7" t="s">
        <v>664</v>
      </c>
      <c r="N546" s="13" t="s">
        <v>691</v>
      </c>
      <c r="O546" s="9">
        <v>40589</v>
      </c>
      <c r="P546" s="7" t="s">
        <v>27</v>
      </c>
      <c r="Q546" s="7" t="s">
        <v>28</v>
      </c>
      <c r="R546" s="7" t="s">
        <v>604</v>
      </c>
      <c r="S546" s="8" t="s">
        <v>605</v>
      </c>
      <c r="T546" s="7"/>
      <c r="U546" s="7"/>
      <c r="V546" s="7"/>
    </row>
    <row r="547" spans="1:22">
      <c r="A547" s="5" t="s">
        <v>514</v>
      </c>
      <c r="B547" s="5" t="str">
        <f>GetAddress(A547)</f>
        <v>\\CHNO0276\Aseguranza de Calidad\Control de Documentos\Doc. controlados PDF\Ayudas visuales\Micromini\MS\CNWI-VSHP-000044 Rev. A (CHMEA0094) Soldadura.pub</v>
      </c>
      <c r="C547" s="5" t="str">
        <f>MID(B547,LEN(B547) - FIND(".",REVERSETEXT(B547))+2,1000)</f>
        <v>pub</v>
      </c>
      <c r="D547" s="6">
        <v>6</v>
      </c>
      <c r="E547" s="7" t="s">
        <v>83</v>
      </c>
      <c r="F547" s="7" t="s">
        <v>22</v>
      </c>
      <c r="G547" s="8" t="s">
        <v>23</v>
      </c>
      <c r="H547" s="8">
        <v>5</v>
      </c>
      <c r="I547" s="8" t="s">
        <v>24</v>
      </c>
      <c r="J547" s="8">
        <v>12</v>
      </c>
      <c r="K547" s="8" t="s">
        <v>515</v>
      </c>
      <c r="L547" s="8">
        <v>16</v>
      </c>
      <c r="M547" s="7" t="s">
        <v>515</v>
      </c>
      <c r="N547" s="13" t="s">
        <v>516</v>
      </c>
      <c r="O547" s="9">
        <v>40589</v>
      </c>
      <c r="P547" s="7" t="s">
        <v>27</v>
      </c>
      <c r="Q547" s="7" t="s">
        <v>88</v>
      </c>
      <c r="R547" s="7" t="s">
        <v>508</v>
      </c>
      <c r="S547" s="8" t="s">
        <v>509</v>
      </c>
      <c r="T547" s="7"/>
      <c r="U547" s="7"/>
      <c r="V547" s="7"/>
    </row>
    <row r="548" spans="1:22">
      <c r="A548" s="5" t="s">
        <v>2566</v>
      </c>
      <c r="B548" s="5" t="str">
        <f>GetAddress(A548)</f>
        <v>\\CHNO0276\Aseguranza de Calidad\Control de Documentos\Doc. controlados PDF\Ayudas visuales\Camarillo\Bonding\CNWI-VSHP-000045 Rev. A (000103-0399).pub</v>
      </c>
      <c r="C548" s="5" t="str">
        <f>MID(B548,LEN(B548) - FIND(".",REVERSETEXT(B548))+2,1000)</f>
        <v>pub</v>
      </c>
      <c r="D548" s="6">
        <v>6</v>
      </c>
      <c r="E548" s="7" t="s">
        <v>83</v>
      </c>
      <c r="F548" s="7" t="s">
        <v>22</v>
      </c>
      <c r="G548" s="8" t="s">
        <v>23</v>
      </c>
      <c r="H548" s="8">
        <v>5</v>
      </c>
      <c r="I548" s="8" t="s">
        <v>874</v>
      </c>
      <c r="J548" s="8">
        <v>10</v>
      </c>
      <c r="K548" s="8" t="s">
        <v>967</v>
      </c>
      <c r="L548" s="8">
        <v>10</v>
      </c>
      <c r="M548" s="7" t="s">
        <v>968</v>
      </c>
      <c r="N548" s="13" t="s">
        <v>2567</v>
      </c>
      <c r="O548" s="9">
        <v>40590</v>
      </c>
      <c r="P548" s="7" t="s">
        <v>27</v>
      </c>
      <c r="Q548" s="7" t="s">
        <v>2568</v>
      </c>
      <c r="R548" s="7" t="s">
        <v>2426</v>
      </c>
      <c r="S548" s="8" t="s">
        <v>2427</v>
      </c>
      <c r="T548" s="7" t="s">
        <v>2569</v>
      </c>
      <c r="U548" s="13" t="s">
        <v>1473</v>
      </c>
      <c r="V548" s="7"/>
    </row>
    <row r="549" spans="1:22">
      <c r="A549" s="5" t="s">
        <v>2653</v>
      </c>
      <c r="B549" s="5" t="str">
        <f>GetAddress(A549)</f>
        <v>\\CHNO0276\Aseguranza de Calidad\Control de Documentos\Doc. controlados PDF\Ayudas visuales\Camarillo\Ensamble general\CNWI-VSHP-000046 Rev. A (002104-0000).pub</v>
      </c>
      <c r="C549" s="5" t="str">
        <f>MID(B549,LEN(B549) - FIND(".",REVERSETEXT(B549))+2,1000)</f>
        <v>pub</v>
      </c>
      <c r="D549" s="6">
        <v>6</v>
      </c>
      <c r="E549" s="7" t="s">
        <v>83</v>
      </c>
      <c r="F549" s="7" t="s">
        <v>22</v>
      </c>
      <c r="G549" s="8" t="s">
        <v>23</v>
      </c>
      <c r="H549" s="8">
        <v>5</v>
      </c>
      <c r="I549" s="8" t="s">
        <v>2126</v>
      </c>
      <c r="J549" s="8">
        <v>36</v>
      </c>
      <c r="K549" s="8" t="s">
        <v>2126</v>
      </c>
      <c r="L549" s="8">
        <v>26</v>
      </c>
      <c r="M549" s="7" t="s">
        <v>2127</v>
      </c>
      <c r="N549" s="13" t="s">
        <v>2654</v>
      </c>
      <c r="O549" s="9">
        <v>40590</v>
      </c>
      <c r="P549" s="7" t="s">
        <v>27</v>
      </c>
      <c r="Q549" s="7" t="s">
        <v>2655</v>
      </c>
      <c r="R549" s="7" t="s">
        <v>2426</v>
      </c>
      <c r="S549" s="8" t="s">
        <v>2427</v>
      </c>
      <c r="T549" s="7" t="s">
        <v>2637</v>
      </c>
      <c r="U549" s="7" t="s">
        <v>479</v>
      </c>
      <c r="V549" s="7"/>
    </row>
    <row r="550" spans="1:22">
      <c r="A550" s="5" t="s">
        <v>2656</v>
      </c>
      <c r="B550" s="5" t="str">
        <f>GetAddress(A550)</f>
        <v>\\CHNO0276\Aseguranza de Calidad\Control de Documentos\Doc. controlados PDF\Ayudas visuales\Camarillo\Ensamble general\CNWI-VSHP-000047 Rev. A (000267-0000).pub</v>
      </c>
      <c r="C550" s="5" t="str">
        <f>MID(B550,LEN(B550) - FIND(".",REVERSETEXT(B550))+2,1000)</f>
        <v>pub</v>
      </c>
      <c r="D550" s="6">
        <v>6</v>
      </c>
      <c r="E550" s="7" t="s">
        <v>83</v>
      </c>
      <c r="F550" s="7" t="s">
        <v>22</v>
      </c>
      <c r="G550" s="8" t="s">
        <v>23</v>
      </c>
      <c r="H550" s="8">
        <v>5</v>
      </c>
      <c r="I550" s="8" t="s">
        <v>2126</v>
      </c>
      <c r="J550" s="8">
        <v>36</v>
      </c>
      <c r="K550" s="8" t="s">
        <v>2126</v>
      </c>
      <c r="L550" s="8">
        <v>26</v>
      </c>
      <c r="M550" s="7" t="s">
        <v>2127</v>
      </c>
      <c r="N550" s="13" t="s">
        <v>2657</v>
      </c>
      <c r="O550" s="9">
        <v>40591</v>
      </c>
      <c r="P550" s="7" t="s">
        <v>27</v>
      </c>
      <c r="Q550" s="7" t="s">
        <v>2658</v>
      </c>
      <c r="R550" s="7" t="s">
        <v>2426</v>
      </c>
      <c r="S550" s="8" t="s">
        <v>2427</v>
      </c>
      <c r="T550" s="7" t="s">
        <v>2637</v>
      </c>
      <c r="U550" s="7" t="s">
        <v>479</v>
      </c>
      <c r="V550" s="7"/>
    </row>
    <row r="551" spans="1:22">
      <c r="A551" s="5" t="s">
        <v>2721</v>
      </c>
      <c r="B551" s="5" t="str">
        <f>GetAddress(A551)</f>
        <v>\\CHNO0276\Aseguranza de Calidad\Control de Documentos\Doc. controlados PDF\Ayudas visuales\Camarillo\Itron\CNWI-VSHP-000048 Rev. A (003053-0000).pub</v>
      </c>
      <c r="C551" s="5" t="str">
        <f>MID(B551,LEN(B551) - FIND(".",REVERSETEXT(B551))+2,1000)</f>
        <v>pub</v>
      </c>
      <c r="D551" s="6">
        <v>6</v>
      </c>
      <c r="E551" s="7" t="s">
        <v>83</v>
      </c>
      <c r="F551" s="7" t="s">
        <v>22</v>
      </c>
      <c r="G551" s="8" t="s">
        <v>23</v>
      </c>
      <c r="H551" s="8">
        <v>5</v>
      </c>
      <c r="I551" s="8" t="s">
        <v>257</v>
      </c>
      <c r="J551" s="8">
        <v>9</v>
      </c>
      <c r="K551" s="8" t="s">
        <v>1090</v>
      </c>
      <c r="L551" s="8">
        <v>9</v>
      </c>
      <c r="M551" s="7" t="s">
        <v>1091</v>
      </c>
      <c r="N551" s="13" t="s">
        <v>2722</v>
      </c>
      <c r="O551" s="9">
        <v>40591</v>
      </c>
      <c r="P551" s="7" t="s">
        <v>27</v>
      </c>
      <c r="Q551" s="7" t="s">
        <v>2723</v>
      </c>
      <c r="R551" s="7" t="s">
        <v>2426</v>
      </c>
      <c r="S551" s="8" t="s">
        <v>2427</v>
      </c>
      <c r="T551" s="7"/>
      <c r="U551" s="13"/>
      <c r="V551" s="7"/>
    </row>
    <row r="552" spans="1:22">
      <c r="A552" s="5" t="s">
        <v>2706</v>
      </c>
      <c r="B552" s="5" t="str">
        <f>GetAddress(A552)</f>
        <v>\\CHNO0276\Aseguranza de Calidad\Control de Documentos\Doc. controlados PDF\Ayudas visuales\Camarillo\Itron\CNWI-VSHP-000049 Rev. A (009-0542-300M).pub</v>
      </c>
      <c r="C552" s="5" t="str">
        <f>MID(B552,LEN(B552) - FIND(".",REVERSETEXT(B552))+2,1000)</f>
        <v>pub</v>
      </c>
      <c r="D552" s="6">
        <v>6</v>
      </c>
      <c r="E552" s="7" t="s">
        <v>83</v>
      </c>
      <c r="F552" s="7" t="s">
        <v>22</v>
      </c>
      <c r="G552" s="8" t="s">
        <v>23</v>
      </c>
      <c r="H552" s="8">
        <v>5</v>
      </c>
      <c r="I552" s="8" t="s">
        <v>257</v>
      </c>
      <c r="J552" s="8">
        <v>9</v>
      </c>
      <c r="K552" s="8" t="s">
        <v>258</v>
      </c>
      <c r="L552" s="8">
        <v>8</v>
      </c>
      <c r="M552" s="7" t="s">
        <v>259</v>
      </c>
      <c r="N552" s="13" t="s">
        <v>2707</v>
      </c>
      <c r="O552" s="9">
        <v>40591</v>
      </c>
      <c r="P552" s="7" t="s">
        <v>27</v>
      </c>
      <c r="Q552" s="7" t="s">
        <v>2708</v>
      </c>
      <c r="R552" s="7" t="s">
        <v>2426</v>
      </c>
      <c r="S552" s="8" t="s">
        <v>2427</v>
      </c>
      <c r="T552" s="7"/>
      <c r="U552" s="13"/>
      <c r="V552" s="7"/>
    </row>
    <row r="553" spans="1:22">
      <c r="A553" s="5" t="s">
        <v>692</v>
      </c>
      <c r="B553" s="5" t="str">
        <f>GetAddress(A553)</f>
        <v>\\CHNO0276\Aseguranza de Calidad\Control de Documentos\Doc. controlados PDF\Ayudas visuales\Micromini\A y B\CNWI-VSHP-000050 Rev. A (A89N-F9AFNU-1).pub</v>
      </c>
      <c r="C553" s="5" t="str">
        <f>MID(B553,LEN(B553) - FIND(".",REVERSETEXT(B553))+2,1000)</f>
        <v>pub</v>
      </c>
      <c r="D553" s="6">
        <v>6</v>
      </c>
      <c r="E553" s="7" t="s">
        <v>83</v>
      </c>
      <c r="F553" s="7" t="s">
        <v>22</v>
      </c>
      <c r="G553" s="8" t="s">
        <v>23</v>
      </c>
      <c r="H553" s="8">
        <v>5</v>
      </c>
      <c r="I553" s="8" t="s">
        <v>24</v>
      </c>
      <c r="J553" s="8">
        <v>12</v>
      </c>
      <c r="K553" s="8" t="s">
        <v>663</v>
      </c>
      <c r="L553" s="8">
        <v>3</v>
      </c>
      <c r="M553" s="7" t="s">
        <v>664</v>
      </c>
      <c r="N553" s="13" t="s">
        <v>693</v>
      </c>
      <c r="O553" s="9">
        <v>40595</v>
      </c>
      <c r="P553" s="7" t="s">
        <v>27</v>
      </c>
      <c r="Q553" s="7" t="s">
        <v>694</v>
      </c>
      <c r="R553" s="7" t="s">
        <v>604</v>
      </c>
      <c r="S553" s="8" t="s">
        <v>605</v>
      </c>
      <c r="T553" s="7"/>
      <c r="U553" s="7"/>
      <c r="V553" s="7"/>
    </row>
    <row r="554" spans="1:22">
      <c r="A554" s="5" t="s">
        <v>695</v>
      </c>
      <c r="B554" s="5" t="str">
        <f>GetAddress(A554)</f>
        <v>\\CHNO0276\Aseguranza de Calidad\Control de Documentos\Doc. controlados PDF\Ayudas visuales\Micromini\A y B\CNWI-VSHP-000051 Rev. A (5000110-AY).pub</v>
      </c>
      <c r="C554" s="5" t="str">
        <f>MID(B554,LEN(B554) - FIND(".",REVERSETEXT(B554))+2,1000)</f>
        <v>pub</v>
      </c>
      <c r="D554" s="6">
        <v>6</v>
      </c>
      <c r="E554" s="7" t="s">
        <v>83</v>
      </c>
      <c r="F554" s="7" t="s">
        <v>22</v>
      </c>
      <c r="G554" s="8" t="s">
        <v>23</v>
      </c>
      <c r="H554" s="8">
        <v>5</v>
      </c>
      <c r="I554" s="8" t="s">
        <v>24</v>
      </c>
      <c r="J554" s="8">
        <v>12</v>
      </c>
      <c r="K554" s="8" t="s">
        <v>663</v>
      </c>
      <c r="L554" s="8">
        <v>3</v>
      </c>
      <c r="M554" s="7" t="s">
        <v>664</v>
      </c>
      <c r="N554" s="13" t="s">
        <v>696</v>
      </c>
      <c r="O554" s="9">
        <v>40595</v>
      </c>
      <c r="P554" s="7" t="s">
        <v>27</v>
      </c>
      <c r="Q554" s="7" t="s">
        <v>697</v>
      </c>
      <c r="R554" s="7" t="s">
        <v>604</v>
      </c>
      <c r="S554" s="8" t="s">
        <v>605</v>
      </c>
      <c r="T554" s="7"/>
      <c r="U554" s="7"/>
      <c r="V554" s="7"/>
    </row>
    <row r="555" spans="1:22">
      <c r="A555" s="5" t="s">
        <v>2570</v>
      </c>
      <c r="B555" s="5" t="str">
        <f>GetAddress(A555)</f>
        <v>\\CHNO0276\Aseguranza de Calidad\Control de Documentos\Doc. controlados PDF\Ayudas visuales\Camarillo\Bonding\CNWI-VSHP-000052 Rev. A (002361-0000).pub</v>
      </c>
      <c r="C555" s="5" t="str">
        <f>MID(B555,LEN(B555) - FIND(".",REVERSETEXT(B555))+2,1000)</f>
        <v>pub</v>
      </c>
      <c r="D555" s="6">
        <v>6</v>
      </c>
      <c r="E555" s="7" t="s">
        <v>83</v>
      </c>
      <c r="F555" s="7" t="s">
        <v>22</v>
      </c>
      <c r="G555" s="8" t="s">
        <v>23</v>
      </c>
      <c r="H555" s="8">
        <v>5</v>
      </c>
      <c r="I555" s="8" t="s">
        <v>874</v>
      </c>
      <c r="J555" s="8">
        <v>10</v>
      </c>
      <c r="K555" s="8" t="s">
        <v>967</v>
      </c>
      <c r="L555" s="8">
        <v>10</v>
      </c>
      <c r="M555" s="7" t="s">
        <v>968</v>
      </c>
      <c r="N555" s="13" t="s">
        <v>2571</v>
      </c>
      <c r="O555" s="9">
        <v>40596</v>
      </c>
      <c r="P555" s="7" t="s">
        <v>27</v>
      </c>
      <c r="Q555" s="7" t="s">
        <v>2572</v>
      </c>
      <c r="R555" s="7" t="s">
        <v>2426</v>
      </c>
      <c r="S555" s="8" t="s">
        <v>2427</v>
      </c>
      <c r="T555" s="7" t="s">
        <v>2573</v>
      </c>
      <c r="U555" s="13" t="s">
        <v>1473</v>
      </c>
      <c r="V555" s="7"/>
    </row>
    <row r="556" spans="1:22">
      <c r="A556" s="5" t="s">
        <v>2574</v>
      </c>
      <c r="B556" s="5" t="str">
        <f>GetAddress(A556)</f>
        <v>\\CHNO0276\Aseguranza de Calidad\Control de Documentos\Doc. controlados PDF\Ayudas visuales\Camarillo\Bonding\CNWI-VSHP-000053 Rev. A (002315-0000).pub</v>
      </c>
      <c r="C556" s="5" t="str">
        <f>MID(B556,LEN(B556) - FIND(".",REVERSETEXT(B556))+2,1000)</f>
        <v>pub</v>
      </c>
      <c r="D556" s="6">
        <v>6</v>
      </c>
      <c r="E556" s="7" t="s">
        <v>83</v>
      </c>
      <c r="F556" s="7" t="s">
        <v>22</v>
      </c>
      <c r="G556" s="8" t="s">
        <v>23</v>
      </c>
      <c r="H556" s="8">
        <v>5</v>
      </c>
      <c r="I556" s="8" t="s">
        <v>874</v>
      </c>
      <c r="J556" s="8">
        <v>10</v>
      </c>
      <c r="K556" s="8" t="s">
        <v>967</v>
      </c>
      <c r="L556" s="8">
        <v>10</v>
      </c>
      <c r="M556" s="7" t="s">
        <v>968</v>
      </c>
      <c r="N556" s="13" t="s">
        <v>981</v>
      </c>
      <c r="O556" s="9">
        <v>40596</v>
      </c>
      <c r="P556" s="7" t="s">
        <v>27</v>
      </c>
      <c r="Q556" s="7" t="s">
        <v>2575</v>
      </c>
      <c r="R556" s="7" t="s">
        <v>2426</v>
      </c>
      <c r="S556" s="8" t="s">
        <v>2427</v>
      </c>
      <c r="T556" s="7" t="s">
        <v>2576</v>
      </c>
      <c r="U556" s="13" t="s">
        <v>1473</v>
      </c>
      <c r="V556" s="7"/>
    </row>
    <row r="557" spans="1:22">
      <c r="A557" s="5" t="s">
        <v>698</v>
      </c>
      <c r="B557" s="5" t="str">
        <f>GetAddress(A557)</f>
        <v>\\CHNO0276\Aseguranza de Calidad\Control de Documentos\Doc. controlados PDF\Ayudas visuales\Micromini\A y B\CNWI-VSHP-000054 Rev. A (5000111-Q).pub</v>
      </c>
      <c r="C557" s="5" t="str">
        <f>MID(B557,LEN(B557) - FIND(".",REVERSETEXT(B557))+2,1000)</f>
        <v>pub</v>
      </c>
      <c r="D557" s="6">
        <v>6</v>
      </c>
      <c r="E557" s="7" t="s">
        <v>83</v>
      </c>
      <c r="F557" s="7" t="s">
        <v>22</v>
      </c>
      <c r="G557" s="8" t="s">
        <v>23</v>
      </c>
      <c r="H557" s="8">
        <v>5</v>
      </c>
      <c r="I557" s="8" t="s">
        <v>24</v>
      </c>
      <c r="J557" s="8">
        <v>12</v>
      </c>
      <c r="K557" s="8" t="s">
        <v>663</v>
      </c>
      <c r="L557" s="8">
        <v>3</v>
      </c>
      <c r="M557" s="7" t="s">
        <v>664</v>
      </c>
      <c r="N557" s="13" t="s">
        <v>699</v>
      </c>
      <c r="O557" s="9">
        <v>40595</v>
      </c>
      <c r="P557" s="7" t="s">
        <v>27</v>
      </c>
      <c r="Q557" s="7" t="s">
        <v>700</v>
      </c>
      <c r="R557" s="7" t="s">
        <v>604</v>
      </c>
      <c r="S557" s="8" t="s">
        <v>605</v>
      </c>
      <c r="T557" s="7"/>
      <c r="U557" s="7"/>
      <c r="V557" s="7"/>
    </row>
    <row r="558" spans="1:22">
      <c r="A558" s="5" t="s">
        <v>752</v>
      </c>
      <c r="B558" s="5" t="str">
        <f>GetAddress(A558)</f>
        <v>\\CHNO0276\Aseguranza de Calidad\Control de Documentos\Doc. controlados PDF\Ayudas visuales\Micromini\Change Out\CNWI-VSHP-000055 Rev. A (X8653-GJ).pub</v>
      </c>
      <c r="C558" s="5" t="str">
        <f>MID(B558,LEN(B558) - FIND(".",REVERSETEXT(B558))+2,1000)</f>
        <v>pub</v>
      </c>
      <c r="D558" s="6">
        <v>6</v>
      </c>
      <c r="E558" s="7" t="s">
        <v>83</v>
      </c>
      <c r="F558" s="7" t="s">
        <v>22</v>
      </c>
      <c r="G558" s="8" t="s">
        <v>23</v>
      </c>
      <c r="H558" s="8">
        <v>5</v>
      </c>
      <c r="I558" s="8" t="s">
        <v>24</v>
      </c>
      <c r="J558" s="8">
        <v>12</v>
      </c>
      <c r="K558" s="8" t="s">
        <v>25</v>
      </c>
      <c r="L558" s="8">
        <v>4</v>
      </c>
      <c r="M558" s="7" t="s">
        <v>558</v>
      </c>
      <c r="N558" s="13" t="s">
        <v>753</v>
      </c>
      <c r="O558" s="9">
        <v>40596</v>
      </c>
      <c r="P558" s="7" t="s">
        <v>27</v>
      </c>
      <c r="Q558" s="7" t="s">
        <v>754</v>
      </c>
      <c r="R558" s="7" t="s">
        <v>604</v>
      </c>
      <c r="S558" s="8" t="s">
        <v>605</v>
      </c>
      <c r="T558" s="7"/>
      <c r="U558" s="7"/>
      <c r="V558" s="7"/>
    </row>
    <row r="559" spans="1:22">
      <c r="A559" s="5" t="s">
        <v>755</v>
      </c>
      <c r="B559" s="5" t="str">
        <f>GetAddress(A559)</f>
        <v>\\chno0276\Control de Documentos\Doc. controlados PDF\Ayudas visuales\Micromini\Change Out\CNWI-VSHP-000056 Rev. A (X8653-CX &amp; CW).pub</v>
      </c>
      <c r="C559" s="5" t="str">
        <f>MID(B559,LEN(B559) - FIND(".",REVERSETEXT(B559))+2,1000)</f>
        <v>pub</v>
      </c>
      <c r="D559" s="6">
        <v>6</v>
      </c>
      <c r="E559" s="7" t="s">
        <v>83</v>
      </c>
      <c r="F559" s="7" t="s">
        <v>22</v>
      </c>
      <c r="G559" s="8" t="s">
        <v>23</v>
      </c>
      <c r="H559" s="8">
        <v>5</v>
      </c>
      <c r="I559" s="8" t="s">
        <v>24</v>
      </c>
      <c r="J559" s="8">
        <v>12</v>
      </c>
      <c r="K559" s="8" t="s">
        <v>25</v>
      </c>
      <c r="L559" s="8">
        <v>4</v>
      </c>
      <c r="M559" s="7" t="s">
        <v>558</v>
      </c>
      <c r="N559" s="13" t="s">
        <v>756</v>
      </c>
      <c r="O559" s="9">
        <v>40595</v>
      </c>
      <c r="P559" s="7" t="s">
        <v>27</v>
      </c>
      <c r="Q559" s="7" t="s">
        <v>757</v>
      </c>
      <c r="R559" s="7" t="s">
        <v>604</v>
      </c>
      <c r="S559" s="8" t="s">
        <v>605</v>
      </c>
      <c r="T559" s="7"/>
      <c r="U559" s="7"/>
      <c r="V559" s="7"/>
    </row>
    <row r="560" spans="1:22">
      <c r="A560" s="5" t="s">
        <v>701</v>
      </c>
      <c r="B560" s="5" t="str">
        <f>GetAddress(A560)</f>
        <v>\\CHNO0276\Aseguranza de Calidad\Control de Documentos\Doc. controlados PDF\Ayudas visuales\Micromini\A y B\CNWI-VSHP-000057 Rev. A (PC5RADD-A).pub</v>
      </c>
      <c r="C560" s="5" t="str">
        <f>MID(B560,LEN(B560) - FIND(".",REVERSETEXT(B560))+2,1000)</f>
        <v>pub</v>
      </c>
      <c r="D560" s="6">
        <v>6</v>
      </c>
      <c r="E560" s="7" t="s">
        <v>83</v>
      </c>
      <c r="F560" s="7" t="s">
        <v>22</v>
      </c>
      <c r="G560" s="8" t="s">
        <v>23</v>
      </c>
      <c r="H560" s="8">
        <v>5</v>
      </c>
      <c r="I560" s="8" t="s">
        <v>24</v>
      </c>
      <c r="J560" s="8">
        <v>12</v>
      </c>
      <c r="K560" s="8" t="s">
        <v>663</v>
      </c>
      <c r="L560" s="8">
        <v>3</v>
      </c>
      <c r="M560" s="7" t="s">
        <v>664</v>
      </c>
      <c r="N560" s="13" t="s">
        <v>702</v>
      </c>
      <c r="O560" s="9">
        <v>40597</v>
      </c>
      <c r="P560" s="7" t="s">
        <v>27</v>
      </c>
      <c r="Q560" s="7" t="s">
        <v>703</v>
      </c>
      <c r="R560" s="7" t="s">
        <v>604</v>
      </c>
      <c r="S560" s="8" t="s">
        <v>605</v>
      </c>
      <c r="T560" s="7"/>
      <c r="U560" s="7"/>
      <c r="V560" s="7"/>
    </row>
    <row r="561" spans="1:22">
      <c r="A561" s="5" t="s">
        <v>2577</v>
      </c>
      <c r="B561" s="5" t="str">
        <f>GetAddress(A561)</f>
        <v>\\CHNO0276\Aseguranza de Calidad\Control de Documentos\Doc. controlados PDF\Ayudas visuales\Camarillo\Bonding\CNWI-VSHP-000058 Rev. A (002371-0004M).pub</v>
      </c>
      <c r="C561" s="5" t="str">
        <f>MID(B561,LEN(B561) - FIND(".",REVERSETEXT(B561))+2,1000)</f>
        <v>pub</v>
      </c>
      <c r="D561" s="6">
        <v>6</v>
      </c>
      <c r="E561" s="7" t="s">
        <v>83</v>
      </c>
      <c r="F561" s="7" t="s">
        <v>22</v>
      </c>
      <c r="G561" s="8" t="s">
        <v>23</v>
      </c>
      <c r="H561" s="8">
        <v>5</v>
      </c>
      <c r="I561" s="8" t="s">
        <v>874</v>
      </c>
      <c r="J561" s="8">
        <v>10</v>
      </c>
      <c r="K561" s="8" t="s">
        <v>967</v>
      </c>
      <c r="L561" s="8">
        <v>10</v>
      </c>
      <c r="M561" s="7" t="s">
        <v>968</v>
      </c>
      <c r="N561" s="13" t="s">
        <v>2578</v>
      </c>
      <c r="O561" s="9">
        <v>40598</v>
      </c>
      <c r="P561" s="7" t="s">
        <v>27</v>
      </c>
      <c r="Q561" s="7" t="s">
        <v>2579</v>
      </c>
      <c r="R561" s="7" t="s">
        <v>2426</v>
      </c>
      <c r="S561" s="8" t="s">
        <v>2427</v>
      </c>
      <c r="T561" s="7"/>
      <c r="U561" s="13"/>
      <c r="V561" s="7"/>
    </row>
    <row r="562" spans="1:22">
      <c r="A562" s="5" t="s">
        <v>2580</v>
      </c>
      <c r="B562" s="5" t="str">
        <f>GetAddress(A562)</f>
        <v>\\CHNO0276\Aseguranza de Calidad\Control de Documentos\Doc. controlados PDF\Ayudas visuales\Camarillo\Bonding\CNWI-VSHP-000059 Rev. A (BACT44E-001M).pub</v>
      </c>
      <c r="C562" s="5" t="str">
        <f>MID(B562,LEN(B562) - FIND(".",REVERSETEXT(B562))+2,1000)</f>
        <v>pub</v>
      </c>
      <c r="D562" s="6">
        <v>6</v>
      </c>
      <c r="E562" s="7" t="s">
        <v>83</v>
      </c>
      <c r="F562" s="7" t="s">
        <v>22</v>
      </c>
      <c r="G562" s="8" t="s">
        <v>23</v>
      </c>
      <c r="H562" s="8">
        <v>5</v>
      </c>
      <c r="I562" s="8" t="s">
        <v>874</v>
      </c>
      <c r="J562" s="8">
        <v>10</v>
      </c>
      <c r="K562" s="8" t="s">
        <v>967</v>
      </c>
      <c r="L562" s="8">
        <v>10</v>
      </c>
      <c r="M562" s="7" t="s">
        <v>968</v>
      </c>
      <c r="N562" s="13" t="s">
        <v>2581</v>
      </c>
      <c r="O562" s="9">
        <v>40598</v>
      </c>
      <c r="P562" s="7" t="s">
        <v>27</v>
      </c>
      <c r="Q562" s="7" t="s">
        <v>2582</v>
      </c>
      <c r="R562" s="7" t="s">
        <v>2426</v>
      </c>
      <c r="S562" s="8" t="s">
        <v>2427</v>
      </c>
      <c r="T562" s="7"/>
      <c r="U562" s="13"/>
      <c r="V562" s="7"/>
    </row>
    <row r="563" spans="1:22">
      <c r="A563" s="5" t="s">
        <v>758</v>
      </c>
      <c r="B563" s="5" t="str">
        <f>GetAddress(A563)</f>
        <v>\\CHNO0276\Aseguranza de Calidad\Control de Documentos\Doc. controlados PDF\Ayudas visuales\Micromini\Change Out\CNWI-VSHP-000060 Rev. A (X8653-GV).pub</v>
      </c>
      <c r="C563" s="5" t="str">
        <f>MID(B563,LEN(B563) - FIND(".",REVERSETEXT(B563))+2,1000)</f>
        <v>pub</v>
      </c>
      <c r="D563" s="6">
        <v>6</v>
      </c>
      <c r="E563" s="7" t="s">
        <v>83</v>
      </c>
      <c r="F563" s="7" t="s">
        <v>22</v>
      </c>
      <c r="G563" s="8" t="s">
        <v>23</v>
      </c>
      <c r="H563" s="8">
        <v>5</v>
      </c>
      <c r="I563" s="8" t="s">
        <v>24</v>
      </c>
      <c r="J563" s="8">
        <v>12</v>
      </c>
      <c r="K563" s="8" t="s">
        <v>25</v>
      </c>
      <c r="L563" s="8">
        <v>4</v>
      </c>
      <c r="M563" s="7" t="s">
        <v>558</v>
      </c>
      <c r="N563" s="13" t="s">
        <v>759</v>
      </c>
      <c r="O563" s="9">
        <v>40598</v>
      </c>
      <c r="P563" s="7" t="s">
        <v>27</v>
      </c>
      <c r="Q563" s="7" t="s">
        <v>760</v>
      </c>
      <c r="R563" s="7" t="s">
        <v>604</v>
      </c>
      <c r="S563" s="8" t="s">
        <v>605</v>
      </c>
      <c r="T563" s="7"/>
      <c r="U563" s="7"/>
      <c r="V563" s="7"/>
    </row>
    <row r="564" spans="1:22">
      <c r="A564" s="5" t="s">
        <v>704</v>
      </c>
      <c r="B564" s="5" t="str">
        <f>GetAddress(A564)</f>
        <v>\\chno0276\Control de Documentos\Doc. controlados PDF\Ayudas visuales\Micromini\A y B\CNWI-VSHP-000061 Rev. A (PC5QADD-A).pub</v>
      </c>
      <c r="C564" s="5" t="str">
        <f>MID(B564,LEN(B564) - FIND(".",REVERSETEXT(B564))+2,1000)</f>
        <v>pub</v>
      </c>
      <c r="D564" s="6">
        <v>6</v>
      </c>
      <c r="E564" s="7" t="s">
        <v>83</v>
      </c>
      <c r="F564" s="7" t="s">
        <v>22</v>
      </c>
      <c r="G564" s="8" t="s">
        <v>23</v>
      </c>
      <c r="H564" s="8">
        <v>5</v>
      </c>
      <c r="I564" s="8" t="s">
        <v>24</v>
      </c>
      <c r="J564" s="8">
        <v>12</v>
      </c>
      <c r="K564" s="8" t="s">
        <v>663</v>
      </c>
      <c r="L564" s="8">
        <v>3</v>
      </c>
      <c r="M564" s="7" t="s">
        <v>664</v>
      </c>
      <c r="N564" s="13" t="s">
        <v>705</v>
      </c>
      <c r="O564" s="9">
        <v>40598</v>
      </c>
      <c r="P564" s="7" t="s">
        <v>27</v>
      </c>
      <c r="Q564" s="7" t="s">
        <v>706</v>
      </c>
      <c r="R564" s="7" t="s">
        <v>604</v>
      </c>
      <c r="S564" s="8" t="s">
        <v>605</v>
      </c>
      <c r="T564" s="7"/>
      <c r="U564" s="7"/>
      <c r="V564" s="7"/>
    </row>
    <row r="565" spans="1:22">
      <c r="A565" s="5" t="s">
        <v>761</v>
      </c>
      <c r="B565" s="5" t="str">
        <f>GetAddress(A565)</f>
        <v>\\CHNO0276\Aseguranza de Calidad\Control de Documentos\Doc. controlados PDF\Ayudas visuales\Micromini\Change Out\CNWI-VSHP-000062 Rev. A (X8653-KL).pub</v>
      </c>
      <c r="C565" s="5" t="str">
        <f>MID(B565,LEN(B565) - FIND(".",REVERSETEXT(B565))+2,1000)</f>
        <v>pub</v>
      </c>
      <c r="D565" s="6">
        <v>6</v>
      </c>
      <c r="E565" s="7" t="s">
        <v>83</v>
      </c>
      <c r="F565" s="7" t="s">
        <v>22</v>
      </c>
      <c r="G565" s="8" t="s">
        <v>23</v>
      </c>
      <c r="H565" s="8">
        <v>5</v>
      </c>
      <c r="I565" s="8" t="s">
        <v>24</v>
      </c>
      <c r="J565" s="8">
        <v>12</v>
      </c>
      <c r="K565" s="8" t="s">
        <v>25</v>
      </c>
      <c r="L565" s="8">
        <v>4</v>
      </c>
      <c r="M565" s="7" t="s">
        <v>558</v>
      </c>
      <c r="N565" s="13" t="s">
        <v>762</v>
      </c>
      <c r="O565" s="9">
        <v>40598</v>
      </c>
      <c r="P565" s="7" t="s">
        <v>27</v>
      </c>
      <c r="Q565" s="7" t="s">
        <v>763</v>
      </c>
      <c r="R565" s="7" t="s">
        <v>604</v>
      </c>
      <c r="S565" s="8" t="s">
        <v>605</v>
      </c>
      <c r="T565" s="7"/>
      <c r="U565" s="7"/>
      <c r="V565" s="7"/>
    </row>
    <row r="566" spans="1:22">
      <c r="A566" s="5" t="s">
        <v>707</v>
      </c>
      <c r="B566" s="5" t="str">
        <f>GetAddress(A566)</f>
        <v>\\CHNO0276\Aseguranza de Calidad\Control de Documentos\Doc. controlados PDF\Ayudas visuales\Micromini\A y B\CNWI-VSHP-000063 Rev. A (X8987-CB).pub</v>
      </c>
      <c r="C566" s="5" t="str">
        <f>MID(B566,LEN(B566) - FIND(".",REVERSETEXT(B566))+2,1000)</f>
        <v>pub</v>
      </c>
      <c r="D566" s="6">
        <v>6</v>
      </c>
      <c r="E566" s="7" t="s">
        <v>83</v>
      </c>
      <c r="F566" s="7" t="s">
        <v>22</v>
      </c>
      <c r="G566" s="8" t="s">
        <v>23</v>
      </c>
      <c r="H566" s="8">
        <v>5</v>
      </c>
      <c r="I566" s="8" t="s">
        <v>24</v>
      </c>
      <c r="J566" s="8">
        <v>12</v>
      </c>
      <c r="K566" s="8" t="s">
        <v>663</v>
      </c>
      <c r="L566" s="8">
        <v>3</v>
      </c>
      <c r="M566" s="7" t="s">
        <v>664</v>
      </c>
      <c r="N566" s="13" t="s">
        <v>708</v>
      </c>
      <c r="O566" s="9">
        <v>40598</v>
      </c>
      <c r="P566" s="7" t="s">
        <v>27</v>
      </c>
      <c r="Q566" s="7" t="s">
        <v>709</v>
      </c>
      <c r="R566" s="7" t="s">
        <v>604</v>
      </c>
      <c r="S566" s="8" t="s">
        <v>605</v>
      </c>
      <c r="T566" s="7"/>
      <c r="U566" s="7"/>
      <c r="V566" s="7"/>
    </row>
    <row r="567" spans="1:22">
      <c r="A567" s="5" t="s">
        <v>710</v>
      </c>
      <c r="B567" s="5" t="str">
        <f>GetAddress(A567)</f>
        <v>\\CHNO0276\Aseguranza de Calidad\Control de Documentos\Doc. controlados PDF\Ayudas visuales\Micromini\A y B\CNWI-VSHP-000064 Rev. A (X8987-T).pub</v>
      </c>
      <c r="C567" s="5" t="str">
        <f>MID(B567,LEN(B567) - FIND(".",REVERSETEXT(B567))+2,1000)</f>
        <v>pub</v>
      </c>
      <c r="D567" s="6">
        <v>6</v>
      </c>
      <c r="E567" s="7" t="s">
        <v>83</v>
      </c>
      <c r="F567" s="7" t="s">
        <v>22</v>
      </c>
      <c r="G567" s="8" t="s">
        <v>23</v>
      </c>
      <c r="H567" s="8">
        <v>5</v>
      </c>
      <c r="I567" s="8" t="s">
        <v>24</v>
      </c>
      <c r="J567" s="8">
        <v>12</v>
      </c>
      <c r="K567" s="8" t="s">
        <v>663</v>
      </c>
      <c r="L567" s="8">
        <v>3</v>
      </c>
      <c r="M567" s="7" t="s">
        <v>664</v>
      </c>
      <c r="N567" s="13" t="s">
        <v>711</v>
      </c>
      <c r="O567" s="9">
        <v>40603</v>
      </c>
      <c r="P567" s="7" t="s">
        <v>27</v>
      </c>
      <c r="Q567" s="7" t="s">
        <v>712</v>
      </c>
      <c r="R567" s="7" t="s">
        <v>604</v>
      </c>
      <c r="S567" s="8" t="s">
        <v>605</v>
      </c>
      <c r="T567" s="7"/>
      <c r="U567" s="7"/>
      <c r="V567" s="7"/>
    </row>
    <row r="568" spans="1:22">
      <c r="A568" s="5" t="s">
        <v>622</v>
      </c>
      <c r="B568" s="5" t="str">
        <f>GetAddress(A568)</f>
        <v>\\CHNO0276\Aseguranza de Calidad\Control de Documentos\Doc. controlados PDF\Ayudas visuales\Micromini\General\CNWI-VSHP-000065 Rev. A (Prueba electric Mayor a 2000V 2-12 cond).pub</v>
      </c>
      <c r="C568" s="5" t="str">
        <f>MID(B568,LEN(B568) - FIND(".",REVERSETEXT(B568))+2,1000)</f>
        <v>pub</v>
      </c>
      <c r="D568" s="6">
        <v>6</v>
      </c>
      <c r="E568" s="7" t="s">
        <v>83</v>
      </c>
      <c r="F568" s="7" t="s">
        <v>22</v>
      </c>
      <c r="G568" s="8" t="s">
        <v>23</v>
      </c>
      <c r="H568" s="8">
        <v>5</v>
      </c>
      <c r="I568" s="8" t="s">
        <v>84</v>
      </c>
      <c r="J568" s="8">
        <v>33</v>
      </c>
      <c r="K568" s="8" t="s">
        <v>85</v>
      </c>
      <c r="L568" s="8">
        <v>28</v>
      </c>
      <c r="M568" s="7" t="s">
        <v>86</v>
      </c>
      <c r="N568" s="13" t="s">
        <v>623</v>
      </c>
      <c r="O568" s="9">
        <v>40639</v>
      </c>
      <c r="P568" s="7" t="s">
        <v>27</v>
      </c>
      <c r="Q568" s="7" t="s">
        <v>88</v>
      </c>
      <c r="R568" s="7" t="s">
        <v>604</v>
      </c>
      <c r="S568" s="8" t="s">
        <v>605</v>
      </c>
      <c r="T568" s="7" t="s">
        <v>624</v>
      </c>
      <c r="U568" s="7" t="s">
        <v>90</v>
      </c>
      <c r="V568" s="7"/>
    </row>
    <row r="569" spans="1:22">
      <c r="A569" s="5" t="s">
        <v>82</v>
      </c>
      <c r="B569" s="5" t="str">
        <f>GetAddress(A569)</f>
        <v>\\CHNO0276\Aseguranza de Calidad\Control de Documentos\Doc. controlados PDF\Ayudas visuales\Micromini\General\CNWI-VSHP-000066 Rev. A (LIMPIEZA DE CHEMLOK).pub</v>
      </c>
      <c r="C569" s="5" t="str">
        <f>MID(B569,LEN(B569) - FIND(".",REVERSETEXT(B569))+2,1000)</f>
        <v>pub</v>
      </c>
      <c r="D569" s="6">
        <v>6</v>
      </c>
      <c r="E569" s="7" t="s">
        <v>83</v>
      </c>
      <c r="F569" s="7" t="s">
        <v>22</v>
      </c>
      <c r="G569" s="8" t="s">
        <v>23</v>
      </c>
      <c r="H569" s="8">
        <v>5</v>
      </c>
      <c r="I569" s="8" t="s">
        <v>84</v>
      </c>
      <c r="J569" s="8">
        <v>33</v>
      </c>
      <c r="K569" s="8" t="s">
        <v>85</v>
      </c>
      <c r="L569" s="8">
        <v>28</v>
      </c>
      <c r="M569" s="7" t="s">
        <v>86</v>
      </c>
      <c r="N569" s="13" t="s">
        <v>87</v>
      </c>
      <c r="O569" s="9">
        <v>40599</v>
      </c>
      <c r="P569" s="7" t="s">
        <v>27</v>
      </c>
      <c r="Q569" s="7" t="s">
        <v>88</v>
      </c>
      <c r="R569" s="7" t="s">
        <v>62</v>
      </c>
      <c r="S569" s="8" t="s">
        <v>63</v>
      </c>
      <c r="T569" s="7" t="s">
        <v>89</v>
      </c>
      <c r="U569" s="7" t="s">
        <v>90</v>
      </c>
      <c r="V569" s="7"/>
    </row>
    <row r="570" spans="1:22">
      <c r="A570" s="5" t="s">
        <v>2709</v>
      </c>
      <c r="B570" s="5" t="str">
        <f>GetAddress(A570)</f>
        <v>\\CHNO0276\Aseguranza de Calidad\Control de Documentos\Doc. controlados PDF\Ayudas visuales\Camarillo\Itron\CNWI-VSHP-000067 Rev. A  (Set Up Maquina The Shot Gun).pub</v>
      </c>
      <c r="C570" s="5" t="str">
        <f>MID(B570,LEN(B570) - FIND(".",REVERSETEXT(B570))+2,1000)</f>
        <v>pub</v>
      </c>
      <c r="D570" s="6">
        <v>6</v>
      </c>
      <c r="E570" s="7" t="s">
        <v>83</v>
      </c>
      <c r="F570" s="7" t="s">
        <v>22</v>
      </c>
      <c r="G570" s="8" t="s">
        <v>23</v>
      </c>
      <c r="H570" s="8">
        <v>5</v>
      </c>
      <c r="I570" s="8" t="s">
        <v>257</v>
      </c>
      <c r="J570" s="8">
        <v>9</v>
      </c>
      <c r="K570" s="8" t="s">
        <v>258</v>
      </c>
      <c r="L570" s="8">
        <v>8</v>
      </c>
      <c r="M570" s="7" t="s">
        <v>259</v>
      </c>
      <c r="N570" s="13" t="s">
        <v>2710</v>
      </c>
      <c r="O570" s="9">
        <v>40602</v>
      </c>
      <c r="P570" s="7" t="s">
        <v>27</v>
      </c>
      <c r="Q570" s="7" t="s">
        <v>28</v>
      </c>
      <c r="R570" s="7" t="s">
        <v>2426</v>
      </c>
      <c r="S570" s="8" t="s">
        <v>2427</v>
      </c>
      <c r="T570" s="7" t="s">
        <v>610</v>
      </c>
      <c r="U570" s="13" t="s">
        <v>1473</v>
      </c>
      <c r="V570" s="7"/>
    </row>
    <row r="571" spans="1:22">
      <c r="A571" s="5" t="s">
        <v>2659</v>
      </c>
      <c r="B571" s="5" t="str">
        <f>GetAddress(A571)</f>
        <v>\\CHNO0276\Aseguranza de Calidad\Control de Documentos\Doc. controlados PDF\Ayudas visuales\Camarillo\Ensamble general\CNWI-VSHP-000068 Rev. A (002284-0000).pub</v>
      </c>
      <c r="C571" s="5" t="str">
        <f>MID(B571,LEN(B571) - FIND(".",REVERSETEXT(B571))+2,1000)</f>
        <v>pub</v>
      </c>
      <c r="D571" s="6">
        <v>6</v>
      </c>
      <c r="E571" s="7" t="s">
        <v>83</v>
      </c>
      <c r="F571" s="7" t="s">
        <v>22</v>
      </c>
      <c r="G571" s="8" t="s">
        <v>23</v>
      </c>
      <c r="H571" s="8">
        <v>5</v>
      </c>
      <c r="I571" s="8" t="s">
        <v>2126</v>
      </c>
      <c r="J571" s="8">
        <v>36</v>
      </c>
      <c r="K571" s="8" t="s">
        <v>2126</v>
      </c>
      <c r="L571" s="8">
        <v>26</v>
      </c>
      <c r="M571" s="7" t="s">
        <v>2127</v>
      </c>
      <c r="N571" s="13" t="s">
        <v>2660</v>
      </c>
      <c r="O571" s="9">
        <v>40602</v>
      </c>
      <c r="P571" s="7" t="s">
        <v>27</v>
      </c>
      <c r="Q571" s="7" t="s">
        <v>2661</v>
      </c>
      <c r="R571" s="7" t="s">
        <v>2426</v>
      </c>
      <c r="S571" s="8" t="s">
        <v>2427</v>
      </c>
      <c r="T571" s="7" t="s">
        <v>2662</v>
      </c>
      <c r="U571" s="7" t="s">
        <v>479</v>
      </c>
      <c r="V571" s="7"/>
    </row>
    <row r="572" spans="1:22">
      <c r="A572" s="5" t="s">
        <v>793</v>
      </c>
      <c r="B572" s="5" t="str">
        <f>GetAddress(A572)</f>
        <v>\\CHNO0276\Aseguranza de Calidad\Control de Documentos\Doc. controlados PDF\Ayudas visuales\Micromini\Potted\CNWI-VSHP-000069 Rev. A (5000129-Q).pub</v>
      </c>
      <c r="C572" s="5" t="str">
        <f>MID(B572,LEN(B572) - FIND(".",REVERSETEXT(B572))+2,1000)</f>
        <v>pub</v>
      </c>
      <c r="D572" s="6">
        <v>6</v>
      </c>
      <c r="E572" s="7" t="s">
        <v>83</v>
      </c>
      <c r="F572" s="7" t="s">
        <v>22</v>
      </c>
      <c r="G572" s="8" t="s">
        <v>23</v>
      </c>
      <c r="H572" s="8">
        <v>5</v>
      </c>
      <c r="I572" s="8" t="s">
        <v>24</v>
      </c>
      <c r="J572" s="8">
        <v>12</v>
      </c>
      <c r="K572" s="8" t="s">
        <v>129</v>
      </c>
      <c r="L572" s="8">
        <v>18</v>
      </c>
      <c r="M572" s="7" t="s">
        <v>130</v>
      </c>
      <c r="N572" s="13" t="s">
        <v>794</v>
      </c>
      <c r="O572" s="9">
        <v>40602</v>
      </c>
      <c r="P572" s="7" t="s">
        <v>27</v>
      </c>
      <c r="Q572" s="7" t="s">
        <v>795</v>
      </c>
      <c r="R572" s="7" t="s">
        <v>604</v>
      </c>
      <c r="S572" s="8" t="s">
        <v>605</v>
      </c>
      <c r="T572" s="7"/>
      <c r="U572" s="7"/>
      <c r="V572" s="7"/>
    </row>
    <row r="573" spans="1:22">
      <c r="A573" s="5" t="s">
        <v>796</v>
      </c>
      <c r="B573" s="5" t="str">
        <f>GetAddress(A573)</f>
        <v>\\CHNO0276\Aseguranza de Calidad\Control de Documentos\Doc. controlados PDF\Ayudas visuales\Micromini\Potted\CNWI-VSHP-000070 Rev. A (5000108-D).pub</v>
      </c>
      <c r="C573" s="5" t="str">
        <f>MID(B573,LEN(B573) - FIND(".",REVERSETEXT(B573))+2,1000)</f>
        <v>pub</v>
      </c>
      <c r="D573" s="6">
        <v>6</v>
      </c>
      <c r="E573" s="7" t="s">
        <v>83</v>
      </c>
      <c r="F573" s="7" t="s">
        <v>22</v>
      </c>
      <c r="G573" s="8" t="s">
        <v>23</v>
      </c>
      <c r="H573" s="8">
        <v>5</v>
      </c>
      <c r="I573" s="8" t="s">
        <v>24</v>
      </c>
      <c r="J573" s="8">
        <v>12</v>
      </c>
      <c r="K573" s="8" t="s">
        <v>129</v>
      </c>
      <c r="L573" s="8">
        <v>18</v>
      </c>
      <c r="M573" s="7" t="s">
        <v>130</v>
      </c>
      <c r="N573" s="13" t="s">
        <v>797</v>
      </c>
      <c r="O573" s="9">
        <v>40602</v>
      </c>
      <c r="P573" s="7" t="s">
        <v>27</v>
      </c>
      <c r="Q573" s="7" t="s">
        <v>798</v>
      </c>
      <c r="R573" s="7" t="s">
        <v>604</v>
      </c>
      <c r="S573" s="8" t="s">
        <v>605</v>
      </c>
      <c r="T573" s="7"/>
      <c r="U573" s="7"/>
      <c r="V573" s="7"/>
    </row>
    <row r="574" spans="1:22">
      <c r="A574" s="5" t="s">
        <v>799</v>
      </c>
      <c r="B574" s="5" t="str">
        <f>GetAddress(A574)</f>
        <v>\\CHNO0276\Aseguranza de Calidad\Control de Documentos\Doc. controlados PDF\Ayudas visuales\Micromini\Potted\CNWI-VSHP-000071 Rev. A (5000111-GZ).pub</v>
      </c>
      <c r="C574" s="5" t="str">
        <f>MID(B574,LEN(B574) - FIND(".",REVERSETEXT(B574))+2,1000)</f>
        <v>pub</v>
      </c>
      <c r="D574" s="6">
        <v>6</v>
      </c>
      <c r="E574" s="7" t="s">
        <v>83</v>
      </c>
      <c r="F574" s="7" t="s">
        <v>22</v>
      </c>
      <c r="G574" s="8" t="s">
        <v>23</v>
      </c>
      <c r="H574" s="8">
        <v>5</v>
      </c>
      <c r="I574" s="8" t="s">
        <v>24</v>
      </c>
      <c r="J574" s="8">
        <v>12</v>
      </c>
      <c r="K574" s="8" t="s">
        <v>129</v>
      </c>
      <c r="L574" s="8">
        <v>18</v>
      </c>
      <c r="M574" s="7" t="s">
        <v>130</v>
      </c>
      <c r="N574" s="13" t="s">
        <v>800</v>
      </c>
      <c r="O574" s="9">
        <v>40602</v>
      </c>
      <c r="P574" s="7" t="s">
        <v>27</v>
      </c>
      <c r="Q574" s="7" t="s">
        <v>801</v>
      </c>
      <c r="R574" s="7" t="s">
        <v>604</v>
      </c>
      <c r="S574" s="8" t="s">
        <v>605</v>
      </c>
      <c r="T574" s="7"/>
      <c r="U574" s="7"/>
      <c r="V574" s="7"/>
    </row>
    <row r="575" spans="1:22">
      <c r="A575" s="5" t="s">
        <v>713</v>
      </c>
      <c r="B575" s="5" t="str">
        <f>GetAddress(A575)</f>
        <v>\\CHNO0276\Aseguranza de Calidad\Control de Documentos\Doc. controlados PDF\Ayudas visuales\Micromini\A y B\CNWI-VSHP-000072 Rev. A (5000118-JC).pub</v>
      </c>
      <c r="C575" s="5" t="str">
        <f>MID(B575,LEN(B575) - FIND(".",REVERSETEXT(B575))+2,1000)</f>
        <v>pub</v>
      </c>
      <c r="D575" s="6">
        <v>6</v>
      </c>
      <c r="E575" s="7" t="s">
        <v>83</v>
      </c>
      <c r="F575" s="7" t="s">
        <v>22</v>
      </c>
      <c r="G575" s="8" t="s">
        <v>23</v>
      </c>
      <c r="H575" s="8">
        <v>5</v>
      </c>
      <c r="I575" s="8" t="s">
        <v>24</v>
      </c>
      <c r="J575" s="8">
        <v>12</v>
      </c>
      <c r="K575" s="8" t="s">
        <v>663</v>
      </c>
      <c r="L575" s="8">
        <v>3</v>
      </c>
      <c r="M575" s="7" t="s">
        <v>664</v>
      </c>
      <c r="N575" s="13" t="s">
        <v>714</v>
      </c>
      <c r="O575" s="9">
        <v>40602</v>
      </c>
      <c r="P575" s="7" t="s">
        <v>27</v>
      </c>
      <c r="Q575" s="7" t="s">
        <v>715</v>
      </c>
      <c r="R575" s="7" t="s">
        <v>604</v>
      </c>
      <c r="S575" s="8" t="s">
        <v>605</v>
      </c>
      <c r="T575" s="7"/>
      <c r="U575" s="7"/>
      <c r="V575" s="7"/>
    </row>
    <row r="576" spans="1:22">
      <c r="A576" s="5" t="s">
        <v>802</v>
      </c>
      <c r="B576" s="5" t="str">
        <f>GetAddress(A576)</f>
        <v>\\CHNO0276\Aseguranza de Calidad\Control de Documentos\Doc. controlados PDF\Ayudas visuales\Micromini\Potted\CNWI-VSHP-000073 Rev. A (5000129-CD).pub</v>
      </c>
      <c r="C576" s="5" t="str">
        <f>MID(B576,LEN(B576) - FIND(".",REVERSETEXT(B576))+2,1000)</f>
        <v>pub</v>
      </c>
      <c r="D576" s="6">
        <v>6</v>
      </c>
      <c r="E576" s="7" t="s">
        <v>83</v>
      </c>
      <c r="F576" s="7" t="s">
        <v>22</v>
      </c>
      <c r="G576" s="8" t="s">
        <v>23</v>
      </c>
      <c r="H576" s="8">
        <v>5</v>
      </c>
      <c r="I576" s="8" t="s">
        <v>24</v>
      </c>
      <c r="J576" s="8">
        <v>12</v>
      </c>
      <c r="K576" s="8" t="s">
        <v>129</v>
      </c>
      <c r="L576" s="8">
        <v>18</v>
      </c>
      <c r="M576" s="7" t="s">
        <v>130</v>
      </c>
      <c r="N576" s="13" t="s">
        <v>803</v>
      </c>
      <c r="O576" s="9">
        <v>40603</v>
      </c>
      <c r="P576" s="7" t="s">
        <v>27</v>
      </c>
      <c r="Q576" s="7" t="s">
        <v>804</v>
      </c>
      <c r="R576" s="7" t="s">
        <v>604</v>
      </c>
      <c r="S576" s="8" t="s">
        <v>605</v>
      </c>
      <c r="T576" s="7"/>
      <c r="U576" s="7"/>
      <c r="V576" s="7"/>
    </row>
    <row r="577" spans="1:22">
      <c r="A577" s="5" t="s">
        <v>716</v>
      </c>
      <c r="B577" s="5" t="str">
        <f>GetAddress(A577)</f>
        <v>\\CHNO0276\Aseguranza de Calidad\Control de Documentos\Doc. controlados PDF\Ayudas visuales\Micromini\A y B\CNWI-VSHP-000074 Rev. A (5000135-Z).pub</v>
      </c>
      <c r="C577" s="5" t="str">
        <f>MID(B577,LEN(B577) - FIND(".",REVERSETEXT(B577))+2,1000)</f>
        <v>pub</v>
      </c>
      <c r="D577" s="6">
        <v>6</v>
      </c>
      <c r="E577" s="7" t="s">
        <v>83</v>
      </c>
      <c r="F577" s="7" t="s">
        <v>22</v>
      </c>
      <c r="G577" s="8" t="s">
        <v>23</v>
      </c>
      <c r="H577" s="8">
        <v>5</v>
      </c>
      <c r="I577" s="8" t="s">
        <v>24</v>
      </c>
      <c r="J577" s="8">
        <v>12</v>
      </c>
      <c r="K577" s="8" t="s">
        <v>663</v>
      </c>
      <c r="L577" s="8">
        <v>3</v>
      </c>
      <c r="M577" s="7" t="s">
        <v>664</v>
      </c>
      <c r="N577" s="13" t="s">
        <v>717</v>
      </c>
      <c r="O577" s="9">
        <v>40602</v>
      </c>
      <c r="P577" s="7" t="s">
        <v>27</v>
      </c>
      <c r="Q577" s="7" t="s">
        <v>718</v>
      </c>
      <c r="R577" s="7" t="s">
        <v>604</v>
      </c>
      <c r="S577" s="8" t="s">
        <v>605</v>
      </c>
      <c r="T577" s="7"/>
      <c r="U577" s="7"/>
      <c r="V577" s="7"/>
    </row>
    <row r="578" spans="1:22">
      <c r="A578" s="5" t="s">
        <v>805</v>
      </c>
      <c r="B578" s="5" t="str">
        <f>GetAddress(A578)</f>
        <v>\\CHNO0276\Aseguranza de Calidad\Control de Documentos\Doc. controlados PDF\Ayudas visuales\Micromini\Potted\CNWI-VSHP-000075 Rev. A (A88N-D4AF1-1F).pub</v>
      </c>
      <c r="C578" s="5" t="str">
        <f>MID(B578,LEN(B578) - FIND(".",REVERSETEXT(B578))+2,1000)</f>
        <v>pub</v>
      </c>
      <c r="D578" s="6">
        <v>6</v>
      </c>
      <c r="E578" s="7" t="s">
        <v>83</v>
      </c>
      <c r="F578" s="7" t="s">
        <v>22</v>
      </c>
      <c r="G578" s="8" t="s">
        <v>23</v>
      </c>
      <c r="H578" s="8">
        <v>5</v>
      </c>
      <c r="I578" s="8" t="s">
        <v>24</v>
      </c>
      <c r="J578" s="8">
        <v>12</v>
      </c>
      <c r="K578" s="8" t="s">
        <v>129</v>
      </c>
      <c r="L578" s="8">
        <v>18</v>
      </c>
      <c r="M578" s="7" t="s">
        <v>130</v>
      </c>
      <c r="N578" s="13" t="s">
        <v>806</v>
      </c>
      <c r="O578" s="9">
        <v>40602</v>
      </c>
      <c r="P578" s="7" t="s">
        <v>27</v>
      </c>
      <c r="Q578" s="7" t="s">
        <v>807</v>
      </c>
      <c r="R578" s="7" t="s">
        <v>604</v>
      </c>
      <c r="S578" s="8" t="s">
        <v>605</v>
      </c>
      <c r="T578" s="7"/>
      <c r="U578" s="7"/>
      <c r="V578" s="7"/>
    </row>
    <row r="579" spans="1:22">
      <c r="A579" s="5" t="s">
        <v>808</v>
      </c>
      <c r="B579" s="5" t="str">
        <f>GetAddress(A579)</f>
        <v>\\CHNO0276\Aseguranza de Calidad\Control de Documentos\Doc. controlados PDF\Ayudas visuales\Micromini\Potted\CNWI-VSHP-000076 Rev. A (33165821A).pub</v>
      </c>
      <c r="C579" s="5" t="str">
        <f>MID(B579,LEN(B579) - FIND(".",REVERSETEXT(B579))+2,1000)</f>
        <v>pub</v>
      </c>
      <c r="D579" s="6">
        <v>6</v>
      </c>
      <c r="E579" s="7" t="s">
        <v>83</v>
      </c>
      <c r="F579" s="7" t="s">
        <v>22</v>
      </c>
      <c r="G579" s="8" t="s">
        <v>23</v>
      </c>
      <c r="H579" s="8">
        <v>5</v>
      </c>
      <c r="I579" s="8" t="s">
        <v>24</v>
      </c>
      <c r="J579" s="8">
        <v>12</v>
      </c>
      <c r="K579" s="8" t="s">
        <v>129</v>
      </c>
      <c r="L579" s="8">
        <v>18</v>
      </c>
      <c r="M579" s="7" t="s">
        <v>130</v>
      </c>
      <c r="N579" s="13" t="s">
        <v>809</v>
      </c>
      <c r="O579" s="9">
        <v>40602</v>
      </c>
      <c r="P579" s="7" t="s">
        <v>27</v>
      </c>
      <c r="Q579" s="7" t="s">
        <v>810</v>
      </c>
      <c r="R579" s="7" t="s">
        <v>604</v>
      </c>
      <c r="S579" s="8" t="s">
        <v>605</v>
      </c>
      <c r="T579" s="7"/>
      <c r="U579" s="7"/>
      <c r="V579" s="7"/>
    </row>
    <row r="580" spans="1:22">
      <c r="A580" s="5" t="s">
        <v>719</v>
      </c>
      <c r="B580" s="5" t="str">
        <f>GetAddress(A580)</f>
        <v>\\CHNO0276\Aseguranza de Calidad\Control de Documentos\Doc. controlados PDF\Ayudas visuales\Micromini\A y B\CNWI-VSHP-000077 Rev. A (A89N-R12AF-5).pub</v>
      </c>
      <c r="C580" s="5" t="str">
        <f>MID(B580,LEN(B580) - FIND(".",REVERSETEXT(B580))+2,1000)</f>
        <v>pub</v>
      </c>
      <c r="D580" s="6">
        <v>6</v>
      </c>
      <c r="E580" s="7" t="s">
        <v>83</v>
      </c>
      <c r="F580" s="7" t="s">
        <v>22</v>
      </c>
      <c r="G580" s="8" t="s">
        <v>23</v>
      </c>
      <c r="H580" s="8">
        <v>5</v>
      </c>
      <c r="I580" s="8" t="s">
        <v>24</v>
      </c>
      <c r="J580" s="8">
        <v>12</v>
      </c>
      <c r="K580" s="8" t="s">
        <v>663</v>
      </c>
      <c r="L580" s="8">
        <v>3</v>
      </c>
      <c r="M580" s="7" t="s">
        <v>664</v>
      </c>
      <c r="N580" s="13" t="s">
        <v>720</v>
      </c>
      <c r="O580" s="9">
        <v>40602</v>
      </c>
      <c r="P580" s="7" t="s">
        <v>27</v>
      </c>
      <c r="Q580" s="7" t="s">
        <v>721</v>
      </c>
      <c r="R580" s="7" t="s">
        <v>604</v>
      </c>
      <c r="S580" s="8" t="s">
        <v>605</v>
      </c>
      <c r="T580" s="7"/>
      <c r="U580" s="7"/>
      <c r="V580" s="7"/>
    </row>
    <row r="581" spans="1:22">
      <c r="A581" s="5" t="s">
        <v>811</v>
      </c>
      <c r="B581" s="5" t="str">
        <f>GetAddress(A581)</f>
        <v>\\CHNO0276\Aseguranza de Calidad\Control de Documentos\Doc. controlados PDF\Ayudas visuales\Micromini\Potted\CNWI-VSHP-000078 Rev. B (5000110-Y).pub</v>
      </c>
      <c r="C581" s="5" t="str">
        <f>MID(B581,LEN(B581) - FIND(".",REVERSETEXT(B581))+2,1000)</f>
        <v>pub</v>
      </c>
      <c r="D581" s="6">
        <v>6</v>
      </c>
      <c r="E581" s="7" t="s">
        <v>83</v>
      </c>
      <c r="F581" s="7" t="s">
        <v>22</v>
      </c>
      <c r="G581" s="8" t="s">
        <v>23</v>
      </c>
      <c r="H581" s="8">
        <v>5</v>
      </c>
      <c r="I581" s="8" t="s">
        <v>24</v>
      </c>
      <c r="J581" s="8">
        <v>12</v>
      </c>
      <c r="K581" s="8" t="s">
        <v>129</v>
      </c>
      <c r="L581" s="8">
        <v>18</v>
      </c>
      <c r="M581" s="7" t="s">
        <v>130</v>
      </c>
      <c r="N581" s="13" t="s">
        <v>812</v>
      </c>
      <c r="O581" s="9">
        <v>40613</v>
      </c>
      <c r="P581" s="7" t="s">
        <v>46</v>
      </c>
      <c r="Q581" s="7" t="s">
        <v>813</v>
      </c>
      <c r="R581" s="7" t="s">
        <v>604</v>
      </c>
      <c r="S581" s="8" t="s">
        <v>605</v>
      </c>
      <c r="T581" s="7"/>
      <c r="U581" s="7"/>
      <c r="V581" s="7"/>
    </row>
    <row r="582" spans="1:22">
      <c r="A582" s="5" t="s">
        <v>625</v>
      </c>
      <c r="B582" s="5" t="str">
        <f>GetAddress(A582)</f>
        <v>\\CHNO0276\Aseguranza de Calidad\Control de Documentos\Doc. controlados PDF\Ayudas visuales\Micromini\General\CNWI-VSHP-000080 Rev. A (Set Up bascula ULINE).pub</v>
      </c>
      <c r="C582" s="5" t="str">
        <f>MID(B582,LEN(B582) - FIND(".",REVERSETEXT(B582))+2,1000)</f>
        <v>pub</v>
      </c>
      <c r="D582" s="6">
        <v>6</v>
      </c>
      <c r="E582" s="7" t="s">
        <v>83</v>
      </c>
      <c r="F582" s="7" t="s">
        <v>22</v>
      </c>
      <c r="G582" s="8" t="s">
        <v>23</v>
      </c>
      <c r="H582" s="8">
        <v>5</v>
      </c>
      <c r="I582" s="8" t="s">
        <v>84</v>
      </c>
      <c r="J582" s="8">
        <v>33</v>
      </c>
      <c r="K582" s="8" t="s">
        <v>85</v>
      </c>
      <c r="L582" s="8">
        <v>28</v>
      </c>
      <c r="M582" s="7" t="s">
        <v>86</v>
      </c>
      <c r="N582" s="13" t="s">
        <v>626</v>
      </c>
      <c r="O582" s="9">
        <v>40605</v>
      </c>
      <c r="P582" s="7" t="s">
        <v>27</v>
      </c>
      <c r="Q582" s="7" t="s">
        <v>28</v>
      </c>
      <c r="R582" s="7" t="s">
        <v>604</v>
      </c>
      <c r="S582" s="8" t="s">
        <v>605</v>
      </c>
      <c r="T582" s="7" t="s">
        <v>478</v>
      </c>
      <c r="U582" s="7" t="s">
        <v>90</v>
      </c>
      <c r="V582" s="7"/>
    </row>
    <row r="583" spans="1:22">
      <c r="A583" s="5" t="s">
        <v>2663</v>
      </c>
      <c r="B583" s="5" t="str">
        <f>GetAddress(A583)</f>
        <v>\\CHNO0276\Aseguranza de Calidad\Control de Documentos\Doc. controlados PDF\Ayudas visuales\Camarillo\Ensamble general\CNWI-VSHP-000081 Rev. A (28-7002-0000M).pub</v>
      </c>
      <c r="C583" s="5" t="str">
        <f>MID(B583,LEN(B583) - FIND(".",REVERSETEXT(B583))+2,1000)</f>
        <v>pub</v>
      </c>
      <c r="D583" s="6">
        <v>6</v>
      </c>
      <c r="E583" s="7" t="s">
        <v>83</v>
      </c>
      <c r="F583" s="7" t="s">
        <v>22</v>
      </c>
      <c r="G583" s="8" t="s">
        <v>23</v>
      </c>
      <c r="H583" s="8">
        <v>5</v>
      </c>
      <c r="I583" s="8" t="s">
        <v>2126</v>
      </c>
      <c r="J583" s="8">
        <v>36</v>
      </c>
      <c r="K583" s="8" t="s">
        <v>2126</v>
      </c>
      <c r="L583" s="8">
        <v>26</v>
      </c>
      <c r="M583" s="7" t="s">
        <v>2127</v>
      </c>
      <c r="N583" s="13" t="s">
        <v>2664</v>
      </c>
      <c r="O583" s="9">
        <v>40610</v>
      </c>
      <c r="P583" s="7" t="s">
        <v>27</v>
      </c>
      <c r="Q583" s="7" t="s">
        <v>2665</v>
      </c>
      <c r="R583" s="7" t="s">
        <v>2426</v>
      </c>
      <c r="S583" s="8" t="s">
        <v>2427</v>
      </c>
      <c r="T583" s="7" t="s">
        <v>2666</v>
      </c>
      <c r="U583" s="7" t="s">
        <v>479</v>
      </c>
      <c r="V583" s="7"/>
    </row>
    <row r="584" spans="1:22">
      <c r="A584" s="5" t="s">
        <v>473</v>
      </c>
      <c r="B584" s="5" t="str">
        <f>GetAddress(A584)</f>
        <v>\\CHNO0276\Aseguranza de Calidad\Control de Documentos\Doc. controlados PDF\Ayudas visuales\Camarillo\Moldeo\CNWI-VSHP-000082 Rev. A (027-0231-000).pub</v>
      </c>
      <c r="C584" s="5" t="str">
        <f>MID(B584,LEN(B584) - FIND(".",REVERSETEXT(B584))+2,1000)</f>
        <v>pub</v>
      </c>
      <c r="D584" s="6">
        <v>6</v>
      </c>
      <c r="E584" s="7" t="s">
        <v>83</v>
      </c>
      <c r="F584" s="7" t="s">
        <v>22</v>
      </c>
      <c r="G584" s="8" t="s">
        <v>23</v>
      </c>
      <c r="H584" s="8">
        <v>5</v>
      </c>
      <c r="I584" s="8" t="s">
        <v>469</v>
      </c>
      <c r="J584" s="8">
        <v>13</v>
      </c>
      <c r="K584" s="8" t="s">
        <v>474</v>
      </c>
      <c r="L584" s="8">
        <v>14</v>
      </c>
      <c r="M584" s="7" t="s">
        <v>475</v>
      </c>
      <c r="N584" s="13" t="s">
        <v>476</v>
      </c>
      <c r="O584" s="9">
        <v>40610</v>
      </c>
      <c r="P584" s="7" t="s">
        <v>27</v>
      </c>
      <c r="Q584" s="7" t="s">
        <v>477</v>
      </c>
      <c r="R584" s="7" t="s">
        <v>437</v>
      </c>
      <c r="S584" s="8" t="s">
        <v>438</v>
      </c>
      <c r="T584" s="7" t="s">
        <v>478</v>
      </c>
      <c r="U584" s="7" t="s">
        <v>479</v>
      </c>
      <c r="V584" s="7"/>
    </row>
    <row r="585" spans="1:22">
      <c r="A585" s="5" t="s">
        <v>480</v>
      </c>
      <c r="B585" s="5" t="str">
        <f>GetAddress(A585)</f>
        <v>\\CHNO0276\Aseguranza de Calidad\Control de Documentos\Doc. controlados PDF\Ayudas visuales\Camarillo\Moldeo\CNWI-VSHP-000083 Rev. A (027-0236-000).pub</v>
      </c>
      <c r="C585" s="5" t="str">
        <f>MID(B585,LEN(B585) - FIND(".",REVERSETEXT(B585))+2,1000)</f>
        <v>pub</v>
      </c>
      <c r="D585" s="6">
        <v>6</v>
      </c>
      <c r="E585" s="7" t="s">
        <v>83</v>
      </c>
      <c r="F585" s="7" t="s">
        <v>22</v>
      </c>
      <c r="G585" s="8" t="s">
        <v>23</v>
      </c>
      <c r="H585" s="8">
        <v>5</v>
      </c>
      <c r="I585" s="8" t="s">
        <v>469</v>
      </c>
      <c r="J585" s="8">
        <v>13</v>
      </c>
      <c r="K585" s="8" t="s">
        <v>474</v>
      </c>
      <c r="L585" s="8">
        <v>14</v>
      </c>
      <c r="M585" s="7" t="s">
        <v>475</v>
      </c>
      <c r="N585" s="13" t="s">
        <v>481</v>
      </c>
      <c r="O585" s="9">
        <v>40613</v>
      </c>
      <c r="P585" s="7" t="s">
        <v>27</v>
      </c>
      <c r="Q585" s="7" t="s">
        <v>482</v>
      </c>
      <c r="R585" s="7" t="s">
        <v>437</v>
      </c>
      <c r="S585" s="8" t="s">
        <v>438</v>
      </c>
      <c r="T585" s="7" t="s">
        <v>478</v>
      </c>
      <c r="U585" s="7" t="s">
        <v>479</v>
      </c>
      <c r="V585" s="7"/>
    </row>
    <row r="586" spans="1:22">
      <c r="A586" s="5" t="s">
        <v>2667</v>
      </c>
      <c r="B586" s="5" t="str">
        <f>GetAddress(A586)</f>
        <v>\\CHNO0276\Aseguranza de Calidad\Control de Documentos\Doc. controlados PDF\Ayudas visuales\Camarillo\Ensamble general\CNWI-VSHP-000084 Rev. A (002144-0000).pub</v>
      </c>
      <c r="C586" s="5" t="str">
        <f>MID(B586,LEN(B586) - FIND(".",REVERSETEXT(B586))+2,1000)</f>
        <v>pub</v>
      </c>
      <c r="D586" s="6">
        <v>6</v>
      </c>
      <c r="E586" s="7" t="s">
        <v>83</v>
      </c>
      <c r="F586" s="7" t="s">
        <v>22</v>
      </c>
      <c r="G586" s="8" t="s">
        <v>23</v>
      </c>
      <c r="H586" s="8">
        <v>5</v>
      </c>
      <c r="I586" s="8" t="s">
        <v>2126</v>
      </c>
      <c r="J586" s="8">
        <v>36</v>
      </c>
      <c r="K586" s="8" t="s">
        <v>2126</v>
      </c>
      <c r="L586" s="8">
        <v>26</v>
      </c>
      <c r="M586" s="7" t="s">
        <v>2127</v>
      </c>
      <c r="N586" s="13" t="s">
        <v>2668</v>
      </c>
      <c r="O586" s="9">
        <v>40613</v>
      </c>
      <c r="P586" s="7" t="s">
        <v>27</v>
      </c>
      <c r="Q586" s="7" t="s">
        <v>2669</v>
      </c>
      <c r="R586" s="7" t="s">
        <v>2426</v>
      </c>
      <c r="S586" s="8" t="s">
        <v>2427</v>
      </c>
      <c r="T586" s="7" t="s">
        <v>2637</v>
      </c>
      <c r="U586" s="7" t="s">
        <v>479</v>
      </c>
      <c r="V586" s="7"/>
    </row>
    <row r="587" spans="1:22">
      <c r="A587" s="5" t="s">
        <v>722</v>
      </c>
      <c r="B587" s="5" t="str">
        <f>GetAddress(A587)</f>
        <v>\\CHNO0276\Aseguranza de Calidad\Control de Documentos\Doc. controlados PDF\Ayudas visuales\Micromini\A y B\CNWI-VSHP-000085 Rev. A (X8992-CS).pub</v>
      </c>
      <c r="C587" s="5" t="str">
        <f>MID(B587,LEN(B587) - FIND(".",REVERSETEXT(B587))+2,1000)</f>
        <v>pub</v>
      </c>
      <c r="D587" s="6">
        <v>6</v>
      </c>
      <c r="E587" s="7" t="s">
        <v>83</v>
      </c>
      <c r="F587" s="7" t="s">
        <v>22</v>
      </c>
      <c r="G587" s="8" t="s">
        <v>23</v>
      </c>
      <c r="H587" s="8">
        <v>5</v>
      </c>
      <c r="I587" s="8" t="s">
        <v>24</v>
      </c>
      <c r="J587" s="8">
        <v>12</v>
      </c>
      <c r="K587" s="8" t="s">
        <v>663</v>
      </c>
      <c r="L587" s="8">
        <v>3</v>
      </c>
      <c r="M587" s="7" t="s">
        <v>664</v>
      </c>
      <c r="N587" s="13" t="s">
        <v>723</v>
      </c>
      <c r="O587" s="9">
        <v>40610</v>
      </c>
      <c r="P587" s="7" t="s">
        <v>27</v>
      </c>
      <c r="Q587" s="7" t="s">
        <v>724</v>
      </c>
      <c r="R587" s="7" t="s">
        <v>604</v>
      </c>
      <c r="S587" s="8" t="s">
        <v>605</v>
      </c>
      <c r="T587" s="7"/>
      <c r="U587" s="7"/>
      <c r="V587" s="7"/>
    </row>
    <row r="588" spans="1:22">
      <c r="A588" s="5" t="s">
        <v>725</v>
      </c>
      <c r="B588" s="5" t="str">
        <f>GetAddress(A588)</f>
        <v>\\CHNO0276\Aseguranza de Calidad\Control de Documentos\Doc. controlados PDF\Ayudas visuales\Micromini\A y B\CNWI-VSHP-000086 Rev. A (X8992-BK).pub</v>
      </c>
      <c r="C588" s="5" t="str">
        <f>MID(B588,LEN(B588) - FIND(".",REVERSETEXT(B588))+2,1000)</f>
        <v>pub</v>
      </c>
      <c r="D588" s="6">
        <v>6</v>
      </c>
      <c r="E588" s="7" t="s">
        <v>83</v>
      </c>
      <c r="F588" s="7" t="s">
        <v>22</v>
      </c>
      <c r="G588" s="8" t="s">
        <v>23</v>
      </c>
      <c r="H588" s="8">
        <v>5</v>
      </c>
      <c r="I588" s="8" t="s">
        <v>24</v>
      </c>
      <c r="J588" s="8">
        <v>12</v>
      </c>
      <c r="K588" s="8" t="s">
        <v>663</v>
      </c>
      <c r="L588" s="8">
        <v>3</v>
      </c>
      <c r="M588" s="7" t="s">
        <v>664</v>
      </c>
      <c r="N588" s="13" t="s">
        <v>726</v>
      </c>
      <c r="O588" s="9">
        <v>40618</v>
      </c>
      <c r="P588" s="7" t="s">
        <v>27</v>
      </c>
      <c r="Q588" s="7" t="s">
        <v>727</v>
      </c>
      <c r="R588" s="7" t="s">
        <v>604</v>
      </c>
      <c r="S588" s="8" t="s">
        <v>605</v>
      </c>
      <c r="T588" s="7"/>
      <c r="U588" s="7"/>
      <c r="V588" s="7"/>
    </row>
    <row r="589" spans="1:22">
      <c r="A589" s="5" t="s">
        <v>772</v>
      </c>
      <c r="B589" s="5" t="str">
        <f>GetAddress(A589)</f>
        <v>\\CHNO0276\Aseguranza de Calidad\Control de Documentos\Doc. controlados PDF\Ayudas visuales\Micromini\MS\CNWI-VSHP-000087 Rev. A (X8653-FJ).pub</v>
      </c>
      <c r="C589" s="5" t="str">
        <f>MID(B589,LEN(B589) - FIND(".",REVERSETEXT(B589))+2,1000)</f>
        <v>pub</v>
      </c>
      <c r="D589" s="6">
        <v>6</v>
      </c>
      <c r="E589" s="7" t="s">
        <v>83</v>
      </c>
      <c r="F589" s="7" t="s">
        <v>22</v>
      </c>
      <c r="G589" s="8" t="s">
        <v>23</v>
      </c>
      <c r="H589" s="8">
        <v>5</v>
      </c>
      <c r="I589" s="8" t="s">
        <v>24</v>
      </c>
      <c r="J589" s="8">
        <v>12</v>
      </c>
      <c r="K589" s="8" t="s">
        <v>515</v>
      </c>
      <c r="L589" s="8">
        <v>16</v>
      </c>
      <c r="M589" s="7" t="s">
        <v>515</v>
      </c>
      <c r="N589" s="13" t="s">
        <v>773</v>
      </c>
      <c r="O589" s="9">
        <v>40616</v>
      </c>
      <c r="P589" s="7" t="s">
        <v>27</v>
      </c>
      <c r="Q589" s="7" t="s">
        <v>774</v>
      </c>
      <c r="R589" s="7" t="s">
        <v>604</v>
      </c>
      <c r="S589" s="8" t="s">
        <v>605</v>
      </c>
      <c r="T589" s="7"/>
      <c r="U589" s="7"/>
      <c r="V589" s="7"/>
    </row>
    <row r="590" spans="1:22">
      <c r="A590" s="5" t="s">
        <v>483</v>
      </c>
      <c r="B590" s="5" t="str">
        <f>GetAddress(A590)</f>
        <v>\\CHNO0276\Aseguranza de Calidad\Control de Documentos\Doc. controlados PDF\Ayudas visuales\Camarillo\Moldeo\CNWI-VSHP-000089 Rev. A (027-0230-000).pub</v>
      </c>
      <c r="C590" s="5" t="str">
        <f>MID(B590,LEN(B590) - FIND(".",REVERSETEXT(B590))+2,1000)</f>
        <v>pub</v>
      </c>
      <c r="D590" s="6">
        <v>6</v>
      </c>
      <c r="E590" s="7" t="s">
        <v>83</v>
      </c>
      <c r="F590" s="7" t="s">
        <v>22</v>
      </c>
      <c r="G590" s="8" t="s">
        <v>23</v>
      </c>
      <c r="H590" s="8">
        <v>5</v>
      </c>
      <c r="I590" s="8" t="s">
        <v>469</v>
      </c>
      <c r="J590" s="8">
        <v>13</v>
      </c>
      <c r="K590" s="8" t="s">
        <v>474</v>
      </c>
      <c r="L590" s="8">
        <v>14</v>
      </c>
      <c r="M590" s="7" t="s">
        <v>475</v>
      </c>
      <c r="N590" s="13" t="s">
        <v>484</v>
      </c>
      <c r="O590" s="9">
        <v>40619</v>
      </c>
      <c r="P590" s="7" t="s">
        <v>27</v>
      </c>
      <c r="Q590" s="7" t="s">
        <v>485</v>
      </c>
      <c r="R590" s="7" t="s">
        <v>437</v>
      </c>
      <c r="S590" s="8" t="s">
        <v>438</v>
      </c>
      <c r="T590" s="7" t="s">
        <v>478</v>
      </c>
      <c r="U590" s="7" t="s">
        <v>479</v>
      </c>
      <c r="V590" s="7"/>
    </row>
    <row r="591" spans="1:22">
      <c r="A591" s="5" t="s">
        <v>2583</v>
      </c>
      <c r="B591" s="5" t="str">
        <f>GetAddress(A591)</f>
        <v>\\CHNO0276\Aseguranza de Calidad\Control de Documentos\Doc. controlados PDF\Ayudas visuales\Camarillo\Bonding\CNWI-VSHP-000090 Rev. A (000102-0159).pub</v>
      </c>
      <c r="C591" s="5" t="str">
        <f>MID(B591,LEN(B591) - FIND(".",REVERSETEXT(B591))+2,1000)</f>
        <v>pub</v>
      </c>
      <c r="D591" s="6">
        <v>6</v>
      </c>
      <c r="E591" s="7" t="s">
        <v>83</v>
      </c>
      <c r="F591" s="7" t="s">
        <v>22</v>
      </c>
      <c r="G591" s="8" t="s">
        <v>23</v>
      </c>
      <c r="H591" s="8">
        <v>5</v>
      </c>
      <c r="I591" s="8" t="s">
        <v>874</v>
      </c>
      <c r="J591" s="8">
        <v>10</v>
      </c>
      <c r="K591" s="8" t="s">
        <v>967</v>
      </c>
      <c r="L591" s="8">
        <v>10</v>
      </c>
      <c r="M591" s="7" t="s">
        <v>968</v>
      </c>
      <c r="N591" s="13" t="s">
        <v>2584</v>
      </c>
      <c r="O591" s="9">
        <v>40619</v>
      </c>
      <c r="P591" s="7" t="s">
        <v>27</v>
      </c>
      <c r="Q591" s="7" t="s">
        <v>2585</v>
      </c>
      <c r="R591" s="7" t="s">
        <v>2426</v>
      </c>
      <c r="S591" s="8" t="s">
        <v>2427</v>
      </c>
      <c r="T591" s="7"/>
      <c r="U591" s="13"/>
      <c r="V591" s="7"/>
    </row>
    <row r="592" spans="1:22">
      <c r="A592" s="5" t="s">
        <v>728</v>
      </c>
      <c r="B592" s="5" t="str">
        <f>GetAddress(A592)</f>
        <v>\\CHNO0276\Aseguranza de Calidad\Control de Documentos\Doc. controlados PDF\Ayudas visuales\Micromini\A y B\CNWI-VSHP-000093 Rev. A (ABP-P1E4-B).pub</v>
      </c>
      <c r="C592" s="5" t="str">
        <f>MID(B592,LEN(B592) - FIND(".",REVERSETEXT(B592))+2,1000)</f>
        <v>pub</v>
      </c>
      <c r="D592" s="6">
        <v>6</v>
      </c>
      <c r="E592" s="7" t="s">
        <v>83</v>
      </c>
      <c r="F592" s="7" t="s">
        <v>22</v>
      </c>
      <c r="G592" s="8" t="s">
        <v>23</v>
      </c>
      <c r="H592" s="8">
        <v>5</v>
      </c>
      <c r="I592" s="8" t="s">
        <v>24</v>
      </c>
      <c r="J592" s="8">
        <v>12</v>
      </c>
      <c r="K592" s="8" t="s">
        <v>663</v>
      </c>
      <c r="L592" s="8">
        <v>3</v>
      </c>
      <c r="M592" s="7" t="s">
        <v>664</v>
      </c>
      <c r="N592" s="13" t="s">
        <v>729</v>
      </c>
      <c r="O592" s="9">
        <v>40627</v>
      </c>
      <c r="P592" s="7" t="s">
        <v>27</v>
      </c>
      <c r="Q592" s="7" t="s">
        <v>730</v>
      </c>
      <c r="R592" s="7" t="s">
        <v>604</v>
      </c>
      <c r="S592" s="8" t="s">
        <v>605</v>
      </c>
      <c r="T592" s="7"/>
      <c r="U592" s="7"/>
      <c r="V592" s="7"/>
    </row>
    <row r="593" spans="1:22">
      <c r="A593" s="5" t="s">
        <v>814</v>
      </c>
      <c r="B593" s="5" t="str">
        <f>GetAddress(A593)</f>
        <v>\\CHNO0276\Aseguranza de Calidad\Control de Documentos\Doc. controlados PDF\Ayudas visuales\Micromini\Potted\CNWI-VSHP-000094 Rev. A (5000120-D).pub</v>
      </c>
      <c r="C593" s="5" t="str">
        <f>MID(B593,LEN(B593) - FIND(".",REVERSETEXT(B593))+2,1000)</f>
        <v>pub</v>
      </c>
      <c r="D593" s="6">
        <v>6</v>
      </c>
      <c r="E593" s="7" t="s">
        <v>83</v>
      </c>
      <c r="F593" s="7" t="s">
        <v>22</v>
      </c>
      <c r="G593" s="8" t="s">
        <v>23</v>
      </c>
      <c r="H593" s="8">
        <v>5</v>
      </c>
      <c r="I593" s="8" t="s">
        <v>24</v>
      </c>
      <c r="J593" s="8">
        <v>12</v>
      </c>
      <c r="K593" s="8" t="s">
        <v>129</v>
      </c>
      <c r="L593" s="8">
        <v>18</v>
      </c>
      <c r="M593" s="7" t="s">
        <v>130</v>
      </c>
      <c r="N593" s="13" t="s">
        <v>815</v>
      </c>
      <c r="O593" s="9">
        <v>40627</v>
      </c>
      <c r="P593" s="7" t="s">
        <v>27</v>
      </c>
      <c r="Q593" s="7" t="s">
        <v>816</v>
      </c>
      <c r="R593" s="7" t="s">
        <v>604</v>
      </c>
      <c r="S593" s="8" t="s">
        <v>605</v>
      </c>
      <c r="T593" s="7"/>
      <c r="U593" s="7"/>
      <c r="V593" s="7"/>
    </row>
    <row r="594" spans="1:22">
      <c r="A594" s="5" t="s">
        <v>2724</v>
      </c>
      <c r="B594" s="5" t="str">
        <f>GetAddress(A594)</f>
        <v>\\CHNO0276\Aseguranza de Calidad\Control de Documentos\Doc. controlados PDF\Ayudas visuales\Camarillo\Itron\CNWI-VSHP-000095 Rev. A (CBA-0200-011).pub</v>
      </c>
      <c r="C594" s="5" t="str">
        <f>MID(B594,LEN(B594) - FIND(".",REVERSETEXT(B594))+2,1000)</f>
        <v>pub</v>
      </c>
      <c r="D594" s="6">
        <v>6</v>
      </c>
      <c r="E594" s="7" t="s">
        <v>83</v>
      </c>
      <c r="F594" s="7" t="s">
        <v>22</v>
      </c>
      <c r="G594" s="8" t="s">
        <v>23</v>
      </c>
      <c r="H594" s="8">
        <v>5</v>
      </c>
      <c r="I594" s="8" t="s">
        <v>257</v>
      </c>
      <c r="J594" s="8">
        <v>9</v>
      </c>
      <c r="K594" s="8" t="s">
        <v>1090</v>
      </c>
      <c r="L594" s="8">
        <v>9</v>
      </c>
      <c r="M594" s="7" t="s">
        <v>1091</v>
      </c>
      <c r="N594" s="13" t="s">
        <v>2725</v>
      </c>
      <c r="O594" s="9">
        <v>40630</v>
      </c>
      <c r="P594" s="7" t="s">
        <v>27</v>
      </c>
      <c r="Q594" s="7" t="s">
        <v>2726</v>
      </c>
      <c r="R594" s="7" t="s">
        <v>2426</v>
      </c>
      <c r="S594" s="8" t="s">
        <v>2427</v>
      </c>
      <c r="T594" s="7"/>
      <c r="U594" s="13"/>
      <c r="V594" s="7"/>
    </row>
    <row r="595" spans="1:22">
      <c r="A595" s="5" t="s">
        <v>764</v>
      </c>
      <c r="B595" s="5" t="str">
        <f>GetAddress(A595)</f>
        <v>\\CHNO0276\Aseguranza de Calidad\Control de Documentos\Doc. controlados PDF\Ayudas visuales\Micromini\Change Out\CNWI-VSHP-000096 Rev. A (X8653-DA).pub</v>
      </c>
      <c r="C595" s="5" t="str">
        <f>MID(B595,LEN(B595) - FIND(".",REVERSETEXT(B595))+2,1000)</f>
        <v>pub</v>
      </c>
      <c r="D595" s="6">
        <v>6</v>
      </c>
      <c r="E595" s="7" t="s">
        <v>83</v>
      </c>
      <c r="F595" s="7" t="s">
        <v>22</v>
      </c>
      <c r="G595" s="8" t="s">
        <v>23</v>
      </c>
      <c r="H595" s="8">
        <v>5</v>
      </c>
      <c r="I595" s="8" t="s">
        <v>24</v>
      </c>
      <c r="J595" s="8">
        <v>12</v>
      </c>
      <c r="K595" s="8" t="s">
        <v>25</v>
      </c>
      <c r="L595" s="8">
        <v>4</v>
      </c>
      <c r="M595" s="7" t="s">
        <v>558</v>
      </c>
      <c r="N595" s="13" t="s">
        <v>765</v>
      </c>
      <c r="O595" s="9">
        <v>40630</v>
      </c>
      <c r="P595" s="7" t="s">
        <v>27</v>
      </c>
      <c r="Q595" s="7" t="s">
        <v>766</v>
      </c>
      <c r="R595" s="7" t="s">
        <v>604</v>
      </c>
      <c r="S595" s="8" t="s">
        <v>605</v>
      </c>
      <c r="T595" s="7"/>
      <c r="U595" s="7"/>
      <c r="V595" s="7"/>
    </row>
    <row r="596" spans="1:22">
      <c r="A596" s="5" t="s">
        <v>817</v>
      </c>
      <c r="B596" s="5" t="str">
        <f>GetAddress(A596)</f>
        <v>\\CHNO0276\Aseguranza de Calidad\Control de Documentos\Doc. controlados PDF\Ayudas visuales\Micromini\Potted\CNWI-VSHP-000098 Rev. A (1317731).pub</v>
      </c>
      <c r="C596" s="5" t="str">
        <f>MID(B596,LEN(B596) - FIND(".",REVERSETEXT(B596))+2,1000)</f>
        <v>pub</v>
      </c>
      <c r="D596" s="6">
        <v>6</v>
      </c>
      <c r="E596" s="7" t="s">
        <v>83</v>
      </c>
      <c r="F596" s="7" t="s">
        <v>22</v>
      </c>
      <c r="G596" s="8" t="s">
        <v>23</v>
      </c>
      <c r="H596" s="8">
        <v>5</v>
      </c>
      <c r="I596" s="8" t="s">
        <v>24</v>
      </c>
      <c r="J596" s="8">
        <v>12</v>
      </c>
      <c r="K596" s="8" t="s">
        <v>129</v>
      </c>
      <c r="L596" s="8">
        <v>18</v>
      </c>
      <c r="M596" s="7" t="s">
        <v>130</v>
      </c>
      <c r="N596" s="13" t="s">
        <v>818</v>
      </c>
      <c r="O596" s="9">
        <v>40632</v>
      </c>
      <c r="P596" s="7" t="s">
        <v>27</v>
      </c>
      <c r="Q596" s="7">
        <v>1317731</v>
      </c>
      <c r="R596" s="7" t="s">
        <v>604</v>
      </c>
      <c r="S596" s="8" t="s">
        <v>605</v>
      </c>
      <c r="T596" s="7"/>
      <c r="U596" s="7"/>
      <c r="V596" s="7"/>
    </row>
    <row r="597" spans="1:22">
      <c r="A597" s="5" t="s">
        <v>486</v>
      </c>
      <c r="B597" s="5" t="str">
        <f>GetAddress(A597)</f>
        <v>\\CHNO0276\Aseguranza de Calidad\Control de Documentos\Doc. controlados PDF\Ayudas visuales\Camarillo\Moldeo\CNWI-VSHP-000099 Rev. A (027-0248-000).pub</v>
      </c>
      <c r="C597" s="5" t="str">
        <f>MID(B597,LEN(B597) - FIND(".",REVERSETEXT(B597))+2,1000)</f>
        <v>pub</v>
      </c>
      <c r="D597" s="6">
        <v>6</v>
      </c>
      <c r="E597" s="7" t="s">
        <v>83</v>
      </c>
      <c r="F597" s="7" t="s">
        <v>22</v>
      </c>
      <c r="G597" s="8" t="s">
        <v>23</v>
      </c>
      <c r="H597" s="8">
        <v>5</v>
      </c>
      <c r="I597" s="8" t="s">
        <v>469</v>
      </c>
      <c r="J597" s="8">
        <v>13</v>
      </c>
      <c r="K597" s="8" t="s">
        <v>474</v>
      </c>
      <c r="L597" s="8">
        <v>14</v>
      </c>
      <c r="M597" s="7" t="s">
        <v>475</v>
      </c>
      <c r="N597" s="13" t="s">
        <v>487</v>
      </c>
      <c r="O597" s="9">
        <v>40633</v>
      </c>
      <c r="P597" s="7" t="s">
        <v>27</v>
      </c>
      <c r="Q597" s="7" t="s">
        <v>488</v>
      </c>
      <c r="R597" s="7" t="s">
        <v>437</v>
      </c>
      <c r="S597" s="8" t="s">
        <v>438</v>
      </c>
      <c r="T597" s="7" t="s">
        <v>478</v>
      </c>
      <c r="U597" s="7" t="s">
        <v>479</v>
      </c>
      <c r="V597" s="7"/>
    </row>
    <row r="598" spans="1:22">
      <c r="A598" s="5" t="s">
        <v>489</v>
      </c>
      <c r="B598" s="5" t="str">
        <f>GetAddress(A598)</f>
        <v>\\CHNO0276\Aseguranza de Calidad\Control de Documentos\Doc. controlados PDF\Ayudas visuales\Camarillo\Moldeo\CNWI-VSHP-000100 Rev. A (024-0317-000).pub</v>
      </c>
      <c r="C598" s="5" t="str">
        <f>MID(B598,LEN(B598) - FIND(".",REVERSETEXT(B598))+2,1000)</f>
        <v>pub</v>
      </c>
      <c r="D598" s="6">
        <v>6</v>
      </c>
      <c r="E598" s="7" t="s">
        <v>83</v>
      </c>
      <c r="F598" s="7" t="s">
        <v>22</v>
      </c>
      <c r="G598" s="8" t="s">
        <v>23</v>
      </c>
      <c r="H598" s="8">
        <v>5</v>
      </c>
      <c r="I598" s="8" t="s">
        <v>469</v>
      </c>
      <c r="J598" s="8">
        <v>13</v>
      </c>
      <c r="K598" s="8" t="s">
        <v>474</v>
      </c>
      <c r="L598" s="8">
        <v>14</v>
      </c>
      <c r="M598" s="7" t="s">
        <v>475</v>
      </c>
      <c r="N598" s="13" t="s">
        <v>490</v>
      </c>
      <c r="O598" s="9">
        <v>40633</v>
      </c>
      <c r="P598" s="7" t="s">
        <v>27</v>
      </c>
      <c r="Q598" s="7" t="s">
        <v>491</v>
      </c>
      <c r="R598" s="7" t="s">
        <v>437</v>
      </c>
      <c r="S598" s="8" t="s">
        <v>438</v>
      </c>
      <c r="T598" s="7" t="s">
        <v>478</v>
      </c>
      <c r="U598" s="7" t="s">
        <v>479</v>
      </c>
      <c r="V598" s="7"/>
    </row>
    <row r="599" spans="1:22">
      <c r="A599" s="5" t="s">
        <v>492</v>
      </c>
      <c r="B599" s="5" t="str">
        <f>GetAddress(A599)</f>
        <v>\\CHNO0276\Aseguranza de Calidad\Control de Documentos\Doc. controlados PDF\Ayudas visuales\Camarillo\Moldeo\CNWI-VSHP-000102 Rev. A (084-0109-000).pub</v>
      </c>
      <c r="C599" s="5" t="str">
        <f>MID(B599,LEN(B599) - FIND(".",REVERSETEXT(B599))+2,1000)</f>
        <v>pub</v>
      </c>
      <c r="D599" s="6">
        <v>6</v>
      </c>
      <c r="E599" s="7" t="s">
        <v>83</v>
      </c>
      <c r="F599" s="7" t="s">
        <v>22</v>
      </c>
      <c r="G599" s="8" t="s">
        <v>23</v>
      </c>
      <c r="H599" s="8">
        <v>5</v>
      </c>
      <c r="I599" s="8" t="s">
        <v>469</v>
      </c>
      <c r="J599" s="8">
        <v>13</v>
      </c>
      <c r="K599" s="8" t="s">
        <v>474</v>
      </c>
      <c r="L599" s="8">
        <v>14</v>
      </c>
      <c r="M599" s="7" t="s">
        <v>475</v>
      </c>
      <c r="N599" s="13" t="s">
        <v>493</v>
      </c>
      <c r="O599" s="9">
        <v>40634</v>
      </c>
      <c r="P599" s="7" t="s">
        <v>27</v>
      </c>
      <c r="Q599" s="7" t="s">
        <v>494</v>
      </c>
      <c r="R599" s="7" t="s">
        <v>437</v>
      </c>
      <c r="S599" s="8" t="s">
        <v>438</v>
      </c>
      <c r="T599" s="7" t="s">
        <v>478</v>
      </c>
      <c r="U599" s="7" t="s">
        <v>479</v>
      </c>
      <c r="V599" s="7"/>
    </row>
    <row r="600" spans="1:22">
      <c r="A600" s="5" t="s">
        <v>495</v>
      </c>
      <c r="B600" s="5" t="str">
        <f>GetAddress(A600)</f>
        <v>\\CHNO0276\Aseguranza de Calidad\Control de Documentos\Doc. controlados PDF\Ayudas visuales\Camarillo\Moldeo\CNWI-VSHP-000105 Rev. A (Moldeo de grommet azul).pub</v>
      </c>
      <c r="C600" s="5" t="str">
        <f>MID(B600,LEN(B600) - FIND(".",REVERSETEXT(B600))+2,1000)</f>
        <v>pub</v>
      </c>
      <c r="D600" s="6">
        <v>6</v>
      </c>
      <c r="E600" s="7" t="s">
        <v>83</v>
      </c>
      <c r="F600" s="7" t="s">
        <v>22</v>
      </c>
      <c r="G600" s="8" t="s">
        <v>23</v>
      </c>
      <c r="H600" s="8">
        <v>5</v>
      </c>
      <c r="I600" s="8" t="s">
        <v>469</v>
      </c>
      <c r="J600" s="8">
        <v>13</v>
      </c>
      <c r="K600" s="8" t="s">
        <v>474</v>
      </c>
      <c r="L600" s="8">
        <v>14</v>
      </c>
      <c r="M600" s="7" t="s">
        <v>475</v>
      </c>
      <c r="N600" s="13" t="s">
        <v>496</v>
      </c>
      <c r="O600" s="9">
        <v>40637</v>
      </c>
      <c r="P600" s="7" t="s">
        <v>27</v>
      </c>
      <c r="Q600" s="7" t="s">
        <v>28</v>
      </c>
      <c r="R600" s="7" t="s">
        <v>437</v>
      </c>
      <c r="S600" s="8" t="s">
        <v>438</v>
      </c>
      <c r="T600" s="7" t="s">
        <v>478</v>
      </c>
      <c r="U600" s="7" t="s">
        <v>479</v>
      </c>
      <c r="V600" s="7"/>
    </row>
    <row r="601" spans="1:22">
      <c r="A601" s="5" t="s">
        <v>2586</v>
      </c>
      <c r="B601" s="5" t="str">
        <f>GetAddress(A601)</f>
        <v>\\CHNO0276\Aseguranza de Calidad\Control de Documentos\Doc. controlados PDF\Ayudas visuales\Camarillo\Bonding\CNWI-VSHP-000107 Rev. A (000100-0179M).pub</v>
      </c>
      <c r="C601" s="5" t="str">
        <f>MID(B601,LEN(B601) - FIND(".",REVERSETEXT(B601))+2,1000)</f>
        <v>pub</v>
      </c>
      <c r="D601" s="6">
        <v>6</v>
      </c>
      <c r="E601" s="7" t="s">
        <v>83</v>
      </c>
      <c r="F601" s="7" t="s">
        <v>22</v>
      </c>
      <c r="G601" s="8" t="s">
        <v>23</v>
      </c>
      <c r="H601" s="8">
        <v>5</v>
      </c>
      <c r="I601" s="8" t="s">
        <v>874</v>
      </c>
      <c r="J601" s="8">
        <v>10</v>
      </c>
      <c r="K601" s="8" t="s">
        <v>967</v>
      </c>
      <c r="L601" s="8">
        <v>10</v>
      </c>
      <c r="M601" s="7" t="s">
        <v>968</v>
      </c>
      <c r="N601" s="13" t="s">
        <v>2587</v>
      </c>
      <c r="O601" s="9">
        <v>40638</v>
      </c>
      <c r="P601" s="7" t="s">
        <v>27</v>
      </c>
      <c r="Q601" s="7" t="s">
        <v>2588</v>
      </c>
      <c r="R601" s="7" t="s">
        <v>2426</v>
      </c>
      <c r="S601" s="8" t="s">
        <v>2427</v>
      </c>
      <c r="T601" s="7"/>
      <c r="U601" s="13"/>
      <c r="V601" s="7"/>
    </row>
    <row r="602" spans="1:22">
      <c r="A602" s="5" t="s">
        <v>2589</v>
      </c>
      <c r="B602" s="5" t="str">
        <f>GetAddress(A602)</f>
        <v>\\CHNO0276\Aseguranza de Calidad\Control de Documentos\Doc. controlados PDF\Ayudas visuales\Camarillo\Bonding\CNWI-VSHP-000108 Rev. A (BACC65AL-800M).pub</v>
      </c>
      <c r="C602" s="5" t="str">
        <f>MID(B602,LEN(B602) - FIND(".",REVERSETEXT(B602))+2,1000)</f>
        <v>pub</v>
      </c>
      <c r="D602" s="6">
        <v>6</v>
      </c>
      <c r="E602" s="7" t="s">
        <v>83</v>
      </c>
      <c r="F602" s="7" t="s">
        <v>22</v>
      </c>
      <c r="G602" s="8" t="s">
        <v>23</v>
      </c>
      <c r="H602" s="8">
        <v>5</v>
      </c>
      <c r="I602" s="8" t="s">
        <v>874</v>
      </c>
      <c r="J602" s="8">
        <v>10</v>
      </c>
      <c r="K602" s="8" t="s">
        <v>967</v>
      </c>
      <c r="L602" s="8">
        <v>10</v>
      </c>
      <c r="M602" s="7" t="s">
        <v>968</v>
      </c>
      <c r="N602" s="13" t="s">
        <v>2590</v>
      </c>
      <c r="O602" s="9">
        <v>40639</v>
      </c>
      <c r="P602" s="7" t="s">
        <v>27</v>
      </c>
      <c r="Q602" s="7" t="s">
        <v>2591</v>
      </c>
      <c r="R602" s="7" t="s">
        <v>2426</v>
      </c>
      <c r="S602" s="8" t="s">
        <v>2427</v>
      </c>
      <c r="T602" s="7" t="s">
        <v>2592</v>
      </c>
      <c r="U602" s="13" t="s">
        <v>1473</v>
      </c>
      <c r="V602" s="7"/>
    </row>
    <row r="603" spans="1:22">
      <c r="A603" s="5" t="s">
        <v>731</v>
      </c>
      <c r="B603" s="5" t="str">
        <f>GetAddress(A603)</f>
        <v>\\CHNO0276\Aseguranza de Calidad\Control de Documentos\Doc. controlados PDF\Ayudas visuales\Micromini\A y B\CNWI-VSHP-000109 Rev. A (ABP-P1H4-S).pub</v>
      </c>
      <c r="C603" s="5" t="str">
        <f>MID(B603,LEN(B603) - FIND(".",REVERSETEXT(B603))+2,1000)</f>
        <v>pub</v>
      </c>
      <c r="D603" s="6">
        <v>6</v>
      </c>
      <c r="E603" s="7" t="s">
        <v>83</v>
      </c>
      <c r="F603" s="7" t="s">
        <v>22</v>
      </c>
      <c r="G603" s="8" t="s">
        <v>23</v>
      </c>
      <c r="H603" s="8">
        <v>5</v>
      </c>
      <c r="I603" s="8" t="s">
        <v>24</v>
      </c>
      <c r="J603" s="8">
        <v>12</v>
      </c>
      <c r="K603" s="8" t="s">
        <v>663</v>
      </c>
      <c r="L603" s="8">
        <v>3</v>
      </c>
      <c r="M603" s="7" t="s">
        <v>664</v>
      </c>
      <c r="N603" s="13" t="s">
        <v>732</v>
      </c>
      <c r="O603" s="9">
        <v>40639</v>
      </c>
      <c r="P603" s="7" t="s">
        <v>27</v>
      </c>
      <c r="Q603" s="7" t="s">
        <v>733</v>
      </c>
      <c r="R603" s="7" t="s">
        <v>604</v>
      </c>
      <c r="S603" s="8" t="s">
        <v>605</v>
      </c>
      <c r="T603" s="7"/>
      <c r="U603" s="7"/>
      <c r="V603" s="7"/>
    </row>
    <row r="604" spans="1:22">
      <c r="A604" s="5" t="s">
        <v>819</v>
      </c>
      <c r="B604" s="5" t="str">
        <f>GetAddress(A604)</f>
        <v>\\CHNO0276\Aseguranza de Calidad\Control de Documentos\Doc. controlados PDF\Ayudas visuales\Micromini\Potted\CNWI-VSHP-000110 Rev. A (1317142).pub</v>
      </c>
      <c r="C604" s="5" t="str">
        <f>MID(B604,LEN(B604) - FIND(".",REVERSETEXT(B604))+2,1000)</f>
        <v>pub</v>
      </c>
      <c r="D604" s="6">
        <v>6</v>
      </c>
      <c r="E604" s="7" t="s">
        <v>83</v>
      </c>
      <c r="F604" s="7" t="s">
        <v>22</v>
      </c>
      <c r="G604" s="8" t="s">
        <v>23</v>
      </c>
      <c r="H604" s="8">
        <v>5</v>
      </c>
      <c r="I604" s="8" t="s">
        <v>24</v>
      </c>
      <c r="J604" s="8">
        <v>12</v>
      </c>
      <c r="K604" s="8" t="s">
        <v>129</v>
      </c>
      <c r="L604" s="8">
        <v>18</v>
      </c>
      <c r="M604" s="7" t="s">
        <v>130</v>
      </c>
      <c r="N604" s="13" t="s">
        <v>820</v>
      </c>
      <c r="O604" s="9">
        <v>40659</v>
      </c>
      <c r="P604" s="7" t="s">
        <v>27</v>
      </c>
      <c r="Q604" s="7">
        <v>1317142</v>
      </c>
      <c r="R604" s="7" t="s">
        <v>604</v>
      </c>
      <c r="S604" s="8" t="s">
        <v>605</v>
      </c>
      <c r="T604" s="7"/>
      <c r="U604" s="7"/>
      <c r="V604" s="7"/>
    </row>
    <row r="605" spans="1:22">
      <c r="A605" s="5" t="s">
        <v>2424</v>
      </c>
      <c r="B605" s="5" t="str">
        <f>GetAddress(A605)</f>
        <v>\\CHNO0276\Aseguranza de Calidad\Control de Documentos\Doc. controlados PDF\Ayudas visuales\Camarillo\Amsafe\CNWI-VSHP-000111 Rev  C  004005-XXXX  (507735).ppt</v>
      </c>
      <c r="C605" s="5" t="str">
        <f>MID(B605,LEN(B605) - FIND(".",REVERSETEXT(B605))+2,1000)</f>
        <v>ppt</v>
      </c>
      <c r="D605" s="6">
        <v>6</v>
      </c>
      <c r="E605" s="7" t="s">
        <v>83</v>
      </c>
      <c r="F605" s="7" t="s">
        <v>22</v>
      </c>
      <c r="G605" s="8" t="s">
        <v>23</v>
      </c>
      <c r="H605" s="8">
        <v>5</v>
      </c>
      <c r="I605" s="8" t="s">
        <v>874</v>
      </c>
      <c r="J605" s="8">
        <v>10</v>
      </c>
      <c r="K605" s="8" t="s">
        <v>875</v>
      </c>
      <c r="L605" s="8">
        <v>7</v>
      </c>
      <c r="M605" s="7" t="s">
        <v>876</v>
      </c>
      <c r="N605" s="7" t="s">
        <v>2425</v>
      </c>
      <c r="O605" s="9">
        <v>41078</v>
      </c>
      <c r="P605" s="7" t="s">
        <v>159</v>
      </c>
      <c r="Q605" s="7">
        <v>507735</v>
      </c>
      <c r="R605" s="7" t="s">
        <v>2426</v>
      </c>
      <c r="S605" s="8" t="s">
        <v>2427</v>
      </c>
      <c r="T605" s="13"/>
      <c r="U605" s="13"/>
      <c r="V605" s="7"/>
    </row>
    <row r="606" spans="1:22">
      <c r="A606" s="5" t="s">
        <v>821</v>
      </c>
      <c r="B606" s="5" t="str">
        <f>GetAddress(A606)</f>
        <v>\\CHNO0276\Aseguranza de Calidad\Control de Documentos\Doc. controlados PDF\Ayudas visuales\Micromini\Potted\CNWI-VSHP-000112 Rev. A (ABF-P1R5-C).pub</v>
      </c>
      <c r="C606" s="5" t="str">
        <f>MID(B606,LEN(B606) - FIND(".",REVERSETEXT(B606))+2,1000)</f>
        <v>pub</v>
      </c>
      <c r="D606" s="6">
        <v>6</v>
      </c>
      <c r="E606" s="7" t="s">
        <v>83</v>
      </c>
      <c r="F606" s="7" t="s">
        <v>22</v>
      </c>
      <c r="G606" s="8" t="s">
        <v>23</v>
      </c>
      <c r="H606" s="8">
        <v>5</v>
      </c>
      <c r="I606" s="8" t="s">
        <v>24</v>
      </c>
      <c r="J606" s="8">
        <v>12</v>
      </c>
      <c r="K606" s="8" t="s">
        <v>129</v>
      </c>
      <c r="L606" s="8">
        <v>18</v>
      </c>
      <c r="M606" s="7" t="s">
        <v>130</v>
      </c>
      <c r="N606" s="13" t="s">
        <v>822</v>
      </c>
      <c r="O606" s="9">
        <v>40659</v>
      </c>
      <c r="P606" s="7" t="s">
        <v>27</v>
      </c>
      <c r="Q606" s="7" t="s">
        <v>823</v>
      </c>
      <c r="R606" s="7" t="s">
        <v>604</v>
      </c>
      <c r="S606" s="8" t="s">
        <v>605</v>
      </c>
      <c r="T606" s="7"/>
      <c r="U606" s="7"/>
      <c r="V606" s="7"/>
    </row>
    <row r="607" spans="1:22">
      <c r="A607" s="5" t="s">
        <v>2769</v>
      </c>
      <c r="B607" s="5" t="str">
        <f>GetAddress(A607)</f>
        <v>\\CHNO0276\Aseguranza de Calidad\Control de Documentos\Doc. controlados PDF\Ayudas visuales\Camarillo\Itron\CNWI-VSHP-000113 Rev. A (CBA-0217-314).pub</v>
      </c>
      <c r="C607" s="5" t="str">
        <f>MID(B607,LEN(B607) - FIND(".",REVERSETEXT(B607))+2,1000)</f>
        <v>pub</v>
      </c>
      <c r="D607" s="6">
        <v>6</v>
      </c>
      <c r="E607" s="7" t="s">
        <v>83</v>
      </c>
      <c r="F607" s="7" t="s">
        <v>22</v>
      </c>
      <c r="G607" s="8" t="s">
        <v>23</v>
      </c>
      <c r="H607" s="8">
        <v>5</v>
      </c>
      <c r="I607" s="8" t="s">
        <v>257</v>
      </c>
      <c r="J607" s="8">
        <v>9</v>
      </c>
      <c r="K607" s="8" t="s">
        <v>2183</v>
      </c>
      <c r="L607" s="8">
        <v>13</v>
      </c>
      <c r="M607" s="7" t="s">
        <v>2184</v>
      </c>
      <c r="N607" s="13" t="s">
        <v>2770</v>
      </c>
      <c r="O607" s="9">
        <v>40672</v>
      </c>
      <c r="P607" s="7" t="s">
        <v>27</v>
      </c>
      <c r="Q607" s="7" t="s">
        <v>2771</v>
      </c>
      <c r="R607" s="7" t="s">
        <v>2426</v>
      </c>
      <c r="S607" s="8" t="s">
        <v>2427</v>
      </c>
      <c r="T607" s="7"/>
      <c r="U607" s="13"/>
      <c r="V607" s="7"/>
    </row>
    <row r="608" spans="1:22">
      <c r="A608" s="5" t="s">
        <v>2711</v>
      </c>
      <c r="B608" s="5" t="str">
        <f>GetAddress(A608)</f>
        <v>\\CHNO0276\Aseguranza de Calidad\Control de Documentos\Doc. controlados PDF\Ayudas visuales\Camarillo\Itron\CNWI-VSHP-000114 REV. A (CBA-0349-104).pub</v>
      </c>
      <c r="C608" s="5" t="str">
        <f>MID(B608,LEN(B608) - FIND(".",REVERSETEXT(B608))+2,1000)</f>
        <v>pub</v>
      </c>
      <c r="D608" s="6">
        <v>6</v>
      </c>
      <c r="E608" s="7" t="s">
        <v>83</v>
      </c>
      <c r="F608" s="7" t="s">
        <v>22</v>
      </c>
      <c r="G608" s="8" t="s">
        <v>23</v>
      </c>
      <c r="H608" s="8">
        <v>5</v>
      </c>
      <c r="I608" s="8" t="s">
        <v>257</v>
      </c>
      <c r="J608" s="8">
        <v>9</v>
      </c>
      <c r="K608" s="8" t="s">
        <v>258</v>
      </c>
      <c r="L608" s="8">
        <v>8</v>
      </c>
      <c r="M608" s="7" t="s">
        <v>259</v>
      </c>
      <c r="N608" s="13" t="s">
        <v>2712</v>
      </c>
      <c r="O608" s="9">
        <v>40669</v>
      </c>
      <c r="P608" s="7" t="s">
        <v>27</v>
      </c>
      <c r="Q608" s="13" t="s">
        <v>2712</v>
      </c>
      <c r="R608" s="7" t="s">
        <v>2426</v>
      </c>
      <c r="S608" s="8" t="s">
        <v>2427</v>
      </c>
      <c r="T608" s="7"/>
      <c r="U608" s="13"/>
      <c r="V608" s="7"/>
    </row>
    <row r="609" spans="1:22">
      <c r="A609" s="5" t="s">
        <v>2727</v>
      </c>
      <c r="B609" s="5" t="str">
        <f>GetAddress(A609)</f>
        <v>\\CHNO0276\Aseguranza de Calidad\Control de Documentos\Doc. controlados PDF\Ayudas visuales\Camarillo\Itron\CNWI-VSHP-000115 Rev. A (CBA-0349-105).pub</v>
      </c>
      <c r="C609" s="5" t="str">
        <f>MID(B609,LEN(B609) - FIND(".",REVERSETEXT(B609))+2,1000)</f>
        <v>pub</v>
      </c>
      <c r="D609" s="6">
        <v>6</v>
      </c>
      <c r="E609" s="7" t="s">
        <v>83</v>
      </c>
      <c r="F609" s="7" t="s">
        <v>22</v>
      </c>
      <c r="G609" s="8" t="s">
        <v>23</v>
      </c>
      <c r="H609" s="8">
        <v>5</v>
      </c>
      <c r="I609" s="8" t="s">
        <v>257</v>
      </c>
      <c r="J609" s="8">
        <v>9</v>
      </c>
      <c r="K609" s="8" t="s">
        <v>1090</v>
      </c>
      <c r="L609" s="8">
        <v>9</v>
      </c>
      <c r="M609" s="7" t="s">
        <v>1091</v>
      </c>
      <c r="N609" s="13" t="s">
        <v>2728</v>
      </c>
      <c r="O609" s="9">
        <v>40673</v>
      </c>
      <c r="P609" s="7" t="s">
        <v>27</v>
      </c>
      <c r="Q609" s="7" t="s">
        <v>2729</v>
      </c>
      <c r="R609" s="7" t="s">
        <v>2426</v>
      </c>
      <c r="S609" s="8" t="s">
        <v>2427</v>
      </c>
      <c r="T609" s="7"/>
      <c r="U609" s="13"/>
      <c r="V609" s="7"/>
    </row>
    <row r="610" spans="1:22">
      <c r="A610" s="5" t="s">
        <v>2593</v>
      </c>
      <c r="B610" s="5" t="str">
        <f>GetAddress(A610)</f>
        <v>\\CHNO0276\Aseguranza de Calidad\Control de Documentos\Doc. controlados PDF\Ayudas visuales\Camarillo\Bonding\CNWI-VSHP-000120 Rev  B (Empaque BACC65XX).pub</v>
      </c>
      <c r="C610" s="5" t="str">
        <f>MID(B610,LEN(B610) - FIND(".",REVERSETEXT(B610))+2,1000)</f>
        <v>pub</v>
      </c>
      <c r="D610" s="6">
        <v>6</v>
      </c>
      <c r="E610" s="7" t="s">
        <v>83</v>
      </c>
      <c r="F610" s="7" t="s">
        <v>22</v>
      </c>
      <c r="G610" s="8" t="s">
        <v>23</v>
      </c>
      <c r="H610" s="8">
        <v>5</v>
      </c>
      <c r="I610" s="8" t="s">
        <v>874</v>
      </c>
      <c r="J610" s="8">
        <v>10</v>
      </c>
      <c r="K610" s="8" t="s">
        <v>967</v>
      </c>
      <c r="L610" s="8">
        <v>10</v>
      </c>
      <c r="M610" s="7" t="s">
        <v>968</v>
      </c>
      <c r="N610" s="13" t="s">
        <v>2594</v>
      </c>
      <c r="O610" s="9">
        <v>40696</v>
      </c>
      <c r="P610" s="7" t="s">
        <v>46</v>
      </c>
      <c r="Q610" s="7" t="s">
        <v>28</v>
      </c>
      <c r="R610" s="7" t="s">
        <v>2426</v>
      </c>
      <c r="S610" s="8" t="s">
        <v>2427</v>
      </c>
      <c r="T610" s="7" t="s">
        <v>30</v>
      </c>
      <c r="U610" s="13" t="s">
        <v>1473</v>
      </c>
      <c r="V610" s="7"/>
    </row>
    <row r="611" spans="1:22">
      <c r="A611" s="5" t="s">
        <v>627</v>
      </c>
      <c r="B611" s="5" t="str">
        <f>GetAddress(A611)</f>
        <v>\\CHNO0276\Aseguranza de Calidad\Control de Documentos\Doc. controlados PDF\Ayudas visuales\Micromini\General\CNWI-VSHP-000121 Formato ofical para ayudas visuales.pub</v>
      </c>
      <c r="C611" s="5" t="str">
        <f>MID(B611,LEN(B611) - FIND(".",REVERSETEXT(B611))+2,1000)</f>
        <v>pub</v>
      </c>
      <c r="D611" s="6">
        <v>6</v>
      </c>
      <c r="E611" s="7" t="s">
        <v>83</v>
      </c>
      <c r="F611" s="7" t="s">
        <v>22</v>
      </c>
      <c r="G611" s="8" t="s">
        <v>23</v>
      </c>
      <c r="H611" s="8">
        <v>5</v>
      </c>
      <c r="I611" s="8" t="s">
        <v>84</v>
      </c>
      <c r="J611" s="8">
        <v>33</v>
      </c>
      <c r="K611" s="8" t="s">
        <v>85</v>
      </c>
      <c r="L611" s="8">
        <v>28</v>
      </c>
      <c r="M611" s="7" t="s">
        <v>86</v>
      </c>
      <c r="N611" s="13" t="s">
        <v>628</v>
      </c>
      <c r="O611" s="9">
        <v>40708</v>
      </c>
      <c r="P611" s="7" t="s">
        <v>27</v>
      </c>
      <c r="Q611" s="7" t="s">
        <v>28</v>
      </c>
      <c r="R611" s="7" t="s">
        <v>604</v>
      </c>
      <c r="S611" s="8" t="s">
        <v>605</v>
      </c>
      <c r="T611" s="7" t="s">
        <v>30</v>
      </c>
      <c r="U611" s="7" t="s">
        <v>90</v>
      </c>
      <c r="V611" s="7"/>
    </row>
    <row r="612" spans="1:22">
      <c r="A612" s="5" t="s">
        <v>2670</v>
      </c>
      <c r="B612" s="5" t="str">
        <f>GetAddress(A612)</f>
        <v>\\CHNO0276\Aseguranza de Calidad\Control de Documentos\Doc. controlados PDF\Ayudas visuales\Camarillo\Ensamble general\CNWI-VSHP-000126 REV.A (28-7603-0000).pub</v>
      </c>
      <c r="C612" s="5" t="str">
        <f>MID(B612,LEN(B612) - FIND(".",REVERSETEXT(B612))+2,1000)</f>
        <v>pub</v>
      </c>
      <c r="D612" s="6">
        <v>6</v>
      </c>
      <c r="E612" s="7" t="s">
        <v>83</v>
      </c>
      <c r="F612" s="7" t="s">
        <v>22</v>
      </c>
      <c r="G612" s="8" t="s">
        <v>23</v>
      </c>
      <c r="H612" s="8">
        <v>5</v>
      </c>
      <c r="I612" s="8" t="s">
        <v>2126</v>
      </c>
      <c r="J612" s="8">
        <v>36</v>
      </c>
      <c r="K612" s="8" t="s">
        <v>2126</v>
      </c>
      <c r="L612" s="8">
        <v>26</v>
      </c>
      <c r="M612" s="7" t="s">
        <v>2127</v>
      </c>
      <c r="N612" s="13" t="s">
        <v>2671</v>
      </c>
      <c r="O612" s="9">
        <v>40870</v>
      </c>
      <c r="P612" s="7" t="s">
        <v>27</v>
      </c>
      <c r="Q612" s="7" t="s">
        <v>2672</v>
      </c>
      <c r="R612" s="7" t="s">
        <v>2426</v>
      </c>
      <c r="S612" s="8" t="s">
        <v>2427</v>
      </c>
      <c r="T612" s="7" t="s">
        <v>30</v>
      </c>
      <c r="U612" s="7" t="s">
        <v>479</v>
      </c>
      <c r="V612" s="7"/>
    </row>
    <row r="613" spans="1:22">
      <c r="A613" s="5" t="s">
        <v>2673</v>
      </c>
      <c r="B613" s="5" t="str">
        <f>GetAddress(A613)</f>
        <v>\\CHNO0276\Aseguranza de Calidad\Control de Documentos\Doc. controlados PDF\Ayudas visuales\Camarillo\Ensamble general\CNWI-VSHP-000127 REV.A 28-2241-0000.pub</v>
      </c>
      <c r="C613" s="5" t="str">
        <f>MID(B613,LEN(B613) - FIND(".",REVERSETEXT(B613))+2,1000)</f>
        <v>pub</v>
      </c>
      <c r="D613" s="6">
        <v>6</v>
      </c>
      <c r="E613" s="7" t="s">
        <v>83</v>
      </c>
      <c r="F613" s="7" t="s">
        <v>22</v>
      </c>
      <c r="G613" s="8" t="s">
        <v>23</v>
      </c>
      <c r="H613" s="8">
        <v>5</v>
      </c>
      <c r="I613" s="8" t="s">
        <v>2126</v>
      </c>
      <c r="J613" s="8">
        <v>36</v>
      </c>
      <c r="K613" s="8" t="s">
        <v>2126</v>
      </c>
      <c r="L613" s="8">
        <v>26</v>
      </c>
      <c r="M613" s="7" t="s">
        <v>2127</v>
      </c>
      <c r="N613" s="13" t="s">
        <v>2674</v>
      </c>
      <c r="O613" s="9">
        <v>40882</v>
      </c>
      <c r="P613" s="7" t="s">
        <v>27</v>
      </c>
      <c r="Q613" s="7" t="s">
        <v>2675</v>
      </c>
      <c r="R613" s="7" t="s">
        <v>2426</v>
      </c>
      <c r="S613" s="8" t="s">
        <v>2427</v>
      </c>
      <c r="T613" s="7" t="s">
        <v>30</v>
      </c>
      <c r="U613" s="7" t="s">
        <v>479</v>
      </c>
      <c r="V613" s="7"/>
    </row>
    <row r="614" spans="1:22">
      <c r="A614" s="5" t="s">
        <v>2676</v>
      </c>
      <c r="B614" s="5" t="str">
        <f>GetAddress(A614)</f>
        <v>\\CHNO0276\Aseguranza de Calidad\Control de Documentos\Doc. controlados PDF\Ayudas visuales\Camarillo\Ensamble general\CNWI-VSHP-000128 REV.A 28-7603-0000.pub</v>
      </c>
      <c r="C614" s="5" t="str">
        <f>MID(B614,LEN(B614) - FIND(".",REVERSETEXT(B614))+2,1000)</f>
        <v>pub</v>
      </c>
      <c r="D614" s="6">
        <v>6</v>
      </c>
      <c r="E614" s="7" t="s">
        <v>83</v>
      </c>
      <c r="F614" s="7" t="s">
        <v>22</v>
      </c>
      <c r="G614" s="8" t="s">
        <v>23</v>
      </c>
      <c r="H614" s="8">
        <v>5</v>
      </c>
      <c r="I614" s="8" t="s">
        <v>2126</v>
      </c>
      <c r="J614" s="8">
        <v>36</v>
      </c>
      <c r="K614" s="8" t="s">
        <v>2126</v>
      </c>
      <c r="L614" s="8">
        <v>26</v>
      </c>
      <c r="M614" s="7" t="s">
        <v>2127</v>
      </c>
      <c r="N614" s="13" t="s">
        <v>2671</v>
      </c>
      <c r="O614" s="9">
        <v>40882</v>
      </c>
      <c r="P614" s="7" t="s">
        <v>27</v>
      </c>
      <c r="Q614" s="7" t="s">
        <v>2672</v>
      </c>
      <c r="R614" s="7" t="s">
        <v>2426</v>
      </c>
      <c r="S614" s="8" t="s">
        <v>2427</v>
      </c>
      <c r="T614" s="7" t="s">
        <v>30</v>
      </c>
      <c r="U614" s="7" t="s">
        <v>479</v>
      </c>
      <c r="V614" s="7"/>
    </row>
    <row r="615" spans="1:22">
      <c r="A615" s="5" t="s">
        <v>2595</v>
      </c>
      <c r="B615" s="5" t="str">
        <f>GetAddress(A615)</f>
        <v>\\CHNO0276\Aseguranza de Calidad\Control de Documentos\Doc. controlados PDF\Ayudas visuales\Camarillo\Bonding\CNWI-VSHP-000129 REV. A 002359-0004.pub</v>
      </c>
      <c r="C615" s="5" t="str">
        <f>MID(B615,LEN(B615) - FIND(".",REVERSETEXT(B615))+2,1000)</f>
        <v>pub</v>
      </c>
      <c r="D615" s="6">
        <v>6</v>
      </c>
      <c r="E615" s="7" t="s">
        <v>83</v>
      </c>
      <c r="F615" s="7" t="s">
        <v>22</v>
      </c>
      <c r="G615" s="8" t="s">
        <v>23</v>
      </c>
      <c r="H615" s="8">
        <v>5</v>
      </c>
      <c r="I615" s="8" t="s">
        <v>874</v>
      </c>
      <c r="J615" s="8">
        <v>10</v>
      </c>
      <c r="K615" s="8" t="s">
        <v>967</v>
      </c>
      <c r="L615" s="8">
        <v>10</v>
      </c>
      <c r="M615" s="7" t="s">
        <v>968</v>
      </c>
      <c r="N615" s="13" t="s">
        <v>2596</v>
      </c>
      <c r="O615" s="9">
        <v>40882</v>
      </c>
      <c r="P615" s="7" t="s">
        <v>27</v>
      </c>
      <c r="Q615" s="7" t="s">
        <v>2597</v>
      </c>
      <c r="R615" s="7" t="s">
        <v>2426</v>
      </c>
      <c r="S615" s="8" t="s">
        <v>2427</v>
      </c>
      <c r="T615" s="7" t="s">
        <v>30</v>
      </c>
      <c r="U615" s="13" t="s">
        <v>1473</v>
      </c>
      <c r="V615" s="7"/>
    </row>
    <row r="616" spans="1:22">
      <c r="A616" s="5" t="s">
        <v>2677</v>
      </c>
      <c r="B616" s="5" t="str">
        <f>GetAddress(A616)</f>
        <v>\\CHNO0276\Aseguranza de Calidad\Control de Documentos\Doc. controlados PDF\Ayudas visuales\Camarillo\Ensamble general\CNWI-VSHP-000130 REV. A.pub</v>
      </c>
      <c r="C616" s="5" t="str">
        <f>MID(B616,LEN(B616) - FIND(".",REVERSETEXT(B616))+2,1000)</f>
        <v>pub</v>
      </c>
      <c r="D616" s="6">
        <v>6</v>
      </c>
      <c r="E616" s="7" t="s">
        <v>83</v>
      </c>
      <c r="F616" s="7" t="s">
        <v>22</v>
      </c>
      <c r="G616" s="8" t="s">
        <v>23</v>
      </c>
      <c r="H616" s="8">
        <v>5</v>
      </c>
      <c r="I616" s="8" t="s">
        <v>2126</v>
      </c>
      <c r="J616" s="8">
        <v>36</v>
      </c>
      <c r="K616" s="8" t="s">
        <v>2126</v>
      </c>
      <c r="L616" s="8">
        <v>26</v>
      </c>
      <c r="M616" s="7" t="s">
        <v>2127</v>
      </c>
      <c r="N616" s="13" t="s">
        <v>2678</v>
      </c>
      <c r="O616" s="9">
        <v>40885</v>
      </c>
      <c r="P616" s="7" t="s">
        <v>27</v>
      </c>
      <c r="Q616" s="7" t="s">
        <v>2679</v>
      </c>
      <c r="R616" s="7" t="s">
        <v>2426</v>
      </c>
      <c r="S616" s="8" t="s">
        <v>2427</v>
      </c>
      <c r="T616" s="7" t="s">
        <v>30</v>
      </c>
      <c r="U616" s="7" t="s">
        <v>479</v>
      </c>
      <c r="V616" s="7"/>
    </row>
    <row r="617" spans="1:22">
      <c r="A617" s="5" t="s">
        <v>775</v>
      </c>
      <c r="B617" s="5" t="str">
        <f>GetAddress(A617)</f>
        <v>\\CHNO0276\Aseguranza de Calidad\Control de Documentos\Doc. controlados PDF\Ayudas visuales\Micromini\MS\CNWI-VSHP-000132 REV. A SOLDADURA DE CONTACTOS.pub</v>
      </c>
      <c r="C617" s="5" t="str">
        <f>MID(B617,LEN(B617) - FIND(".",REVERSETEXT(B617))+2,1000)</f>
        <v>pub</v>
      </c>
      <c r="D617" s="6">
        <v>6</v>
      </c>
      <c r="E617" s="7" t="s">
        <v>83</v>
      </c>
      <c r="F617" s="7" t="s">
        <v>22</v>
      </c>
      <c r="G617" s="8" t="s">
        <v>23</v>
      </c>
      <c r="H617" s="8">
        <v>5</v>
      </c>
      <c r="I617" s="8" t="s">
        <v>24</v>
      </c>
      <c r="J617" s="8">
        <v>12</v>
      </c>
      <c r="K617" s="8" t="s">
        <v>515</v>
      </c>
      <c r="L617" s="8">
        <v>16</v>
      </c>
      <c r="M617" s="7" t="s">
        <v>515</v>
      </c>
      <c r="N617" s="13" t="s">
        <v>776</v>
      </c>
      <c r="O617" s="9">
        <v>40885</v>
      </c>
      <c r="P617" s="7" t="s">
        <v>27</v>
      </c>
      <c r="Q617" s="7" t="s">
        <v>28</v>
      </c>
      <c r="R617" s="7" t="s">
        <v>604</v>
      </c>
      <c r="S617" s="8" t="s">
        <v>605</v>
      </c>
      <c r="T617" s="7" t="s">
        <v>30</v>
      </c>
      <c r="U617" s="7" t="s">
        <v>90</v>
      </c>
      <c r="V617" s="7"/>
    </row>
    <row r="618" spans="1:22">
      <c r="A618" s="5" t="s">
        <v>2730</v>
      </c>
      <c r="B618" s="5" t="str">
        <f>GetAddress(A618)</f>
        <v>\\CHNO0276\Aseguranza de Calidad\Control de Documentos\Doc. controlados PDF\Ayudas visuales\Camarillo\Itron\CNWI-VSHP-000133 REV.A 28-3306-0001.pub</v>
      </c>
      <c r="C618" s="5" t="str">
        <f>MID(B618,LEN(B618) - FIND(".",REVERSETEXT(B618))+2,1000)</f>
        <v>pub</v>
      </c>
      <c r="D618" s="6">
        <v>6</v>
      </c>
      <c r="E618" s="7" t="s">
        <v>83</v>
      </c>
      <c r="F618" s="7" t="s">
        <v>22</v>
      </c>
      <c r="G618" s="8" t="s">
        <v>23</v>
      </c>
      <c r="H618" s="8">
        <v>5</v>
      </c>
      <c r="I618" s="8" t="s">
        <v>257</v>
      </c>
      <c r="J618" s="8">
        <v>9</v>
      </c>
      <c r="K618" s="8" t="s">
        <v>1090</v>
      </c>
      <c r="L618" s="8">
        <v>9</v>
      </c>
      <c r="M618" s="7" t="s">
        <v>1091</v>
      </c>
      <c r="N618" s="13" t="s">
        <v>2731</v>
      </c>
      <c r="O618" s="9">
        <v>40889</v>
      </c>
      <c r="P618" s="7" t="s">
        <v>27</v>
      </c>
      <c r="Q618" s="7" t="s">
        <v>28</v>
      </c>
      <c r="R618" s="7" t="s">
        <v>2426</v>
      </c>
      <c r="S618" s="8" t="s">
        <v>2427</v>
      </c>
      <c r="T618" s="7" t="s">
        <v>30</v>
      </c>
      <c r="U618" s="13" t="s">
        <v>1473</v>
      </c>
      <c r="V618" s="7"/>
    </row>
    <row r="619" spans="1:22">
      <c r="A619" s="5" t="s">
        <v>824</v>
      </c>
      <c r="B619" s="5" t="str">
        <f>GetAddress(A619)</f>
        <v>\\CHNO0276\Aseguranza de Calidad\Control de Documentos\Doc. controlados PDF\Ayudas visuales\Micromini\Potted\CNWI-VSHP-000135 Rev. A (5000113).pub</v>
      </c>
      <c r="C619" s="5" t="str">
        <f>MID(B619,LEN(B619) - FIND(".",REVERSETEXT(B619))+2,1000)</f>
        <v>pub</v>
      </c>
      <c r="D619" s="6">
        <v>6</v>
      </c>
      <c r="E619" s="7" t="s">
        <v>83</v>
      </c>
      <c r="F619" s="7" t="s">
        <v>22</v>
      </c>
      <c r="G619" s="8" t="s">
        <v>23</v>
      </c>
      <c r="H619" s="8">
        <v>5</v>
      </c>
      <c r="I619" s="8" t="s">
        <v>24</v>
      </c>
      <c r="J619" s="8">
        <v>12</v>
      </c>
      <c r="K619" s="8" t="s">
        <v>129</v>
      </c>
      <c r="L619" s="8">
        <v>18</v>
      </c>
      <c r="M619" s="7" t="s">
        <v>130</v>
      </c>
      <c r="N619" s="13" t="s">
        <v>825</v>
      </c>
      <c r="O619" s="9">
        <v>40893</v>
      </c>
      <c r="P619" s="7" t="s">
        <v>27</v>
      </c>
      <c r="Q619" s="7" t="s">
        <v>826</v>
      </c>
      <c r="R619" s="7" t="s">
        <v>604</v>
      </c>
      <c r="S619" s="8" t="s">
        <v>605</v>
      </c>
      <c r="T619" s="7" t="s">
        <v>30</v>
      </c>
      <c r="U619" s="7" t="s">
        <v>90</v>
      </c>
      <c r="V619" s="7"/>
    </row>
    <row r="620" spans="1:22">
      <c r="A620" s="5" t="s">
        <v>2713</v>
      </c>
      <c r="B620" s="5" t="str">
        <f>GetAddress(A620)</f>
        <v>\\CHNO0276\Aseguranza de Calidad\Control de Documentos\Doc. controlados PDF\Ayudas visuales\Camarillo\Itron\CNWI-VSHP-000136  CBA-1300-905 REV A ( 28-2307-0001).pub</v>
      </c>
      <c r="C620" s="5" t="str">
        <f>MID(B620,LEN(B620) - FIND(".",REVERSETEXT(B620))+2,1000)</f>
        <v>pub</v>
      </c>
      <c r="D620" s="6">
        <v>6</v>
      </c>
      <c r="E620" s="7" t="s">
        <v>83</v>
      </c>
      <c r="F620" s="7" t="s">
        <v>22</v>
      </c>
      <c r="G620" s="8" t="s">
        <v>23</v>
      </c>
      <c r="H620" s="8">
        <v>5</v>
      </c>
      <c r="I620" s="8" t="s">
        <v>257</v>
      </c>
      <c r="J620" s="8">
        <v>9</v>
      </c>
      <c r="K620" s="8" t="s">
        <v>258</v>
      </c>
      <c r="L620" s="8">
        <v>8</v>
      </c>
      <c r="M620" s="7" t="s">
        <v>259</v>
      </c>
      <c r="N620" s="13" t="s">
        <v>2714</v>
      </c>
      <c r="O620" s="9">
        <v>40897</v>
      </c>
      <c r="P620" s="7" t="s">
        <v>27</v>
      </c>
      <c r="Q620" s="7" t="s">
        <v>2715</v>
      </c>
      <c r="R620" s="7" t="s">
        <v>2426</v>
      </c>
      <c r="S620" s="8" t="s">
        <v>2427</v>
      </c>
      <c r="T620" s="7" t="s">
        <v>30</v>
      </c>
      <c r="U620" s="13" t="s">
        <v>1473</v>
      </c>
      <c r="V620" s="7"/>
    </row>
    <row r="621" spans="1:22">
      <c r="A621" s="5" t="s">
        <v>2680</v>
      </c>
      <c r="B621" s="5" t="str">
        <f>GetAddress(A621)</f>
        <v>\\CHNO0276\Aseguranza de Calidad\Control de Documentos\Doc. controlados PDF\Ayudas visuales\Camarillo\Ensamble general\CNWI-VSHP-000137 REV. A 000101-0172M (000101-0172).pub</v>
      </c>
      <c r="C621" s="5" t="str">
        <f>MID(B621,LEN(B621) - FIND(".",REVERSETEXT(B621))+2,1000)</f>
        <v>pub</v>
      </c>
      <c r="D621" s="6">
        <v>6</v>
      </c>
      <c r="E621" s="7" t="s">
        <v>83</v>
      </c>
      <c r="F621" s="7" t="s">
        <v>22</v>
      </c>
      <c r="G621" s="8" t="s">
        <v>23</v>
      </c>
      <c r="H621" s="8">
        <v>5</v>
      </c>
      <c r="I621" s="8" t="s">
        <v>2126</v>
      </c>
      <c r="J621" s="8">
        <v>36</v>
      </c>
      <c r="K621" s="8" t="s">
        <v>2126</v>
      </c>
      <c r="L621" s="8">
        <v>26</v>
      </c>
      <c r="M621" s="7" t="s">
        <v>2127</v>
      </c>
      <c r="N621" s="13" t="s">
        <v>2681</v>
      </c>
      <c r="O621" s="9">
        <v>40898</v>
      </c>
      <c r="P621" s="7" t="s">
        <v>27</v>
      </c>
      <c r="Q621" s="7" t="s">
        <v>2605</v>
      </c>
      <c r="R621" s="7" t="s">
        <v>2426</v>
      </c>
      <c r="S621" s="8" t="s">
        <v>2427</v>
      </c>
      <c r="T621" s="7" t="s">
        <v>30</v>
      </c>
      <c r="U621" s="7" t="s">
        <v>479</v>
      </c>
      <c r="V621" s="7"/>
    </row>
    <row r="622" spans="1:22">
      <c r="A622" s="5" t="s">
        <v>2754</v>
      </c>
      <c r="B622" s="5" t="str">
        <f>GetAddress(A622)</f>
        <v>\\CHNO0276\Aseguranza de Calidad\Control de Documentos\Doc. controlados PDF\Ayudas visuales\Camarillo\Itron\CNWI-VSHP-000138 REV. A (28-7502-0007M).pub</v>
      </c>
      <c r="C622" s="5" t="str">
        <f>MID(B622,LEN(B622) - FIND(".",REVERSETEXT(B622))+2,1000)</f>
        <v>pub</v>
      </c>
      <c r="D622" s="6">
        <v>6</v>
      </c>
      <c r="E622" s="7" t="s">
        <v>83</v>
      </c>
      <c r="F622" s="7" t="s">
        <v>22</v>
      </c>
      <c r="G622" s="8" t="s">
        <v>23</v>
      </c>
      <c r="H622" s="8">
        <v>5</v>
      </c>
      <c r="I622" s="8" t="s">
        <v>257</v>
      </c>
      <c r="J622" s="8">
        <v>9</v>
      </c>
      <c r="K622" s="8" t="s">
        <v>1095</v>
      </c>
      <c r="L622" s="8">
        <v>1</v>
      </c>
      <c r="M622" s="7" t="s">
        <v>1096</v>
      </c>
      <c r="N622" s="13" t="s">
        <v>2755</v>
      </c>
      <c r="O622" s="9">
        <v>40906</v>
      </c>
      <c r="P622" s="7" t="s">
        <v>27</v>
      </c>
      <c r="Q622" s="7" t="s">
        <v>2756</v>
      </c>
      <c r="R622" s="7" t="s">
        <v>2426</v>
      </c>
      <c r="S622" s="8" t="s">
        <v>2427</v>
      </c>
      <c r="T622" s="7" t="s">
        <v>30</v>
      </c>
      <c r="U622" s="13" t="s">
        <v>1473</v>
      </c>
      <c r="V622" s="7"/>
    </row>
    <row r="623" spans="1:22">
      <c r="A623" s="5" t="s">
        <v>827</v>
      </c>
      <c r="B623" s="5" t="str">
        <f>GetAddress(A623)</f>
        <v>\\CHNO0276\Aseguranza de Calidad\Control de Documentos\Doc. controlados PDF\Ayudas visuales\Micromini\Potted\CNWI-VSHP-000140 REV. A (ENSAMBLE CAP AB-A-C1).pub</v>
      </c>
      <c r="C623" s="5" t="str">
        <f>MID(B623,LEN(B623) - FIND(".",REVERSETEXT(B623))+2,1000)</f>
        <v>pub</v>
      </c>
      <c r="D623" s="6">
        <v>6</v>
      </c>
      <c r="E623" s="7" t="s">
        <v>83</v>
      </c>
      <c r="F623" s="7" t="s">
        <v>22</v>
      </c>
      <c r="G623" s="8" t="s">
        <v>23</v>
      </c>
      <c r="H623" s="8">
        <v>5</v>
      </c>
      <c r="I623" s="8" t="s">
        <v>24</v>
      </c>
      <c r="J623" s="8">
        <v>12</v>
      </c>
      <c r="K623" s="8" t="s">
        <v>129</v>
      </c>
      <c r="L623" s="8">
        <v>18</v>
      </c>
      <c r="M623" s="7" t="s">
        <v>130</v>
      </c>
      <c r="N623" s="13" t="s">
        <v>828</v>
      </c>
      <c r="O623" s="9">
        <v>40928</v>
      </c>
      <c r="P623" s="7" t="s">
        <v>27</v>
      </c>
      <c r="Q623" s="7" t="s">
        <v>829</v>
      </c>
      <c r="R623" s="7" t="s">
        <v>604</v>
      </c>
      <c r="S623" s="8" t="s">
        <v>605</v>
      </c>
      <c r="T623" s="7" t="s">
        <v>30</v>
      </c>
      <c r="U623" s="7" t="s">
        <v>90</v>
      </c>
      <c r="V623" s="7"/>
    </row>
    <row r="624" spans="1:22">
      <c r="A624" s="5" t="s">
        <v>2716</v>
      </c>
      <c r="B624" s="5" t="str">
        <f>GetAddress(A624)</f>
        <v>\\CHNO0276\Aseguranza de Calidad\Control de Documentos\Doc. controlados PDF\Ayudas visuales\Camarillo\Itron\CNWI-VSHP-000150  REV. A (28-3289-0001).pub</v>
      </c>
      <c r="C624" s="5" t="str">
        <f>MID(B624,LEN(B624) - FIND(".",REVERSETEXT(B624))+2,1000)</f>
        <v>pub</v>
      </c>
      <c r="D624" s="6">
        <v>6</v>
      </c>
      <c r="E624" s="7" t="s">
        <v>83</v>
      </c>
      <c r="F624" s="7" t="s">
        <v>22</v>
      </c>
      <c r="G624" s="8" t="s">
        <v>23</v>
      </c>
      <c r="H624" s="8">
        <v>5</v>
      </c>
      <c r="I624" s="8" t="s">
        <v>257</v>
      </c>
      <c r="J624" s="8">
        <v>9</v>
      </c>
      <c r="K624" s="8" t="s">
        <v>258</v>
      </c>
      <c r="L624" s="8">
        <v>8</v>
      </c>
      <c r="M624" s="7" t="s">
        <v>259</v>
      </c>
      <c r="N624" s="13" t="s">
        <v>2717</v>
      </c>
      <c r="O624" s="9">
        <v>40952</v>
      </c>
      <c r="P624" s="7" t="s">
        <v>27</v>
      </c>
      <c r="Q624" s="7" t="s">
        <v>2718</v>
      </c>
      <c r="R624" s="7" t="s">
        <v>2426</v>
      </c>
      <c r="S624" s="8" t="s">
        <v>2427</v>
      </c>
      <c r="T624" s="7" t="s">
        <v>30</v>
      </c>
      <c r="U624" s="13" t="s">
        <v>1473</v>
      </c>
      <c r="V624" s="7"/>
    </row>
    <row r="625" spans="1:22">
      <c r="A625" s="5" t="s">
        <v>2598</v>
      </c>
      <c r="B625" s="5" t="str">
        <f>GetAddress(A625)</f>
        <v>\\CHNO0276\Aseguranza de Calidad\Control de Documentos\Doc. controlados PDF\Ayudas visuales\Camarillo\Bonding\CNWI-VSHP-000153 REV. A (002360-0006 y 002360-0004).pub</v>
      </c>
      <c r="C625" s="5" t="str">
        <f>MID(B625,LEN(B625) - FIND(".",REVERSETEXT(B625))+2,1000)</f>
        <v>pub</v>
      </c>
      <c r="D625" s="6">
        <v>6</v>
      </c>
      <c r="E625" s="7" t="s">
        <v>83</v>
      </c>
      <c r="F625" s="7" t="s">
        <v>22</v>
      </c>
      <c r="G625" s="8" t="s">
        <v>23</v>
      </c>
      <c r="H625" s="8">
        <v>5</v>
      </c>
      <c r="I625" s="8" t="s">
        <v>874</v>
      </c>
      <c r="J625" s="8">
        <v>10</v>
      </c>
      <c r="K625" s="8" t="s">
        <v>967</v>
      </c>
      <c r="L625" s="8">
        <v>10</v>
      </c>
      <c r="M625" s="7" t="s">
        <v>968</v>
      </c>
      <c r="N625" s="13" t="s">
        <v>2599</v>
      </c>
      <c r="O625" s="9">
        <v>40992</v>
      </c>
      <c r="P625" s="7" t="s">
        <v>27</v>
      </c>
      <c r="Q625" s="7" t="s">
        <v>2600</v>
      </c>
      <c r="R625" s="7" t="s">
        <v>2426</v>
      </c>
      <c r="S625" s="8" t="s">
        <v>2427</v>
      </c>
      <c r="T625" s="7" t="s">
        <v>30</v>
      </c>
      <c r="U625" s="13" t="s">
        <v>1473</v>
      </c>
      <c r="V625" s="7"/>
    </row>
    <row r="626" spans="1:22">
      <c r="A626" s="5" t="s">
        <v>2601</v>
      </c>
      <c r="B626" s="5" t="str">
        <f>GetAddress(A626)</f>
        <v>\\CHNO0276\Aseguranza de Calidad\Control de Documentos\Doc. controlados PDF\Ayudas visuales\Camarillo\Bonding\CNWI-VSHP-000155 Rev. A (002359-0006).pub</v>
      </c>
      <c r="C626" s="5" t="str">
        <f>MID(B626,LEN(B626) - FIND(".",REVERSETEXT(B626))+2,1000)</f>
        <v>pub</v>
      </c>
      <c r="D626" s="6">
        <v>6</v>
      </c>
      <c r="E626" s="7" t="s">
        <v>83</v>
      </c>
      <c r="F626" s="7" t="s">
        <v>22</v>
      </c>
      <c r="G626" s="8" t="s">
        <v>23</v>
      </c>
      <c r="H626" s="8">
        <v>5</v>
      </c>
      <c r="I626" s="8" t="s">
        <v>874</v>
      </c>
      <c r="J626" s="8">
        <v>10</v>
      </c>
      <c r="K626" s="8" t="s">
        <v>967</v>
      </c>
      <c r="L626" s="8">
        <v>10</v>
      </c>
      <c r="M626" s="7" t="s">
        <v>968</v>
      </c>
      <c r="N626" s="13" t="s">
        <v>2602</v>
      </c>
      <c r="O626" s="9">
        <v>40995</v>
      </c>
      <c r="P626" s="7" t="s">
        <v>27</v>
      </c>
      <c r="Q626" s="7" t="s">
        <v>2603</v>
      </c>
      <c r="R626" s="7" t="s">
        <v>2426</v>
      </c>
      <c r="S626" s="8" t="s">
        <v>2427</v>
      </c>
      <c r="T626" s="7" t="s">
        <v>30</v>
      </c>
      <c r="U626" s="13" t="s">
        <v>1473</v>
      </c>
      <c r="V626" s="7"/>
    </row>
    <row r="627" spans="1:22">
      <c r="A627" s="5" t="s">
        <v>2604</v>
      </c>
      <c r="B627" s="5" t="str">
        <f>GetAddress(A627)</f>
        <v>\\CHNO0276\Aseguranza de Calidad\Control de Documentos\Doc. controlados PDF\Ayudas visuales\Camarillo\Bonding\CNWI-VSHP-000158 (000101-0172M).pub</v>
      </c>
      <c r="C627" s="5" t="str">
        <f>MID(B627,LEN(B627) - FIND(".",REVERSETEXT(B627))+2,1000)</f>
        <v>pub</v>
      </c>
      <c r="D627" s="6">
        <v>6</v>
      </c>
      <c r="E627" s="7" t="s">
        <v>83</v>
      </c>
      <c r="F627" s="7" t="s">
        <v>22</v>
      </c>
      <c r="G627" s="8" t="s">
        <v>23</v>
      </c>
      <c r="H627" s="8">
        <v>5</v>
      </c>
      <c r="I627" s="8" t="s">
        <v>874</v>
      </c>
      <c r="J627" s="8">
        <v>10</v>
      </c>
      <c r="K627" s="8" t="s">
        <v>967</v>
      </c>
      <c r="L627" s="8">
        <v>10</v>
      </c>
      <c r="M627" s="7" t="s">
        <v>968</v>
      </c>
      <c r="N627" s="13" t="s">
        <v>2605</v>
      </c>
      <c r="O627" s="9">
        <v>41003</v>
      </c>
      <c r="P627" s="7" t="s">
        <v>27</v>
      </c>
      <c r="Q627" s="7" t="s">
        <v>2605</v>
      </c>
      <c r="R627" s="7" t="s">
        <v>2426</v>
      </c>
      <c r="S627" s="8" t="s">
        <v>2427</v>
      </c>
      <c r="T627" s="7" t="s">
        <v>30</v>
      </c>
      <c r="U627" s="13" t="s">
        <v>1473</v>
      </c>
      <c r="V627" s="7"/>
    </row>
    <row r="628" spans="1:22" ht="38.25">
      <c r="A628" s="5" t="s">
        <v>2428</v>
      </c>
      <c r="B628" s="5" t="str">
        <f>GetAddress(A628)</f>
        <v>\\CHNO0276\Aseguranza de Calidad\Control de Documentos\Doc. controlados PDF\Ayudas visuales\Camarillo\Amsafe\CNWI-VSHP-000159 REV C 508978-C.ppt</v>
      </c>
      <c r="C628" s="5" t="str">
        <f>MID(B628,LEN(B628) - FIND(".",REVERSETEXT(B628))+2,1000)</f>
        <v>ppt</v>
      </c>
      <c r="D628" s="6">
        <v>6</v>
      </c>
      <c r="E628" s="7" t="s">
        <v>83</v>
      </c>
      <c r="F628" s="7" t="s">
        <v>22</v>
      </c>
      <c r="G628" s="8" t="s">
        <v>23</v>
      </c>
      <c r="H628" s="8">
        <v>5</v>
      </c>
      <c r="I628" s="8" t="s">
        <v>874</v>
      </c>
      <c r="J628" s="8">
        <v>10</v>
      </c>
      <c r="K628" s="8" t="s">
        <v>875</v>
      </c>
      <c r="L628" s="8">
        <v>7</v>
      </c>
      <c r="M628" s="7" t="s">
        <v>876</v>
      </c>
      <c r="N628" s="13" t="s">
        <v>2429</v>
      </c>
      <c r="O628" s="9">
        <v>41029</v>
      </c>
      <c r="P628" s="7" t="s">
        <v>159</v>
      </c>
      <c r="Q628" s="7">
        <v>508978</v>
      </c>
      <c r="R628" s="7" t="s">
        <v>2426</v>
      </c>
      <c r="S628" s="8" t="s">
        <v>2427</v>
      </c>
      <c r="T628" s="13" t="s">
        <v>2430</v>
      </c>
      <c r="U628" s="13" t="s">
        <v>479</v>
      </c>
      <c r="V628" s="7"/>
    </row>
    <row r="629" spans="1:22">
      <c r="A629" s="5" t="s">
        <v>2682</v>
      </c>
      <c r="B629" s="5" t="str">
        <f>GetAddress(A629)</f>
        <v>\\CHNO0276\Aseguranza de Calidad\Control de Documentos\Doc. controlados PDF\Ayudas visuales\Camarillo\Ensamble general\CNWI-VSHP-000160 28-7502-0002.pub</v>
      </c>
      <c r="C629" s="5" t="str">
        <f>MID(B629,LEN(B629) - FIND(".",REVERSETEXT(B629))+2,1000)</f>
        <v>pub</v>
      </c>
      <c r="D629" s="6">
        <v>6</v>
      </c>
      <c r="E629" s="7" t="s">
        <v>83</v>
      </c>
      <c r="F629" s="7" t="s">
        <v>22</v>
      </c>
      <c r="G629" s="8" t="s">
        <v>23</v>
      </c>
      <c r="H629" s="8">
        <v>5</v>
      </c>
      <c r="I629" s="8" t="s">
        <v>2126</v>
      </c>
      <c r="J629" s="8">
        <v>36</v>
      </c>
      <c r="K629" s="8" t="s">
        <v>2126</v>
      </c>
      <c r="L629" s="8">
        <v>26</v>
      </c>
      <c r="M629" s="7" t="s">
        <v>2127</v>
      </c>
      <c r="N629" s="13" t="s">
        <v>2683</v>
      </c>
      <c r="O629" s="9">
        <v>41004</v>
      </c>
      <c r="P629" s="7" t="s">
        <v>27</v>
      </c>
      <c r="Q629" s="7" t="s">
        <v>2684</v>
      </c>
      <c r="R629" s="7" t="s">
        <v>2426</v>
      </c>
      <c r="S629" s="8" t="s">
        <v>2427</v>
      </c>
      <c r="T629" s="7" t="s">
        <v>30</v>
      </c>
      <c r="U629" s="7" t="s">
        <v>479</v>
      </c>
      <c r="V629" s="7"/>
    </row>
    <row r="630" spans="1:22" ht="25.5">
      <c r="A630" s="5" t="s">
        <v>2431</v>
      </c>
      <c r="B630" s="5" t="str">
        <f>GetAddress(A630)</f>
        <v>\\CHNO0276\Aseguranza de Calidad\Control de Documentos\Doc. controlados PDF\Ayudas visuales\Camarillo\Amsafe\CNWI-VSHP-000161 509976-C.pub</v>
      </c>
      <c r="C630" s="5" t="str">
        <f>MID(B630,LEN(B630) - FIND(".",REVERSETEXT(B630))+2,1000)</f>
        <v>pub</v>
      </c>
      <c r="D630" s="6">
        <v>6</v>
      </c>
      <c r="E630" s="7" t="s">
        <v>83</v>
      </c>
      <c r="F630" s="7" t="s">
        <v>22</v>
      </c>
      <c r="G630" s="8" t="s">
        <v>23</v>
      </c>
      <c r="H630" s="8">
        <v>5</v>
      </c>
      <c r="I630" s="8" t="s">
        <v>874</v>
      </c>
      <c r="J630" s="8">
        <v>10</v>
      </c>
      <c r="K630" s="8" t="s">
        <v>875</v>
      </c>
      <c r="L630" s="8">
        <v>7</v>
      </c>
      <c r="M630" s="7" t="s">
        <v>876</v>
      </c>
      <c r="N630" s="13" t="s">
        <v>2432</v>
      </c>
      <c r="O630" s="9">
        <v>41009</v>
      </c>
      <c r="P630" s="7" t="s">
        <v>2433</v>
      </c>
      <c r="Q630" s="7">
        <v>509976</v>
      </c>
      <c r="R630" s="7" t="s">
        <v>2426</v>
      </c>
      <c r="S630" s="8" t="s">
        <v>2427</v>
      </c>
      <c r="T630" s="13" t="s">
        <v>30</v>
      </c>
      <c r="U630" s="13" t="s">
        <v>479</v>
      </c>
      <c r="V630" s="7"/>
    </row>
    <row r="631" spans="1:22">
      <c r="A631" s="5" t="s">
        <v>629</v>
      </c>
      <c r="B631" s="5" t="str">
        <f>GetAddress(A631)</f>
        <v>\\CHNO0276\Aseguranza de Calidad\Control de Documentos\Doc. controlados PDF\Ayudas visuales\Micromini\General\CNWI-VSHP-000162 Remocion de molde.pub</v>
      </c>
      <c r="C631" s="5" t="str">
        <f>MID(B631,LEN(B631) - FIND(".",REVERSETEXT(B631))+2,1000)</f>
        <v>pub</v>
      </c>
      <c r="D631" s="6">
        <v>6</v>
      </c>
      <c r="E631" s="7" t="s">
        <v>83</v>
      </c>
      <c r="F631" s="7" t="s">
        <v>22</v>
      </c>
      <c r="G631" s="8" t="s">
        <v>23</v>
      </c>
      <c r="H631" s="8">
        <v>5</v>
      </c>
      <c r="I631" s="8" t="s">
        <v>84</v>
      </c>
      <c r="J631" s="8">
        <v>33</v>
      </c>
      <c r="K631" s="8" t="s">
        <v>85</v>
      </c>
      <c r="L631" s="8">
        <v>28</v>
      </c>
      <c r="M631" s="7" t="s">
        <v>86</v>
      </c>
      <c r="N631" s="13" t="s">
        <v>630</v>
      </c>
      <c r="O631" s="9">
        <v>41016</v>
      </c>
      <c r="P631" s="7" t="s">
        <v>46</v>
      </c>
      <c r="Q631" s="7" t="s">
        <v>28</v>
      </c>
      <c r="R631" s="7" t="s">
        <v>604</v>
      </c>
      <c r="S631" s="8" t="s">
        <v>605</v>
      </c>
      <c r="T631" s="7" t="s">
        <v>30</v>
      </c>
      <c r="U631" s="7" t="s">
        <v>90</v>
      </c>
      <c r="V631" s="7"/>
    </row>
    <row r="632" spans="1:22">
      <c r="A632" s="5" t="s">
        <v>2685</v>
      </c>
      <c r="B632" s="5" t="str">
        <f>GetAddress(A632)</f>
        <v>\\CHNO0276\Aseguranza de Calidad\Control de Documentos\Doc. controlados PDF\Ayudas visuales\Camarillo\Ensamble general\CNWI-VSHP-000166  001-0130-001.pub</v>
      </c>
      <c r="C632" s="5" t="str">
        <f>MID(B632,LEN(B632) - FIND(".",REVERSETEXT(B632))+2,1000)</f>
        <v>pub</v>
      </c>
      <c r="D632" s="6">
        <v>6</v>
      </c>
      <c r="E632" s="7" t="s">
        <v>83</v>
      </c>
      <c r="F632" s="7" t="s">
        <v>22</v>
      </c>
      <c r="G632" s="8" t="s">
        <v>23</v>
      </c>
      <c r="H632" s="8">
        <v>5</v>
      </c>
      <c r="I632" s="8" t="s">
        <v>2126</v>
      </c>
      <c r="J632" s="8">
        <v>36</v>
      </c>
      <c r="K632" s="8" t="s">
        <v>2126</v>
      </c>
      <c r="L632" s="8">
        <v>26</v>
      </c>
      <c r="M632" s="7" t="s">
        <v>2127</v>
      </c>
      <c r="N632" s="13" t="s">
        <v>2686</v>
      </c>
      <c r="O632" s="9">
        <v>41015</v>
      </c>
      <c r="P632" s="7" t="s">
        <v>27</v>
      </c>
      <c r="Q632" s="7" t="s">
        <v>2687</v>
      </c>
      <c r="R632" s="7" t="s">
        <v>2426</v>
      </c>
      <c r="S632" s="8" t="s">
        <v>2427</v>
      </c>
      <c r="T632" s="7" t="s">
        <v>30</v>
      </c>
      <c r="U632" s="7" t="s">
        <v>479</v>
      </c>
      <c r="V632" s="7"/>
    </row>
    <row r="633" spans="1:22">
      <c r="A633" s="5" t="s">
        <v>734</v>
      </c>
      <c r="B633" s="5" t="str">
        <f>GetAddress(A633)</f>
        <v>\\CHNO0276\Aseguranza de Calidad\Control de Documentos\Doc. controlados PDF\Ayudas visuales\Micromini\A y B\CNWI-VSHP-000167  5000109-BE.pub</v>
      </c>
      <c r="C633" s="5" t="str">
        <f>MID(B633,LEN(B633) - FIND(".",REVERSETEXT(B633))+2,1000)</f>
        <v>pub</v>
      </c>
      <c r="D633" s="6">
        <v>6</v>
      </c>
      <c r="E633" s="7" t="s">
        <v>83</v>
      </c>
      <c r="F633" s="7" t="s">
        <v>22</v>
      </c>
      <c r="G633" s="8" t="s">
        <v>23</v>
      </c>
      <c r="H633" s="8">
        <v>5</v>
      </c>
      <c r="I633" s="8" t="s">
        <v>24</v>
      </c>
      <c r="J633" s="8">
        <v>12</v>
      </c>
      <c r="K633" s="8" t="s">
        <v>663</v>
      </c>
      <c r="L633" s="8">
        <v>3</v>
      </c>
      <c r="M633" s="7" t="s">
        <v>664</v>
      </c>
      <c r="N633" s="13" t="s">
        <v>735</v>
      </c>
      <c r="O633" s="9">
        <v>41016</v>
      </c>
      <c r="P633" s="7" t="s">
        <v>27</v>
      </c>
      <c r="Q633" s="7" t="s">
        <v>735</v>
      </c>
      <c r="R633" s="7" t="s">
        <v>604</v>
      </c>
      <c r="S633" s="8" t="s">
        <v>605</v>
      </c>
      <c r="T633" s="7" t="s">
        <v>30</v>
      </c>
      <c r="U633" s="7" t="s">
        <v>90</v>
      </c>
      <c r="V633" s="7"/>
    </row>
    <row r="634" spans="1:22">
      <c r="A634" s="5" t="s">
        <v>830</v>
      </c>
      <c r="B634" s="5" t="str">
        <f>GetAddress(A634)</f>
        <v>\\CHNO0276\Aseguranza de Calidad\Control de Documentos\Doc. controlados PDF\Ayudas visuales\Micromini\Potted\CNWI-VSHP-000169 Rev A (5000109-GR1).pptx</v>
      </c>
      <c r="C634" s="5" t="str">
        <f>MID(B634,LEN(B634) - FIND(".",REVERSETEXT(B634))+2,1000)</f>
        <v>pptx</v>
      </c>
      <c r="D634" s="6">
        <v>6</v>
      </c>
      <c r="E634" s="7" t="s">
        <v>83</v>
      </c>
      <c r="F634" s="7" t="s">
        <v>22</v>
      </c>
      <c r="G634" s="8" t="s">
        <v>23</v>
      </c>
      <c r="H634" s="8">
        <v>5</v>
      </c>
      <c r="I634" s="8" t="s">
        <v>24</v>
      </c>
      <c r="J634" s="8">
        <v>12</v>
      </c>
      <c r="K634" s="8" t="s">
        <v>129</v>
      </c>
      <c r="L634" s="8">
        <v>18</v>
      </c>
      <c r="M634" s="7" t="s">
        <v>130</v>
      </c>
      <c r="N634" s="13" t="s">
        <v>831</v>
      </c>
      <c r="O634" s="9">
        <v>41026</v>
      </c>
      <c r="P634" s="7" t="s">
        <v>27</v>
      </c>
      <c r="Q634" s="7" t="s">
        <v>832</v>
      </c>
      <c r="R634" s="7" t="s">
        <v>604</v>
      </c>
      <c r="S634" s="8" t="s">
        <v>605</v>
      </c>
      <c r="T634" s="7"/>
      <c r="U634" s="7" t="s">
        <v>90</v>
      </c>
      <c r="V634" s="7"/>
    </row>
    <row r="635" spans="1:22">
      <c r="A635" s="5" t="s">
        <v>497</v>
      </c>
      <c r="B635" s="5" t="str">
        <f>GetAddress(A635)</f>
        <v>\\CHNO0276\Aseguranza de Calidad\Control de Documentos\Doc. controlados PDF\Ayudas visuales\Camarillo\Moldeo\CNWI-VSHP-000172 AMC02PA03R.ppt</v>
      </c>
      <c r="C635" s="5" t="str">
        <f>MID(B635,LEN(B635) - FIND(".",REVERSETEXT(B635))+2,1000)</f>
        <v>ppt</v>
      </c>
      <c r="D635" s="6">
        <v>6</v>
      </c>
      <c r="E635" s="7" t="s">
        <v>83</v>
      </c>
      <c r="F635" s="7" t="s">
        <v>22</v>
      </c>
      <c r="G635" s="8" t="s">
        <v>23</v>
      </c>
      <c r="H635" s="8">
        <v>5</v>
      </c>
      <c r="I635" s="8" t="s">
        <v>469</v>
      </c>
      <c r="J635" s="8">
        <v>13</v>
      </c>
      <c r="K635" s="8" t="s">
        <v>474</v>
      </c>
      <c r="L635" s="8">
        <v>14</v>
      </c>
      <c r="M635" s="7" t="s">
        <v>475</v>
      </c>
      <c r="N635" s="13" t="s">
        <v>498</v>
      </c>
      <c r="O635" s="9">
        <v>41023</v>
      </c>
      <c r="P635" s="7" t="s">
        <v>27</v>
      </c>
      <c r="Q635" s="7" t="s">
        <v>28</v>
      </c>
      <c r="R635" s="7" t="s">
        <v>437</v>
      </c>
      <c r="S635" s="8" t="s">
        <v>438</v>
      </c>
      <c r="T635" s="7" t="s">
        <v>30</v>
      </c>
      <c r="U635" s="7" t="s">
        <v>479</v>
      </c>
      <c r="V635" s="7"/>
    </row>
    <row r="636" spans="1:22">
      <c r="A636" s="5" t="s">
        <v>631</v>
      </c>
      <c r="B636" s="5" t="str">
        <f>GetAddress(A636)</f>
        <v>\\CHNO0276\Aseguranza de Calidad\Control de Documentos\Doc. controlados PDF\Ayudas visuales\Micromini\General\CNWI-VSHP-000173 retiro piezas de molde.pub</v>
      </c>
      <c r="C636" s="5" t="str">
        <f>MID(B636,LEN(B636) - FIND(".",REVERSETEXT(B636))+2,1000)</f>
        <v>pub</v>
      </c>
      <c r="D636" s="6">
        <v>6</v>
      </c>
      <c r="E636" s="7" t="s">
        <v>83</v>
      </c>
      <c r="F636" s="7" t="s">
        <v>22</v>
      </c>
      <c r="G636" s="8" t="s">
        <v>23</v>
      </c>
      <c r="H636" s="8">
        <v>5</v>
      </c>
      <c r="I636" s="8" t="s">
        <v>84</v>
      </c>
      <c r="J636" s="8">
        <v>33</v>
      </c>
      <c r="K636" s="8" t="s">
        <v>85</v>
      </c>
      <c r="L636" s="8">
        <v>28</v>
      </c>
      <c r="M636" s="7" t="s">
        <v>86</v>
      </c>
      <c r="N636" s="13" t="s">
        <v>632</v>
      </c>
      <c r="O636" s="9">
        <v>41019</v>
      </c>
      <c r="P636" s="7" t="s">
        <v>27</v>
      </c>
      <c r="Q636" s="7" t="s">
        <v>28</v>
      </c>
      <c r="R636" s="7" t="s">
        <v>604</v>
      </c>
      <c r="S636" s="8" t="s">
        <v>605</v>
      </c>
      <c r="T636" s="7" t="s">
        <v>30</v>
      </c>
      <c r="U636" s="7" t="s">
        <v>90</v>
      </c>
      <c r="V636" s="7"/>
    </row>
    <row r="637" spans="1:22">
      <c r="A637" s="5" t="s">
        <v>777</v>
      </c>
      <c r="B637" s="5" t="str">
        <f>GetAddress(A637)</f>
        <v>\\CHNO0276\Aseguranza de Calidad\Control de Documentos\Doc. controlados PDF\Ayudas visuales\Micromini\MS\CNWI-VSHP-000176 REV A COLOCACION O-RING.pptx</v>
      </c>
      <c r="C637" s="5" t="str">
        <f>MID(B637,LEN(B637) - FIND(".",REVERSETEXT(B637))+2,1000)</f>
        <v>pptx</v>
      </c>
      <c r="D637" s="6">
        <v>6</v>
      </c>
      <c r="E637" s="7" t="s">
        <v>83</v>
      </c>
      <c r="F637" s="7" t="s">
        <v>22</v>
      </c>
      <c r="G637" s="8" t="s">
        <v>23</v>
      </c>
      <c r="H637" s="8">
        <v>5</v>
      </c>
      <c r="I637" s="8" t="s">
        <v>24</v>
      </c>
      <c r="J637" s="8">
        <v>12</v>
      </c>
      <c r="K637" s="8" t="s">
        <v>515</v>
      </c>
      <c r="L637" s="8">
        <v>16</v>
      </c>
      <c r="M637" s="7" t="s">
        <v>515</v>
      </c>
      <c r="N637" s="54" t="s">
        <v>778</v>
      </c>
      <c r="O637" s="9">
        <v>41029</v>
      </c>
      <c r="P637" s="7" t="s">
        <v>27</v>
      </c>
      <c r="Q637" s="7" t="s">
        <v>28</v>
      </c>
      <c r="R637" s="7" t="s">
        <v>604</v>
      </c>
      <c r="S637" s="8" t="s">
        <v>605</v>
      </c>
      <c r="T637" s="7" t="s">
        <v>30</v>
      </c>
      <c r="U637" s="7" t="s">
        <v>90</v>
      </c>
      <c r="V637" s="7"/>
    </row>
    <row r="638" spans="1:22" ht="38.25">
      <c r="A638" s="5" t="s">
        <v>2434</v>
      </c>
      <c r="B638" s="5" t="str">
        <f>GetAddress(A638)</f>
        <v>\\CHNO0276\Aseguranza de Calidad\Control de Documentos\Doc. controlados PDF\Ayudas visuales\Camarillo\Amsafe\CNWI-VSHP-000177 Rev B  508978.ppt</v>
      </c>
      <c r="C638" s="5" t="str">
        <f>MID(B638,LEN(B638) - FIND(".",REVERSETEXT(B638))+2,1000)</f>
        <v>ppt</v>
      </c>
      <c r="D638" s="6">
        <v>6</v>
      </c>
      <c r="E638" s="7" t="s">
        <v>83</v>
      </c>
      <c r="F638" s="7" t="s">
        <v>22</v>
      </c>
      <c r="G638" s="8" t="s">
        <v>23</v>
      </c>
      <c r="H638" s="8">
        <v>5</v>
      </c>
      <c r="I638" s="8" t="s">
        <v>874</v>
      </c>
      <c r="J638" s="8">
        <v>10</v>
      </c>
      <c r="K638" s="8" t="s">
        <v>875</v>
      </c>
      <c r="L638" s="8">
        <v>7</v>
      </c>
      <c r="M638" s="7" t="s">
        <v>876</v>
      </c>
      <c r="N638" s="13" t="s">
        <v>2435</v>
      </c>
      <c r="O638" s="9">
        <v>41031</v>
      </c>
      <c r="P638" s="7" t="s">
        <v>46</v>
      </c>
      <c r="Q638" s="7">
        <v>508978</v>
      </c>
      <c r="R638" s="7" t="s">
        <v>2426</v>
      </c>
      <c r="S638" s="8" t="s">
        <v>2427</v>
      </c>
      <c r="T638" s="13" t="s">
        <v>2436</v>
      </c>
      <c r="U638" s="13" t="s">
        <v>479</v>
      </c>
      <c r="V638" s="7"/>
    </row>
    <row r="639" spans="1:22">
      <c r="A639" s="5" t="s">
        <v>2688</v>
      </c>
      <c r="B639" s="5" t="str">
        <f>GetAddress(A639)</f>
        <v>\\CHNO0276\Aseguranza de Calidad\Control de Documentos\Doc. controlados PDF\Ayudas visuales\Camarillo\Ensamble general\CNWI-VSHP-000179 Verificacion de cumplimiento   28-3256-0001.ppt</v>
      </c>
      <c r="C639" s="5" t="str">
        <f>MID(B639,LEN(B639) - FIND(".",REVERSETEXT(B639))+2,1000)</f>
        <v>ppt</v>
      </c>
      <c r="D639" s="6">
        <v>6</v>
      </c>
      <c r="E639" s="7" t="s">
        <v>83</v>
      </c>
      <c r="F639" s="7" t="s">
        <v>22</v>
      </c>
      <c r="G639" s="8" t="s">
        <v>23</v>
      </c>
      <c r="H639" s="8">
        <v>5</v>
      </c>
      <c r="I639" s="8" t="s">
        <v>2126</v>
      </c>
      <c r="J639" s="8">
        <v>36</v>
      </c>
      <c r="K639" s="8" t="s">
        <v>2126</v>
      </c>
      <c r="L639" s="8">
        <v>26</v>
      </c>
      <c r="M639" s="7" t="s">
        <v>2127</v>
      </c>
      <c r="N639" s="13" t="s">
        <v>2689</v>
      </c>
      <c r="O639" s="9">
        <v>41036</v>
      </c>
      <c r="P639" s="7" t="s">
        <v>27</v>
      </c>
      <c r="Q639" s="7" t="s">
        <v>28</v>
      </c>
      <c r="R639" s="7" t="s">
        <v>2426</v>
      </c>
      <c r="S639" s="8" t="s">
        <v>2427</v>
      </c>
      <c r="T639" s="7" t="s">
        <v>30</v>
      </c>
      <c r="U639" s="7" t="s">
        <v>479</v>
      </c>
      <c r="V639" s="7"/>
    </row>
    <row r="640" spans="1:22">
      <c r="A640" s="5" t="s">
        <v>2690</v>
      </c>
      <c r="B640" s="5" t="str">
        <f>GetAddress(A640)</f>
        <v>\\CHNO0276\Aseguranza de Calidad\Control de Documentos\Doc. controlados PDF\Ayudas visuales\Camarillo\Ensamble general\CNWI-VSHP-000180  28-3257-0001.ppt</v>
      </c>
      <c r="C640" s="5" t="str">
        <f>MID(B640,LEN(B640) - FIND(".",REVERSETEXT(B640))+2,1000)</f>
        <v>ppt</v>
      </c>
      <c r="D640" s="6">
        <v>6</v>
      </c>
      <c r="E640" s="7" t="s">
        <v>83</v>
      </c>
      <c r="F640" s="7" t="s">
        <v>22</v>
      </c>
      <c r="G640" s="8" t="s">
        <v>23</v>
      </c>
      <c r="H640" s="8">
        <v>5</v>
      </c>
      <c r="I640" s="8" t="s">
        <v>2126</v>
      </c>
      <c r="J640" s="8">
        <v>36</v>
      </c>
      <c r="K640" s="8" t="s">
        <v>2126</v>
      </c>
      <c r="L640" s="8">
        <v>26</v>
      </c>
      <c r="M640" s="7" t="s">
        <v>2127</v>
      </c>
      <c r="N640" s="13" t="s">
        <v>2691</v>
      </c>
      <c r="O640" s="9">
        <v>41036</v>
      </c>
      <c r="P640" s="7" t="s">
        <v>27</v>
      </c>
      <c r="Q640" s="7" t="s">
        <v>28</v>
      </c>
      <c r="R640" s="7" t="s">
        <v>2426</v>
      </c>
      <c r="S640" s="8" t="s">
        <v>2427</v>
      </c>
      <c r="T640" s="7" t="s">
        <v>30</v>
      </c>
      <c r="U640" s="7" t="s">
        <v>479</v>
      </c>
      <c r="V640" s="7"/>
    </row>
    <row r="641" spans="1:22">
      <c r="A641" s="5" t="s">
        <v>468</v>
      </c>
      <c r="B641" s="5" t="str">
        <f>GetAddress(A641)</f>
        <v>\\CHNO0276\Aseguranza de Calidad\Control de Documentos\Doc. controlados PDF\Ayudas visuales\Camarillo\Moldeo\CNWI-vshp-000181 Rev A  Acoplamiento Dust Cap 009-0537-001.pptx</v>
      </c>
      <c r="C641" s="5" t="str">
        <f>MID(B641,LEN(B641) - FIND(".",REVERSETEXT(B641))+2,1000)</f>
        <v>pptx</v>
      </c>
      <c r="D641" s="6">
        <v>6</v>
      </c>
      <c r="E641" s="7" t="s">
        <v>83</v>
      </c>
      <c r="F641" s="7" t="s">
        <v>22</v>
      </c>
      <c r="G641" s="8" t="s">
        <v>23</v>
      </c>
      <c r="H641" s="8">
        <v>5</v>
      </c>
      <c r="I641" s="8" t="s">
        <v>469</v>
      </c>
      <c r="J641" s="8">
        <v>13</v>
      </c>
      <c r="K641" s="8" t="s">
        <v>470</v>
      </c>
      <c r="L641" s="8">
        <v>15</v>
      </c>
      <c r="M641" s="7" t="s">
        <v>471</v>
      </c>
      <c r="N641" s="13" t="s">
        <v>472</v>
      </c>
      <c r="O641" s="9">
        <v>41036</v>
      </c>
      <c r="P641" s="7" t="s">
        <v>27</v>
      </c>
      <c r="Q641" s="7" t="s">
        <v>28</v>
      </c>
      <c r="R641" s="7" t="s">
        <v>437</v>
      </c>
      <c r="S641" s="8" t="s">
        <v>438</v>
      </c>
      <c r="T641" s="7"/>
      <c r="U641" s="7"/>
      <c r="V641" s="7"/>
    </row>
    <row r="642" spans="1:22">
      <c r="A642" s="5" t="s">
        <v>833</v>
      </c>
      <c r="B642" s="5" t="str">
        <f>GetAddress(A642)</f>
        <v>\\CHNO0276\Aseguranza de Calidad\Control de Documentos\Doc. controlados PDF\Ayudas visuales\Micromini\Potted\CNWI-VSHP-000186   ALTURA CONTACTOS 5000111-D.pptx</v>
      </c>
      <c r="C642" s="5" t="str">
        <f>MID(B642,LEN(B642) - FIND(".",REVERSETEXT(B642))+2,1000)</f>
        <v>pptx</v>
      </c>
      <c r="D642" s="6">
        <v>6</v>
      </c>
      <c r="E642" s="7" t="s">
        <v>83</v>
      </c>
      <c r="F642" s="7" t="s">
        <v>22</v>
      </c>
      <c r="G642" s="8" t="s">
        <v>23</v>
      </c>
      <c r="H642" s="8">
        <v>5</v>
      </c>
      <c r="I642" s="8" t="s">
        <v>24</v>
      </c>
      <c r="J642" s="8">
        <v>12</v>
      </c>
      <c r="K642" s="8" t="s">
        <v>129</v>
      </c>
      <c r="L642" s="8">
        <v>18</v>
      </c>
      <c r="M642" s="7" t="s">
        <v>130</v>
      </c>
      <c r="N642" s="13" t="s">
        <v>834</v>
      </c>
      <c r="O642" s="12">
        <v>41046</v>
      </c>
      <c r="P642" s="7" t="s">
        <v>27</v>
      </c>
      <c r="Q642" s="7" t="s">
        <v>835</v>
      </c>
      <c r="R642" s="7" t="s">
        <v>604</v>
      </c>
      <c r="S642" s="8" t="s">
        <v>605</v>
      </c>
      <c r="T642" s="7"/>
      <c r="U642" s="7" t="s">
        <v>90</v>
      </c>
      <c r="V642" s="7"/>
    </row>
    <row r="643" spans="1:22">
      <c r="A643" s="5" t="s">
        <v>836</v>
      </c>
      <c r="B643" s="5" t="str">
        <f>GetAddress(A643)</f>
        <v>\\CHNO0276\Aseguranza de Calidad\Control de Documentos\Doc. controlados PDF\Ayudas visuales\Micromini\Potted\CNWI-VSHP-000187   ENSAMBLE DE LOCK NUT Y GASKET A ENSAMBLE FINAL SEGUN DIBUJO MR3F4B00C-A.pptx</v>
      </c>
      <c r="C643" s="5" t="str">
        <f>MID(B643,LEN(B643) - FIND(".",REVERSETEXT(B643))+2,1000)</f>
        <v>pptx</v>
      </c>
      <c r="D643" s="6">
        <v>6</v>
      </c>
      <c r="E643" s="7" t="s">
        <v>83</v>
      </c>
      <c r="F643" s="7" t="s">
        <v>22</v>
      </c>
      <c r="G643" s="8" t="s">
        <v>23</v>
      </c>
      <c r="H643" s="8">
        <v>5</v>
      </c>
      <c r="I643" s="8" t="s">
        <v>24</v>
      </c>
      <c r="J643" s="8">
        <v>12</v>
      </c>
      <c r="K643" s="8" t="s">
        <v>129</v>
      </c>
      <c r="L643" s="8">
        <v>18</v>
      </c>
      <c r="M643" s="7" t="s">
        <v>130</v>
      </c>
      <c r="N643" s="13" t="s">
        <v>837</v>
      </c>
      <c r="O643" s="12">
        <v>41046</v>
      </c>
      <c r="P643" s="7" t="s">
        <v>27</v>
      </c>
      <c r="Q643" s="7" t="s">
        <v>838</v>
      </c>
      <c r="R643" s="7" t="s">
        <v>604</v>
      </c>
      <c r="S643" s="8" t="s">
        <v>605</v>
      </c>
      <c r="T643" s="7" t="s">
        <v>30</v>
      </c>
      <c r="U643" s="7" t="s">
        <v>90</v>
      </c>
      <c r="V643" s="7"/>
    </row>
    <row r="644" spans="1:22">
      <c r="A644" s="5" t="s">
        <v>736</v>
      </c>
      <c r="B644" s="5" t="str">
        <f>GetAddress(A644)</f>
        <v>\\CHNO0276\Aseguranza de Calidad\Control de Documentos\Doc. controlados PDF\Ayudas visuales\Micromini\A y B\CNWI-VSHP-000188 Rev A  ALTURA CONTACTOS DM4Q2M24E-A.pptx</v>
      </c>
      <c r="C644" s="5" t="str">
        <f>MID(B644,LEN(B644) - FIND(".",REVERSETEXT(B644))+2,1000)</f>
        <v>pptx</v>
      </c>
      <c r="D644" s="6">
        <v>6</v>
      </c>
      <c r="E644" s="7" t="s">
        <v>83</v>
      </c>
      <c r="F644" s="7" t="s">
        <v>22</v>
      </c>
      <c r="G644" s="8" t="s">
        <v>23</v>
      </c>
      <c r="H644" s="8">
        <v>5</v>
      </c>
      <c r="I644" s="8" t="s">
        <v>24</v>
      </c>
      <c r="J644" s="8">
        <v>12</v>
      </c>
      <c r="K644" s="8" t="s">
        <v>663</v>
      </c>
      <c r="L644" s="8">
        <v>3</v>
      </c>
      <c r="M644" s="7" t="s">
        <v>664</v>
      </c>
      <c r="N644" s="13" t="s">
        <v>737</v>
      </c>
      <c r="O644" s="12">
        <v>41046</v>
      </c>
      <c r="P644" s="7" t="s">
        <v>27</v>
      </c>
      <c r="Q644" s="7" t="s">
        <v>28</v>
      </c>
      <c r="R644" s="7" t="s">
        <v>604</v>
      </c>
      <c r="S644" s="8" t="s">
        <v>605</v>
      </c>
      <c r="T644" s="7" t="s">
        <v>30</v>
      </c>
      <c r="U644" s="7" t="s">
        <v>90</v>
      </c>
      <c r="V644" s="7"/>
    </row>
    <row r="645" spans="1:22">
      <c r="A645" s="5" t="s">
        <v>738</v>
      </c>
      <c r="B645" s="5" t="str">
        <f>GetAddress(A645)</f>
        <v>\\CHNO0276\Aseguranza de Calidad\Control de Documentos\Doc. controlados PDF\Ayudas visuales\Micromini\A y B\CNWI-VSHP-000189 ALTURA DE CONTACTOS TEE DIBUJO CHDN-TAER Y  CHDN-TAER-N Y A98N-43PB-N4.pptx</v>
      </c>
      <c r="C645" s="5" t="str">
        <f>MID(B645,LEN(B645) - FIND(".",REVERSETEXT(B645))+2,1000)</f>
        <v>pptx</v>
      </c>
      <c r="D645" s="6">
        <v>6</v>
      </c>
      <c r="E645" s="7" t="s">
        <v>83</v>
      </c>
      <c r="F645" s="7" t="s">
        <v>22</v>
      </c>
      <c r="G645" s="8" t="s">
        <v>23</v>
      </c>
      <c r="H645" s="8">
        <v>5</v>
      </c>
      <c r="I645" s="8" t="s">
        <v>24</v>
      </c>
      <c r="J645" s="8">
        <v>12</v>
      </c>
      <c r="K645" s="8" t="s">
        <v>663</v>
      </c>
      <c r="L645" s="8">
        <v>3</v>
      </c>
      <c r="M645" s="7" t="s">
        <v>664</v>
      </c>
      <c r="N645" s="13" t="s">
        <v>739</v>
      </c>
      <c r="O645" s="12">
        <v>41051</v>
      </c>
      <c r="P645" s="7" t="s">
        <v>27</v>
      </c>
      <c r="Q645" s="7" t="s">
        <v>740</v>
      </c>
      <c r="R645" s="7" t="s">
        <v>604</v>
      </c>
      <c r="S645" s="8" t="s">
        <v>605</v>
      </c>
      <c r="T645" s="7" t="s">
        <v>30</v>
      </c>
      <c r="U645" s="7" t="s">
        <v>90</v>
      </c>
      <c r="V645" s="7"/>
    </row>
    <row r="646" spans="1:22">
      <c r="A646" s="5" t="s">
        <v>91</v>
      </c>
      <c r="B646" s="5" t="str">
        <f>GetAddress(A646)</f>
        <v>\\CHNO0276\Aseguranza de Calidad\Control de Documentos\Doc. controlados PDF\Ayudas visuales\Avenal-Solar\CNWI-VSHP-000190 Rev A Proceso de ensamble del area Solar.ppt</v>
      </c>
      <c r="C646" s="5" t="str">
        <f>MID(B646,LEN(B646) - FIND(".",REVERSETEXT(B646))+2,1000)</f>
        <v>ppt</v>
      </c>
      <c r="D646" s="6">
        <v>6</v>
      </c>
      <c r="E646" s="7" t="s">
        <v>83</v>
      </c>
      <c r="F646" s="7" t="s">
        <v>22</v>
      </c>
      <c r="G646" s="8" t="s">
        <v>23</v>
      </c>
      <c r="H646" s="8">
        <v>5</v>
      </c>
      <c r="I646" s="8" t="s">
        <v>92</v>
      </c>
      <c r="J646" s="8">
        <v>6</v>
      </c>
      <c r="K646" s="8" t="s">
        <v>93</v>
      </c>
      <c r="L646" s="8">
        <v>14</v>
      </c>
      <c r="M646" s="7" t="s">
        <v>94</v>
      </c>
      <c r="N646" s="13" t="s">
        <v>95</v>
      </c>
      <c r="O646" s="12">
        <v>41051</v>
      </c>
      <c r="P646" s="7" t="s">
        <v>27</v>
      </c>
      <c r="Q646" s="7" t="s">
        <v>28</v>
      </c>
      <c r="R646" s="7" t="s">
        <v>62</v>
      </c>
      <c r="S646" s="8" t="s">
        <v>63</v>
      </c>
      <c r="T646" s="13" t="s">
        <v>96</v>
      </c>
      <c r="U646" s="13" t="s">
        <v>97</v>
      </c>
      <c r="V646" s="7"/>
    </row>
    <row r="647" spans="1:22">
      <c r="A647" s="5" t="s">
        <v>98</v>
      </c>
      <c r="B647" s="5" t="str">
        <f>GetAddress(A647)</f>
        <v>\\CHNO0276\Aseguranza de Calidad\Control de Documentos\Doc. controlados PDF\Ayudas visuales\Avenal-Solar\CNWI-VSHP-000191 Rev  A Proceso de Ensanble del area solar IC-B13-P y IC-B13-N.ppt</v>
      </c>
      <c r="C647" s="5" t="str">
        <f>MID(B647,LEN(B647) - FIND(".",REVERSETEXT(B647))+2,1000)</f>
        <v>ppt</v>
      </c>
      <c r="D647" s="6">
        <v>6</v>
      </c>
      <c r="E647" s="7" t="s">
        <v>83</v>
      </c>
      <c r="F647" s="7" t="s">
        <v>22</v>
      </c>
      <c r="G647" s="8" t="s">
        <v>23</v>
      </c>
      <c r="H647" s="8">
        <v>5</v>
      </c>
      <c r="I647" s="8" t="s">
        <v>92</v>
      </c>
      <c r="J647" s="8">
        <v>6</v>
      </c>
      <c r="K647" s="8" t="s">
        <v>93</v>
      </c>
      <c r="L647" s="8">
        <v>14</v>
      </c>
      <c r="M647" s="7" t="s">
        <v>94</v>
      </c>
      <c r="N647" s="13" t="s">
        <v>99</v>
      </c>
      <c r="O647" s="12">
        <v>41052</v>
      </c>
      <c r="P647" s="7" t="s">
        <v>27</v>
      </c>
      <c r="Q647" s="7" t="s">
        <v>100</v>
      </c>
      <c r="R647" s="7" t="s">
        <v>62</v>
      </c>
      <c r="S647" s="8" t="s">
        <v>63</v>
      </c>
      <c r="T647" s="13" t="s">
        <v>101</v>
      </c>
      <c r="U647" s="13" t="s">
        <v>97</v>
      </c>
      <c r="V647" s="7"/>
    </row>
    <row r="648" spans="1:22">
      <c r="A648" s="5" t="s">
        <v>2437</v>
      </c>
      <c r="B648" s="5" t="str">
        <f>GetAddress(A648)</f>
        <v>\\CHNO0276\Aseguranza de Calidad\Control de Documentos\Doc. controlados PDF\Ayudas visuales\Camarillo\Amsafe\CNWI-VSHP-000200 Rev A CABLE ASSEMBLY INTERFACE 004003-0001.ppt</v>
      </c>
      <c r="C648" s="5" t="str">
        <f>MID(B648,LEN(B648) - FIND(".",REVERSETEXT(B648))+2,1000)</f>
        <v>ppt</v>
      </c>
      <c r="D648" s="6">
        <v>6</v>
      </c>
      <c r="E648" s="7" t="s">
        <v>83</v>
      </c>
      <c r="F648" s="7" t="s">
        <v>22</v>
      </c>
      <c r="G648" s="8" t="s">
        <v>23</v>
      </c>
      <c r="H648" s="8">
        <v>5</v>
      </c>
      <c r="I648" s="8" t="s">
        <v>874</v>
      </c>
      <c r="J648" s="8">
        <v>10</v>
      </c>
      <c r="K648" s="8" t="s">
        <v>875</v>
      </c>
      <c r="L648" s="8">
        <v>7</v>
      </c>
      <c r="M648" s="7" t="s">
        <v>876</v>
      </c>
      <c r="N648" s="13" t="s">
        <v>2438</v>
      </c>
      <c r="O648" s="12">
        <v>41054</v>
      </c>
      <c r="P648" s="7" t="s">
        <v>27</v>
      </c>
      <c r="Q648" s="7" t="s">
        <v>2439</v>
      </c>
      <c r="R648" s="7" t="s">
        <v>2426</v>
      </c>
      <c r="S648" s="8" t="s">
        <v>2427</v>
      </c>
      <c r="T648" s="7" t="s">
        <v>30</v>
      </c>
      <c r="U648" s="13" t="s">
        <v>479</v>
      </c>
      <c r="V648" s="7"/>
    </row>
    <row r="649" spans="1:22">
      <c r="A649" s="5" t="s">
        <v>2440</v>
      </c>
      <c r="B649" s="5" t="str">
        <f>GetAddress(A649)</f>
        <v>\\CHNO0276\Aseguranza de Calidad\Control de Documentos\Doc. controlados PDF\Ayudas visuales\Camarillo\Amsafe\CNWI-VSHP-000201 Rev A  CABLE ASSEMBLY INTERFACE 508976 partes004022-0001 , 004036-0001.ppt</v>
      </c>
      <c r="C649" s="5" t="str">
        <f>MID(B649,LEN(B649) - FIND(".",REVERSETEXT(B649))+2,1000)</f>
        <v>ppt</v>
      </c>
      <c r="D649" s="6">
        <v>6</v>
      </c>
      <c r="E649" s="7" t="s">
        <v>83</v>
      </c>
      <c r="F649" s="7" t="s">
        <v>22</v>
      </c>
      <c r="G649" s="8" t="s">
        <v>23</v>
      </c>
      <c r="H649" s="8">
        <v>5</v>
      </c>
      <c r="I649" s="8" t="s">
        <v>874</v>
      </c>
      <c r="J649" s="8">
        <v>10</v>
      </c>
      <c r="K649" s="8" t="s">
        <v>875</v>
      </c>
      <c r="L649" s="8">
        <v>7</v>
      </c>
      <c r="M649" s="7" t="s">
        <v>876</v>
      </c>
      <c r="N649" s="13" t="s">
        <v>2441</v>
      </c>
      <c r="O649" s="12">
        <v>41057</v>
      </c>
      <c r="P649" s="7" t="s">
        <v>27</v>
      </c>
      <c r="Q649" s="7">
        <v>508976</v>
      </c>
      <c r="R649" s="7" t="s">
        <v>2426</v>
      </c>
      <c r="S649" s="8" t="s">
        <v>2427</v>
      </c>
      <c r="T649" s="7" t="s">
        <v>30</v>
      </c>
      <c r="U649" s="13" t="s">
        <v>479</v>
      </c>
      <c r="V649" s="7"/>
    </row>
    <row r="650" spans="1:22">
      <c r="A650" s="5" t="s">
        <v>839</v>
      </c>
      <c r="B650" s="5" t="str">
        <f>GetAddress(A650)</f>
        <v>\\CHNO0276\Aseguranza de Calidad\Control de Documentos\Doc. controlados PDF\Ayudas visuales\Micromini\Potted\CNWI-VSHP-000202 Rev A  USO DE HORNO POTTED.pptx</v>
      </c>
      <c r="C650" s="5" t="str">
        <f>MID(B650,LEN(B650) - FIND(".",REVERSETEXT(B650))+2,1000)</f>
        <v>pptx</v>
      </c>
      <c r="D650" s="6">
        <v>6</v>
      </c>
      <c r="E650" s="7" t="s">
        <v>83</v>
      </c>
      <c r="F650" s="7" t="s">
        <v>22</v>
      </c>
      <c r="G650" s="8" t="s">
        <v>23</v>
      </c>
      <c r="H650" s="8">
        <v>5</v>
      </c>
      <c r="I650" s="8" t="s">
        <v>24</v>
      </c>
      <c r="J650" s="8">
        <v>12</v>
      </c>
      <c r="K650" s="8" t="s">
        <v>129</v>
      </c>
      <c r="L650" s="8">
        <v>18</v>
      </c>
      <c r="M650" s="7" t="s">
        <v>130</v>
      </c>
      <c r="N650" s="13" t="s">
        <v>840</v>
      </c>
      <c r="O650" s="12">
        <v>41057</v>
      </c>
      <c r="P650" s="7" t="s">
        <v>27</v>
      </c>
      <c r="Q650" s="7" t="s">
        <v>28</v>
      </c>
      <c r="R650" s="7" t="s">
        <v>604</v>
      </c>
      <c r="S650" s="8" t="s">
        <v>605</v>
      </c>
      <c r="T650" s="7" t="s">
        <v>30</v>
      </c>
      <c r="U650" s="7" t="s">
        <v>90</v>
      </c>
      <c r="V650" s="7"/>
    </row>
    <row r="651" spans="1:22">
      <c r="A651" s="5" t="s">
        <v>102</v>
      </c>
      <c r="B651" s="5" t="str">
        <f>GetAddress(A651)</f>
        <v>\\CHNO0276\Aseguranza de Calidad\Control de Documentos\Doc. controlados PDF\Ayudas visuales\Avenal-Solar\CNWI-VSHP-000203 Rev A Proceso de estacion de trabajo de soldadura del area solar.ppt</v>
      </c>
      <c r="C651" s="5" t="str">
        <f>MID(B651,LEN(B651) - FIND(".",REVERSETEXT(B651))+2,1000)</f>
        <v>ppt</v>
      </c>
      <c r="D651" s="6">
        <v>6</v>
      </c>
      <c r="E651" s="7" t="s">
        <v>83</v>
      </c>
      <c r="F651" s="7" t="s">
        <v>22</v>
      </c>
      <c r="G651" s="8" t="s">
        <v>23</v>
      </c>
      <c r="H651" s="8">
        <v>5</v>
      </c>
      <c r="I651" s="8" t="s">
        <v>92</v>
      </c>
      <c r="J651" s="8">
        <v>6</v>
      </c>
      <c r="K651" s="8" t="s">
        <v>93</v>
      </c>
      <c r="L651" s="8">
        <v>14</v>
      </c>
      <c r="M651" s="7" t="s">
        <v>94</v>
      </c>
      <c r="N651" s="13" t="s">
        <v>103</v>
      </c>
      <c r="O651" s="12">
        <v>41057</v>
      </c>
      <c r="P651" s="7" t="s">
        <v>27</v>
      </c>
      <c r="Q651" s="7" t="s">
        <v>28</v>
      </c>
      <c r="R651" s="7" t="s">
        <v>62</v>
      </c>
      <c r="S651" s="8" t="s">
        <v>63</v>
      </c>
      <c r="T651" s="13" t="s">
        <v>101</v>
      </c>
      <c r="U651" s="13" t="s">
        <v>97</v>
      </c>
      <c r="V651" s="7"/>
    </row>
    <row r="652" spans="1:22">
      <c r="A652" s="5" t="s">
        <v>104</v>
      </c>
      <c r="B652" s="5" t="str">
        <f>GetAddress(A652)</f>
        <v>\\CHNO0276\Aseguranza de Calidad\Control de Documentos\Doc. controlados PDF\Ayudas visuales\Avenal-Solar\CNWI-VSHP-000204 Rev A Ilustrar el proceso correcto de aplicación de goma en Solar.ppt</v>
      </c>
      <c r="C652" s="5" t="str">
        <f>MID(B652,LEN(B652) - FIND(".",REVERSETEXT(B652))+2,1000)</f>
        <v>ppt</v>
      </c>
      <c r="D652" s="6">
        <v>6</v>
      </c>
      <c r="E652" s="7" t="s">
        <v>83</v>
      </c>
      <c r="F652" s="7" t="s">
        <v>22</v>
      </c>
      <c r="G652" s="8" t="s">
        <v>23</v>
      </c>
      <c r="H652" s="8">
        <v>5</v>
      </c>
      <c r="I652" s="8" t="s">
        <v>92</v>
      </c>
      <c r="J652" s="8">
        <v>6</v>
      </c>
      <c r="K652" s="8" t="s">
        <v>93</v>
      </c>
      <c r="L652" s="8">
        <v>14</v>
      </c>
      <c r="M652" s="7" t="s">
        <v>94</v>
      </c>
      <c r="N652" s="13" t="s">
        <v>105</v>
      </c>
      <c r="O652" s="9">
        <v>41058</v>
      </c>
      <c r="P652" s="7" t="s">
        <v>27</v>
      </c>
      <c r="Q652" s="7" t="s">
        <v>28</v>
      </c>
      <c r="R652" s="7" t="s">
        <v>62</v>
      </c>
      <c r="S652" s="8" t="s">
        <v>63</v>
      </c>
      <c r="T652" s="13" t="s">
        <v>106</v>
      </c>
      <c r="U652" s="13" t="s">
        <v>97</v>
      </c>
      <c r="V652" s="7"/>
    </row>
    <row r="653" spans="1:22">
      <c r="A653" s="5" t="s">
        <v>779</v>
      </c>
      <c r="B653" s="5" t="str">
        <f>GetAddress(A653)</f>
        <v>\\CHNO0276\Aseguranza de Calidad\Control de Documentos\Doc. controlados PDF\Ayudas visuales\Micromini\MS\CNWI-VSHP-000217 Rev A GAP DEL DIBUJO 568055-A, 568055-B Y 568055-C.pptx</v>
      </c>
      <c r="C653" s="5" t="str">
        <f>MID(B653,LEN(B653) - FIND(".",REVERSETEXT(B653))+2,1000)</f>
        <v>pptx</v>
      </c>
      <c r="D653" s="6">
        <v>6</v>
      </c>
      <c r="E653" s="7" t="s">
        <v>83</v>
      </c>
      <c r="F653" s="7" t="s">
        <v>22</v>
      </c>
      <c r="G653" s="8" t="s">
        <v>23</v>
      </c>
      <c r="H653" s="8">
        <v>5</v>
      </c>
      <c r="I653" s="8" t="s">
        <v>24</v>
      </c>
      <c r="J653" s="8">
        <v>12</v>
      </c>
      <c r="K653" s="8" t="s">
        <v>515</v>
      </c>
      <c r="L653" s="8">
        <v>16</v>
      </c>
      <c r="M653" s="7" t="s">
        <v>515</v>
      </c>
      <c r="N653" s="7" t="s">
        <v>780</v>
      </c>
      <c r="O653" s="9">
        <v>41061</v>
      </c>
      <c r="P653" s="7" t="s">
        <v>27</v>
      </c>
      <c r="Q653" s="7" t="s">
        <v>781</v>
      </c>
      <c r="R653" s="7" t="s">
        <v>604</v>
      </c>
      <c r="S653" s="8" t="s">
        <v>605</v>
      </c>
      <c r="T653" s="7" t="s">
        <v>30</v>
      </c>
      <c r="U653" s="7" t="s">
        <v>90</v>
      </c>
      <c r="V653" s="7"/>
    </row>
    <row r="654" spans="1:22">
      <c r="A654" s="5" t="s">
        <v>107</v>
      </c>
      <c r="B654" s="5" t="str">
        <f>GetAddress(A654)</f>
        <v>\\CHNO0276\Aseguranza de Calidad\Control de Documentos\Doc. controlados PDF\Ayudas visuales\Avenal-Solar\CNWI-VSHP-000218 Rev  A Formato para Instruccion de trabajo  (IC-A92-001).ppt</v>
      </c>
      <c r="C654" s="5" t="str">
        <f>MID(B654,LEN(B654) - FIND(".",REVERSETEXT(B654))+2,1000)</f>
        <v>ppt</v>
      </c>
      <c r="D654" s="6">
        <v>6</v>
      </c>
      <c r="E654" s="7" t="s">
        <v>83</v>
      </c>
      <c r="F654" s="7" t="s">
        <v>22</v>
      </c>
      <c r="G654" s="8" t="s">
        <v>23</v>
      </c>
      <c r="H654" s="8">
        <v>5</v>
      </c>
      <c r="I654" s="8" t="s">
        <v>92</v>
      </c>
      <c r="J654" s="8">
        <v>6</v>
      </c>
      <c r="K654" s="8" t="s">
        <v>93</v>
      </c>
      <c r="L654" s="8">
        <v>14</v>
      </c>
      <c r="M654" s="7" t="s">
        <v>94</v>
      </c>
      <c r="N654" s="7" t="s">
        <v>108</v>
      </c>
      <c r="O654" s="9">
        <v>41066</v>
      </c>
      <c r="P654" s="7" t="s">
        <v>27</v>
      </c>
      <c r="Q654" s="7" t="s">
        <v>28</v>
      </c>
      <c r="R654" s="7" t="s">
        <v>62</v>
      </c>
      <c r="S654" s="8" t="s">
        <v>63</v>
      </c>
      <c r="T654" s="13" t="s">
        <v>101</v>
      </c>
      <c r="U654" s="13" t="s">
        <v>97</v>
      </c>
      <c r="V654" s="7"/>
    </row>
    <row r="655" spans="1:22">
      <c r="A655" s="5" t="s">
        <v>845</v>
      </c>
      <c r="B655" s="5" t="str">
        <f>GetAddress(A655)</f>
        <v>\\CHNO0276\Aseguranza de Calidad\Control de Documentos\Doc. controlados PDF\Ayudas visuales\Micromini\Rocwell\CNWI-VSHP-000220 Rev A EMPAQUE DE COMPONENTES SERIES 1786.pptx</v>
      </c>
      <c r="C655" s="5" t="str">
        <f>MID(B655,LEN(B655) - FIND(".",REVERSETEXT(B655))+2,1000)</f>
        <v>pptx</v>
      </c>
      <c r="D655" s="6">
        <v>6</v>
      </c>
      <c r="E655" s="7" t="s">
        <v>83</v>
      </c>
      <c r="F655" s="7" t="s">
        <v>22</v>
      </c>
      <c r="G655" s="8" t="s">
        <v>23</v>
      </c>
      <c r="H655" s="8">
        <v>5</v>
      </c>
      <c r="I655" s="8" t="s">
        <v>24</v>
      </c>
      <c r="J655" s="8">
        <v>12</v>
      </c>
      <c r="K655" s="8" t="s">
        <v>846</v>
      </c>
      <c r="L655" s="8">
        <v>20</v>
      </c>
      <c r="M655" s="7" t="s">
        <v>847</v>
      </c>
      <c r="N655" s="7" t="s">
        <v>848</v>
      </c>
      <c r="O655" s="9">
        <v>41067</v>
      </c>
      <c r="P655" s="7" t="s">
        <v>27</v>
      </c>
      <c r="Q655" s="7" t="s">
        <v>28</v>
      </c>
      <c r="R655" s="7" t="s">
        <v>604</v>
      </c>
      <c r="S655" s="8" t="s">
        <v>605</v>
      </c>
      <c r="T655" s="7" t="s">
        <v>30</v>
      </c>
      <c r="U655" s="7" t="s">
        <v>601</v>
      </c>
      <c r="V655" s="7"/>
    </row>
    <row r="656" spans="1:22">
      <c r="A656" s="5" t="s">
        <v>1214</v>
      </c>
      <c r="B656" s="5" t="str">
        <f>GetAddress(A656)</f>
        <v>\\chno0276\Aseguranza de Calidad\Control de Documentos\Doc. controlados PDF\Formas\CNWI-WRHS (Almacen)\CNWI-WRHS-F001 Identificacion de ordenes.xls</v>
      </c>
      <c r="C656" s="5" t="str">
        <f>MID(B656,LEN(B656) - FIND(".",REVERSETEXT(B656))+2,1000)</f>
        <v>xls</v>
      </c>
      <c r="D656" s="6">
        <v>5</v>
      </c>
      <c r="E656" s="7" t="s">
        <v>42</v>
      </c>
      <c r="F656" s="7" t="s">
        <v>1215</v>
      </c>
      <c r="G656" s="8" t="s">
        <v>528</v>
      </c>
      <c r="H656" s="8">
        <v>6</v>
      </c>
      <c r="I656" s="8" t="s">
        <v>1216</v>
      </c>
      <c r="J656" s="8">
        <v>7</v>
      </c>
      <c r="K656" s="8"/>
      <c r="L656" s="8"/>
      <c r="M656" s="7" t="s">
        <v>28</v>
      </c>
      <c r="N656" s="7" t="s">
        <v>1217</v>
      </c>
      <c r="O656" s="9" t="s">
        <v>1218</v>
      </c>
      <c r="P656" s="7" t="s">
        <v>27</v>
      </c>
      <c r="Q656" s="9" t="s">
        <v>28</v>
      </c>
      <c r="R656" s="7" t="s">
        <v>1219</v>
      </c>
      <c r="S656" s="8" t="s">
        <v>1220</v>
      </c>
      <c r="T656" s="9"/>
      <c r="U656" s="7"/>
      <c r="V656" s="7"/>
    </row>
    <row r="657" spans="1:22">
      <c r="A657" s="5" t="s">
        <v>1221</v>
      </c>
      <c r="B657" s="5" t="str">
        <f>GetAddress(A657)</f>
        <v>\\chno0276\Aseguranza de Calidad\Control de Documentos\Doc. controlados PDF\Formas\CNWI-WRHS (Almacen)\CNWI-WRHS-F002 Requisicion de Matarial.xls</v>
      </c>
      <c r="C657" s="5" t="str">
        <f>MID(B657,LEN(B657) - FIND(".",REVERSETEXT(B657))+2,1000)</f>
        <v>xls</v>
      </c>
      <c r="D657" s="6">
        <v>5</v>
      </c>
      <c r="E657" s="7" t="s">
        <v>42</v>
      </c>
      <c r="F657" s="7" t="s">
        <v>1222</v>
      </c>
      <c r="G657" s="8" t="s">
        <v>528</v>
      </c>
      <c r="H657" s="8">
        <v>6</v>
      </c>
      <c r="I657" s="8" t="s">
        <v>1216</v>
      </c>
      <c r="J657" s="8">
        <v>7</v>
      </c>
      <c r="K657" s="8"/>
      <c r="L657" s="8"/>
      <c r="M657" s="7" t="s">
        <v>28</v>
      </c>
      <c r="N657" s="7" t="s">
        <v>1223</v>
      </c>
      <c r="O657" s="9" t="s">
        <v>1218</v>
      </c>
      <c r="P657" s="7" t="s">
        <v>27</v>
      </c>
      <c r="Q657" s="9" t="s">
        <v>28</v>
      </c>
      <c r="R657" s="7" t="s">
        <v>1219</v>
      </c>
      <c r="S657" s="8" t="s">
        <v>1220</v>
      </c>
      <c r="T657" s="9"/>
      <c r="U657" s="7"/>
      <c r="V657" s="7"/>
    </row>
    <row r="658" spans="1:22">
      <c r="A658" s="5" t="s">
        <v>1224</v>
      </c>
      <c r="B658" s="5" t="str">
        <f>GetAddress(A658)</f>
        <v>\\chno0276\Aseguranza de Calidad\Control de Documentos\Doc. controlados PDF\Formas\CNWI-WRHS (Almacen)\CNWI-WRHS-F003 FORMA CICLOCUENTO.xls</v>
      </c>
      <c r="C658" s="5" t="str">
        <f>MID(B658,LEN(B658) - FIND(".",REVERSETEXT(B658))+2,1000)</f>
        <v>xls</v>
      </c>
      <c r="D658" s="6">
        <v>5</v>
      </c>
      <c r="E658" s="7" t="s">
        <v>42</v>
      </c>
      <c r="F658" s="7" t="s">
        <v>1222</v>
      </c>
      <c r="G658" s="8" t="s">
        <v>528</v>
      </c>
      <c r="H658" s="8">
        <v>6</v>
      </c>
      <c r="I658" s="8" t="s">
        <v>1216</v>
      </c>
      <c r="J658" s="8">
        <v>7</v>
      </c>
      <c r="K658" s="8"/>
      <c r="L658" s="8"/>
      <c r="M658" s="7" t="s">
        <v>28</v>
      </c>
      <c r="N658" s="7" t="s">
        <v>1225</v>
      </c>
      <c r="O658" s="9" t="s">
        <v>1218</v>
      </c>
      <c r="P658" s="7" t="s">
        <v>27</v>
      </c>
      <c r="Q658" s="9" t="s">
        <v>28</v>
      </c>
      <c r="R658" s="7" t="s">
        <v>1219</v>
      </c>
      <c r="S658" s="8" t="s">
        <v>1220</v>
      </c>
      <c r="T658" s="9"/>
      <c r="U658" s="7"/>
      <c r="V658" s="7"/>
    </row>
    <row r="659" spans="1:22">
      <c r="A659" s="5" t="s">
        <v>1226</v>
      </c>
      <c r="B659" s="5" t="str">
        <f>GetAddress(A659)</f>
        <v>\\chno0276\Aseguranza de Calidad\Control de Documentos\Doc. controlados PDF\Formas\CNWI-WRHS (Almacen)\CNWI-WRHS-F004 FIRMA ACCESO ALMACEN.xls</v>
      </c>
      <c r="C659" s="5" t="str">
        <f>MID(B659,LEN(B659) - FIND(".",REVERSETEXT(B659))+2,1000)</f>
        <v>xls</v>
      </c>
      <c r="D659" s="6">
        <v>5</v>
      </c>
      <c r="E659" s="7" t="s">
        <v>42</v>
      </c>
      <c r="F659" s="7" t="s">
        <v>1222</v>
      </c>
      <c r="G659" s="8" t="s">
        <v>528</v>
      </c>
      <c r="H659" s="8">
        <v>6</v>
      </c>
      <c r="I659" s="8" t="s">
        <v>1216</v>
      </c>
      <c r="J659" s="8">
        <v>7</v>
      </c>
      <c r="K659" s="8"/>
      <c r="L659" s="8"/>
      <c r="M659" s="7" t="s">
        <v>28</v>
      </c>
      <c r="N659" s="7" t="s">
        <v>1227</v>
      </c>
      <c r="O659" s="9" t="s">
        <v>1218</v>
      </c>
      <c r="P659" s="7" t="s">
        <v>27</v>
      </c>
      <c r="Q659" s="9" t="s">
        <v>28</v>
      </c>
      <c r="R659" s="7" t="s">
        <v>1219</v>
      </c>
      <c r="S659" s="8" t="s">
        <v>1220</v>
      </c>
      <c r="T659" s="9"/>
      <c r="U659" s="7"/>
      <c r="V659" s="7"/>
    </row>
    <row r="660" spans="1:22">
      <c r="A660" s="5" t="s">
        <v>1228</v>
      </c>
      <c r="B660" s="5" t="str">
        <f>GetAddress(A660)</f>
        <v>\\chno0276\Aseguranza de Calidad\Control de Documentos\Doc. controlados PDF\Formas\CNWI-WRHS (Almacen)\CNWI-WRHS-F005 Control recibo de Medidores.xls</v>
      </c>
      <c r="C660" s="5" t="str">
        <f>MID(B660,LEN(B660) - FIND(".",REVERSETEXT(B660))+2,1000)</f>
        <v>xls</v>
      </c>
      <c r="D660" s="6">
        <v>5</v>
      </c>
      <c r="E660" s="7" t="s">
        <v>42</v>
      </c>
      <c r="F660" s="7" t="s">
        <v>1222</v>
      </c>
      <c r="G660" s="8" t="s">
        <v>528</v>
      </c>
      <c r="H660" s="8">
        <v>6</v>
      </c>
      <c r="I660" s="8" t="s">
        <v>1216</v>
      </c>
      <c r="J660" s="8">
        <v>7</v>
      </c>
      <c r="K660" s="8"/>
      <c r="L660" s="8"/>
      <c r="M660" s="7" t="s">
        <v>28</v>
      </c>
      <c r="N660" s="7" t="s">
        <v>1229</v>
      </c>
      <c r="O660" s="9">
        <v>40799</v>
      </c>
      <c r="P660" s="7" t="s">
        <v>27</v>
      </c>
      <c r="Q660" s="9" t="s">
        <v>28</v>
      </c>
      <c r="R660" s="7" t="s">
        <v>1219</v>
      </c>
      <c r="S660" s="8" t="s">
        <v>1220</v>
      </c>
      <c r="T660" s="9"/>
      <c r="U660" s="7"/>
      <c r="V660" s="7"/>
    </row>
    <row r="661" spans="1:22" ht="25.5">
      <c r="A661" s="5" t="s">
        <v>533</v>
      </c>
      <c r="B661" s="5" t="str">
        <f>GetAddress(A661)</f>
        <v>\\chno0276\Aseguranza de Calidad\Control de Documentos\Doc. controlados PDF\Instructivos\CNWI-WRHS\CNWI-WRHS-0001 Instruccion de Almacen.pdf</v>
      </c>
      <c r="C661" s="5" t="str">
        <f>MID(B661,LEN(B661) - FIND(".",REVERSETEXT(B661))+2,1000)</f>
        <v>pdf</v>
      </c>
      <c r="D661" s="6">
        <v>4</v>
      </c>
      <c r="E661" s="7" t="s">
        <v>33</v>
      </c>
      <c r="F661" s="7" t="s">
        <v>534</v>
      </c>
      <c r="G661" s="8" t="s">
        <v>528</v>
      </c>
      <c r="H661" s="8">
        <v>6</v>
      </c>
      <c r="I661" s="8" t="s">
        <v>535</v>
      </c>
      <c r="J661" s="8">
        <v>7</v>
      </c>
      <c r="K661" s="8"/>
      <c r="L661" s="8"/>
      <c r="M661" s="7" t="s">
        <v>534</v>
      </c>
      <c r="N661" s="13" t="s">
        <v>536</v>
      </c>
      <c r="O661" s="9">
        <v>40668</v>
      </c>
      <c r="P661" s="7" t="s">
        <v>27</v>
      </c>
      <c r="Q661" s="9" t="s">
        <v>28</v>
      </c>
      <c r="R661" s="7" t="s">
        <v>531</v>
      </c>
      <c r="S661" s="8" t="s">
        <v>532</v>
      </c>
      <c r="T661" s="7"/>
      <c r="U661" s="13"/>
      <c r="V661" s="17"/>
    </row>
    <row r="662" spans="1:22">
      <c r="A662" s="5" t="s">
        <v>537</v>
      </c>
      <c r="B662" s="5" t="str">
        <f>GetAddress(A662)</f>
        <v>\\chno0276\Aseguranza de Calidad\Control de Documentos\Doc. controlados PDF\Instructivos\CNWI-WRHS\CNWI-WRHS-F002 Utilizacion de basculas para pines y contactos.pdf</v>
      </c>
      <c r="C662" s="5" t="str">
        <f>MID(B662,LEN(B662) - FIND(".",REVERSETEXT(B662))+2,1000)</f>
        <v>pdf</v>
      </c>
      <c r="D662" s="6">
        <v>4</v>
      </c>
      <c r="E662" s="7" t="s">
        <v>33</v>
      </c>
      <c r="F662" s="7" t="s">
        <v>534</v>
      </c>
      <c r="G662" s="8" t="s">
        <v>528</v>
      </c>
      <c r="H662" s="8">
        <v>6</v>
      </c>
      <c r="I662" s="8" t="s">
        <v>535</v>
      </c>
      <c r="J662" s="8">
        <v>7</v>
      </c>
      <c r="K662" s="8"/>
      <c r="L662" s="8"/>
      <c r="M662" s="7" t="s">
        <v>534</v>
      </c>
      <c r="N662" s="7" t="s">
        <v>538</v>
      </c>
      <c r="O662" s="9" t="s">
        <v>539</v>
      </c>
      <c r="P662" s="7" t="s">
        <v>27</v>
      </c>
      <c r="Q662" s="9" t="s">
        <v>28</v>
      </c>
      <c r="R662" s="7" t="s">
        <v>531</v>
      </c>
      <c r="S662" s="8" t="s">
        <v>532</v>
      </c>
      <c r="T662" s="7"/>
      <c r="U662" s="13"/>
      <c r="V662" s="17"/>
    </row>
    <row r="663" spans="1:22">
      <c r="A663" s="5" t="s">
        <v>540</v>
      </c>
      <c r="B663" s="5" t="str">
        <f>GetAddress(A663)</f>
        <v>\\chno0276\Aseguranza de Calidad\Control de Documentos\Doc. controlados PDF\Instructivos\CNWI-WRHS\CNWI-WHSE-0003 Manejo y Preservacion de Materiales.pdf</v>
      </c>
      <c r="C663" s="5" t="str">
        <f>MID(B663,LEN(B663) - FIND(".",REVERSETEXT(B663))+2,1000)</f>
        <v>pdf</v>
      </c>
      <c r="D663" s="6">
        <v>4</v>
      </c>
      <c r="E663" s="7" t="s">
        <v>33</v>
      </c>
      <c r="F663" s="7" t="s">
        <v>534</v>
      </c>
      <c r="G663" s="8" t="s">
        <v>528</v>
      </c>
      <c r="H663" s="8">
        <v>6</v>
      </c>
      <c r="I663" s="8" t="s">
        <v>535</v>
      </c>
      <c r="J663" s="8">
        <v>7</v>
      </c>
      <c r="K663" s="8"/>
      <c r="L663" s="8"/>
      <c r="M663" s="7" t="s">
        <v>534</v>
      </c>
      <c r="N663" s="7" t="s">
        <v>541</v>
      </c>
      <c r="O663" s="9">
        <v>40998</v>
      </c>
      <c r="P663" s="7" t="s">
        <v>27</v>
      </c>
      <c r="Q663" s="9" t="s">
        <v>28</v>
      </c>
      <c r="R663" s="7" t="s">
        <v>531</v>
      </c>
      <c r="S663" s="8" t="s">
        <v>532</v>
      </c>
      <c r="T663" s="7"/>
      <c r="U663" s="13"/>
      <c r="V663" s="17"/>
    </row>
    <row r="664" spans="1:22">
      <c r="A664" s="5" t="s">
        <v>542</v>
      </c>
      <c r="B664" s="5" t="str">
        <f>GetAddress(A664)</f>
        <v>\\chno0276\Aseguranza de Calidad\Control de Documentos\Doc. controlados PDF\Instructivos\CNWI-WRHS\CNWI-WHSE-0004 Recibo de Materiales.pdf</v>
      </c>
      <c r="C664" s="5" t="str">
        <f>MID(B664,LEN(B664) - FIND(".",REVERSETEXT(B664))+2,1000)</f>
        <v>pdf</v>
      </c>
      <c r="D664" s="6">
        <v>4</v>
      </c>
      <c r="E664" s="7" t="s">
        <v>33</v>
      </c>
      <c r="F664" s="7" t="s">
        <v>534</v>
      </c>
      <c r="G664" s="8" t="s">
        <v>528</v>
      </c>
      <c r="H664" s="8">
        <v>6</v>
      </c>
      <c r="I664" s="8" t="s">
        <v>535</v>
      </c>
      <c r="J664" s="8">
        <v>7</v>
      </c>
      <c r="K664" s="8"/>
      <c r="L664" s="8"/>
      <c r="M664" s="7" t="s">
        <v>534</v>
      </c>
      <c r="N664" s="7" t="s">
        <v>543</v>
      </c>
      <c r="O664" s="9">
        <v>40999</v>
      </c>
      <c r="P664" s="7" t="s">
        <v>27</v>
      </c>
      <c r="Q664" s="9" t="s">
        <v>28</v>
      </c>
      <c r="R664" s="7" t="s">
        <v>531</v>
      </c>
      <c r="S664" s="8" t="s">
        <v>532</v>
      </c>
      <c r="T664" s="7"/>
      <c r="U664" s="13"/>
      <c r="V664" s="13"/>
    </row>
    <row r="665" spans="1:22">
      <c r="A665" s="5" t="s">
        <v>544</v>
      </c>
      <c r="B665" s="5" t="str">
        <f>GetAddress(A665)</f>
        <v>\\chno0276\Aseguranza de Calidad\Control de Documentos\Doc. controlados PDF\Instructivos\CNWI-WRHS\CNWI-WHSE-0005 Procedimiento para surtir ordenes de trabajo.pdf</v>
      </c>
      <c r="C665" s="5" t="str">
        <f>MID(B665,LEN(B665) - FIND(".",REVERSETEXT(B665))+2,1000)</f>
        <v>pdf</v>
      </c>
      <c r="D665" s="6">
        <v>4</v>
      </c>
      <c r="E665" s="7" t="s">
        <v>33</v>
      </c>
      <c r="F665" s="7" t="s">
        <v>534</v>
      </c>
      <c r="G665" s="8" t="s">
        <v>528</v>
      </c>
      <c r="H665" s="8">
        <v>6</v>
      </c>
      <c r="I665" s="8" t="s">
        <v>535</v>
      </c>
      <c r="J665" s="8">
        <v>7</v>
      </c>
      <c r="K665" s="8"/>
      <c r="L665" s="8"/>
      <c r="M665" s="7" t="s">
        <v>534</v>
      </c>
      <c r="N665" s="7" t="s">
        <v>545</v>
      </c>
      <c r="O665" s="9">
        <v>41114</v>
      </c>
      <c r="P665" s="7" t="s">
        <v>27</v>
      </c>
      <c r="Q665" s="9" t="s">
        <v>28</v>
      </c>
      <c r="R665" s="7" t="s">
        <v>531</v>
      </c>
      <c r="S665" s="8" t="s">
        <v>532</v>
      </c>
      <c r="T665" s="7"/>
      <c r="U665" s="13"/>
      <c r="V665" s="17"/>
    </row>
    <row r="666" spans="1:22">
      <c r="A666" s="5" t="s">
        <v>546</v>
      </c>
      <c r="B666" s="5" t="str">
        <f>GetAddress(A666)</f>
        <v>\\chno0276\Aseguranza de Calidad\Control de Documentos\Doc. controlados PDF\Instructivos\CNWI-WRHS\CNWI-WHSE-0006 Procedimiento para confirmacion y localizacion de ensambles y subensambles.pdf</v>
      </c>
      <c r="C666" s="5" t="str">
        <f>MID(B666,LEN(B666) - FIND(".",REVERSETEXT(B666))+2,1000)</f>
        <v>pdf</v>
      </c>
      <c r="D666" s="6">
        <v>4</v>
      </c>
      <c r="E666" s="7" t="s">
        <v>33</v>
      </c>
      <c r="F666" s="7" t="s">
        <v>534</v>
      </c>
      <c r="G666" s="8" t="s">
        <v>528</v>
      </c>
      <c r="H666" s="8">
        <v>6</v>
      </c>
      <c r="I666" s="8" t="s">
        <v>535</v>
      </c>
      <c r="J666" s="8">
        <v>7</v>
      </c>
      <c r="K666" s="8"/>
      <c r="L666" s="8"/>
      <c r="M666" s="7" t="s">
        <v>534</v>
      </c>
      <c r="N666" s="7" t="s">
        <v>547</v>
      </c>
      <c r="O666" s="9">
        <v>41120</v>
      </c>
      <c r="P666" s="7" t="s">
        <v>27</v>
      </c>
      <c r="Q666" s="9" t="s">
        <v>28</v>
      </c>
      <c r="R666" s="7" t="s">
        <v>531</v>
      </c>
      <c r="S666" s="8" t="s">
        <v>532</v>
      </c>
      <c r="T666" s="7"/>
      <c r="U666" s="13"/>
      <c r="V666" s="15"/>
    </row>
    <row r="667" spans="1:22">
      <c r="A667" s="5" t="s">
        <v>1230</v>
      </c>
      <c r="B667" s="5" t="str">
        <f>GetAddress(A667)</f>
        <v>\\chno0276\Aseguranza de Calidad\Control de Documentos\Doc. controlados PDF\Formas\CNWI-WRHS (Almacen)\CNWI-WRHS-F006 Etiqueta identificacion de material almacen para orden de produccion.xls</v>
      </c>
      <c r="C667" s="5" t="str">
        <f>MID(B667,LEN(B667) - FIND(".",REVERSETEXT(B667))+2,1000)</f>
        <v>xls</v>
      </c>
      <c r="D667" s="6">
        <v>5</v>
      </c>
      <c r="E667" s="7" t="s">
        <v>42</v>
      </c>
      <c r="F667" s="7" t="s">
        <v>1222</v>
      </c>
      <c r="G667" s="8" t="s">
        <v>528</v>
      </c>
      <c r="H667" s="8">
        <v>6</v>
      </c>
      <c r="I667" s="8" t="s">
        <v>1216</v>
      </c>
      <c r="J667" s="8">
        <v>7</v>
      </c>
      <c r="K667" s="8"/>
      <c r="L667" s="8"/>
      <c r="M667" s="7" t="s">
        <v>28</v>
      </c>
      <c r="N667" s="7" t="s">
        <v>1231</v>
      </c>
      <c r="O667" s="9">
        <v>40742</v>
      </c>
      <c r="P667" s="7" t="s">
        <v>27</v>
      </c>
      <c r="Q667" s="9" t="s">
        <v>28</v>
      </c>
      <c r="R667" s="7" t="s">
        <v>1219</v>
      </c>
      <c r="S667" s="8" t="s">
        <v>1220</v>
      </c>
      <c r="T667" s="9"/>
      <c r="U667" s="7"/>
      <c r="V667" s="7"/>
    </row>
    <row r="668" spans="1:22">
      <c r="A668" s="5" t="s">
        <v>1232</v>
      </c>
      <c r="B668" s="5" t="str">
        <f>GetAddress(A668)</f>
        <v>\\chno0276\Aseguranza de Calidad\Control de Documentos\Doc. controlados PDF\Formas\CNWI-WRHS (Almacen)\CNWI-WRHS-F007 Checklist de almacen.pdf</v>
      </c>
      <c r="C668" s="5" t="str">
        <f>MID(B668,LEN(B668) - FIND(".",REVERSETEXT(B668))+2,1000)</f>
        <v>pdf</v>
      </c>
      <c r="D668" s="6">
        <v>5</v>
      </c>
      <c r="E668" s="7" t="s">
        <v>42</v>
      </c>
      <c r="F668" s="7" t="s">
        <v>534</v>
      </c>
      <c r="G668" s="8" t="s">
        <v>528</v>
      </c>
      <c r="H668" s="8">
        <v>6</v>
      </c>
      <c r="I668" s="8" t="s">
        <v>1216</v>
      </c>
      <c r="J668" s="8">
        <v>7</v>
      </c>
      <c r="K668" s="8"/>
      <c r="L668" s="8"/>
      <c r="M668" s="7" t="s">
        <v>28</v>
      </c>
      <c r="N668" s="7" t="s">
        <v>1233</v>
      </c>
      <c r="O668" s="9">
        <v>40716</v>
      </c>
      <c r="P668" s="7" t="s">
        <v>27</v>
      </c>
      <c r="Q668" s="9" t="s">
        <v>28</v>
      </c>
      <c r="R668" s="7" t="s">
        <v>1219</v>
      </c>
      <c r="S668" s="8" t="s">
        <v>1220</v>
      </c>
      <c r="T668" s="9"/>
      <c r="U668" s="7"/>
      <c r="V668" s="7"/>
    </row>
    <row r="669" spans="1:22">
      <c r="A669" s="5" t="s">
        <v>1234</v>
      </c>
      <c r="B669" s="5" t="str">
        <f>GetAddress(A669)</f>
        <v>\\chno0276\Aseguranza de Calidad\Control de Documentos\Doc. controlados PDF\Formas\CNWI-WRHS (Almacen)\CNWI-WRHS-F008 Control de contactos en almacen.xls</v>
      </c>
      <c r="C669" s="5" t="str">
        <f>MID(B669,LEN(B669) - FIND(".",REVERSETEXT(B669))+2,1000)</f>
        <v>xls</v>
      </c>
      <c r="D669" s="6">
        <v>5</v>
      </c>
      <c r="E669" s="7" t="s">
        <v>42</v>
      </c>
      <c r="F669" s="7" t="s">
        <v>534</v>
      </c>
      <c r="G669" s="8" t="s">
        <v>528</v>
      </c>
      <c r="H669" s="8">
        <v>6</v>
      </c>
      <c r="I669" s="8" t="s">
        <v>1216</v>
      </c>
      <c r="J669" s="8">
        <v>7</v>
      </c>
      <c r="K669" s="8"/>
      <c r="L669" s="8"/>
      <c r="M669" s="7" t="s">
        <v>28</v>
      </c>
      <c r="N669" s="7" t="s">
        <v>1235</v>
      </c>
      <c r="O669" s="9">
        <v>40787</v>
      </c>
      <c r="P669" s="7" t="s">
        <v>27</v>
      </c>
      <c r="Q669" s="9" t="s">
        <v>28</v>
      </c>
      <c r="R669" s="7" t="s">
        <v>1219</v>
      </c>
      <c r="S669" s="8" t="s">
        <v>1220</v>
      </c>
      <c r="T669" s="9"/>
      <c r="U669" s="7"/>
      <c r="V669" s="7"/>
    </row>
    <row r="670" spans="1:22">
      <c r="A670" s="5" t="s">
        <v>1236</v>
      </c>
      <c r="B670" s="5" t="str">
        <f>GetAddress(A670)</f>
        <v>\\chno0276\Aseguranza de Calidad\Control de Documentos\Doc. controlados PDF\Formas\CNWI-WRHS (Almacen)\CNWI-WRHS-F009 Reporte de Recibo y Discrepancia diaria.xlsx</v>
      </c>
      <c r="C670" s="5" t="str">
        <f>MID(B670,LEN(B670) - FIND(".",REVERSETEXT(B670))+2,1000)</f>
        <v>xlsx</v>
      </c>
      <c r="D670" s="6">
        <v>5</v>
      </c>
      <c r="E670" s="7" t="s">
        <v>42</v>
      </c>
      <c r="F670" s="7" t="s">
        <v>534</v>
      </c>
      <c r="G670" s="8" t="s">
        <v>528</v>
      </c>
      <c r="H670" s="8">
        <v>6</v>
      </c>
      <c r="I670" s="8" t="s">
        <v>1216</v>
      </c>
      <c r="J670" s="8">
        <v>7</v>
      </c>
      <c r="K670" s="8"/>
      <c r="L670" s="8"/>
      <c r="M670" s="7" t="s">
        <v>28</v>
      </c>
      <c r="N670" s="7" t="s">
        <v>1237</v>
      </c>
      <c r="O670" s="9">
        <v>40857</v>
      </c>
      <c r="P670" s="7" t="s">
        <v>27</v>
      </c>
      <c r="Q670" s="9" t="s">
        <v>28</v>
      </c>
      <c r="R670" s="7" t="s">
        <v>1219</v>
      </c>
      <c r="S670" s="8" t="s">
        <v>1220</v>
      </c>
      <c r="T670" s="9"/>
      <c r="U670" s="7"/>
      <c r="V670" s="7"/>
    </row>
    <row r="671" spans="1:22">
      <c r="A671" s="5" t="s">
        <v>1238</v>
      </c>
      <c r="B671" s="5" t="str">
        <f>GetAddress(A671)</f>
        <v>\\chno0276\Aseguranza de Calidad\Control de Documentos\Doc. controlados PDF\Formas\CNWI-WRHS (Almacen)\CNWI-WRHS-F010 LSW.xls</v>
      </c>
      <c r="C671" s="5" t="str">
        <f>MID(B671,LEN(B671) - FIND(".",REVERSETEXT(B671))+2,1000)</f>
        <v>xls</v>
      </c>
      <c r="D671" s="6">
        <v>5</v>
      </c>
      <c r="E671" s="7" t="s">
        <v>42</v>
      </c>
      <c r="F671" s="7" t="s">
        <v>534</v>
      </c>
      <c r="G671" s="8" t="s">
        <v>528</v>
      </c>
      <c r="H671" s="8">
        <v>6</v>
      </c>
      <c r="I671" s="8" t="s">
        <v>1216</v>
      </c>
      <c r="J671" s="8">
        <v>7</v>
      </c>
      <c r="K671" s="8"/>
      <c r="L671" s="8"/>
      <c r="M671" s="7" t="s">
        <v>28</v>
      </c>
      <c r="N671" s="7" t="s">
        <v>1239</v>
      </c>
      <c r="O671" s="9">
        <v>40938</v>
      </c>
      <c r="P671" s="7" t="s">
        <v>27</v>
      </c>
      <c r="Q671" s="9" t="s">
        <v>28</v>
      </c>
      <c r="R671" s="7" t="s">
        <v>1219</v>
      </c>
      <c r="S671" s="8" t="s">
        <v>1220</v>
      </c>
      <c r="T671" s="9"/>
      <c r="U671" s="7"/>
      <c r="V671" s="7"/>
    </row>
    <row r="672" spans="1:22">
      <c r="A672" s="5" t="s">
        <v>1240</v>
      </c>
      <c r="B672" s="5" t="str">
        <f>GetAddress(A672)</f>
        <v>\\chno0276\Aseguranza de Calidad\Control de Documentos\Doc. controlados PDF\Formas\CNWI-WRHS (Almacen)\CNWI-WRHS-F011 CONTROL DE ORDENES PARA SOLAR.xls</v>
      </c>
      <c r="C672" s="5" t="str">
        <f>MID(B672,LEN(B672) - FIND(".",REVERSETEXT(B672))+2,1000)</f>
        <v>xls</v>
      </c>
      <c r="D672" s="6">
        <v>5</v>
      </c>
      <c r="E672" s="7" t="s">
        <v>42</v>
      </c>
      <c r="F672" s="7" t="s">
        <v>534</v>
      </c>
      <c r="G672" s="8" t="s">
        <v>528</v>
      </c>
      <c r="H672" s="8">
        <v>6</v>
      </c>
      <c r="I672" s="8" t="s">
        <v>1216</v>
      </c>
      <c r="J672" s="8">
        <v>7</v>
      </c>
      <c r="K672" s="8"/>
      <c r="L672" s="8"/>
      <c r="M672" s="7" t="s">
        <v>28</v>
      </c>
      <c r="N672" s="7" t="s">
        <v>1241</v>
      </c>
      <c r="O672" s="9">
        <v>40976</v>
      </c>
      <c r="P672" s="7" t="s">
        <v>27</v>
      </c>
      <c r="Q672" s="9" t="s">
        <v>28</v>
      </c>
      <c r="R672" s="7" t="s">
        <v>1219</v>
      </c>
      <c r="S672" s="8" t="s">
        <v>1220</v>
      </c>
      <c r="T672" s="9"/>
      <c r="U672" s="7"/>
      <c r="V672" s="7"/>
    </row>
    <row r="673" spans="1:22">
      <c r="A673" s="5" t="s">
        <v>1242</v>
      </c>
      <c r="B673" s="5" t="str">
        <f>GetAddress(A673)</f>
        <v>\\chno0276\Control de Documentos\Doc. controlados PDF\Formas\CNWI-WRHS (Almacen)\CNWI-WRHS-F012 Control de material a embarcar.pdf</v>
      </c>
      <c r="C673" s="5" t="str">
        <f>MID(B673,LEN(B673) - FIND(".",REVERSETEXT(B673))+2,1000)</f>
        <v>pdf</v>
      </c>
      <c r="D673" s="6">
        <v>5</v>
      </c>
      <c r="E673" s="7" t="s">
        <v>42</v>
      </c>
      <c r="F673" s="7" t="s">
        <v>534</v>
      </c>
      <c r="G673" s="8" t="s">
        <v>528</v>
      </c>
      <c r="H673" s="8">
        <v>6</v>
      </c>
      <c r="I673" s="8" t="s">
        <v>1216</v>
      </c>
      <c r="J673" s="8">
        <v>7</v>
      </c>
      <c r="K673" s="8"/>
      <c r="L673" s="8"/>
      <c r="M673" s="7" t="s">
        <v>28</v>
      </c>
      <c r="N673" s="7" t="s">
        <v>1243</v>
      </c>
      <c r="O673" s="9">
        <v>41036</v>
      </c>
      <c r="P673" s="7" t="s">
        <v>27</v>
      </c>
      <c r="Q673" s="9" t="s">
        <v>28</v>
      </c>
      <c r="R673" s="7" t="s">
        <v>1219</v>
      </c>
      <c r="S673" s="8" t="s">
        <v>1220</v>
      </c>
      <c r="T673" s="7"/>
      <c r="U673" s="7"/>
      <c r="V673" s="7"/>
    </row>
    <row r="674" spans="1:22">
      <c r="A674" s="5" t="s">
        <v>1244</v>
      </c>
      <c r="B674" s="5" t="str">
        <f>GetAddress(A674)</f>
        <v>\\chno0276\Control de Documentos\Doc. controlados PDF\Formas\CNWI-WRHS (Almacen)\CNWI-WRHS-F013 Updated air freight approval process.pdf</v>
      </c>
      <c r="C674" s="5" t="str">
        <f>MID(B674,LEN(B674) - FIND(".",REVERSETEXT(B674))+2,1000)</f>
        <v>pdf</v>
      </c>
      <c r="D674" s="6">
        <v>5</v>
      </c>
      <c r="E674" s="7" t="s">
        <v>42</v>
      </c>
      <c r="F674" s="7" t="s">
        <v>137</v>
      </c>
      <c r="G674" s="8" t="s">
        <v>528</v>
      </c>
      <c r="H674" s="8">
        <v>6</v>
      </c>
      <c r="I674" s="8" t="s">
        <v>1216</v>
      </c>
      <c r="J674" s="8">
        <v>7</v>
      </c>
      <c r="K674" s="8"/>
      <c r="L674" s="8"/>
      <c r="M674" s="7" t="s">
        <v>28</v>
      </c>
      <c r="N674" s="7" t="s">
        <v>1245</v>
      </c>
      <c r="O674" s="9">
        <v>41081</v>
      </c>
      <c r="P674" s="7" t="s">
        <v>27</v>
      </c>
      <c r="Q674" s="9" t="s">
        <v>28</v>
      </c>
      <c r="R674" s="7" t="s">
        <v>1219</v>
      </c>
      <c r="S674" s="8" t="s">
        <v>1220</v>
      </c>
      <c r="T674" s="7"/>
      <c r="U674" s="7"/>
      <c r="V674" s="7"/>
    </row>
    <row r="675" spans="1:22">
      <c r="A675" s="5" t="s">
        <v>660</v>
      </c>
      <c r="B675" s="5" t="str">
        <f>GetAddress(A675)</f>
        <v>\\CHNO0276\Aseguranza de Calidad\Control de Documentos\Doc. controlados PDF\Especificaciones genericas\Micromini\General\CNWI-ENGI-F019 Rev. J Especificaciones de Corte Micro-Mini.xlsx</v>
      </c>
      <c r="C675" s="5" t="str">
        <f>MID(B675,LEN(B675) - FIND(".",REVERSETEXT(B675))+2,1000)</f>
        <v>xlsx</v>
      </c>
      <c r="D675" s="6">
        <v>12</v>
      </c>
      <c r="E675" s="7" t="s">
        <v>21</v>
      </c>
      <c r="F675" s="7" t="s">
        <v>22</v>
      </c>
      <c r="G675" s="8" t="s">
        <v>23</v>
      </c>
      <c r="H675" s="8">
        <v>5</v>
      </c>
      <c r="I675" s="8" t="s">
        <v>84</v>
      </c>
      <c r="J675" s="8">
        <v>33</v>
      </c>
      <c r="K675" s="8"/>
      <c r="L675" s="8"/>
      <c r="M675" s="7" t="s">
        <v>661</v>
      </c>
      <c r="N675" s="5" t="s">
        <v>660</v>
      </c>
      <c r="O675" s="9">
        <v>41037</v>
      </c>
      <c r="P675" s="7" t="s">
        <v>131</v>
      </c>
      <c r="Q675" s="7" t="s">
        <v>28</v>
      </c>
      <c r="R675" s="7" t="s">
        <v>604</v>
      </c>
      <c r="S675" s="8" t="s">
        <v>605</v>
      </c>
      <c r="T675" s="7" t="s">
        <v>30</v>
      </c>
      <c r="U675" s="9" t="s">
        <v>31</v>
      </c>
      <c r="V675" s="7"/>
    </row>
    <row r="676" spans="1:22">
      <c r="A676" s="5" t="s">
        <v>1588</v>
      </c>
      <c r="B676" s="5" t="str">
        <f>GetAddress(A676)</f>
        <v>\\chno0276\Aseguranza de Calidad\Control de Documentos\Doc. controlados PDF\Control Plans\MICROMINI\CELDA A&amp;B\CP-A&amp;B-002  A89N-F8AF-2.pdf</v>
      </c>
      <c r="C676" s="5" t="str">
        <f>MID(B676,LEN(B676) - FIND(".",REVERSETEXT(B676))+2,1000)</f>
        <v>pdf</v>
      </c>
      <c r="D676" s="6">
        <v>9</v>
      </c>
      <c r="E676" s="7" t="s">
        <v>873</v>
      </c>
      <c r="F676" s="7" t="s">
        <v>256</v>
      </c>
      <c r="G676" s="8" t="s">
        <v>23</v>
      </c>
      <c r="H676" s="8">
        <v>5</v>
      </c>
      <c r="I676" s="8" t="s">
        <v>24</v>
      </c>
      <c r="J676" s="8">
        <v>12</v>
      </c>
      <c r="K676" s="8" t="s">
        <v>663</v>
      </c>
      <c r="L676" s="8">
        <v>3</v>
      </c>
      <c r="M676" s="7" t="s">
        <v>664</v>
      </c>
      <c r="N676" s="7" t="s">
        <v>1589</v>
      </c>
      <c r="O676" s="9">
        <v>41083</v>
      </c>
      <c r="P676" s="7" t="s">
        <v>27</v>
      </c>
      <c r="Q676" s="7" t="s">
        <v>1590</v>
      </c>
      <c r="R676" s="7" t="s">
        <v>1583</v>
      </c>
      <c r="S676" s="8" t="s">
        <v>1584</v>
      </c>
      <c r="T676" s="9"/>
      <c r="U676" s="7"/>
      <c r="V676" s="7"/>
    </row>
    <row r="677" spans="1:22">
      <c r="A677" s="5" t="s">
        <v>1591</v>
      </c>
      <c r="B677" s="5" t="str">
        <f>GetAddress(A677)</f>
        <v>\\chno0276\Aseguranza de Calidad\Control de Documentos\Doc. controlados PDF\Control Plans\MICROMINI\CELDA A&amp;B\CP-A&amp;B-005  AT3RC3R.pdf</v>
      </c>
      <c r="C677" s="5" t="str">
        <f>MID(B677,LEN(B677) - FIND(".",REVERSETEXT(B677))+2,1000)</f>
        <v>pdf</v>
      </c>
      <c r="D677" s="6">
        <v>9</v>
      </c>
      <c r="E677" s="7" t="s">
        <v>873</v>
      </c>
      <c r="F677" s="7" t="s">
        <v>256</v>
      </c>
      <c r="G677" s="8" t="s">
        <v>23</v>
      </c>
      <c r="H677" s="8">
        <v>5</v>
      </c>
      <c r="I677" s="8" t="s">
        <v>24</v>
      </c>
      <c r="J677" s="8">
        <v>12</v>
      </c>
      <c r="K677" s="8" t="s">
        <v>663</v>
      </c>
      <c r="L677" s="8">
        <v>3</v>
      </c>
      <c r="M677" s="7" t="s">
        <v>664</v>
      </c>
      <c r="N677" s="7" t="s">
        <v>1592</v>
      </c>
      <c r="O677" s="9">
        <v>41047</v>
      </c>
      <c r="P677" s="7" t="s">
        <v>27</v>
      </c>
      <c r="Q677" s="31" t="s">
        <v>1593</v>
      </c>
      <c r="R677" s="7" t="s">
        <v>1583</v>
      </c>
      <c r="S677" s="8" t="s">
        <v>1584</v>
      </c>
      <c r="T677" s="9"/>
      <c r="U677" s="7"/>
      <c r="V677" s="7"/>
    </row>
    <row r="678" spans="1:22">
      <c r="A678" s="5" t="s">
        <v>1594</v>
      </c>
      <c r="B678" s="5" t="str">
        <f>GetAddress(A678)</f>
        <v>\\chno0276\Aseguranza de Calidad\Control de Documentos\Doc. controlados PDF\Control Plans\MICROMINI\CELDA A&amp;B\CP-A&amp;B-006  DM4R2ME-C.pdf</v>
      </c>
      <c r="C678" s="5" t="str">
        <f>MID(B678,LEN(B678) - FIND(".",REVERSETEXT(B678))+2,1000)</f>
        <v>pdf</v>
      </c>
      <c r="D678" s="6">
        <v>9</v>
      </c>
      <c r="E678" s="7" t="s">
        <v>873</v>
      </c>
      <c r="F678" s="7" t="s">
        <v>256</v>
      </c>
      <c r="G678" s="8" t="s">
        <v>23</v>
      </c>
      <c r="H678" s="8">
        <v>5</v>
      </c>
      <c r="I678" s="8" t="s">
        <v>24</v>
      </c>
      <c r="J678" s="8">
        <v>12</v>
      </c>
      <c r="K678" s="8" t="s">
        <v>663</v>
      </c>
      <c r="L678" s="8">
        <v>3</v>
      </c>
      <c r="M678" s="7" t="s">
        <v>664</v>
      </c>
      <c r="N678" s="7" t="s">
        <v>1595</v>
      </c>
      <c r="O678" s="9">
        <v>41045</v>
      </c>
      <c r="P678" s="7" t="s">
        <v>27</v>
      </c>
      <c r="Q678" s="31" t="s">
        <v>1596</v>
      </c>
      <c r="R678" s="7" t="s">
        <v>1583</v>
      </c>
      <c r="S678" s="8" t="s">
        <v>1584</v>
      </c>
      <c r="T678" s="9"/>
      <c r="U678" s="7"/>
      <c r="V678" s="7"/>
    </row>
    <row r="679" spans="1:22">
      <c r="A679" s="5" t="s">
        <v>1597</v>
      </c>
      <c r="B679" s="5" t="str">
        <f>GetAddress(A679)</f>
        <v>\\chno0276\Aseguranza de Calidad\Control de Documentos\Doc. controlados PDF\Control Plans\MICROMINI\CELDA A&amp;B\CP-A&amp;B-007  A98N-43PB-N4.pdf</v>
      </c>
      <c r="C679" s="5" t="str">
        <f>MID(B679,LEN(B679) - FIND(".",REVERSETEXT(B679))+2,1000)</f>
        <v>pdf</v>
      </c>
      <c r="D679" s="6">
        <v>9</v>
      </c>
      <c r="E679" s="7" t="s">
        <v>873</v>
      </c>
      <c r="F679" s="7" t="s">
        <v>256</v>
      </c>
      <c r="G679" s="8" t="s">
        <v>23</v>
      </c>
      <c r="H679" s="8">
        <v>5</v>
      </c>
      <c r="I679" s="8" t="s">
        <v>24</v>
      </c>
      <c r="J679" s="8">
        <v>12</v>
      </c>
      <c r="K679" s="8" t="s">
        <v>663</v>
      </c>
      <c r="L679" s="8">
        <v>3</v>
      </c>
      <c r="M679" s="7" t="s">
        <v>664</v>
      </c>
      <c r="N679" s="7" t="s">
        <v>1598</v>
      </c>
      <c r="O679" s="9">
        <v>41079</v>
      </c>
      <c r="P679" s="7" t="s">
        <v>27</v>
      </c>
      <c r="Q679" s="7" t="s">
        <v>1599</v>
      </c>
      <c r="R679" s="7" t="s">
        <v>1583</v>
      </c>
      <c r="S679" s="8" t="s">
        <v>1584</v>
      </c>
      <c r="T679" s="7"/>
      <c r="U679" s="7"/>
      <c r="V679" s="7"/>
    </row>
    <row r="680" spans="1:22">
      <c r="A680" s="5" t="s">
        <v>1600</v>
      </c>
      <c r="B680" s="5" t="str">
        <f>GetAddress(A680)</f>
        <v>\\chno0276\Aseguranza de Calidad\Control de Documentos\Doc. controlados PDF\Control Plans\MICROMINI\CELDA A&amp;B\CP-A&amp;B-008  CHDN-TAER-N.pdf</v>
      </c>
      <c r="C680" s="5" t="str">
        <f>MID(B680,LEN(B680) - FIND(".",REVERSETEXT(B680))+2,1000)</f>
        <v>pdf</v>
      </c>
      <c r="D680" s="6">
        <v>9</v>
      </c>
      <c r="E680" s="7" t="s">
        <v>873</v>
      </c>
      <c r="F680" s="7" t="s">
        <v>256</v>
      </c>
      <c r="G680" s="8" t="s">
        <v>23</v>
      </c>
      <c r="H680" s="8">
        <v>5</v>
      </c>
      <c r="I680" s="8" t="s">
        <v>24</v>
      </c>
      <c r="J680" s="8">
        <v>12</v>
      </c>
      <c r="K680" s="8" t="s">
        <v>663</v>
      </c>
      <c r="L680" s="8">
        <v>3</v>
      </c>
      <c r="M680" s="7" t="s">
        <v>664</v>
      </c>
      <c r="N680" s="7" t="s">
        <v>1601</v>
      </c>
      <c r="O680" s="9">
        <v>41079</v>
      </c>
      <c r="P680" s="7" t="s">
        <v>27</v>
      </c>
      <c r="Q680" s="7" t="s">
        <v>1602</v>
      </c>
      <c r="R680" s="7" t="s">
        <v>1583</v>
      </c>
      <c r="S680" s="8" t="s">
        <v>1584</v>
      </c>
      <c r="T680" s="7"/>
      <c r="U680" s="7"/>
      <c r="V680" s="7"/>
    </row>
    <row r="681" spans="1:22">
      <c r="A681" s="5" t="s">
        <v>1603</v>
      </c>
      <c r="B681" s="5" t="str">
        <f>GetAddress(A681)</f>
        <v>\\chno0276\Aseguranza de Calidad\Control de Documentos\Doc. controlados PDF\Control Plans\MICROMINI\CELDA A&amp;B\CP-A&amp;B-009  CHDN-TAER-NG.pdf</v>
      </c>
      <c r="C681" s="5" t="str">
        <f>MID(B681,LEN(B681) - FIND(".",REVERSETEXT(B681))+2,1000)</f>
        <v>pdf</v>
      </c>
      <c r="D681" s="6">
        <v>9</v>
      </c>
      <c r="E681" s="7" t="s">
        <v>873</v>
      </c>
      <c r="F681" s="7" t="s">
        <v>256</v>
      </c>
      <c r="G681" s="8" t="s">
        <v>23</v>
      </c>
      <c r="H681" s="8">
        <v>5</v>
      </c>
      <c r="I681" s="8" t="s">
        <v>24</v>
      </c>
      <c r="J681" s="8">
        <v>12</v>
      </c>
      <c r="K681" s="8" t="s">
        <v>663</v>
      </c>
      <c r="L681" s="8">
        <v>3</v>
      </c>
      <c r="M681" s="7" t="s">
        <v>664</v>
      </c>
      <c r="N681" s="7" t="s">
        <v>1601</v>
      </c>
      <c r="O681" s="9">
        <v>41079</v>
      </c>
      <c r="P681" s="7" t="s">
        <v>27</v>
      </c>
      <c r="Q681" s="7" t="s">
        <v>1604</v>
      </c>
      <c r="R681" s="7" t="s">
        <v>1583</v>
      </c>
      <c r="S681" s="8" t="s">
        <v>1584</v>
      </c>
      <c r="T681" s="7"/>
      <c r="U681" s="7"/>
      <c r="V681" s="7"/>
    </row>
    <row r="682" spans="1:22">
      <c r="A682" s="5" t="s">
        <v>1605</v>
      </c>
      <c r="B682" s="5" t="str">
        <f>GetAddress(A682)</f>
        <v>\\chno0276\Aseguranza de Calidad\Control de Documentos\Doc. controlados PDF\Control Plans\MICROMINI\CELDA A&amp;B\CP-A&amp;B-010  DM4Q2M24E.pdf</v>
      </c>
      <c r="C682" s="5" t="str">
        <f>MID(B682,LEN(B682) - FIND(".",REVERSETEXT(B682))+2,1000)</f>
        <v>pdf</v>
      </c>
      <c r="D682" s="6">
        <v>9</v>
      </c>
      <c r="E682" s="7" t="s">
        <v>873</v>
      </c>
      <c r="F682" s="7" t="s">
        <v>256</v>
      </c>
      <c r="G682" s="8" t="s">
        <v>23</v>
      </c>
      <c r="H682" s="8">
        <v>5</v>
      </c>
      <c r="I682" s="8" t="s">
        <v>24</v>
      </c>
      <c r="J682" s="8">
        <v>12</v>
      </c>
      <c r="K682" s="8" t="s">
        <v>663</v>
      </c>
      <c r="L682" s="8">
        <v>3</v>
      </c>
      <c r="M682" s="7" t="s">
        <v>664</v>
      </c>
      <c r="N682" s="7" t="s">
        <v>1606</v>
      </c>
      <c r="O682" s="9">
        <v>41046</v>
      </c>
      <c r="P682" s="7" t="s">
        <v>27</v>
      </c>
      <c r="Q682" s="7" t="s">
        <v>1607</v>
      </c>
      <c r="R682" s="7" t="s">
        <v>1583</v>
      </c>
      <c r="S682" s="8" t="s">
        <v>1584</v>
      </c>
      <c r="T682" s="7"/>
      <c r="U682" s="7"/>
      <c r="V682" s="7"/>
    </row>
    <row r="683" spans="1:22">
      <c r="A683" s="5" t="s">
        <v>1608</v>
      </c>
      <c r="B683" s="5" t="str">
        <f>GetAddress(A683)</f>
        <v>\\chno0276\Aseguranza de Calidad\Control de Documentos\Doc. controlados PDF\Control Plans\MICROMINI\CELDA A&amp;B\CP-A&amp;B-011  AT3RC3R.pdf</v>
      </c>
      <c r="C683" s="5" t="str">
        <f>MID(B683,LEN(B683) - FIND(".",REVERSETEXT(B683))+2,1000)</f>
        <v>pdf</v>
      </c>
      <c r="D683" s="6">
        <v>9</v>
      </c>
      <c r="E683" s="7" t="s">
        <v>873</v>
      </c>
      <c r="F683" s="7" t="s">
        <v>256</v>
      </c>
      <c r="G683" s="8" t="s">
        <v>23</v>
      </c>
      <c r="H683" s="8">
        <v>5</v>
      </c>
      <c r="I683" s="8" t="s">
        <v>24</v>
      </c>
      <c r="J683" s="8">
        <v>12</v>
      </c>
      <c r="K683" s="8" t="s">
        <v>663</v>
      </c>
      <c r="L683" s="8">
        <v>3</v>
      </c>
      <c r="M683" s="7" t="s">
        <v>664</v>
      </c>
      <c r="N683" s="7" t="s">
        <v>1592</v>
      </c>
      <c r="O683" s="9">
        <v>41047</v>
      </c>
      <c r="P683" s="7" t="s">
        <v>27</v>
      </c>
      <c r="Q683" s="7" t="s">
        <v>1609</v>
      </c>
      <c r="R683" s="7" t="s">
        <v>1583</v>
      </c>
      <c r="S683" s="8" t="s">
        <v>1584</v>
      </c>
      <c r="T683" s="7"/>
      <c r="U683" s="7"/>
      <c r="V683" s="7"/>
    </row>
    <row r="684" spans="1:22">
      <c r="A684" s="5" t="s">
        <v>1610</v>
      </c>
      <c r="B684" s="5" t="str">
        <f>GetAddress(A684)</f>
        <v>\\chno0276\Aseguranza de Calidad\Control de Documentos\Documentos controlados\CN-QAAS (Aseguranza de calidad)\Control Plans\MICROMINI\CELDA A-B\CP-A&amp;B-012  Rev. A  PDR1-18.xlsx</v>
      </c>
      <c r="C684" s="5" t="str">
        <f>MID(B684,LEN(B684) - FIND(".",REVERSETEXT(B684))+2,1000)</f>
        <v>xlsx</v>
      </c>
      <c r="D684" s="6">
        <v>9</v>
      </c>
      <c r="E684" s="7" t="s">
        <v>873</v>
      </c>
      <c r="F684" s="7" t="s">
        <v>256</v>
      </c>
      <c r="G684" s="8" t="s">
        <v>23</v>
      </c>
      <c r="H684" s="8">
        <v>5</v>
      </c>
      <c r="I684" s="8" t="s">
        <v>24</v>
      </c>
      <c r="J684" s="8">
        <v>12</v>
      </c>
      <c r="K684" s="8" t="s">
        <v>663</v>
      </c>
      <c r="L684" s="8">
        <v>3</v>
      </c>
      <c r="M684" s="7" t="s">
        <v>664</v>
      </c>
      <c r="N684" s="7" t="s">
        <v>1611</v>
      </c>
      <c r="O684" s="9">
        <v>41047</v>
      </c>
      <c r="P684" s="7" t="s">
        <v>27</v>
      </c>
      <c r="Q684" s="7" t="s">
        <v>1612</v>
      </c>
      <c r="R684" s="7" t="s">
        <v>1583</v>
      </c>
      <c r="S684" s="8" t="s">
        <v>1584</v>
      </c>
      <c r="T684" s="7"/>
      <c r="U684" s="7"/>
      <c r="V684" s="7"/>
    </row>
    <row r="685" spans="1:22">
      <c r="A685" s="5" t="s">
        <v>1613</v>
      </c>
      <c r="B685" s="5" t="str">
        <f>GetAddress(A685)</f>
        <v>\\chno0276\Aseguranza de Calidad\Control de Documentos\Doc. controlados PDF\Control Plans\MICROMINI\CELDA A&amp;B\CP-A&amp;B-013  1326304.pdf</v>
      </c>
      <c r="C685" s="5" t="str">
        <f>MID(B685,LEN(B685) - FIND(".",REVERSETEXT(B685))+2,1000)</f>
        <v>pdf</v>
      </c>
      <c r="D685" s="6">
        <v>9</v>
      </c>
      <c r="E685" s="7" t="s">
        <v>873</v>
      </c>
      <c r="F685" s="7" t="s">
        <v>256</v>
      </c>
      <c r="G685" s="8" t="s">
        <v>23</v>
      </c>
      <c r="H685" s="8">
        <v>5</v>
      </c>
      <c r="I685" s="8" t="s">
        <v>24</v>
      </c>
      <c r="J685" s="8">
        <v>12</v>
      </c>
      <c r="K685" s="8" t="s">
        <v>663</v>
      </c>
      <c r="L685" s="8">
        <v>3</v>
      </c>
      <c r="M685" s="7" t="s">
        <v>664</v>
      </c>
      <c r="N685" s="13" t="s">
        <v>1614</v>
      </c>
      <c r="O685" s="9">
        <v>41076</v>
      </c>
      <c r="P685" s="7" t="s">
        <v>27</v>
      </c>
      <c r="Q685" s="7">
        <v>1326304</v>
      </c>
      <c r="R685" s="7" t="s">
        <v>1583</v>
      </c>
      <c r="S685" s="8" t="s">
        <v>1584</v>
      </c>
      <c r="T685" s="7"/>
      <c r="U685" s="7"/>
      <c r="V685" s="7"/>
    </row>
    <row r="686" spans="1:22">
      <c r="A686" s="5" t="s">
        <v>1615</v>
      </c>
      <c r="B686" s="5" t="str">
        <f>GetAddress(A686)</f>
        <v>\\chno0276\Aseguranza de Calidad\Control de Documentos\Doc. controlados PDF\Control Plans\MICROMINI\CELDA A&amp;B\CP-A&amp;B-014  A89N-F7AF-5.pdf</v>
      </c>
      <c r="C686" s="5" t="str">
        <f>MID(B686,LEN(B686) - FIND(".",REVERSETEXT(B686))+2,1000)</f>
        <v>pdf</v>
      </c>
      <c r="D686" s="6">
        <v>9</v>
      </c>
      <c r="E686" s="7" t="s">
        <v>873</v>
      </c>
      <c r="F686" s="7" t="s">
        <v>256</v>
      </c>
      <c r="G686" s="8" t="s">
        <v>23</v>
      </c>
      <c r="H686" s="8">
        <v>5</v>
      </c>
      <c r="I686" s="8" t="s">
        <v>24</v>
      </c>
      <c r="J686" s="8">
        <v>12</v>
      </c>
      <c r="K686" s="8" t="s">
        <v>663</v>
      </c>
      <c r="L686" s="8">
        <v>3</v>
      </c>
      <c r="M686" s="7" t="s">
        <v>664</v>
      </c>
      <c r="N686" s="7" t="s">
        <v>1616</v>
      </c>
      <c r="O686" s="9">
        <v>41083</v>
      </c>
      <c r="P686" s="7" t="s">
        <v>27</v>
      </c>
      <c r="Q686" s="7" t="s">
        <v>1617</v>
      </c>
      <c r="R686" s="7" t="s">
        <v>1583</v>
      </c>
      <c r="S686" s="8" t="s">
        <v>1584</v>
      </c>
      <c r="T686" s="7"/>
      <c r="U686" s="7"/>
      <c r="V686" s="7"/>
    </row>
    <row r="687" spans="1:22">
      <c r="A687" s="5" t="s">
        <v>1618</v>
      </c>
      <c r="B687" s="5" t="str">
        <f>GetAddress(A687)</f>
        <v>\\chno0276\Aseguranza de Calidad\Control de Documentos\Doc. controlados PDF\Control Plans\MICROMINI\CELDA A&amp;B\CP-A&amp;B-015  XC6XXXXXXXXX.pdf</v>
      </c>
      <c r="C687" s="5" t="str">
        <f>MID(B687,LEN(B687) - FIND(".",REVERSETEXT(B687))+2,1000)</f>
        <v>pdf</v>
      </c>
      <c r="D687" s="6">
        <v>9</v>
      </c>
      <c r="E687" s="7" t="s">
        <v>873</v>
      </c>
      <c r="F687" s="7" t="s">
        <v>256</v>
      </c>
      <c r="G687" s="8" t="s">
        <v>23</v>
      </c>
      <c r="H687" s="8">
        <v>5</v>
      </c>
      <c r="I687" s="8" t="s">
        <v>24</v>
      </c>
      <c r="J687" s="8">
        <v>12</v>
      </c>
      <c r="K687" s="8" t="s">
        <v>663</v>
      </c>
      <c r="L687" s="8">
        <v>3</v>
      </c>
      <c r="M687" s="7" t="s">
        <v>664</v>
      </c>
      <c r="N687" s="7" t="s">
        <v>1619</v>
      </c>
      <c r="O687" s="9">
        <v>41036</v>
      </c>
      <c r="P687" s="7" t="s">
        <v>27</v>
      </c>
      <c r="Q687" s="7" t="s">
        <v>1620</v>
      </c>
      <c r="R687" s="7" t="s">
        <v>1583</v>
      </c>
      <c r="S687" s="8" t="s">
        <v>1584</v>
      </c>
      <c r="T687" s="7"/>
      <c r="U687" s="7"/>
      <c r="V687" s="7"/>
    </row>
    <row r="688" spans="1:22">
      <c r="A688" s="5" t="s">
        <v>1621</v>
      </c>
      <c r="B688" s="5" t="str">
        <f>GetAddress(A688)</f>
        <v>\\chno0276\Aseguranza de Calidad\Control de Documentos\Doc. controlados PDF\Control Plans\MICROMINI\CELDA A&amp;B\CP-A&amp;B-016  ML4C4TC.pdf</v>
      </c>
      <c r="C688" s="5" t="str">
        <f>MID(B688,LEN(B688) - FIND(".",REVERSETEXT(B688))+2,1000)</f>
        <v>pdf</v>
      </c>
      <c r="D688" s="6">
        <v>9</v>
      </c>
      <c r="E688" s="7" t="s">
        <v>873</v>
      </c>
      <c r="F688" s="7" t="s">
        <v>256</v>
      </c>
      <c r="G688" s="8" t="s">
        <v>23</v>
      </c>
      <c r="H688" s="8">
        <v>5</v>
      </c>
      <c r="I688" s="8" t="s">
        <v>24</v>
      </c>
      <c r="J688" s="8">
        <v>12</v>
      </c>
      <c r="K688" s="8" t="s">
        <v>663</v>
      </c>
      <c r="L688" s="8">
        <v>3</v>
      </c>
      <c r="M688" s="7" t="s">
        <v>664</v>
      </c>
      <c r="N688" s="7" t="s">
        <v>1622</v>
      </c>
      <c r="O688" s="9">
        <v>40980</v>
      </c>
      <c r="P688" s="7" t="s">
        <v>27</v>
      </c>
      <c r="Q688" s="7" t="s">
        <v>1623</v>
      </c>
      <c r="R688" s="7" t="s">
        <v>1583</v>
      </c>
      <c r="S688" s="8" t="s">
        <v>1584</v>
      </c>
      <c r="T688" s="7"/>
      <c r="U688" s="7"/>
      <c r="V688" s="7"/>
    </row>
    <row r="689" spans="1:22">
      <c r="A689" s="5" t="s">
        <v>1624</v>
      </c>
      <c r="B689" s="5" t="str">
        <f>GetAddress(A689)</f>
        <v>\\chno0276\Aseguranza de Calidad\Control de Documentos\Doc. controlados PDF\Control Plans\MICROMINI\CELDA A&amp;B\CP-A&amp;B-016  ML4C4TC.pdf</v>
      </c>
      <c r="C689" s="5" t="str">
        <f>MID(B689,LEN(B689) - FIND(".",REVERSETEXT(B689))+2,1000)</f>
        <v>pdf</v>
      </c>
      <c r="D689" s="6">
        <v>9</v>
      </c>
      <c r="E689" s="7" t="s">
        <v>873</v>
      </c>
      <c r="F689" s="7" t="s">
        <v>256</v>
      </c>
      <c r="G689" s="8" t="s">
        <v>23</v>
      </c>
      <c r="H689" s="8">
        <v>5</v>
      </c>
      <c r="I689" s="8" t="s">
        <v>24</v>
      </c>
      <c r="J689" s="8">
        <v>12</v>
      </c>
      <c r="K689" s="8" t="s">
        <v>663</v>
      </c>
      <c r="L689" s="8">
        <v>3</v>
      </c>
      <c r="M689" s="7" t="s">
        <v>664</v>
      </c>
      <c r="N689" s="7" t="s">
        <v>1625</v>
      </c>
      <c r="O689" s="9">
        <v>41025</v>
      </c>
      <c r="P689" s="7" t="s">
        <v>27</v>
      </c>
      <c r="Q689" s="7" t="s">
        <v>1626</v>
      </c>
      <c r="R689" s="7" t="s">
        <v>1583</v>
      </c>
      <c r="S689" s="8" t="s">
        <v>1584</v>
      </c>
      <c r="T689" s="7"/>
      <c r="U689" s="7"/>
      <c r="V689" s="7"/>
    </row>
    <row r="690" spans="1:22">
      <c r="A690" s="5" t="s">
        <v>1627</v>
      </c>
      <c r="B690" s="5" t="str">
        <f>GetAddress(A690)</f>
        <v>\\chno0276\Aseguranza de Calidad\Control de Documentos\Doc. controlados PDF\Control Plans\MICROMINI\CELDA A&amp;B\CP-A&amp;B-018  ADM4Q2M24E.pdf</v>
      </c>
      <c r="C690" s="5" t="str">
        <f>MID(B690,LEN(B690) - FIND(".",REVERSETEXT(B690))+2,1000)</f>
        <v>pdf</v>
      </c>
      <c r="D690" s="6">
        <v>9</v>
      </c>
      <c r="E690" s="7" t="s">
        <v>873</v>
      </c>
      <c r="F690" s="7" t="s">
        <v>256</v>
      </c>
      <c r="G690" s="8" t="s">
        <v>23</v>
      </c>
      <c r="H690" s="8">
        <v>5</v>
      </c>
      <c r="I690" s="8" t="s">
        <v>24</v>
      </c>
      <c r="J690" s="8">
        <v>12</v>
      </c>
      <c r="K690" s="8" t="s">
        <v>663</v>
      </c>
      <c r="L690" s="8">
        <v>3</v>
      </c>
      <c r="M690" s="7" t="s">
        <v>664</v>
      </c>
      <c r="N690" s="7" t="s">
        <v>1595</v>
      </c>
      <c r="O690" s="9">
        <v>40997</v>
      </c>
      <c r="P690" s="7" t="s">
        <v>27</v>
      </c>
      <c r="Q690" s="7" t="s">
        <v>1628</v>
      </c>
      <c r="R690" s="7" t="s">
        <v>1583</v>
      </c>
      <c r="S690" s="8" t="s">
        <v>1584</v>
      </c>
      <c r="T690" s="7"/>
      <c r="U690" s="7"/>
      <c r="V690" s="7"/>
    </row>
    <row r="691" spans="1:22">
      <c r="A691" s="5" t="s">
        <v>1629</v>
      </c>
      <c r="B691" s="5" t="str">
        <f>GetAddress(A691)</f>
        <v>\\chno0276\Aseguranza de Calidad\Control de Documentos\Doc. controlados PDF\Control Plans\MICROMINI\CELDA A&amp;B\CP-A&amp;B-019  DM4F2TE.pdf</v>
      </c>
      <c r="C691" s="5" t="str">
        <f>MID(B691,LEN(B691) - FIND(".",REVERSETEXT(B691))+2,1000)</f>
        <v>pdf</v>
      </c>
      <c r="D691" s="6">
        <v>9</v>
      </c>
      <c r="E691" s="7" t="s">
        <v>873</v>
      </c>
      <c r="F691" s="7" t="s">
        <v>256</v>
      </c>
      <c r="G691" s="8" t="s">
        <v>23</v>
      </c>
      <c r="H691" s="8">
        <v>5</v>
      </c>
      <c r="I691" s="8" t="s">
        <v>24</v>
      </c>
      <c r="J691" s="8">
        <v>12</v>
      </c>
      <c r="K691" s="8" t="s">
        <v>663</v>
      </c>
      <c r="L691" s="8">
        <v>3</v>
      </c>
      <c r="M691" s="7" t="s">
        <v>664</v>
      </c>
      <c r="N691" s="7" t="s">
        <v>1630</v>
      </c>
      <c r="O691" s="9">
        <v>40980</v>
      </c>
      <c r="P691" s="7" t="s">
        <v>27</v>
      </c>
      <c r="Q691" s="7" t="s">
        <v>1631</v>
      </c>
      <c r="R691" s="7" t="s">
        <v>1583</v>
      </c>
      <c r="S691" s="8" t="s">
        <v>1584</v>
      </c>
      <c r="T691" s="7"/>
      <c r="U691" s="7"/>
      <c r="V691" s="7"/>
    </row>
    <row r="692" spans="1:22">
      <c r="A692" s="5" t="s">
        <v>1632</v>
      </c>
      <c r="B692" s="5" t="str">
        <f>GetAddress(A692)</f>
        <v>\\chno0276\Aseguranza de Calidad\Control de Documentos\Doc. controlados PDF\Control Plans\MICROMINI\CELDA A&amp;B\CP-A&amp;B-020  DM4B2ME010M.pdf</v>
      </c>
      <c r="C692" s="5" t="str">
        <f>MID(B692,LEN(B692) - FIND(".",REVERSETEXT(B692))+2,1000)</f>
        <v>pdf</v>
      </c>
      <c r="D692" s="6">
        <v>9</v>
      </c>
      <c r="E692" s="7" t="s">
        <v>873</v>
      </c>
      <c r="F692" s="7" t="s">
        <v>256</v>
      </c>
      <c r="G692" s="8" t="s">
        <v>23</v>
      </c>
      <c r="H692" s="8">
        <v>5</v>
      </c>
      <c r="I692" s="8" t="s">
        <v>24</v>
      </c>
      <c r="J692" s="8">
        <v>12</v>
      </c>
      <c r="K692" s="8" t="s">
        <v>663</v>
      </c>
      <c r="L692" s="8">
        <v>3</v>
      </c>
      <c r="M692" s="7" t="s">
        <v>664</v>
      </c>
      <c r="N692" s="7" t="s">
        <v>1633</v>
      </c>
      <c r="O692" s="9">
        <v>40997</v>
      </c>
      <c r="P692" s="7" t="s">
        <v>27</v>
      </c>
      <c r="Q692" s="7" t="s">
        <v>1634</v>
      </c>
      <c r="R692" s="7" t="s">
        <v>1583</v>
      </c>
      <c r="S692" s="8" t="s">
        <v>1584</v>
      </c>
      <c r="T692" s="7"/>
      <c r="U692" s="7"/>
      <c r="V692" s="7"/>
    </row>
    <row r="693" spans="1:22">
      <c r="A693" s="5" t="s">
        <v>1635</v>
      </c>
      <c r="B693" s="5" t="str">
        <f>GetAddress(A693)</f>
        <v>\\chno0276\Aseguranza de Calidad\Control de Documentos\Doc. controlados PDF\Control Plans\MICROMINI\CELDA A&amp;B\CP-A&amp;B-021  CHDN-TAER-NG.pdf</v>
      </c>
      <c r="C693" s="5" t="str">
        <f>MID(B693,LEN(B693) - FIND(".",REVERSETEXT(B693))+2,1000)</f>
        <v>pdf</v>
      </c>
      <c r="D693" s="6">
        <v>9</v>
      </c>
      <c r="E693" s="7" t="s">
        <v>873</v>
      </c>
      <c r="F693" s="7" t="s">
        <v>256</v>
      </c>
      <c r="G693" s="8" t="s">
        <v>23</v>
      </c>
      <c r="H693" s="8">
        <v>5</v>
      </c>
      <c r="I693" s="8" t="s">
        <v>24</v>
      </c>
      <c r="J693" s="8">
        <v>12</v>
      </c>
      <c r="K693" s="8" t="s">
        <v>663</v>
      </c>
      <c r="L693" s="8">
        <v>3</v>
      </c>
      <c r="M693" s="7" t="s">
        <v>664</v>
      </c>
      <c r="N693" s="7" t="s">
        <v>1636</v>
      </c>
      <c r="O693" s="9">
        <v>41079</v>
      </c>
      <c r="P693" s="7" t="s">
        <v>27</v>
      </c>
      <c r="Q693" s="7" t="s">
        <v>1637</v>
      </c>
      <c r="R693" s="7" t="s">
        <v>1583</v>
      </c>
      <c r="S693" s="8" t="s">
        <v>1584</v>
      </c>
      <c r="T693" s="7"/>
      <c r="U693" s="7"/>
      <c r="V693" s="7"/>
    </row>
    <row r="694" spans="1:22">
      <c r="A694" s="5" t="s">
        <v>1638</v>
      </c>
      <c r="B694" s="5" t="str">
        <f>GetAddress(A694)</f>
        <v>\\chno0276\Aseguranza de Calidad\Control de Documentos\Doc. controlados PDF\Control Plans\MICROMINI\CELDA A&amp;B\CP-A&amp;B-022  CA4P7C09C040MY.pdf</v>
      </c>
      <c r="C694" s="5" t="str">
        <f>MID(B694,LEN(B694) - FIND(".",REVERSETEXT(B694))+2,1000)</f>
        <v>pdf</v>
      </c>
      <c r="D694" s="6">
        <v>9</v>
      </c>
      <c r="E694" s="7" t="s">
        <v>873</v>
      </c>
      <c r="F694" s="7" t="s">
        <v>256</v>
      </c>
      <c r="G694" s="8" t="s">
        <v>23</v>
      </c>
      <c r="H694" s="8">
        <v>5</v>
      </c>
      <c r="I694" s="8" t="s">
        <v>24</v>
      </c>
      <c r="J694" s="8">
        <v>12</v>
      </c>
      <c r="K694" s="8" t="s">
        <v>663</v>
      </c>
      <c r="L694" s="8">
        <v>3</v>
      </c>
      <c r="M694" s="7" t="s">
        <v>664</v>
      </c>
      <c r="N694" s="7" t="s">
        <v>1639</v>
      </c>
      <c r="O694" s="9">
        <v>41074</v>
      </c>
      <c r="P694" s="7" t="s">
        <v>27</v>
      </c>
      <c r="Q694" s="7" t="s">
        <v>1640</v>
      </c>
      <c r="R694" s="7" t="s">
        <v>1583</v>
      </c>
      <c r="S694" s="8" t="s">
        <v>1584</v>
      </c>
      <c r="T694" s="7"/>
      <c r="U694" s="7"/>
      <c r="V694" s="7"/>
    </row>
    <row r="695" spans="1:22">
      <c r="A695" s="5" t="s">
        <v>1641</v>
      </c>
      <c r="B695" s="5" t="str">
        <f>GetAddress(A695)</f>
        <v>\\chno0276\Aseguranza de Calidad\Control de Documentos\Doc. controlados PDF\Control Plans\MICROMINI\CELDA A&amp;B\CP-A&amp;B-023  AT3RC3R.pdf</v>
      </c>
      <c r="C695" s="5" t="str">
        <f>MID(B695,LEN(B695) - FIND(".",REVERSETEXT(B695))+2,1000)</f>
        <v>pdf</v>
      </c>
      <c r="D695" s="6">
        <v>9</v>
      </c>
      <c r="E695" s="7" t="s">
        <v>873</v>
      </c>
      <c r="F695" s="7" t="s">
        <v>256</v>
      </c>
      <c r="G695" s="8" t="s">
        <v>23</v>
      </c>
      <c r="H695" s="8">
        <v>5</v>
      </c>
      <c r="I695" s="8" t="s">
        <v>24</v>
      </c>
      <c r="J695" s="8">
        <v>12</v>
      </c>
      <c r="K695" s="8" t="s">
        <v>663</v>
      </c>
      <c r="L695" s="8">
        <v>3</v>
      </c>
      <c r="M695" s="7" t="s">
        <v>664</v>
      </c>
      <c r="N695" s="7" t="s">
        <v>1592</v>
      </c>
      <c r="O695" s="9">
        <v>41047</v>
      </c>
      <c r="P695" s="7" t="s">
        <v>27</v>
      </c>
      <c r="Q695" s="7" t="s">
        <v>1593</v>
      </c>
      <c r="R695" s="7" t="s">
        <v>1583</v>
      </c>
      <c r="S695" s="8" t="s">
        <v>1584</v>
      </c>
      <c r="T695" s="7"/>
      <c r="U695" s="7"/>
      <c r="V695" s="7"/>
    </row>
    <row r="696" spans="1:22">
      <c r="A696" s="5" t="s">
        <v>1642</v>
      </c>
      <c r="B696" s="5" t="str">
        <f>GetAddress(A696)</f>
        <v>\\chno0276\Aseguranza de Calidad\Control de Documentos\Doc. controlados PDF\Control Plans\MICROMINI\CELDA A&amp;B\CP-A&amp;B-024  AM3F2MG.pdf</v>
      </c>
      <c r="C696" s="5" t="str">
        <f>MID(B696,LEN(B696) - FIND(".",REVERSETEXT(B696))+2,1000)</f>
        <v>pdf</v>
      </c>
      <c r="D696" s="6">
        <v>9</v>
      </c>
      <c r="E696" s="7" t="s">
        <v>873</v>
      </c>
      <c r="F696" s="7" t="s">
        <v>256</v>
      </c>
      <c r="G696" s="8" t="s">
        <v>23</v>
      </c>
      <c r="H696" s="8">
        <v>5</v>
      </c>
      <c r="I696" s="8" t="s">
        <v>24</v>
      </c>
      <c r="J696" s="8">
        <v>12</v>
      </c>
      <c r="K696" s="8" t="s">
        <v>663</v>
      </c>
      <c r="L696" s="8">
        <v>3</v>
      </c>
      <c r="M696" s="7" t="s">
        <v>664</v>
      </c>
      <c r="N696" s="7" t="s">
        <v>1643</v>
      </c>
      <c r="O696" s="9">
        <v>41048</v>
      </c>
      <c r="P696" s="7" t="s">
        <v>27</v>
      </c>
      <c r="Q696" s="7" t="s">
        <v>1644</v>
      </c>
      <c r="R696" s="7" t="s">
        <v>1583</v>
      </c>
      <c r="S696" s="8" t="s">
        <v>1584</v>
      </c>
      <c r="T696" s="7"/>
      <c r="U696" s="7"/>
      <c r="V696" s="7"/>
    </row>
    <row r="697" spans="1:22">
      <c r="A697" s="5" t="s">
        <v>1645</v>
      </c>
      <c r="B697" s="5" t="str">
        <f>GetAddress(A697)</f>
        <v>\\CHNO0276\Aseguranza de Calidad\Control de Documentos\Doc. controlados PDF\Control Plans\MICROMINI\CELDA A&amp;B\CP-A&amp;B-025  ABSP4R5C.pdf</v>
      </c>
      <c r="C697" s="5" t="str">
        <f>MID(B697,LEN(B697) - FIND(".",REVERSETEXT(B697))+2,1000)</f>
        <v>pdf</v>
      </c>
      <c r="D697" s="6">
        <v>9</v>
      </c>
      <c r="E697" s="7" t="s">
        <v>873</v>
      </c>
      <c r="F697" s="7" t="s">
        <v>256</v>
      </c>
      <c r="G697" s="8" t="s">
        <v>23</v>
      </c>
      <c r="H697" s="8">
        <v>5</v>
      </c>
      <c r="I697" s="8" t="s">
        <v>24</v>
      </c>
      <c r="J697" s="8">
        <v>12</v>
      </c>
      <c r="K697" s="8" t="s">
        <v>663</v>
      </c>
      <c r="L697" s="8">
        <v>3</v>
      </c>
      <c r="M697" s="7" t="s">
        <v>664</v>
      </c>
      <c r="N697" s="7" t="s">
        <v>1646</v>
      </c>
      <c r="O697" s="9">
        <v>41030</v>
      </c>
      <c r="P697" s="7" t="s">
        <v>27</v>
      </c>
      <c r="Q697" s="7" t="s">
        <v>1647</v>
      </c>
      <c r="R697" s="7" t="s">
        <v>1583</v>
      </c>
      <c r="S697" s="8" t="s">
        <v>1584</v>
      </c>
      <c r="T697" s="7"/>
      <c r="U697" s="7"/>
      <c r="V697" s="7"/>
    </row>
    <row r="698" spans="1:22">
      <c r="A698" s="5" t="s">
        <v>1648</v>
      </c>
      <c r="B698" s="5" t="str">
        <f>GetAddress(A698)</f>
        <v>\\chno0276\Aseguranza de Calidad\Control de Documentos\Doc. controlados PDF\Control Plans\MICROMINI\CELDA A&amp;B\CP-A&amp;B-026  A98N43PBN4.pdf</v>
      </c>
      <c r="C698" s="5" t="str">
        <f>MID(B698,LEN(B698) - FIND(".",REVERSETEXT(B698))+2,1000)</f>
        <v>pdf</v>
      </c>
      <c r="D698" s="6">
        <v>9</v>
      </c>
      <c r="E698" s="7" t="s">
        <v>873</v>
      </c>
      <c r="F698" s="7" t="s">
        <v>256</v>
      </c>
      <c r="G698" s="8" t="s">
        <v>23</v>
      </c>
      <c r="H698" s="8">
        <v>5</v>
      </c>
      <c r="I698" s="8" t="s">
        <v>24</v>
      </c>
      <c r="J698" s="8">
        <v>12</v>
      </c>
      <c r="K698" s="8" t="s">
        <v>663</v>
      </c>
      <c r="L698" s="8">
        <v>3</v>
      </c>
      <c r="M698" s="7" t="s">
        <v>664</v>
      </c>
      <c r="N698" s="7" t="s">
        <v>1649</v>
      </c>
      <c r="O698" s="9">
        <v>41079</v>
      </c>
      <c r="P698" s="7" t="s">
        <v>27</v>
      </c>
      <c r="Q698" s="7" t="s">
        <v>1650</v>
      </c>
      <c r="R698" s="7" t="s">
        <v>1583</v>
      </c>
      <c r="S698" s="8" t="s">
        <v>1584</v>
      </c>
      <c r="T698" s="7"/>
      <c r="U698" s="7"/>
      <c r="V698" s="7"/>
    </row>
    <row r="699" spans="1:22" ht="25.5">
      <c r="A699" s="5" t="s">
        <v>1651</v>
      </c>
      <c r="B699" s="5" t="str">
        <f>GetAddress(A699)</f>
        <v>\\chno0276\Aseguranza de Calidad\Control de Documentos\Doc. controlados PDF\Control Plans\MICROMINI\CELDA A&amp;B\CP-A&amp;B-027  A89DR4HC.pdf</v>
      </c>
      <c r="C699" s="5" t="str">
        <f>MID(B699,LEN(B699) - FIND(".",REVERSETEXT(B699))+2,1000)</f>
        <v>pdf</v>
      </c>
      <c r="D699" s="6">
        <v>9</v>
      </c>
      <c r="E699" s="7" t="s">
        <v>873</v>
      </c>
      <c r="F699" s="7" t="s">
        <v>256</v>
      </c>
      <c r="G699" s="8" t="s">
        <v>23</v>
      </c>
      <c r="H699" s="8">
        <v>5</v>
      </c>
      <c r="I699" s="8" t="s">
        <v>24</v>
      </c>
      <c r="J699" s="8">
        <v>12</v>
      </c>
      <c r="K699" s="8" t="s">
        <v>663</v>
      </c>
      <c r="L699" s="8">
        <v>3</v>
      </c>
      <c r="M699" s="7" t="s">
        <v>664</v>
      </c>
      <c r="N699" s="7" t="s">
        <v>1652</v>
      </c>
      <c r="O699" s="9">
        <v>41046</v>
      </c>
      <c r="P699" s="7" t="s">
        <v>27</v>
      </c>
      <c r="Q699" s="13" t="s">
        <v>1653</v>
      </c>
      <c r="R699" s="7" t="s">
        <v>1583</v>
      </c>
      <c r="S699" s="8" t="s">
        <v>1584</v>
      </c>
      <c r="T699" s="7"/>
      <c r="U699" s="7"/>
      <c r="V699" s="7"/>
    </row>
    <row r="700" spans="1:22" ht="38.25">
      <c r="A700" s="5" t="s">
        <v>1654</v>
      </c>
      <c r="B700" s="5" t="str">
        <f>GetAddress(A700)</f>
        <v>\\chno0276\Aseguranza de Calidad\Control de Documentos\Doc. controlados PDF\Control Plans\MICROMINI\CELDA A&amp;B\CP-A&amp;B-028  A79DM3AERF50F5.pdf</v>
      </c>
      <c r="C700" s="5" t="str">
        <f>MID(B700,LEN(B700) - FIND(".",REVERSETEXT(B700))+2,1000)</f>
        <v>pdf</v>
      </c>
      <c r="D700" s="6">
        <v>9</v>
      </c>
      <c r="E700" s="7" t="s">
        <v>873</v>
      </c>
      <c r="F700" s="7" t="s">
        <v>256</v>
      </c>
      <c r="G700" s="8" t="s">
        <v>23</v>
      </c>
      <c r="H700" s="8">
        <v>5</v>
      </c>
      <c r="I700" s="8" t="s">
        <v>24</v>
      </c>
      <c r="J700" s="8">
        <v>12</v>
      </c>
      <c r="K700" s="8" t="s">
        <v>663</v>
      </c>
      <c r="L700" s="8">
        <v>3</v>
      </c>
      <c r="M700" s="7" t="s">
        <v>664</v>
      </c>
      <c r="N700" s="7" t="s">
        <v>1655</v>
      </c>
      <c r="O700" s="9">
        <v>41017</v>
      </c>
      <c r="P700" s="7" t="s">
        <v>27</v>
      </c>
      <c r="Q700" s="13" t="s">
        <v>1656</v>
      </c>
      <c r="R700" s="7" t="s">
        <v>1583</v>
      </c>
      <c r="S700" s="8" t="s">
        <v>1584</v>
      </c>
      <c r="T700" s="7"/>
      <c r="U700" s="7"/>
      <c r="V700" s="7"/>
    </row>
    <row r="701" spans="1:22">
      <c r="A701" s="5" t="s">
        <v>1657</v>
      </c>
      <c r="B701" s="5" t="str">
        <f>GetAddress(A701)</f>
        <v>\\chno0276\Aseguranza de Calidad\Control de Documentos\Doc. controlados PDF\Control Plans\MICROMINI\CELDA A&amp;B\CP-A&amp;B-029  1326304.pdf</v>
      </c>
      <c r="C701" s="5" t="str">
        <f>MID(B701,LEN(B701) - FIND(".",REVERSETEXT(B701))+2,1000)</f>
        <v>pdf</v>
      </c>
      <c r="D701" s="6">
        <v>9</v>
      </c>
      <c r="E701" s="7" t="s">
        <v>873</v>
      </c>
      <c r="F701" s="7" t="s">
        <v>256</v>
      </c>
      <c r="G701" s="8" t="s">
        <v>23</v>
      </c>
      <c r="H701" s="8">
        <v>5</v>
      </c>
      <c r="I701" s="8" t="s">
        <v>24</v>
      </c>
      <c r="J701" s="8">
        <v>12</v>
      </c>
      <c r="K701" s="8" t="s">
        <v>663</v>
      </c>
      <c r="L701" s="8">
        <v>3</v>
      </c>
      <c r="M701" s="7" t="s">
        <v>664</v>
      </c>
      <c r="N701" s="7" t="s">
        <v>1614</v>
      </c>
      <c r="O701" s="9">
        <v>41076</v>
      </c>
      <c r="P701" s="7" t="s">
        <v>27</v>
      </c>
      <c r="Q701" s="7">
        <v>1326304</v>
      </c>
      <c r="R701" s="7" t="s">
        <v>1583</v>
      </c>
      <c r="S701" s="8" t="s">
        <v>1584</v>
      </c>
      <c r="T701" s="7"/>
      <c r="U701" s="7"/>
      <c r="V701" s="7"/>
    </row>
    <row r="702" spans="1:22">
      <c r="A702" s="5" t="s">
        <v>1658</v>
      </c>
      <c r="B702" s="5" t="str">
        <f>GetAddress(A702)</f>
        <v>\\chno0276\Aseguranza de Calidad\Control de Documentos\Doc. controlados PDF\Control Plans\MICROMINI\CELDA A&amp;B\CP-A&amp;B-030  ZC5XXXXXXXXX.pdf</v>
      </c>
      <c r="C702" s="5" t="str">
        <f>MID(B702,LEN(B702) - FIND(".",REVERSETEXT(B702))+2,1000)</f>
        <v>pdf</v>
      </c>
      <c r="D702" s="6">
        <v>9</v>
      </c>
      <c r="E702" s="7" t="s">
        <v>873</v>
      </c>
      <c r="F702" s="7" t="s">
        <v>256</v>
      </c>
      <c r="G702" s="8" t="s">
        <v>23</v>
      </c>
      <c r="H702" s="8">
        <v>5</v>
      </c>
      <c r="I702" s="8" t="s">
        <v>24</v>
      </c>
      <c r="J702" s="8">
        <v>12</v>
      </c>
      <c r="K702" s="8" t="s">
        <v>663</v>
      </c>
      <c r="L702" s="8">
        <v>3</v>
      </c>
      <c r="M702" s="7" t="s">
        <v>664</v>
      </c>
      <c r="N702" s="7" t="s">
        <v>1659</v>
      </c>
      <c r="O702" s="9">
        <v>41036</v>
      </c>
      <c r="P702" s="7" t="s">
        <v>27</v>
      </c>
      <c r="Q702" s="7" t="s">
        <v>1660</v>
      </c>
      <c r="R702" s="7" t="s">
        <v>1583</v>
      </c>
      <c r="S702" s="8" t="s">
        <v>1584</v>
      </c>
      <c r="T702" s="7"/>
      <c r="U702" s="7"/>
      <c r="V702" s="7"/>
    </row>
    <row r="703" spans="1:22">
      <c r="A703" s="5" t="s">
        <v>1661</v>
      </c>
      <c r="B703" s="5" t="str">
        <f>GetAddress(A703)</f>
        <v>\\chno0276\Aseguranza de Calidad\Control de Documentos\Doc. controlados PDF\Control Plans\MICROMINI\CELDA A&amp;B\CP-A&amp;B-031 ZC2XXXXXXXXX.pdf</v>
      </c>
      <c r="C703" s="5" t="str">
        <f>MID(B703,LEN(B703) - FIND(".",REVERSETEXT(B703))+2,1000)</f>
        <v>pdf</v>
      </c>
      <c r="D703" s="6">
        <v>9</v>
      </c>
      <c r="E703" s="7" t="s">
        <v>873</v>
      </c>
      <c r="F703" s="7" t="s">
        <v>256</v>
      </c>
      <c r="G703" s="8" t="s">
        <v>23</v>
      </c>
      <c r="H703" s="8">
        <v>5</v>
      </c>
      <c r="I703" s="8" t="s">
        <v>24</v>
      </c>
      <c r="J703" s="8">
        <v>12</v>
      </c>
      <c r="K703" s="8" t="s">
        <v>663</v>
      </c>
      <c r="L703" s="8">
        <v>3</v>
      </c>
      <c r="M703" s="7" t="s">
        <v>664</v>
      </c>
      <c r="N703" s="7" t="s">
        <v>1662</v>
      </c>
      <c r="O703" s="9">
        <v>41036</v>
      </c>
      <c r="P703" s="7" t="s">
        <v>27</v>
      </c>
      <c r="Q703" s="7" t="s">
        <v>1663</v>
      </c>
      <c r="R703" s="7" t="s">
        <v>1583</v>
      </c>
      <c r="S703" s="8" t="s">
        <v>1584</v>
      </c>
      <c r="T703" s="7"/>
      <c r="U703" s="7"/>
      <c r="V703" s="7"/>
    </row>
    <row r="704" spans="1:22">
      <c r="A704" s="5" t="s">
        <v>1664</v>
      </c>
      <c r="B704" s="5" t="str">
        <f>GetAddress(A704)</f>
        <v>\\chno0276\Aseguranza de Calidad\Control de Documentos\Doc. controlados PDF\Control Plans\MICROMINI\CELDA A&amp;B\CP-A&amp;B-032  XC3XXXXXXXXX.pdf</v>
      </c>
      <c r="C704" s="5" t="str">
        <f>MID(B704,LEN(B704) - FIND(".",REVERSETEXT(B704))+2,1000)</f>
        <v>pdf</v>
      </c>
      <c r="D704" s="6">
        <v>9</v>
      </c>
      <c r="E704" s="7" t="s">
        <v>873</v>
      </c>
      <c r="F704" s="7" t="s">
        <v>256</v>
      </c>
      <c r="G704" s="8" t="s">
        <v>23</v>
      </c>
      <c r="H704" s="8">
        <v>5</v>
      </c>
      <c r="I704" s="8" t="s">
        <v>24</v>
      </c>
      <c r="J704" s="8">
        <v>12</v>
      </c>
      <c r="K704" s="8" t="s">
        <v>663</v>
      </c>
      <c r="L704" s="8">
        <v>3</v>
      </c>
      <c r="M704" s="7" t="s">
        <v>664</v>
      </c>
      <c r="N704" s="7" t="s">
        <v>1665</v>
      </c>
      <c r="O704" s="9">
        <v>41036</v>
      </c>
      <c r="P704" s="7" t="s">
        <v>27</v>
      </c>
      <c r="Q704" s="7" t="s">
        <v>1666</v>
      </c>
      <c r="R704" s="7" t="s">
        <v>1583</v>
      </c>
      <c r="S704" s="8" t="s">
        <v>1584</v>
      </c>
      <c r="T704" s="7"/>
      <c r="U704" s="7"/>
      <c r="V704" s="7"/>
    </row>
    <row r="705" spans="1:22">
      <c r="A705" s="5" t="s">
        <v>1667</v>
      </c>
      <c r="B705" s="5" t="str">
        <f>GetAddress(A705)</f>
        <v>\\chno0276\Control de Documentos\Doc. controlados PDF\Control Plans\MICROMINI\CELDA A&amp;B\CP-A&amp;B-033  A89DF4HEDM-XXX.pdf</v>
      </c>
      <c r="C705" s="5" t="str">
        <f>MID(B705,LEN(B705) - FIND(".",REVERSETEXT(B705))+2,1000)</f>
        <v>pdf</v>
      </c>
      <c r="D705" s="6">
        <v>9</v>
      </c>
      <c r="E705" s="7" t="s">
        <v>873</v>
      </c>
      <c r="F705" s="7" t="s">
        <v>256</v>
      </c>
      <c r="G705" s="8" t="s">
        <v>23</v>
      </c>
      <c r="H705" s="8">
        <v>5</v>
      </c>
      <c r="I705" s="8" t="s">
        <v>24</v>
      </c>
      <c r="J705" s="8">
        <v>12</v>
      </c>
      <c r="K705" s="8" t="s">
        <v>663</v>
      </c>
      <c r="L705" s="8">
        <v>3</v>
      </c>
      <c r="M705" s="7" t="s">
        <v>664</v>
      </c>
      <c r="N705" s="7" t="s">
        <v>1668</v>
      </c>
      <c r="O705" s="9">
        <v>41095</v>
      </c>
      <c r="P705" s="7" t="s">
        <v>27</v>
      </c>
      <c r="Q705" s="7" t="s">
        <v>1669</v>
      </c>
      <c r="R705" s="7" t="s">
        <v>1583</v>
      </c>
      <c r="S705" s="8" t="s">
        <v>1584</v>
      </c>
      <c r="T705" s="7"/>
      <c r="U705" s="7"/>
      <c r="V705" s="7"/>
    </row>
    <row r="706" spans="1:22">
      <c r="A706" s="5" t="s">
        <v>1670</v>
      </c>
      <c r="B706" s="5" t="str">
        <f>GetAddress(A706)</f>
        <v>\\chno0276\Aseguranza de Calidad\Control de Documentos\Doc. controlados PDF\Control Plans\MICROMINI\CELDA A&amp;B\CP-A&amp;B-034  ABT-P1M4-MN5R1.pdf</v>
      </c>
      <c r="C706" s="5" t="str">
        <f>MID(B706,LEN(B706) - FIND(".",REVERSETEXT(B706))+2,1000)</f>
        <v>pdf</v>
      </c>
      <c r="D706" s="6">
        <v>9</v>
      </c>
      <c r="E706" s="7" t="s">
        <v>873</v>
      </c>
      <c r="F706" s="7" t="s">
        <v>256</v>
      </c>
      <c r="G706" s="8" t="s">
        <v>23</v>
      </c>
      <c r="H706" s="8">
        <v>5</v>
      </c>
      <c r="I706" s="8" t="s">
        <v>24</v>
      </c>
      <c r="J706" s="8">
        <v>12</v>
      </c>
      <c r="K706" s="8" t="s">
        <v>663</v>
      </c>
      <c r="L706" s="8">
        <v>3</v>
      </c>
      <c r="M706" s="7" t="s">
        <v>664</v>
      </c>
      <c r="N706" s="7" t="s">
        <v>1671</v>
      </c>
      <c r="O706" s="9">
        <v>41104</v>
      </c>
      <c r="P706" s="7" t="s">
        <v>27</v>
      </c>
      <c r="Q706" s="7" t="s">
        <v>1672</v>
      </c>
      <c r="R706" s="7" t="s">
        <v>1583</v>
      </c>
      <c r="S706" s="8" t="s">
        <v>1584</v>
      </c>
      <c r="T706" s="7"/>
      <c r="U706" s="7"/>
      <c r="V706" s="7"/>
    </row>
    <row r="707" spans="1:22">
      <c r="A707" s="5" t="s">
        <v>1673</v>
      </c>
      <c r="B707" s="5" t="str">
        <f>GetAddress(A707)</f>
        <v>\\chno0276\Aseguranza de Calidad\Control de Documentos\Doc. controlados PDF\Control Plans\MICROMINI\CELDA A&amp;B\CP-A&amp;B-035 5000129-BE.pdf</v>
      </c>
      <c r="C707" s="5" t="str">
        <f>MID(B707,LEN(B707) - FIND(".",REVERSETEXT(B707))+2,1000)</f>
        <v>pdf</v>
      </c>
      <c r="D707" s="6">
        <v>9</v>
      </c>
      <c r="E707" s="7" t="s">
        <v>873</v>
      </c>
      <c r="F707" s="7" t="s">
        <v>256</v>
      </c>
      <c r="G707" s="8" t="s">
        <v>23</v>
      </c>
      <c r="H707" s="8">
        <v>5</v>
      </c>
      <c r="I707" s="8" t="s">
        <v>24</v>
      </c>
      <c r="J707" s="8">
        <v>12</v>
      </c>
      <c r="K707" s="8" t="s">
        <v>663</v>
      </c>
      <c r="L707" s="8">
        <v>3</v>
      </c>
      <c r="M707" s="7" t="s">
        <v>664</v>
      </c>
      <c r="N707" s="7" t="s">
        <v>1674</v>
      </c>
      <c r="O707" s="9">
        <v>41104</v>
      </c>
      <c r="P707" s="7" t="s">
        <v>27</v>
      </c>
      <c r="Q707" s="7" t="s">
        <v>1675</v>
      </c>
      <c r="R707" s="7" t="s">
        <v>1583</v>
      </c>
      <c r="S707" s="8" t="s">
        <v>1584</v>
      </c>
      <c r="T707" s="7"/>
      <c r="U707" s="7"/>
      <c r="V707" s="7"/>
    </row>
    <row r="708" spans="1:22">
      <c r="A708" s="5" t="s">
        <v>1676</v>
      </c>
      <c r="B708" s="5" t="str">
        <f>GetAddress(A708)</f>
        <v>\\chno0276\Control de Documentos\Doc. controlados PDF\Control Plans\MICROMINI\CELDA A&amp;B\CP-A&amp;B-036  PC5QADD0XXM.pdf</v>
      </c>
      <c r="C708" s="5" t="str">
        <f>MID(B708,LEN(B708) - FIND(".",REVERSETEXT(B708))+2,1000)</f>
        <v>pdf</v>
      </c>
      <c r="D708" s="6">
        <v>9</v>
      </c>
      <c r="E708" s="7" t="s">
        <v>873</v>
      </c>
      <c r="F708" s="7" t="s">
        <v>256</v>
      </c>
      <c r="G708" s="8" t="s">
        <v>23</v>
      </c>
      <c r="H708" s="8">
        <v>5</v>
      </c>
      <c r="I708" s="8" t="s">
        <v>24</v>
      </c>
      <c r="J708" s="8">
        <v>12</v>
      </c>
      <c r="K708" s="8" t="s">
        <v>663</v>
      </c>
      <c r="L708" s="8">
        <v>3</v>
      </c>
      <c r="M708" s="7" t="s">
        <v>664</v>
      </c>
      <c r="N708" s="7" t="s">
        <v>1677</v>
      </c>
      <c r="O708" s="9">
        <v>41104</v>
      </c>
      <c r="P708" s="7" t="s">
        <v>27</v>
      </c>
      <c r="Q708" s="7" t="s">
        <v>1678</v>
      </c>
      <c r="R708" s="7" t="s">
        <v>1583</v>
      </c>
      <c r="S708" s="8" t="s">
        <v>1584</v>
      </c>
      <c r="T708" s="7"/>
      <c r="U708" s="7"/>
      <c r="V708" s="7"/>
    </row>
    <row r="709" spans="1:22">
      <c r="A709" s="5" t="s">
        <v>1679</v>
      </c>
      <c r="B709" s="5" t="str">
        <f>GetAddress(A709)</f>
        <v>\\chno0276\Control de Documentos\Doc. controlados PDF\Control Plans\MICROMINI\CELDA A&amp;B\CP-A&amp;B-037 Control Plan ABC-P6N5-M5  MM-A-B.xlsx.pdf</v>
      </c>
      <c r="C709" s="5" t="str">
        <f>MID(B709,LEN(B709) - FIND(".",REVERSETEXT(B709))+2,1000)</f>
        <v>pdf</v>
      </c>
      <c r="D709" s="6">
        <v>9</v>
      </c>
      <c r="E709" s="7" t="s">
        <v>873</v>
      </c>
      <c r="F709" s="7" t="s">
        <v>256</v>
      </c>
      <c r="G709" s="8" t="s">
        <v>23</v>
      </c>
      <c r="H709" s="8">
        <v>5</v>
      </c>
      <c r="I709" s="8" t="s">
        <v>24</v>
      </c>
      <c r="J709" s="8">
        <v>12</v>
      </c>
      <c r="K709" s="8" t="s">
        <v>663</v>
      </c>
      <c r="L709" s="8">
        <v>3</v>
      </c>
      <c r="M709" s="7" t="s">
        <v>664</v>
      </c>
      <c r="N709" s="7" t="s">
        <v>1680</v>
      </c>
      <c r="O709" s="9">
        <v>41115</v>
      </c>
      <c r="P709" s="7" t="s">
        <v>27</v>
      </c>
      <c r="Q709" s="7" t="s">
        <v>1681</v>
      </c>
      <c r="R709" s="7" t="s">
        <v>1583</v>
      </c>
      <c r="S709" s="8" t="s">
        <v>1584</v>
      </c>
      <c r="T709" s="7"/>
      <c r="U709" s="7"/>
      <c r="V709" s="7"/>
    </row>
    <row r="710" spans="1:22">
      <c r="A710" s="5" t="s">
        <v>1682</v>
      </c>
      <c r="B710" s="5" t="str">
        <f>GetAddress(A710)</f>
        <v>\\CHNO0276\Aseguranza de Calidad\Control de Documentos\Doc. controlados PDF\Control Plans\MICROMINI\CELDA A&amp;B\CP-A&amp;B-038 Rev. 5000118-JY.pdf</v>
      </c>
      <c r="C710" s="5" t="str">
        <f>MID(B710,LEN(B710) - FIND(".",REVERSETEXT(B710))+2,1000)</f>
        <v>pdf</v>
      </c>
      <c r="D710" s="6">
        <v>9</v>
      </c>
      <c r="E710" s="7" t="s">
        <v>873</v>
      </c>
      <c r="F710" s="7" t="s">
        <v>256</v>
      </c>
      <c r="G710" s="8" t="s">
        <v>23</v>
      </c>
      <c r="H710" s="8">
        <v>5</v>
      </c>
      <c r="I710" s="8" t="s">
        <v>24</v>
      </c>
      <c r="J710" s="8">
        <v>12</v>
      </c>
      <c r="K710" s="8" t="s">
        <v>663</v>
      </c>
      <c r="L710" s="8">
        <v>3</v>
      </c>
      <c r="M710" s="7" t="s">
        <v>664</v>
      </c>
      <c r="N710" s="7" t="s">
        <v>1683</v>
      </c>
      <c r="O710" s="9">
        <v>41129</v>
      </c>
      <c r="P710" s="7" t="s">
        <v>27</v>
      </c>
      <c r="Q710" s="7" t="s">
        <v>1684</v>
      </c>
      <c r="R710" s="7" t="s">
        <v>1583</v>
      </c>
      <c r="S710" s="8" t="s">
        <v>1584</v>
      </c>
      <c r="T710" s="7"/>
      <c r="U710" s="7"/>
      <c r="V710" s="7"/>
    </row>
    <row r="711" spans="1:22">
      <c r="A711" s="5" t="s">
        <v>1685</v>
      </c>
      <c r="B711" s="5" t="str">
        <f>GetAddress(A711)</f>
        <v>\\CHNO0276\Aseguranza de Calidad\Control de Documentos\Documentos controlados\CN-QAAS (Aseguranza de calidad)\Control Plans\MICROMINI\CELDA A-B\CP-A&amp;B-039 Rev. A 5000118-DM.xlsx</v>
      </c>
      <c r="C711" s="5" t="str">
        <f>MID(B711,LEN(B711) - FIND(".",REVERSETEXT(B711))+2,1000)</f>
        <v>xlsx</v>
      </c>
      <c r="D711" s="6">
        <v>9</v>
      </c>
      <c r="E711" s="7" t="s">
        <v>873</v>
      </c>
      <c r="F711" s="7" t="s">
        <v>256</v>
      </c>
      <c r="G711" s="8" t="s">
        <v>23</v>
      </c>
      <c r="H711" s="8">
        <v>5</v>
      </c>
      <c r="I711" s="8" t="s">
        <v>24</v>
      </c>
      <c r="J711" s="8">
        <v>12</v>
      </c>
      <c r="K711" s="8" t="s">
        <v>663</v>
      </c>
      <c r="L711" s="8">
        <v>3</v>
      </c>
      <c r="M711" s="7" t="s">
        <v>664</v>
      </c>
      <c r="N711" s="7" t="s">
        <v>1686</v>
      </c>
      <c r="O711" s="9">
        <v>41138</v>
      </c>
      <c r="P711" s="7" t="s">
        <v>27</v>
      </c>
      <c r="Q711" s="7" t="s">
        <v>1687</v>
      </c>
      <c r="R711" s="7" t="s">
        <v>1583</v>
      </c>
      <c r="S711" s="8" t="s">
        <v>1584</v>
      </c>
      <c r="T711" s="7"/>
      <c r="U711" s="7"/>
      <c r="V711" s="7"/>
    </row>
    <row r="712" spans="1:22" ht="51">
      <c r="A712" s="5" t="s">
        <v>1249</v>
      </c>
      <c r="B712" s="5" t="str">
        <f>GetAddress(A712)</f>
        <v>\\chno0276\Aseguranza de Calidad\Control de Documentos\Doc. controlados PDF\Control Plans\MICROMINI\CELDA A&amp;B\CP-A&amp;B-040  AM2C2MG030F, AM3C2MG030F, AM4C2MG030F, AM5C2MG030F.pdf</v>
      </c>
      <c r="C712" s="5" t="str">
        <f>MID(B712,LEN(B712) - FIND(".",REVERSETEXT(B712))+2,1000)</f>
        <v>pdf</v>
      </c>
      <c r="D712" s="6">
        <v>9</v>
      </c>
      <c r="E712" s="7" t="s">
        <v>873</v>
      </c>
      <c r="F712" s="7" t="s">
        <v>256</v>
      </c>
      <c r="G712" s="8" t="s">
        <v>23</v>
      </c>
      <c r="H712" s="8">
        <v>5</v>
      </c>
      <c r="I712" s="8" t="s">
        <v>24</v>
      </c>
      <c r="J712" s="8">
        <v>12</v>
      </c>
      <c r="K712" s="8" t="s">
        <v>663</v>
      </c>
      <c r="L712" s="8">
        <v>3</v>
      </c>
      <c r="M712" s="7" t="s">
        <v>664</v>
      </c>
      <c r="N712" s="7" t="s">
        <v>1250</v>
      </c>
      <c r="O712" s="9">
        <v>41206</v>
      </c>
      <c r="P712" s="7" t="s">
        <v>27</v>
      </c>
      <c r="Q712" s="13" t="s">
        <v>1251</v>
      </c>
      <c r="R712" s="7" t="s">
        <v>1252</v>
      </c>
      <c r="S712" s="8" t="s">
        <v>1253</v>
      </c>
      <c r="T712" s="7"/>
      <c r="U712" s="7"/>
      <c r="V712" s="7"/>
    </row>
    <row r="713" spans="1:22" ht="76.5">
      <c r="A713" s="5" t="s">
        <v>1254</v>
      </c>
      <c r="B713" s="5" t="str">
        <f>GetAddress(A713)</f>
        <v>\\chno0276\Aseguranza de Calidad\Control de Documentos\Doc. controlados PDF\Control Plans\MICROMINI\CELDA A&amp;B\CP-A&amp;B-041 DM2B3JE010M, DM3B3JE010M,DM4B3JE010M,DM5B3JE010M.pdf</v>
      </c>
      <c r="C713" s="5" t="str">
        <f>MID(B713,LEN(B713) - FIND(".",REVERSETEXT(B713))+2,1000)</f>
        <v>pdf</v>
      </c>
      <c r="D713" s="6">
        <v>9</v>
      </c>
      <c r="E713" s="7" t="s">
        <v>873</v>
      </c>
      <c r="F713" s="7" t="s">
        <v>256</v>
      </c>
      <c r="G713" s="8" t="s">
        <v>23</v>
      </c>
      <c r="H713" s="8">
        <v>5</v>
      </c>
      <c r="I713" s="8" t="s">
        <v>24</v>
      </c>
      <c r="J713" s="8">
        <v>12</v>
      </c>
      <c r="K713" s="8" t="s">
        <v>663</v>
      </c>
      <c r="L713" s="8">
        <v>3</v>
      </c>
      <c r="M713" s="7" t="s">
        <v>664</v>
      </c>
      <c r="N713" s="7" t="s">
        <v>1255</v>
      </c>
      <c r="O713" s="9">
        <v>41206</v>
      </c>
      <c r="P713" s="7" t="s">
        <v>27</v>
      </c>
      <c r="Q713" s="13" t="s">
        <v>1256</v>
      </c>
      <c r="R713" s="7" t="s">
        <v>1252</v>
      </c>
      <c r="S713" s="8" t="s">
        <v>1253</v>
      </c>
      <c r="T713" s="7"/>
      <c r="U713" s="7"/>
      <c r="V713" s="7"/>
    </row>
    <row r="714" spans="1:22" ht="102">
      <c r="A714" s="5" t="s">
        <v>1257</v>
      </c>
      <c r="B714" s="5" t="str">
        <f>GetAddress(A714)</f>
        <v>\\chno0276\Aseguranza de Calidad\Control de Documentos\Doc. controlados PDF\Control Plans\MICROMINI\CELDA A&amp;B\CP-A&amp;B-042 DM2C2ME010M, DM3C2ME010M, DM4C2ME010M, DM5C2ME010M, DM6C2ME010M.pdf</v>
      </c>
      <c r="C714" s="5" t="str">
        <f>MID(B714,LEN(B714) - FIND(".",REVERSETEXT(B714))+2,1000)</f>
        <v>pdf</v>
      </c>
      <c r="D714" s="6">
        <v>9</v>
      </c>
      <c r="E714" s="7" t="s">
        <v>873</v>
      </c>
      <c r="F714" s="7" t="s">
        <v>256</v>
      </c>
      <c r="G714" s="8" t="s">
        <v>23</v>
      </c>
      <c r="H714" s="8">
        <v>5</v>
      </c>
      <c r="I714" s="8" t="s">
        <v>24</v>
      </c>
      <c r="J714" s="8">
        <v>12</v>
      </c>
      <c r="K714" s="8" t="s">
        <v>663</v>
      </c>
      <c r="L714" s="8">
        <v>3</v>
      </c>
      <c r="M714" s="7" t="s">
        <v>664</v>
      </c>
      <c r="N714" s="7" t="s">
        <v>1258</v>
      </c>
      <c r="O714" s="9">
        <v>41206</v>
      </c>
      <c r="P714" s="7" t="s">
        <v>27</v>
      </c>
      <c r="Q714" s="13" t="s">
        <v>1259</v>
      </c>
      <c r="R714" s="7" t="s">
        <v>1252</v>
      </c>
      <c r="S714" s="8" t="s">
        <v>1253</v>
      </c>
      <c r="T714" s="7"/>
      <c r="U714" s="7"/>
      <c r="V714" s="7"/>
    </row>
    <row r="715" spans="1:22" ht="102">
      <c r="A715" s="5" t="s">
        <v>1260</v>
      </c>
      <c r="B715" s="5" t="str">
        <f>GetAddress(A715)</f>
        <v>\\chno0276\Control de Documentos\Doc. controlados PDF\Control Plans\MICROMINI\CELDA A&amp;B\CP-A&amp;B-043 Rev. A .xlsx</v>
      </c>
      <c r="C715" s="5" t="str">
        <f>MID(B715,LEN(B715) - FIND(".",REVERSETEXT(B715))+2,1000)</f>
        <v>xlsx</v>
      </c>
      <c r="D715" s="6">
        <v>9</v>
      </c>
      <c r="E715" s="7" t="s">
        <v>873</v>
      </c>
      <c r="F715" s="7" t="s">
        <v>256</v>
      </c>
      <c r="G715" s="8" t="s">
        <v>23</v>
      </c>
      <c r="H715" s="8">
        <v>5</v>
      </c>
      <c r="I715" s="8" t="s">
        <v>24</v>
      </c>
      <c r="J715" s="8">
        <v>12</v>
      </c>
      <c r="K715" s="8" t="s">
        <v>663</v>
      </c>
      <c r="L715" s="8">
        <v>3</v>
      </c>
      <c r="M715" s="7" t="s">
        <v>664</v>
      </c>
      <c r="N715" s="7" t="s">
        <v>1261</v>
      </c>
      <c r="O715" s="9">
        <v>41206</v>
      </c>
      <c r="P715" s="7" t="s">
        <v>27</v>
      </c>
      <c r="Q715" s="13" t="s">
        <v>1259</v>
      </c>
      <c r="R715" s="7" t="s">
        <v>1252</v>
      </c>
      <c r="S715" s="8" t="s">
        <v>1253</v>
      </c>
      <c r="T715" s="7"/>
      <c r="U715" s="7"/>
      <c r="V715" s="7"/>
    </row>
    <row r="716" spans="1:22" ht="63.75">
      <c r="A716" s="5" t="s">
        <v>872</v>
      </c>
      <c r="B716" s="5" t="str">
        <f>GetAddress(A716)</f>
        <v>\\chno0276\Aseguranza de Calidad\Control de Documentos\Doc. controlados PDF\Control Plans\ITRON\AMSAFE\CP-AMSA-001  004065-0001, 004065-0002, 004065-0006, 004065-0007 &amp; 004065-008.pdf</v>
      </c>
      <c r="C716" s="5" t="str">
        <f>MID(B716,LEN(B716) - FIND(".",REVERSETEXT(B716))+2,1000)</f>
        <v>pdf</v>
      </c>
      <c r="D716" s="6">
        <v>9</v>
      </c>
      <c r="E716" s="7" t="s">
        <v>873</v>
      </c>
      <c r="F716" s="7" t="s">
        <v>256</v>
      </c>
      <c r="G716" s="8" t="s">
        <v>23</v>
      </c>
      <c r="H716" s="8">
        <v>5</v>
      </c>
      <c r="I716" s="8" t="s">
        <v>874</v>
      </c>
      <c r="J716" s="8">
        <v>10</v>
      </c>
      <c r="K716" s="8" t="s">
        <v>875</v>
      </c>
      <c r="L716" s="8">
        <v>7</v>
      </c>
      <c r="M716" s="7" t="s">
        <v>876</v>
      </c>
      <c r="N716" s="7" t="s">
        <v>877</v>
      </c>
      <c r="O716" s="25"/>
      <c r="P716" s="13" t="s">
        <v>27</v>
      </c>
      <c r="Q716" s="13" t="s">
        <v>878</v>
      </c>
      <c r="R716" s="13" t="s">
        <v>879</v>
      </c>
      <c r="S716" s="26" t="s">
        <v>880</v>
      </c>
      <c r="T716" s="25">
        <v>41141</v>
      </c>
      <c r="U716" s="13"/>
      <c r="V716" s="7"/>
    </row>
    <row r="717" spans="1:22" ht="89.25">
      <c r="A717" s="5" t="s">
        <v>881</v>
      </c>
      <c r="B717" s="5" t="str">
        <f>GetAddress(A717)</f>
        <v>\\chno0276\Aseguranza de Calidad\Control de Documentos\Doc. controlados PDF\Control Plans\ITRON\AMSAFE\CP-AMSA-002 004046-0083 004043-0001.pdf</v>
      </c>
      <c r="C717" s="5" t="str">
        <f>MID(B717,LEN(B717) - FIND(".",REVERSETEXT(B717))+2,1000)</f>
        <v>pdf</v>
      </c>
      <c r="D717" s="6">
        <v>9</v>
      </c>
      <c r="E717" s="7" t="s">
        <v>873</v>
      </c>
      <c r="F717" s="7" t="s">
        <v>256</v>
      </c>
      <c r="G717" s="8" t="s">
        <v>23</v>
      </c>
      <c r="H717" s="8">
        <v>5</v>
      </c>
      <c r="I717" s="8" t="s">
        <v>874</v>
      </c>
      <c r="J717" s="8">
        <v>10</v>
      </c>
      <c r="K717" s="8" t="s">
        <v>875</v>
      </c>
      <c r="L717" s="8">
        <v>7</v>
      </c>
      <c r="M717" s="7" t="s">
        <v>876</v>
      </c>
      <c r="N717" s="7" t="s">
        <v>882</v>
      </c>
      <c r="O717" s="25"/>
      <c r="P717" s="13" t="s">
        <v>27</v>
      </c>
      <c r="Q717" s="13" t="s">
        <v>883</v>
      </c>
      <c r="R717" s="13" t="s">
        <v>879</v>
      </c>
      <c r="S717" s="26" t="s">
        <v>880</v>
      </c>
      <c r="T717" s="25">
        <v>41141</v>
      </c>
      <c r="U717" s="13"/>
      <c r="V717" s="7"/>
    </row>
    <row r="718" spans="1:22" ht="25.5">
      <c r="A718" s="5" t="s">
        <v>884</v>
      </c>
      <c r="B718" s="5" t="str">
        <f>GetAddress(A718)</f>
        <v>\\chno0276\Aseguranza de Calidad\Control de Documentos\Doc. controlados PDF\Control Plans\ITRON\AMSAFE\CP-AMSA-003 509800004038-0001 004038-0002 004038-0003  004038-0005.pdf</v>
      </c>
      <c r="C718" s="5" t="str">
        <f>MID(B718,LEN(B718) - FIND(".",REVERSETEXT(B718))+2,1000)</f>
        <v>pdf</v>
      </c>
      <c r="D718" s="6">
        <v>9</v>
      </c>
      <c r="E718" s="7" t="s">
        <v>873</v>
      </c>
      <c r="F718" s="7" t="s">
        <v>256</v>
      </c>
      <c r="G718" s="8" t="s">
        <v>23</v>
      </c>
      <c r="H718" s="8">
        <v>5</v>
      </c>
      <c r="I718" s="8" t="s">
        <v>874</v>
      </c>
      <c r="J718" s="8">
        <v>10</v>
      </c>
      <c r="K718" s="8" t="s">
        <v>875</v>
      </c>
      <c r="L718" s="8">
        <v>7</v>
      </c>
      <c r="M718" s="7" t="s">
        <v>876</v>
      </c>
      <c r="N718" s="7" t="s">
        <v>885</v>
      </c>
      <c r="O718" s="25"/>
      <c r="P718" s="13" t="s">
        <v>27</v>
      </c>
      <c r="Q718" s="13" t="s">
        <v>886</v>
      </c>
      <c r="R718" s="13" t="s">
        <v>879</v>
      </c>
      <c r="S718" s="26" t="s">
        <v>880</v>
      </c>
      <c r="T718" s="25">
        <v>41141</v>
      </c>
      <c r="U718" s="13"/>
      <c r="V718" s="7"/>
    </row>
    <row r="719" spans="1:22" ht="38.25">
      <c r="A719" s="5" t="s">
        <v>887</v>
      </c>
      <c r="B719" s="5" t="str">
        <f>GetAddress(A719)</f>
        <v>\\chno0276\Aseguranza de Calidad\Control de Documentos\Doc. controlados PDF\Control Plans\ITRON\AMSAFE\CP-AMSA-004 A 004035-TAB 004034-0001 004014-0001  003082-0001.pdf</v>
      </c>
      <c r="C719" s="5" t="str">
        <f>MID(B719,LEN(B719) - FIND(".",REVERSETEXT(B719))+2,1000)</f>
        <v>pdf</v>
      </c>
      <c r="D719" s="6">
        <v>9</v>
      </c>
      <c r="E719" s="7" t="s">
        <v>873</v>
      </c>
      <c r="F719" s="7" t="s">
        <v>256</v>
      </c>
      <c r="G719" s="8" t="s">
        <v>23</v>
      </c>
      <c r="H719" s="8">
        <v>5</v>
      </c>
      <c r="I719" s="8" t="s">
        <v>874</v>
      </c>
      <c r="J719" s="8">
        <v>10</v>
      </c>
      <c r="K719" s="8" t="s">
        <v>875</v>
      </c>
      <c r="L719" s="8">
        <v>7</v>
      </c>
      <c r="M719" s="7" t="s">
        <v>876</v>
      </c>
      <c r="N719" s="7" t="s">
        <v>888</v>
      </c>
      <c r="O719" s="25"/>
      <c r="P719" s="13" t="s">
        <v>27</v>
      </c>
      <c r="Q719" s="13" t="s">
        <v>889</v>
      </c>
      <c r="R719" s="13" t="s">
        <v>879</v>
      </c>
      <c r="S719" s="26" t="s">
        <v>880</v>
      </c>
      <c r="T719" s="25">
        <v>41141</v>
      </c>
      <c r="U719" s="13"/>
      <c r="V719" s="7"/>
    </row>
    <row r="720" spans="1:22">
      <c r="A720" s="5" t="s">
        <v>890</v>
      </c>
      <c r="B720" s="5" t="str">
        <f>GetAddress(A720)</f>
        <v>\\chno0276\Aseguranza de Calidad\Control de Documentos\Doc. controlados PDF\Control Plans\ITRON\AMSAFE\CP-AMSA-005 003064-0001.pdf</v>
      </c>
      <c r="C720" s="5" t="str">
        <f>MID(B720,LEN(B720) - FIND(".",REVERSETEXT(B720))+2,1000)</f>
        <v>pdf</v>
      </c>
      <c r="D720" s="6">
        <v>9</v>
      </c>
      <c r="E720" s="7" t="s">
        <v>873</v>
      </c>
      <c r="F720" s="7" t="s">
        <v>256</v>
      </c>
      <c r="G720" s="8" t="s">
        <v>23</v>
      </c>
      <c r="H720" s="8">
        <v>5</v>
      </c>
      <c r="I720" s="8" t="s">
        <v>874</v>
      </c>
      <c r="J720" s="8">
        <v>10</v>
      </c>
      <c r="K720" s="8" t="s">
        <v>875</v>
      </c>
      <c r="L720" s="8">
        <v>7</v>
      </c>
      <c r="M720" s="7" t="s">
        <v>876</v>
      </c>
      <c r="N720" s="7" t="s">
        <v>891</v>
      </c>
      <c r="O720" s="25"/>
      <c r="P720" s="13" t="s">
        <v>27</v>
      </c>
      <c r="Q720" s="7" t="s">
        <v>892</v>
      </c>
      <c r="R720" s="13" t="s">
        <v>879</v>
      </c>
      <c r="S720" s="26" t="s">
        <v>880</v>
      </c>
      <c r="T720" s="25">
        <v>41141</v>
      </c>
      <c r="U720" s="13"/>
      <c r="V720" s="7"/>
    </row>
    <row r="721" spans="1:22" ht="51">
      <c r="A721" s="5" t="s">
        <v>893</v>
      </c>
      <c r="B721" s="5" t="str">
        <f>GetAddress(A721)</f>
        <v>\\chno0276\Aseguranza de Calidad\Control de Documentos\Doc. controlados PDF\Control Plans\ITRON\AMSAFE\CP-AMSA-006  004005-TAB.pdf</v>
      </c>
      <c r="C721" s="5" t="str">
        <f>MID(B721,LEN(B721) - FIND(".",REVERSETEXT(B721))+2,1000)</f>
        <v>pdf</v>
      </c>
      <c r="D721" s="6">
        <v>9</v>
      </c>
      <c r="E721" s="7" t="s">
        <v>873</v>
      </c>
      <c r="F721" s="7" t="s">
        <v>256</v>
      </c>
      <c r="G721" s="8" t="s">
        <v>23</v>
      </c>
      <c r="H721" s="8">
        <v>5</v>
      </c>
      <c r="I721" s="8" t="s">
        <v>874</v>
      </c>
      <c r="J721" s="8">
        <v>10</v>
      </c>
      <c r="K721" s="8" t="s">
        <v>875</v>
      </c>
      <c r="L721" s="8">
        <v>7</v>
      </c>
      <c r="M721" s="7" t="s">
        <v>876</v>
      </c>
      <c r="N721" s="7" t="s">
        <v>894</v>
      </c>
      <c r="O721" s="25"/>
      <c r="P721" s="13" t="s">
        <v>27</v>
      </c>
      <c r="Q721" s="13" t="s">
        <v>895</v>
      </c>
      <c r="R721" s="13" t="s">
        <v>879</v>
      </c>
      <c r="S721" s="26" t="s">
        <v>880</v>
      </c>
      <c r="T721" s="25">
        <v>41141</v>
      </c>
      <c r="U721" s="13"/>
      <c r="V721" s="7"/>
    </row>
    <row r="722" spans="1:22" ht="25.5">
      <c r="A722" s="5" t="s">
        <v>896</v>
      </c>
      <c r="B722" s="5" t="str">
        <f>GetAddress(A722)</f>
        <v>\\chno0276\Aseguranza de Calidad\Control de Documentos\Doc. controlados PDF\Control Plans\ITRON\AMSAFE\CP-AMSA-007  0004080-0001 AL 004080-0012.pdf</v>
      </c>
      <c r="C722" s="5" t="str">
        <f>MID(B722,LEN(B722) - FIND(".",REVERSETEXT(B722))+2,1000)</f>
        <v>pdf</v>
      </c>
      <c r="D722" s="6">
        <v>9</v>
      </c>
      <c r="E722" s="7" t="s">
        <v>873</v>
      </c>
      <c r="F722" s="7" t="s">
        <v>256</v>
      </c>
      <c r="G722" s="8" t="s">
        <v>23</v>
      </c>
      <c r="H722" s="8">
        <v>5</v>
      </c>
      <c r="I722" s="8" t="s">
        <v>874</v>
      </c>
      <c r="J722" s="8">
        <v>10</v>
      </c>
      <c r="K722" s="8" t="s">
        <v>875</v>
      </c>
      <c r="L722" s="8">
        <v>7</v>
      </c>
      <c r="M722" s="7" t="s">
        <v>876</v>
      </c>
      <c r="N722" s="7" t="s">
        <v>897</v>
      </c>
      <c r="O722" s="25"/>
      <c r="P722" s="13" t="s">
        <v>27</v>
      </c>
      <c r="Q722" s="13" t="s">
        <v>898</v>
      </c>
      <c r="R722" s="13" t="s">
        <v>879</v>
      </c>
      <c r="S722" s="26" t="s">
        <v>880</v>
      </c>
      <c r="T722" s="25">
        <v>41164</v>
      </c>
      <c r="U722" s="13"/>
      <c r="V722" s="7"/>
    </row>
    <row r="723" spans="1:22">
      <c r="A723" s="5" t="s">
        <v>899</v>
      </c>
      <c r="B723" s="5" t="str">
        <f>GetAddress(A723)</f>
        <v>\\chno0276\Aseguranza de Calidad\Control de Documentos\Doc. controlados PDF\Control Plans\ITRON\AMSAFE\CP-AMSA-008  4004070-0001.pdf</v>
      </c>
      <c r="C723" s="5" t="str">
        <f>MID(B723,LEN(B723) - FIND(".",REVERSETEXT(B723))+2,1000)</f>
        <v>pdf</v>
      </c>
      <c r="D723" s="6">
        <v>9</v>
      </c>
      <c r="E723" s="7" t="s">
        <v>873</v>
      </c>
      <c r="F723" s="7" t="s">
        <v>256</v>
      </c>
      <c r="G723" s="8" t="s">
        <v>23</v>
      </c>
      <c r="H723" s="8">
        <v>5</v>
      </c>
      <c r="I723" s="8" t="s">
        <v>874</v>
      </c>
      <c r="J723" s="8">
        <v>10</v>
      </c>
      <c r="K723" s="8" t="s">
        <v>875</v>
      </c>
      <c r="L723" s="8">
        <v>7</v>
      </c>
      <c r="M723" s="7" t="s">
        <v>876</v>
      </c>
      <c r="N723" s="7" t="s">
        <v>900</v>
      </c>
      <c r="O723" s="25"/>
      <c r="P723" s="13" t="s">
        <v>27</v>
      </c>
      <c r="Q723" s="13" t="s">
        <v>901</v>
      </c>
      <c r="R723" s="13" t="s">
        <v>879</v>
      </c>
      <c r="S723" s="26" t="s">
        <v>880</v>
      </c>
      <c r="T723" s="25">
        <v>41164</v>
      </c>
      <c r="U723" s="13"/>
      <c r="V723" s="7"/>
    </row>
    <row r="724" spans="1:22">
      <c r="A724" s="5" t="s">
        <v>902</v>
      </c>
      <c r="B724" s="5" t="str">
        <f>GetAddress(A724)</f>
        <v>\\chno0276\Aseguranza de Calidad\Control de Documentos\Doc. controlados PDF\Control Plans\ITRON\AMSAFE\CP-AMSA-009  0004071-0001.pdf</v>
      </c>
      <c r="C724" s="5" t="str">
        <f>MID(B724,LEN(B724) - FIND(".",REVERSETEXT(B724))+2,1000)</f>
        <v>pdf</v>
      </c>
      <c r="D724" s="6">
        <v>9</v>
      </c>
      <c r="E724" s="7" t="s">
        <v>873</v>
      </c>
      <c r="F724" s="7" t="s">
        <v>256</v>
      </c>
      <c r="G724" s="8" t="s">
        <v>23</v>
      </c>
      <c r="H724" s="8">
        <v>5</v>
      </c>
      <c r="I724" s="8" t="s">
        <v>874</v>
      </c>
      <c r="J724" s="8">
        <v>10</v>
      </c>
      <c r="K724" s="8" t="s">
        <v>875</v>
      </c>
      <c r="L724" s="8">
        <v>7</v>
      </c>
      <c r="M724" s="7" t="s">
        <v>876</v>
      </c>
      <c r="N724" s="7" t="s">
        <v>903</v>
      </c>
      <c r="O724" s="25"/>
      <c r="P724" s="13" t="s">
        <v>27</v>
      </c>
      <c r="Q724" s="13" t="s">
        <v>904</v>
      </c>
      <c r="R724" s="13" t="s">
        <v>879</v>
      </c>
      <c r="S724" s="26" t="s">
        <v>880</v>
      </c>
      <c r="T724" s="25">
        <v>41164</v>
      </c>
      <c r="U724" s="13"/>
      <c r="V724" s="7"/>
    </row>
    <row r="725" spans="1:22">
      <c r="A725" s="5" t="s">
        <v>905</v>
      </c>
      <c r="B725" s="5" t="str">
        <f>GetAddress(A725)</f>
        <v>\\chno0276\Aseguranza de Calidad\Control de Documentos\Doc. controlados PDF\Control Plans\ITRON\AMSAFE\CP-AMSA-010  004049-0001.pdf</v>
      </c>
      <c r="C725" s="5" t="str">
        <f>MID(B725,LEN(B725) - FIND(".",REVERSETEXT(B725))+2,1000)</f>
        <v>pdf</v>
      </c>
      <c r="D725" s="6">
        <v>9</v>
      </c>
      <c r="E725" s="7" t="s">
        <v>873</v>
      </c>
      <c r="F725" s="7" t="s">
        <v>256</v>
      </c>
      <c r="G725" s="8" t="s">
        <v>23</v>
      </c>
      <c r="H725" s="8">
        <v>5</v>
      </c>
      <c r="I725" s="8" t="s">
        <v>874</v>
      </c>
      <c r="J725" s="8">
        <v>10</v>
      </c>
      <c r="K725" s="8" t="s">
        <v>875</v>
      </c>
      <c r="L725" s="8">
        <v>7</v>
      </c>
      <c r="M725" s="7" t="s">
        <v>876</v>
      </c>
      <c r="N725" s="7" t="s">
        <v>877</v>
      </c>
      <c r="O725" s="13"/>
      <c r="P725" s="13" t="s">
        <v>27</v>
      </c>
      <c r="Q725" s="7" t="s">
        <v>906</v>
      </c>
      <c r="R725" s="13" t="s">
        <v>879</v>
      </c>
      <c r="S725" s="26" t="s">
        <v>880</v>
      </c>
      <c r="T725" s="25">
        <v>41165</v>
      </c>
      <c r="U725" s="13"/>
      <c r="V725" s="7"/>
    </row>
    <row r="726" spans="1:22">
      <c r="A726" s="5" t="s">
        <v>907</v>
      </c>
      <c r="B726" s="5" t="str">
        <f>GetAddress(A726)</f>
        <v>\\chno0276\Aseguranza de Calidad\Control de Documentos\Doc. controlados PDF\Control Plans\ITRON\AMSAFE\CP-AMSA-011 004041-0001 &amp; 004041-0002.pdf</v>
      </c>
      <c r="C726" s="5" t="str">
        <f>MID(B726,LEN(B726) - FIND(".",REVERSETEXT(B726))+2,1000)</f>
        <v>pdf</v>
      </c>
      <c r="D726" s="6">
        <v>9</v>
      </c>
      <c r="E726" s="7" t="s">
        <v>873</v>
      </c>
      <c r="F726" s="7" t="s">
        <v>256</v>
      </c>
      <c r="G726" s="8" t="s">
        <v>23</v>
      </c>
      <c r="H726" s="8">
        <v>5</v>
      </c>
      <c r="I726" s="8" t="s">
        <v>874</v>
      </c>
      <c r="J726" s="8">
        <v>10</v>
      </c>
      <c r="K726" s="8" t="s">
        <v>875</v>
      </c>
      <c r="L726" s="8">
        <v>7</v>
      </c>
      <c r="M726" s="7" t="s">
        <v>876</v>
      </c>
      <c r="N726" s="7" t="s">
        <v>908</v>
      </c>
      <c r="O726" s="13"/>
      <c r="P726" s="13" t="s">
        <v>27</v>
      </c>
      <c r="Q726" s="7" t="s">
        <v>909</v>
      </c>
      <c r="R726" s="13" t="s">
        <v>879</v>
      </c>
      <c r="S726" s="26" t="s">
        <v>880</v>
      </c>
      <c r="T726" s="25">
        <v>41165</v>
      </c>
      <c r="U726" s="13"/>
      <c r="V726" s="7"/>
    </row>
    <row r="727" spans="1:22">
      <c r="A727" s="5" t="s">
        <v>910</v>
      </c>
      <c r="B727" s="5" t="str">
        <f>GetAddress(A727)</f>
        <v>\\chno0276\Aseguranza de Calidad\Control de Documentos\Doc. controlados PDF\Control Plans\ITRON\AMSAFE\CP-AMSA-012 004002-0001.pdf</v>
      </c>
      <c r="C727" s="5" t="str">
        <f>MID(B727,LEN(B727) - FIND(".",REVERSETEXT(B727))+2,1000)</f>
        <v>pdf</v>
      </c>
      <c r="D727" s="6">
        <v>9</v>
      </c>
      <c r="E727" s="7" t="s">
        <v>873</v>
      </c>
      <c r="F727" s="7" t="s">
        <v>256</v>
      </c>
      <c r="G727" s="8" t="s">
        <v>23</v>
      </c>
      <c r="H727" s="8">
        <v>5</v>
      </c>
      <c r="I727" s="8" t="s">
        <v>874</v>
      </c>
      <c r="J727" s="8">
        <v>10</v>
      </c>
      <c r="K727" s="8" t="s">
        <v>875</v>
      </c>
      <c r="L727" s="8">
        <v>7</v>
      </c>
      <c r="M727" s="7" t="s">
        <v>876</v>
      </c>
      <c r="N727" s="7" t="s">
        <v>911</v>
      </c>
      <c r="O727" s="13"/>
      <c r="P727" s="13" t="s">
        <v>27</v>
      </c>
      <c r="Q727" s="7" t="s">
        <v>912</v>
      </c>
      <c r="R727" s="13" t="s">
        <v>879</v>
      </c>
      <c r="S727" s="26" t="s">
        <v>880</v>
      </c>
      <c r="T727" s="25">
        <v>41165</v>
      </c>
      <c r="U727" s="13"/>
      <c r="V727" s="7"/>
    </row>
    <row r="728" spans="1:22">
      <c r="A728" s="5" t="s">
        <v>913</v>
      </c>
      <c r="B728" s="5" t="str">
        <f>GetAddress(A728)</f>
        <v>\\chno0276\Aseguranza de Calidad\Control de Documentos\Doc. controlados PDF\Control Plans\ITRON\AMSAFE\CP-AMSA-013 004055-0002.pdf</v>
      </c>
      <c r="C728" s="5" t="str">
        <f>MID(B728,LEN(B728) - FIND(".",REVERSETEXT(B728))+2,1000)</f>
        <v>pdf</v>
      </c>
      <c r="D728" s="6">
        <v>9</v>
      </c>
      <c r="E728" s="7" t="s">
        <v>873</v>
      </c>
      <c r="F728" s="7" t="s">
        <v>256</v>
      </c>
      <c r="G728" s="8" t="s">
        <v>23</v>
      </c>
      <c r="H728" s="8">
        <v>5</v>
      </c>
      <c r="I728" s="8" t="s">
        <v>874</v>
      </c>
      <c r="J728" s="8">
        <v>10</v>
      </c>
      <c r="K728" s="8" t="s">
        <v>875</v>
      </c>
      <c r="L728" s="8">
        <v>7</v>
      </c>
      <c r="M728" s="7" t="s">
        <v>876</v>
      </c>
      <c r="N728" s="7" t="s">
        <v>914</v>
      </c>
      <c r="O728" s="13"/>
      <c r="P728" s="13" t="s">
        <v>27</v>
      </c>
      <c r="Q728" s="7" t="s">
        <v>915</v>
      </c>
      <c r="R728" s="13" t="s">
        <v>879</v>
      </c>
      <c r="S728" s="26" t="s">
        <v>880</v>
      </c>
      <c r="T728" s="25">
        <v>41165</v>
      </c>
      <c r="U728" s="13"/>
      <c r="V728" s="7"/>
    </row>
    <row r="729" spans="1:22">
      <c r="A729" s="5" t="s">
        <v>916</v>
      </c>
      <c r="B729" s="5" t="str">
        <f>GetAddress(A729)</f>
        <v>\\chno0276\Aseguranza de Calidad\Control de Documentos\Doc. controlados PDF\Control Plans\ITRON\AMSAFE\CP-AMSA -014 003075-0001.pdf</v>
      </c>
      <c r="C729" s="5" t="str">
        <f>MID(B729,LEN(B729) - FIND(".",REVERSETEXT(B729))+2,1000)</f>
        <v>pdf</v>
      </c>
      <c r="D729" s="6">
        <v>9</v>
      </c>
      <c r="E729" s="7" t="s">
        <v>873</v>
      </c>
      <c r="F729" s="7" t="s">
        <v>256</v>
      </c>
      <c r="G729" s="8" t="s">
        <v>23</v>
      </c>
      <c r="H729" s="8">
        <v>5</v>
      </c>
      <c r="I729" s="8" t="s">
        <v>874</v>
      </c>
      <c r="J729" s="8">
        <v>10</v>
      </c>
      <c r="K729" s="8" t="s">
        <v>875</v>
      </c>
      <c r="L729" s="8">
        <v>7</v>
      </c>
      <c r="M729" s="7" t="s">
        <v>876</v>
      </c>
      <c r="N729" s="7" t="s">
        <v>917</v>
      </c>
      <c r="O729" s="13"/>
      <c r="P729" s="13" t="s">
        <v>27</v>
      </c>
      <c r="Q729" s="7" t="s">
        <v>918</v>
      </c>
      <c r="R729" s="13" t="s">
        <v>879</v>
      </c>
      <c r="S729" s="26" t="s">
        <v>880</v>
      </c>
      <c r="T729" s="25">
        <v>41165</v>
      </c>
      <c r="U729" s="13"/>
      <c r="V729" s="7"/>
    </row>
    <row r="730" spans="1:22">
      <c r="A730" s="5" t="s">
        <v>919</v>
      </c>
      <c r="B730" s="20" t="e">
        <f>GetAddress(A730)</f>
        <v>#VALUE!</v>
      </c>
      <c r="C730" s="20" t="e">
        <f>MID(B730,LEN(B730) - FIND(".",REVERSETEXT(B730))+2,1000)</f>
        <v>#VALUE!</v>
      </c>
      <c r="D730" s="6">
        <v>9</v>
      </c>
      <c r="E730" s="7" t="s">
        <v>873</v>
      </c>
      <c r="F730" s="7" t="s">
        <v>256</v>
      </c>
      <c r="G730" s="8" t="s">
        <v>23</v>
      </c>
      <c r="H730" s="8">
        <v>5</v>
      </c>
      <c r="I730" s="8" t="s">
        <v>874</v>
      </c>
      <c r="J730" s="8">
        <v>10</v>
      </c>
      <c r="K730" s="8" t="s">
        <v>875</v>
      </c>
      <c r="L730" s="8">
        <v>7</v>
      </c>
      <c r="M730" s="7" t="s">
        <v>876</v>
      </c>
      <c r="N730" s="7" t="s">
        <v>891</v>
      </c>
      <c r="O730" s="13"/>
      <c r="P730" s="13" t="s">
        <v>27</v>
      </c>
      <c r="Q730" s="7" t="s">
        <v>920</v>
      </c>
      <c r="R730" s="13" t="s">
        <v>879</v>
      </c>
      <c r="S730" s="26" t="s">
        <v>880</v>
      </c>
      <c r="T730" s="25">
        <v>41165</v>
      </c>
      <c r="U730" s="13"/>
      <c r="V730" s="7"/>
    </row>
    <row r="731" spans="1:22">
      <c r="A731" s="5" t="s">
        <v>921</v>
      </c>
      <c r="B731" s="20" t="e">
        <f>GetAddress(A731)</f>
        <v>#VALUE!</v>
      </c>
      <c r="C731" s="20" t="e">
        <f>MID(B731,LEN(B731) - FIND(".",REVERSETEXT(B731))+2,1000)</f>
        <v>#VALUE!</v>
      </c>
      <c r="D731" s="6">
        <v>9</v>
      </c>
      <c r="E731" s="7" t="s">
        <v>873</v>
      </c>
      <c r="F731" s="7" t="s">
        <v>256</v>
      </c>
      <c r="G731" s="8" t="s">
        <v>23</v>
      </c>
      <c r="H731" s="8">
        <v>5</v>
      </c>
      <c r="I731" s="8" t="s">
        <v>874</v>
      </c>
      <c r="J731" s="8">
        <v>10</v>
      </c>
      <c r="K731" s="8" t="s">
        <v>875</v>
      </c>
      <c r="L731" s="8">
        <v>7</v>
      </c>
      <c r="M731" s="7" t="s">
        <v>876</v>
      </c>
      <c r="N731" s="7" t="s">
        <v>911</v>
      </c>
      <c r="O731" s="13"/>
      <c r="P731" s="13" t="s">
        <v>27</v>
      </c>
      <c r="Q731" s="7" t="s">
        <v>922</v>
      </c>
      <c r="R731" s="13" t="s">
        <v>879</v>
      </c>
      <c r="S731" s="26" t="s">
        <v>880</v>
      </c>
      <c r="T731" s="25">
        <v>41165</v>
      </c>
      <c r="U731" s="13"/>
      <c r="V731" s="7"/>
    </row>
    <row r="732" spans="1:22">
      <c r="A732" s="5" t="s">
        <v>923</v>
      </c>
      <c r="B732" s="20" t="e">
        <f>GetAddress(A732)</f>
        <v>#VALUE!</v>
      </c>
      <c r="C732" s="20" t="e">
        <f>MID(B732,LEN(B732) - FIND(".",REVERSETEXT(B732))+2,1000)</f>
        <v>#VALUE!</v>
      </c>
      <c r="D732" s="6">
        <v>9</v>
      </c>
      <c r="E732" s="7" t="s">
        <v>873</v>
      </c>
      <c r="F732" s="7" t="s">
        <v>256</v>
      </c>
      <c r="G732" s="8" t="s">
        <v>23</v>
      </c>
      <c r="H732" s="8">
        <v>5</v>
      </c>
      <c r="I732" s="8" t="s">
        <v>874</v>
      </c>
      <c r="J732" s="8">
        <v>10</v>
      </c>
      <c r="K732" s="8" t="s">
        <v>875</v>
      </c>
      <c r="L732" s="8">
        <v>7</v>
      </c>
      <c r="M732" s="7" t="s">
        <v>876</v>
      </c>
      <c r="N732" s="7" t="s">
        <v>924</v>
      </c>
      <c r="O732" s="13"/>
      <c r="P732" s="13" t="s">
        <v>27</v>
      </c>
      <c r="Q732" s="7" t="s">
        <v>925</v>
      </c>
      <c r="R732" s="13" t="s">
        <v>879</v>
      </c>
      <c r="S732" s="26" t="s">
        <v>880</v>
      </c>
      <c r="T732" s="25">
        <v>41165</v>
      </c>
      <c r="U732" s="13"/>
      <c r="V732" s="7"/>
    </row>
    <row r="733" spans="1:22">
      <c r="A733" s="5" t="s">
        <v>926</v>
      </c>
      <c r="B733" s="5" t="str">
        <f>GetAddress(A733)</f>
        <v>\\chno0276\Aseguranza de Calidad\Control de Documentos\Doc. controlados PDF\Control Plans\ITRON\AMSAFE\CP-AMSA-018  004062-0001.pdf</v>
      </c>
      <c r="C733" s="5" t="str">
        <f>MID(B733,LEN(B733) - FIND(".",REVERSETEXT(B733))+2,1000)</f>
        <v>pdf</v>
      </c>
      <c r="D733" s="6">
        <v>9</v>
      </c>
      <c r="E733" s="7" t="s">
        <v>873</v>
      </c>
      <c r="F733" s="7" t="s">
        <v>256</v>
      </c>
      <c r="G733" s="8" t="s">
        <v>23</v>
      </c>
      <c r="H733" s="8">
        <v>5</v>
      </c>
      <c r="I733" s="8" t="s">
        <v>874</v>
      </c>
      <c r="J733" s="8">
        <v>10</v>
      </c>
      <c r="K733" s="8" t="s">
        <v>875</v>
      </c>
      <c r="L733" s="8">
        <v>7</v>
      </c>
      <c r="M733" s="7" t="s">
        <v>876</v>
      </c>
      <c r="N733" s="7" t="s">
        <v>911</v>
      </c>
      <c r="O733" s="13"/>
      <c r="P733" s="13" t="s">
        <v>27</v>
      </c>
      <c r="Q733" s="7" t="s">
        <v>927</v>
      </c>
      <c r="R733" s="13" t="s">
        <v>879</v>
      </c>
      <c r="S733" s="26" t="s">
        <v>880</v>
      </c>
      <c r="T733" s="25">
        <v>41165</v>
      </c>
      <c r="U733" s="13"/>
      <c r="V733" s="7"/>
    </row>
    <row r="734" spans="1:22" ht="242.25">
      <c r="A734" s="5" t="s">
        <v>928</v>
      </c>
      <c r="B734" s="5" t="str">
        <f>GetAddress(A734)</f>
        <v>\\chno0276\Aseguranza de Calidad\Control de Documentos\Doc. controlados PDF\Control Plans\ITRON\AMSAFE\CP-AMSA-019  3084 3085 3086 3087 3088 3093 3095 4000 4001.pdf</v>
      </c>
      <c r="C734" s="5" t="str">
        <f>MID(B734,LEN(B734) - FIND(".",REVERSETEXT(B734))+2,1000)</f>
        <v>pdf</v>
      </c>
      <c r="D734" s="6">
        <v>9</v>
      </c>
      <c r="E734" s="7" t="s">
        <v>873</v>
      </c>
      <c r="F734" s="7" t="s">
        <v>256</v>
      </c>
      <c r="G734" s="8" t="s">
        <v>23</v>
      </c>
      <c r="H734" s="8">
        <v>5</v>
      </c>
      <c r="I734" s="8" t="s">
        <v>874</v>
      </c>
      <c r="J734" s="8">
        <v>10</v>
      </c>
      <c r="K734" s="8" t="s">
        <v>875</v>
      </c>
      <c r="L734" s="8">
        <v>7</v>
      </c>
      <c r="M734" s="7" t="s">
        <v>876</v>
      </c>
      <c r="N734" s="7" t="s">
        <v>882</v>
      </c>
      <c r="O734" s="13"/>
      <c r="P734" s="13" t="s">
        <v>27</v>
      </c>
      <c r="Q734" s="13" t="s">
        <v>929</v>
      </c>
      <c r="R734" s="13" t="s">
        <v>879</v>
      </c>
      <c r="S734" s="26" t="s">
        <v>880</v>
      </c>
      <c r="T734" s="25">
        <v>41172</v>
      </c>
      <c r="U734" s="13"/>
      <c r="V734" s="7"/>
    </row>
    <row r="735" spans="1:22" ht="63.75">
      <c r="A735" s="5" t="s">
        <v>966</v>
      </c>
      <c r="B735" s="5" t="str">
        <f>GetAddress(A735)</f>
        <v>\\chno0276\Aseguranza de Calidad\Control de Documentos\Doc. controlados PDF\Control Plans\ITRON\BONDING\CP-BOND-001  000100-0113M, 000100-0179, 000102-TAB, 000103-TAB, 000104-TAB &amp; 000105-TAB..pdf</v>
      </c>
      <c r="C735" s="5" t="str">
        <f>MID(B735,LEN(B735) - FIND(".",REVERSETEXT(B735))+2,1000)</f>
        <v>pdf</v>
      </c>
      <c r="D735" s="6">
        <v>9</v>
      </c>
      <c r="E735" s="7" t="s">
        <v>873</v>
      </c>
      <c r="F735" s="7" t="s">
        <v>256</v>
      </c>
      <c r="G735" s="8" t="s">
        <v>23</v>
      </c>
      <c r="H735" s="8">
        <v>5</v>
      </c>
      <c r="I735" s="8" t="s">
        <v>874</v>
      </c>
      <c r="J735" s="8">
        <v>10</v>
      </c>
      <c r="K735" s="8" t="s">
        <v>967</v>
      </c>
      <c r="L735" s="8">
        <v>10</v>
      </c>
      <c r="M735" s="7" t="s">
        <v>968</v>
      </c>
      <c r="N735" s="7" t="s">
        <v>969</v>
      </c>
      <c r="O735" s="25"/>
      <c r="P735" s="13" t="s">
        <v>27</v>
      </c>
      <c r="Q735" s="13" t="s">
        <v>970</v>
      </c>
      <c r="R735" s="13" t="s">
        <v>879</v>
      </c>
      <c r="S735" s="26" t="s">
        <v>880</v>
      </c>
      <c r="T735" s="25">
        <v>41141</v>
      </c>
      <c r="U735" s="13"/>
      <c r="V735" s="7"/>
    </row>
    <row r="736" spans="1:22" ht="25.5">
      <c r="A736" s="5" t="s">
        <v>971</v>
      </c>
      <c r="B736" s="5" t="str">
        <f>GetAddress(A736)</f>
        <v>\\chno0276\Aseguranza de Calidad\Control de Documentos\Doc. controlados PDF\Control Plans\ITRON\BONDING\CP-BOND-002  002359-TAB 002360-TAB  002361-TAB.pdf</v>
      </c>
      <c r="C736" s="5" t="str">
        <f>MID(B736,LEN(B736) - FIND(".",REVERSETEXT(B736))+2,1000)</f>
        <v>pdf</v>
      </c>
      <c r="D736" s="6">
        <v>9</v>
      </c>
      <c r="E736" s="7" t="s">
        <v>873</v>
      </c>
      <c r="F736" s="7" t="s">
        <v>256</v>
      </c>
      <c r="G736" s="8" t="s">
        <v>23</v>
      </c>
      <c r="H736" s="8">
        <v>5</v>
      </c>
      <c r="I736" s="8" t="s">
        <v>874</v>
      </c>
      <c r="J736" s="8">
        <v>10</v>
      </c>
      <c r="K736" s="8" t="s">
        <v>967</v>
      </c>
      <c r="L736" s="8">
        <v>10</v>
      </c>
      <c r="M736" s="7" t="s">
        <v>968</v>
      </c>
      <c r="N736" s="7" t="s">
        <v>972</v>
      </c>
      <c r="O736" s="9"/>
      <c r="P736" s="7" t="s">
        <v>27</v>
      </c>
      <c r="Q736" s="13" t="s">
        <v>973</v>
      </c>
      <c r="R736" s="13" t="s">
        <v>879</v>
      </c>
      <c r="S736" s="26" t="s">
        <v>880</v>
      </c>
      <c r="T736" s="9">
        <v>41149</v>
      </c>
      <c r="U736" s="13"/>
      <c r="V736" s="7"/>
    </row>
    <row r="737" spans="1:22" ht="25.5">
      <c r="A737" s="5" t="s">
        <v>974</v>
      </c>
      <c r="B737" s="5" t="str">
        <f>GetAddress(A737)</f>
        <v>\\chno0276\Aseguranza de Calidad\Control de Documentos\Doc. controlados PDF\Control Plans\ITRON\BONDING\CP-BOND-003  Conector BACC65 TODOS.pdf</v>
      </c>
      <c r="C737" s="5" t="str">
        <f>MID(B737,LEN(B737) - FIND(".",REVERSETEXT(B737))+2,1000)</f>
        <v>pdf</v>
      </c>
      <c r="D737" s="6">
        <v>9</v>
      </c>
      <c r="E737" s="7" t="s">
        <v>873</v>
      </c>
      <c r="F737" s="7" t="s">
        <v>256</v>
      </c>
      <c r="G737" s="8" t="s">
        <v>23</v>
      </c>
      <c r="H737" s="8">
        <v>5</v>
      </c>
      <c r="I737" s="8" t="s">
        <v>874</v>
      </c>
      <c r="J737" s="8">
        <v>10</v>
      </c>
      <c r="K737" s="8" t="s">
        <v>967</v>
      </c>
      <c r="L737" s="8">
        <v>10</v>
      </c>
      <c r="M737" s="7" t="s">
        <v>968</v>
      </c>
      <c r="N737" s="7" t="s">
        <v>975</v>
      </c>
      <c r="O737" s="25"/>
      <c r="P737" s="13" t="s">
        <v>27</v>
      </c>
      <c r="Q737" s="13" t="s">
        <v>976</v>
      </c>
      <c r="R737" s="13" t="s">
        <v>879</v>
      </c>
      <c r="S737" s="26" t="s">
        <v>880</v>
      </c>
      <c r="T737" s="25">
        <v>41180</v>
      </c>
      <c r="U737" s="13"/>
      <c r="V737" s="7"/>
    </row>
    <row r="738" spans="1:22" ht="25.5">
      <c r="A738" s="5" t="s">
        <v>977</v>
      </c>
      <c r="B738" s="5" t="str">
        <f>GetAddress(A738)</f>
        <v>\\chno0276\Aseguranza de Calidad\Control de Documentos\Doc. controlados PDF\Control Plans\ITRON\BONDING\CP-BOND-004  002359-TAB, 002360-TAB &amp; 002361-TAB..pdf</v>
      </c>
      <c r="C738" s="5" t="str">
        <f>MID(B738,LEN(B738) - FIND(".",REVERSETEXT(B738))+2,1000)</f>
        <v>pdf</v>
      </c>
      <c r="D738" s="6">
        <v>9</v>
      </c>
      <c r="E738" s="7" t="s">
        <v>873</v>
      </c>
      <c r="F738" s="7" t="s">
        <v>256</v>
      </c>
      <c r="G738" s="8" t="s">
        <v>23</v>
      </c>
      <c r="H738" s="8">
        <v>5</v>
      </c>
      <c r="I738" s="8" t="s">
        <v>874</v>
      </c>
      <c r="J738" s="8">
        <v>10</v>
      </c>
      <c r="K738" s="8" t="s">
        <v>967</v>
      </c>
      <c r="L738" s="8">
        <v>10</v>
      </c>
      <c r="M738" s="7" t="s">
        <v>968</v>
      </c>
      <c r="N738" s="7" t="s">
        <v>972</v>
      </c>
      <c r="O738" s="25"/>
      <c r="P738" s="13" t="s">
        <v>27</v>
      </c>
      <c r="Q738" s="13" t="s">
        <v>973</v>
      </c>
      <c r="R738" s="13" t="s">
        <v>879</v>
      </c>
      <c r="S738" s="26" t="s">
        <v>880</v>
      </c>
      <c r="T738" s="25">
        <v>41206</v>
      </c>
      <c r="U738" s="13"/>
      <c r="V738" s="7"/>
    </row>
    <row r="739" spans="1:22">
      <c r="A739" s="5" t="s">
        <v>978</v>
      </c>
      <c r="B739" s="20" t="e">
        <f>GetAddress(A739)</f>
        <v>#VALUE!</v>
      </c>
      <c r="C739" s="20" t="e">
        <f>MID(B739,LEN(B739) - FIND(".",REVERSETEXT(B739))+2,1000)</f>
        <v>#VALUE!</v>
      </c>
      <c r="D739" s="6">
        <v>9</v>
      </c>
      <c r="E739" s="7" t="s">
        <v>873</v>
      </c>
      <c r="F739" s="7" t="s">
        <v>256</v>
      </c>
      <c r="G739" s="8" t="s">
        <v>23</v>
      </c>
      <c r="H739" s="8">
        <v>5</v>
      </c>
      <c r="I739" s="8" t="s">
        <v>874</v>
      </c>
      <c r="J739" s="8">
        <v>10</v>
      </c>
      <c r="K739" s="8" t="s">
        <v>967</v>
      </c>
      <c r="L739" s="8">
        <v>10</v>
      </c>
      <c r="M739" s="7" t="s">
        <v>968</v>
      </c>
      <c r="N739" s="7" t="s">
        <v>969</v>
      </c>
      <c r="O739" s="25"/>
      <c r="P739" s="13" t="s">
        <v>27</v>
      </c>
      <c r="Q739" s="7" t="s">
        <v>979</v>
      </c>
      <c r="R739" s="13" t="s">
        <v>879</v>
      </c>
      <c r="S739" s="26" t="s">
        <v>880</v>
      </c>
      <c r="T739" s="25">
        <v>41206</v>
      </c>
      <c r="U739" s="13"/>
      <c r="V739" s="7"/>
    </row>
    <row r="740" spans="1:22" ht="76.5">
      <c r="A740" s="5" t="s">
        <v>980</v>
      </c>
      <c r="B740" s="20" t="e">
        <f>GetAddress(A740)</f>
        <v>#VALUE!</v>
      </c>
      <c r="C740" s="20" t="e">
        <f>MID(B740,LEN(B740) - FIND(".",REVERSETEXT(B740))+2,1000)</f>
        <v>#VALUE!</v>
      </c>
      <c r="D740" s="6">
        <v>9</v>
      </c>
      <c r="E740" s="7" t="s">
        <v>873</v>
      </c>
      <c r="F740" s="7" t="s">
        <v>256</v>
      </c>
      <c r="G740" s="8" t="s">
        <v>23</v>
      </c>
      <c r="H740" s="8">
        <v>5</v>
      </c>
      <c r="I740" s="8" t="s">
        <v>874</v>
      </c>
      <c r="J740" s="8">
        <v>10</v>
      </c>
      <c r="K740" s="8" t="s">
        <v>967</v>
      </c>
      <c r="L740" s="8">
        <v>10</v>
      </c>
      <c r="M740" s="7" t="s">
        <v>968</v>
      </c>
      <c r="N740" s="7" t="s">
        <v>981</v>
      </c>
      <c r="O740" s="25"/>
      <c r="P740" s="13" t="s">
        <v>27</v>
      </c>
      <c r="Q740" s="13" t="s">
        <v>982</v>
      </c>
      <c r="R740" s="13" t="s">
        <v>879</v>
      </c>
      <c r="S740" s="26" t="s">
        <v>880</v>
      </c>
      <c r="T740" s="25">
        <v>41206</v>
      </c>
      <c r="U740" s="13"/>
      <c r="V740" s="7"/>
    </row>
    <row r="741" spans="1:22" ht="19.5" customHeight="1">
      <c r="A741" s="5" t="s">
        <v>983</v>
      </c>
      <c r="B741" s="5" t="str">
        <f>GetAddress(A741)</f>
        <v>\\chno0276\Aseguranza de Calidad\Control de Documentos\Doc. controlados PDF\Control Plans\ITRON\BONDING\CP-BOND-007   002367-0121.pdf</v>
      </c>
      <c r="C741" s="5" t="str">
        <f>MID(B741,LEN(B741) - FIND(".",REVERSETEXT(B741))+2,1000)</f>
        <v>pdf</v>
      </c>
      <c r="D741" s="6">
        <v>9</v>
      </c>
      <c r="E741" s="7" t="s">
        <v>873</v>
      </c>
      <c r="F741" s="7" t="s">
        <v>256</v>
      </c>
      <c r="G741" s="8" t="s">
        <v>23</v>
      </c>
      <c r="H741" s="8">
        <v>5</v>
      </c>
      <c r="I741" s="8" t="s">
        <v>874</v>
      </c>
      <c r="J741" s="8">
        <v>10</v>
      </c>
      <c r="K741" s="8" t="s">
        <v>967</v>
      </c>
      <c r="L741" s="8">
        <v>10</v>
      </c>
      <c r="M741" s="7" t="s">
        <v>968</v>
      </c>
      <c r="N741" s="7" t="s">
        <v>984</v>
      </c>
      <c r="O741" s="25"/>
      <c r="P741" s="13" t="s">
        <v>27</v>
      </c>
      <c r="Q741" s="7" t="s">
        <v>985</v>
      </c>
      <c r="R741" s="13" t="s">
        <v>879</v>
      </c>
      <c r="S741" s="26" t="s">
        <v>880</v>
      </c>
      <c r="T741" s="25">
        <v>41206</v>
      </c>
      <c r="U741" s="13"/>
      <c r="V741" s="7"/>
    </row>
    <row r="742" spans="1:22" ht="51">
      <c r="A742" s="5" t="s">
        <v>986</v>
      </c>
      <c r="B742" s="20" t="e">
        <f>GetAddress(A742)</f>
        <v>#VALUE!</v>
      </c>
      <c r="C742" s="20" t="e">
        <f>MID(B742,LEN(B742) - FIND(".",REVERSETEXT(B742))+2,1000)</f>
        <v>#VALUE!</v>
      </c>
      <c r="D742" s="6">
        <v>9</v>
      </c>
      <c r="E742" s="7" t="s">
        <v>873</v>
      </c>
      <c r="F742" s="7" t="s">
        <v>256</v>
      </c>
      <c r="G742" s="8" t="s">
        <v>23</v>
      </c>
      <c r="H742" s="8">
        <v>5</v>
      </c>
      <c r="I742" s="8" t="s">
        <v>874</v>
      </c>
      <c r="J742" s="8">
        <v>10</v>
      </c>
      <c r="K742" s="8" t="s">
        <v>967</v>
      </c>
      <c r="L742" s="8">
        <v>10</v>
      </c>
      <c r="M742" s="7" t="s">
        <v>968</v>
      </c>
      <c r="N742" s="7" t="s">
        <v>987</v>
      </c>
      <c r="O742" s="25"/>
      <c r="P742" s="13" t="s">
        <v>27</v>
      </c>
      <c r="Q742" s="13" t="s">
        <v>988</v>
      </c>
      <c r="R742" s="13" t="s">
        <v>879</v>
      </c>
      <c r="S742" s="26" t="s">
        <v>880</v>
      </c>
      <c r="T742" s="25">
        <v>41206</v>
      </c>
      <c r="U742" s="13"/>
      <c r="V742" s="7"/>
    </row>
    <row r="743" spans="1:22">
      <c r="A743" s="5" t="s">
        <v>989</v>
      </c>
      <c r="B743" s="5" t="str">
        <f>GetAddress(A743)</f>
        <v>\\chno0276\Aseguranza de Calidad\Control de Documentos\Doc. controlados PDF\Control Plans\ITRON\BONDING\CP-BOND-009  02368-0211A.pdf</v>
      </c>
      <c r="C743" s="5" t="str">
        <f>MID(B743,LEN(B743) - FIND(".",REVERSETEXT(B743))+2,1000)</f>
        <v>pdf</v>
      </c>
      <c r="D743" s="6">
        <v>9</v>
      </c>
      <c r="E743" s="7" t="s">
        <v>873</v>
      </c>
      <c r="F743" s="7" t="s">
        <v>256</v>
      </c>
      <c r="G743" s="8" t="s">
        <v>23</v>
      </c>
      <c r="H743" s="8">
        <v>5</v>
      </c>
      <c r="I743" s="8" t="s">
        <v>874</v>
      </c>
      <c r="J743" s="8">
        <v>10</v>
      </c>
      <c r="K743" s="8" t="s">
        <v>967</v>
      </c>
      <c r="L743" s="8">
        <v>10</v>
      </c>
      <c r="M743" s="7" t="s">
        <v>968</v>
      </c>
      <c r="N743" s="7" t="s">
        <v>990</v>
      </c>
      <c r="O743" s="25"/>
      <c r="P743" s="13" t="s">
        <v>27</v>
      </c>
      <c r="Q743" s="7" t="s">
        <v>991</v>
      </c>
      <c r="R743" s="13" t="s">
        <v>879</v>
      </c>
      <c r="S743" s="26" t="s">
        <v>880</v>
      </c>
      <c r="T743" s="25">
        <v>41206</v>
      </c>
      <c r="U743" s="13"/>
      <c r="V743" s="7"/>
    </row>
    <row r="744" spans="1:22">
      <c r="A744" s="5" t="s">
        <v>992</v>
      </c>
      <c r="B744" s="5" t="str">
        <f>GetAddress(A744)</f>
        <v>\\chno0276\Aseguranza de Calidad\Control de Documentos\Doc. controlados PDF\Control Plans\ITRON\BONDING\CP-BOND-010   002368-0221.pdf</v>
      </c>
      <c r="C744" s="5" t="str">
        <f>MID(B744,LEN(B744) - FIND(".",REVERSETEXT(B744))+2,1000)</f>
        <v>pdf</v>
      </c>
      <c r="D744" s="6">
        <v>9</v>
      </c>
      <c r="E744" s="7" t="s">
        <v>873</v>
      </c>
      <c r="F744" s="7" t="s">
        <v>256</v>
      </c>
      <c r="G744" s="8" t="s">
        <v>23</v>
      </c>
      <c r="H744" s="8">
        <v>5</v>
      </c>
      <c r="I744" s="8" t="s">
        <v>874</v>
      </c>
      <c r="J744" s="8">
        <v>10</v>
      </c>
      <c r="K744" s="8" t="s">
        <v>967</v>
      </c>
      <c r="L744" s="8">
        <v>10</v>
      </c>
      <c r="M744" s="7" t="s">
        <v>968</v>
      </c>
      <c r="N744" s="7" t="s">
        <v>993</v>
      </c>
      <c r="O744" s="25"/>
      <c r="P744" s="13" t="s">
        <v>27</v>
      </c>
      <c r="Q744" s="7" t="s">
        <v>994</v>
      </c>
      <c r="R744" s="13" t="s">
        <v>879</v>
      </c>
      <c r="S744" s="26" t="s">
        <v>880</v>
      </c>
      <c r="T744" s="25">
        <v>41206</v>
      </c>
      <c r="U744" s="13"/>
      <c r="V744" s="7"/>
    </row>
    <row r="745" spans="1:22">
      <c r="A745" s="5" t="s">
        <v>995</v>
      </c>
      <c r="B745" s="5" t="str">
        <f>GetAddress(A745)</f>
        <v>\\chno0276\Aseguranza de Calidad\Control de Documentos\Doc. controlados PDF\Control Plans\ITRON\BONDING\CP-BOND-011   002368-0221A.pdf</v>
      </c>
      <c r="C745" s="5" t="str">
        <f>MID(B745,LEN(B745) - FIND(".",REVERSETEXT(B745))+2,1000)</f>
        <v>pdf</v>
      </c>
      <c r="D745" s="6">
        <v>9</v>
      </c>
      <c r="E745" s="7" t="s">
        <v>873</v>
      </c>
      <c r="F745" s="7" t="s">
        <v>256</v>
      </c>
      <c r="G745" s="8" t="s">
        <v>23</v>
      </c>
      <c r="H745" s="8">
        <v>5</v>
      </c>
      <c r="I745" s="8" t="s">
        <v>874</v>
      </c>
      <c r="J745" s="8">
        <v>10</v>
      </c>
      <c r="K745" s="8" t="s">
        <v>967</v>
      </c>
      <c r="L745" s="8">
        <v>10</v>
      </c>
      <c r="M745" s="7" t="s">
        <v>968</v>
      </c>
      <c r="N745" s="7" t="s">
        <v>996</v>
      </c>
      <c r="O745" s="25"/>
      <c r="P745" s="13" t="s">
        <v>27</v>
      </c>
      <c r="Q745" s="7" t="s">
        <v>997</v>
      </c>
      <c r="R745" s="13" t="s">
        <v>879</v>
      </c>
      <c r="S745" s="26" t="s">
        <v>880</v>
      </c>
      <c r="T745" s="25">
        <v>41206</v>
      </c>
      <c r="U745" s="13"/>
      <c r="V745" s="7"/>
    </row>
    <row r="746" spans="1:22">
      <c r="A746" s="5" t="s">
        <v>998</v>
      </c>
      <c r="B746" s="5" t="str">
        <f>GetAddress(A746)</f>
        <v>\\chno0276\Aseguranza de Calidad\Control de Documentos\Doc. controlados PDF\Control Plans\ITRON\BONDING\CP-BOND-012   002368-0802.pdf</v>
      </c>
      <c r="C746" s="5" t="str">
        <f>MID(B746,LEN(B746) - FIND(".",REVERSETEXT(B746))+2,1000)</f>
        <v>pdf</v>
      </c>
      <c r="D746" s="6">
        <v>9</v>
      </c>
      <c r="E746" s="7" t="s">
        <v>873</v>
      </c>
      <c r="F746" s="7" t="s">
        <v>256</v>
      </c>
      <c r="G746" s="8" t="s">
        <v>23</v>
      </c>
      <c r="H746" s="8">
        <v>5</v>
      </c>
      <c r="I746" s="8" t="s">
        <v>874</v>
      </c>
      <c r="J746" s="8">
        <v>10</v>
      </c>
      <c r="K746" s="8" t="s">
        <v>967</v>
      </c>
      <c r="L746" s="8">
        <v>10</v>
      </c>
      <c r="M746" s="7" t="s">
        <v>968</v>
      </c>
      <c r="N746" s="7" t="s">
        <v>999</v>
      </c>
      <c r="O746" s="25"/>
      <c r="P746" s="13" t="s">
        <v>27</v>
      </c>
      <c r="Q746" s="7" t="s">
        <v>1000</v>
      </c>
      <c r="R746" s="13" t="s">
        <v>879</v>
      </c>
      <c r="S746" s="26" t="s">
        <v>880</v>
      </c>
      <c r="T746" s="25">
        <v>41206</v>
      </c>
      <c r="U746" s="13"/>
      <c r="V746" s="7"/>
    </row>
    <row r="747" spans="1:22">
      <c r="A747" s="5" t="s">
        <v>1001</v>
      </c>
      <c r="B747" s="5" t="str">
        <f>GetAddress(A747)</f>
        <v>\\chno0276\Aseguranza de Calidad\Control de Documentos\Doc. controlados PDF\Control Plans\ITRON\BONDING\CP-BOND-013   002369-0001.pdf</v>
      </c>
      <c r="C747" s="5" t="str">
        <f>MID(B747,LEN(B747) - FIND(".",REVERSETEXT(B747))+2,1000)</f>
        <v>pdf</v>
      </c>
      <c r="D747" s="6">
        <v>9</v>
      </c>
      <c r="E747" s="7" t="s">
        <v>873</v>
      </c>
      <c r="F747" s="7" t="s">
        <v>256</v>
      </c>
      <c r="G747" s="8" t="s">
        <v>23</v>
      </c>
      <c r="H747" s="8">
        <v>5</v>
      </c>
      <c r="I747" s="8" t="s">
        <v>874</v>
      </c>
      <c r="J747" s="8">
        <v>10</v>
      </c>
      <c r="K747" s="8" t="s">
        <v>967</v>
      </c>
      <c r="L747" s="8">
        <v>10</v>
      </c>
      <c r="M747" s="7" t="s">
        <v>968</v>
      </c>
      <c r="N747" s="7" t="s">
        <v>1002</v>
      </c>
      <c r="O747" s="25"/>
      <c r="P747" s="13" t="s">
        <v>27</v>
      </c>
      <c r="Q747" s="7" t="s">
        <v>1003</v>
      </c>
      <c r="R747" s="13" t="s">
        <v>879</v>
      </c>
      <c r="S747" s="26" t="s">
        <v>880</v>
      </c>
      <c r="T747" s="25">
        <v>41207</v>
      </c>
      <c r="U747" s="13"/>
      <c r="V747" s="7"/>
    </row>
    <row r="748" spans="1:22">
      <c r="A748" s="5" t="s">
        <v>1004</v>
      </c>
      <c r="B748" s="5" t="str">
        <f>GetAddress(A748)</f>
        <v>\\chno0276\Aseguranza de Calidad\Control de Documentos\Doc. controlados PDF\Control Plans\ITRON\BONDING\CP-BOND-014   002371-0002 &amp; 002371-0004.pdf</v>
      </c>
      <c r="C748" s="5" t="str">
        <f>MID(B748,LEN(B748) - FIND(".",REVERSETEXT(B748))+2,1000)</f>
        <v>pdf</v>
      </c>
      <c r="D748" s="6">
        <v>9</v>
      </c>
      <c r="E748" s="7" t="s">
        <v>873</v>
      </c>
      <c r="F748" s="7" t="s">
        <v>256</v>
      </c>
      <c r="G748" s="8" t="s">
        <v>23</v>
      </c>
      <c r="H748" s="8">
        <v>5</v>
      </c>
      <c r="I748" s="8" t="s">
        <v>874</v>
      </c>
      <c r="J748" s="8">
        <v>10</v>
      </c>
      <c r="K748" s="8" t="s">
        <v>967</v>
      </c>
      <c r="L748" s="8">
        <v>10</v>
      </c>
      <c r="M748" s="7" t="s">
        <v>968</v>
      </c>
      <c r="N748" s="7" t="s">
        <v>1005</v>
      </c>
      <c r="O748" s="25"/>
      <c r="P748" s="13" t="s">
        <v>27</v>
      </c>
      <c r="Q748" s="7" t="s">
        <v>1006</v>
      </c>
      <c r="R748" s="13" t="s">
        <v>879</v>
      </c>
      <c r="S748" s="26" t="s">
        <v>880</v>
      </c>
      <c r="T748" s="25">
        <v>41207</v>
      </c>
      <c r="U748" s="13"/>
      <c r="V748" s="7"/>
    </row>
    <row r="749" spans="1:22">
      <c r="A749" s="5" t="s">
        <v>1007</v>
      </c>
      <c r="B749" s="5" t="str">
        <f>GetAddress(A749)</f>
        <v>\\chno0276\Aseguranza de Calidad\Control de Documentos\Doc. controlados PDF\Control Plans\ITRON\BONDING\CP-BOND-015   002371-0003.pdf</v>
      </c>
      <c r="C749" s="5" t="str">
        <f>MID(B749,LEN(B749) - FIND(".",REVERSETEXT(B749))+2,1000)</f>
        <v>pdf</v>
      </c>
      <c r="D749" s="6">
        <v>9</v>
      </c>
      <c r="E749" s="7" t="s">
        <v>873</v>
      </c>
      <c r="F749" s="7" t="s">
        <v>256</v>
      </c>
      <c r="G749" s="8" t="s">
        <v>23</v>
      </c>
      <c r="H749" s="8">
        <v>5</v>
      </c>
      <c r="I749" s="8" t="s">
        <v>874</v>
      </c>
      <c r="J749" s="8">
        <v>10</v>
      </c>
      <c r="K749" s="8" t="s">
        <v>967</v>
      </c>
      <c r="L749" s="8">
        <v>10</v>
      </c>
      <c r="M749" s="7" t="s">
        <v>968</v>
      </c>
      <c r="N749" s="7" t="s">
        <v>1005</v>
      </c>
      <c r="O749" s="25"/>
      <c r="P749" s="13" t="s">
        <v>27</v>
      </c>
      <c r="Q749" s="7" t="s">
        <v>1008</v>
      </c>
      <c r="R749" s="13" t="s">
        <v>879</v>
      </c>
      <c r="S749" s="26" t="s">
        <v>880</v>
      </c>
      <c r="T749" s="25">
        <v>41207</v>
      </c>
      <c r="U749" s="13"/>
      <c r="V749" s="7"/>
    </row>
    <row r="750" spans="1:22">
      <c r="A750" s="5" t="s">
        <v>1009</v>
      </c>
      <c r="B750" s="5" t="str">
        <f>GetAddress(A750)</f>
        <v>\\chno0276\Aseguranza de Calidad\Control de Documentos\Doc. controlados PDF\Control Plans\ITRON\BONDING\CP-BOND-016   002378-0001.pdf</v>
      </c>
      <c r="C750" s="5" t="str">
        <f>MID(B750,LEN(B750) - FIND(".",REVERSETEXT(B750))+2,1000)</f>
        <v>pdf</v>
      </c>
      <c r="D750" s="6">
        <v>9</v>
      </c>
      <c r="E750" s="7" t="s">
        <v>873</v>
      </c>
      <c r="F750" s="7" t="s">
        <v>256</v>
      </c>
      <c r="G750" s="8" t="s">
        <v>23</v>
      </c>
      <c r="H750" s="8">
        <v>5</v>
      </c>
      <c r="I750" s="8" t="s">
        <v>874</v>
      </c>
      <c r="J750" s="8">
        <v>10</v>
      </c>
      <c r="K750" s="8" t="s">
        <v>967</v>
      </c>
      <c r="L750" s="8">
        <v>10</v>
      </c>
      <c r="M750" s="7" t="s">
        <v>968</v>
      </c>
      <c r="N750" s="7" t="s">
        <v>1010</v>
      </c>
      <c r="O750" s="25"/>
      <c r="P750" s="13" t="s">
        <v>27</v>
      </c>
      <c r="Q750" s="7" t="s">
        <v>1011</v>
      </c>
      <c r="R750" s="13" t="s">
        <v>879</v>
      </c>
      <c r="S750" s="26" t="s">
        <v>880</v>
      </c>
      <c r="T750" s="25">
        <v>41207</v>
      </c>
      <c r="U750" s="13"/>
      <c r="V750" s="7"/>
    </row>
    <row r="751" spans="1:22">
      <c r="A751" s="5" t="s">
        <v>1012</v>
      </c>
      <c r="B751" s="5" t="str">
        <f>GetAddress(A751)</f>
        <v>\\chno0276\Aseguranza de Calidad\Control de Documentos\Doc. controlados PDF\Control Plans\ITRON\BONDING\CP-BOND-017   002379-0001.pdf</v>
      </c>
      <c r="C751" s="5" t="str">
        <f>MID(B751,LEN(B751) - FIND(".",REVERSETEXT(B751))+2,1000)</f>
        <v>pdf</v>
      </c>
      <c r="D751" s="6">
        <v>9</v>
      </c>
      <c r="E751" s="7" t="s">
        <v>873</v>
      </c>
      <c r="F751" s="7" t="s">
        <v>256</v>
      </c>
      <c r="G751" s="8" t="s">
        <v>23</v>
      </c>
      <c r="H751" s="8">
        <v>5</v>
      </c>
      <c r="I751" s="8" t="s">
        <v>874</v>
      </c>
      <c r="J751" s="8">
        <v>10</v>
      </c>
      <c r="K751" s="8" t="s">
        <v>967</v>
      </c>
      <c r="L751" s="8">
        <v>10</v>
      </c>
      <c r="M751" s="7" t="s">
        <v>968</v>
      </c>
      <c r="N751" s="7" t="s">
        <v>1013</v>
      </c>
      <c r="O751" s="25"/>
      <c r="P751" s="13" t="s">
        <v>27</v>
      </c>
      <c r="Q751" s="7" t="s">
        <v>1014</v>
      </c>
      <c r="R751" s="13" t="s">
        <v>879</v>
      </c>
      <c r="S751" s="26" t="s">
        <v>880</v>
      </c>
      <c r="T751" s="25">
        <v>41207</v>
      </c>
      <c r="U751" s="13"/>
      <c r="V751" s="7"/>
    </row>
    <row r="752" spans="1:22">
      <c r="A752" s="5" t="s">
        <v>1015</v>
      </c>
      <c r="B752" s="5" t="str">
        <f>GetAddress(A752)</f>
        <v>\\chno0276\Aseguranza de Calidad\Control de Documentos\Doc. controlados PDF\Control Plans\ITRON\BONDING\CP-BOND-018   002501-0001 y 002505-0001.pdf</v>
      </c>
      <c r="C752" s="5" t="str">
        <f>MID(B752,LEN(B752) - FIND(".",REVERSETEXT(B752))+2,1000)</f>
        <v>pdf</v>
      </c>
      <c r="D752" s="6">
        <v>9</v>
      </c>
      <c r="E752" s="7" t="s">
        <v>873</v>
      </c>
      <c r="F752" s="7" t="s">
        <v>256</v>
      </c>
      <c r="G752" s="8" t="s">
        <v>23</v>
      </c>
      <c r="H752" s="8">
        <v>5</v>
      </c>
      <c r="I752" s="8" t="s">
        <v>874</v>
      </c>
      <c r="J752" s="8">
        <v>10</v>
      </c>
      <c r="K752" s="8" t="s">
        <v>967</v>
      </c>
      <c r="L752" s="8">
        <v>10</v>
      </c>
      <c r="M752" s="7" t="s">
        <v>968</v>
      </c>
      <c r="N752" s="7" t="s">
        <v>1016</v>
      </c>
      <c r="O752" s="25"/>
      <c r="P752" s="13" t="s">
        <v>27</v>
      </c>
      <c r="Q752" s="7" t="s">
        <v>1017</v>
      </c>
      <c r="R752" s="13" t="s">
        <v>879</v>
      </c>
      <c r="S752" s="26" t="s">
        <v>880</v>
      </c>
      <c r="T752" s="25">
        <v>41207</v>
      </c>
      <c r="U752" s="13"/>
      <c r="V752" s="7"/>
    </row>
    <row r="753" spans="1:22">
      <c r="A753" s="5" t="s">
        <v>1018</v>
      </c>
      <c r="B753" s="5" t="str">
        <f>GetAddress(A753)</f>
        <v>\\chno0276\Aseguranza de Calidad\Control de Documentos\Doc. controlados PDF\Control Plans\ITRON\BONDING\CP-BOND-019   002600-000X &amp; 002601-000X.pdf</v>
      </c>
      <c r="C753" s="5" t="str">
        <f>MID(B753,LEN(B753) - FIND(".",REVERSETEXT(B753))+2,1000)</f>
        <v>pdf</v>
      </c>
      <c r="D753" s="6">
        <v>9</v>
      </c>
      <c r="E753" s="7" t="s">
        <v>873</v>
      </c>
      <c r="F753" s="7" t="s">
        <v>256</v>
      </c>
      <c r="G753" s="8" t="s">
        <v>23</v>
      </c>
      <c r="H753" s="8">
        <v>5</v>
      </c>
      <c r="I753" s="8" t="s">
        <v>874</v>
      </c>
      <c r="J753" s="8">
        <v>10</v>
      </c>
      <c r="K753" s="8" t="s">
        <v>967</v>
      </c>
      <c r="L753" s="8">
        <v>10</v>
      </c>
      <c r="M753" s="7" t="s">
        <v>968</v>
      </c>
      <c r="N753" s="7" t="s">
        <v>1019</v>
      </c>
      <c r="O753" s="25"/>
      <c r="P753" s="13" t="s">
        <v>27</v>
      </c>
      <c r="Q753" s="7" t="s">
        <v>1020</v>
      </c>
      <c r="R753" s="13" t="s">
        <v>879</v>
      </c>
      <c r="S753" s="26" t="s">
        <v>880</v>
      </c>
      <c r="T753" s="25">
        <v>41207</v>
      </c>
      <c r="U753" s="13"/>
      <c r="V753" s="7"/>
    </row>
    <row r="754" spans="1:22">
      <c r="A754" s="5" t="s">
        <v>1021</v>
      </c>
      <c r="B754" s="5" t="str">
        <f>GetAddress(A754)</f>
        <v>\\chno0276\Aseguranza de Calidad\Control de Documentos\Doc. controlados PDF\Control Plans\ITRON\BONDING\CP-BOND-020  002701-0001 al 0010.pdf</v>
      </c>
      <c r="C754" s="5" t="str">
        <f>MID(B754,LEN(B754) - FIND(".",REVERSETEXT(B754))+2,1000)</f>
        <v>pdf</v>
      </c>
      <c r="D754" s="6">
        <v>9</v>
      </c>
      <c r="E754" s="7" t="s">
        <v>873</v>
      </c>
      <c r="F754" s="7" t="s">
        <v>256</v>
      </c>
      <c r="G754" s="8" t="s">
        <v>23</v>
      </c>
      <c r="H754" s="8">
        <v>5</v>
      </c>
      <c r="I754" s="8" t="s">
        <v>874</v>
      </c>
      <c r="J754" s="8">
        <v>10</v>
      </c>
      <c r="K754" s="8" t="s">
        <v>967</v>
      </c>
      <c r="L754" s="8">
        <v>10</v>
      </c>
      <c r="M754" s="7" t="s">
        <v>968</v>
      </c>
      <c r="N754" s="7" t="s">
        <v>1022</v>
      </c>
      <c r="O754" s="25"/>
      <c r="P754" s="13" t="s">
        <v>27</v>
      </c>
      <c r="Q754" s="7" t="s">
        <v>1023</v>
      </c>
      <c r="R754" s="13" t="s">
        <v>879</v>
      </c>
      <c r="S754" s="26" t="s">
        <v>880</v>
      </c>
      <c r="T754" s="25">
        <v>41207</v>
      </c>
      <c r="U754" s="13"/>
      <c r="V754" s="7"/>
    </row>
    <row r="755" spans="1:22">
      <c r="A755" s="5" t="s">
        <v>1024</v>
      </c>
      <c r="B755" s="5" t="str">
        <f>GetAddress(A755)</f>
        <v>\\chno0276\Aseguranza de Calidad\Control de Documentos\Doc. controlados PDF\Control Plans\ITRON\BONDING\CP-BOND-021   003004-0001.pdf</v>
      </c>
      <c r="C755" s="5" t="str">
        <f>MID(B755,LEN(B755) - FIND(".",REVERSETEXT(B755))+2,1000)</f>
        <v>pdf</v>
      </c>
      <c r="D755" s="6">
        <v>9</v>
      </c>
      <c r="E755" s="7" t="s">
        <v>873</v>
      </c>
      <c r="F755" s="7" t="s">
        <v>256</v>
      </c>
      <c r="G755" s="8" t="s">
        <v>23</v>
      </c>
      <c r="H755" s="8">
        <v>5</v>
      </c>
      <c r="I755" s="8" t="s">
        <v>874</v>
      </c>
      <c r="J755" s="8">
        <v>10</v>
      </c>
      <c r="K755" s="8" t="s">
        <v>967</v>
      </c>
      <c r="L755" s="8">
        <v>10</v>
      </c>
      <c r="M755" s="7" t="s">
        <v>968</v>
      </c>
      <c r="N755" s="7" t="s">
        <v>1025</v>
      </c>
      <c r="O755" s="25"/>
      <c r="P755" s="13" t="s">
        <v>27</v>
      </c>
      <c r="Q755" s="7" t="s">
        <v>1026</v>
      </c>
      <c r="R755" s="13" t="s">
        <v>879</v>
      </c>
      <c r="S755" s="26" t="s">
        <v>880</v>
      </c>
      <c r="T755" s="25">
        <v>41207</v>
      </c>
      <c r="U755" s="13"/>
      <c r="V755" s="7"/>
    </row>
    <row r="756" spans="1:22">
      <c r="A756" s="5" t="s">
        <v>1027</v>
      </c>
      <c r="B756" s="5" t="str">
        <f>GetAddress(A756)</f>
        <v>\\chno0276\Aseguranza de Calidad\Control de Documentos\Doc. controlados PDF\Control Plans\ITRON\BONDING\CP-BOND-022   003094-0001.pdf</v>
      </c>
      <c r="C756" s="5" t="str">
        <f>MID(B756,LEN(B756) - FIND(".",REVERSETEXT(B756))+2,1000)</f>
        <v>pdf</v>
      </c>
      <c r="D756" s="6">
        <v>9</v>
      </c>
      <c r="E756" s="7" t="s">
        <v>873</v>
      </c>
      <c r="F756" s="7" t="s">
        <v>256</v>
      </c>
      <c r="G756" s="8" t="s">
        <v>23</v>
      </c>
      <c r="H756" s="8">
        <v>5</v>
      </c>
      <c r="I756" s="8" t="s">
        <v>874</v>
      </c>
      <c r="J756" s="8">
        <v>10</v>
      </c>
      <c r="K756" s="8" t="s">
        <v>967</v>
      </c>
      <c r="L756" s="8">
        <v>10</v>
      </c>
      <c r="M756" s="7" t="s">
        <v>968</v>
      </c>
      <c r="N756" s="7" t="s">
        <v>1028</v>
      </c>
      <c r="O756" s="25"/>
      <c r="P756" s="13" t="s">
        <v>27</v>
      </c>
      <c r="Q756" s="7" t="s">
        <v>1029</v>
      </c>
      <c r="R756" s="13" t="s">
        <v>879</v>
      </c>
      <c r="S756" s="26" t="s">
        <v>880</v>
      </c>
      <c r="T756" s="25">
        <v>41207</v>
      </c>
      <c r="U756" s="13"/>
      <c r="V756" s="7"/>
    </row>
    <row r="757" spans="1:22">
      <c r="A757" s="5" t="s">
        <v>1030</v>
      </c>
      <c r="B757" s="5" t="str">
        <f>GetAddress(A757)</f>
        <v>\\chno0276\Aseguranza de Calidad\Control de Documentos\Doc. controlados PDF\Control Plans\ITRON\BONDING\CP-BOND-023   BACC65AJXXXS.pdf</v>
      </c>
      <c r="C757" s="5" t="str">
        <f>MID(B757,LEN(B757) - FIND(".",REVERSETEXT(B757))+2,1000)</f>
        <v>pdf</v>
      </c>
      <c r="D757" s="6">
        <v>9</v>
      </c>
      <c r="E757" s="7" t="s">
        <v>873</v>
      </c>
      <c r="F757" s="7" t="s">
        <v>256</v>
      </c>
      <c r="G757" s="8" t="s">
        <v>23</v>
      </c>
      <c r="H757" s="8">
        <v>5</v>
      </c>
      <c r="I757" s="8" t="s">
        <v>874</v>
      </c>
      <c r="J757" s="8">
        <v>10</v>
      </c>
      <c r="K757" s="8" t="s">
        <v>967</v>
      </c>
      <c r="L757" s="8">
        <v>10</v>
      </c>
      <c r="M757" s="7" t="s">
        <v>968</v>
      </c>
      <c r="N757" s="13" t="s">
        <v>1031</v>
      </c>
      <c r="O757" s="25"/>
      <c r="P757" s="13" t="s">
        <v>27</v>
      </c>
      <c r="Q757" s="7" t="s">
        <v>1032</v>
      </c>
      <c r="R757" s="13" t="s">
        <v>879</v>
      </c>
      <c r="S757" s="26" t="s">
        <v>880</v>
      </c>
      <c r="T757" s="25">
        <v>41207</v>
      </c>
      <c r="U757" s="13"/>
      <c r="V757" s="7"/>
    </row>
    <row r="758" spans="1:22">
      <c r="A758" s="5" t="s">
        <v>1033</v>
      </c>
      <c r="B758" s="20" t="e">
        <f>GetAddress(A758)</f>
        <v>#VALUE!</v>
      </c>
      <c r="C758" s="20" t="e">
        <f>MID(B758,LEN(B758) - FIND(".",REVERSETEXT(B758))+2,1000)</f>
        <v>#VALUE!</v>
      </c>
      <c r="D758" s="6">
        <v>9</v>
      </c>
      <c r="E758" s="7" t="s">
        <v>873</v>
      </c>
      <c r="F758" s="7" t="s">
        <v>256</v>
      </c>
      <c r="G758" s="8" t="s">
        <v>23</v>
      </c>
      <c r="H758" s="8">
        <v>5</v>
      </c>
      <c r="I758" s="8" t="s">
        <v>874</v>
      </c>
      <c r="J758" s="8">
        <v>10</v>
      </c>
      <c r="K758" s="8" t="s">
        <v>967</v>
      </c>
      <c r="L758" s="8">
        <v>10</v>
      </c>
      <c r="M758" s="7" t="s">
        <v>968</v>
      </c>
      <c r="N758" s="13" t="s">
        <v>1031</v>
      </c>
      <c r="O758" s="25"/>
      <c r="P758" s="13" t="s">
        <v>27</v>
      </c>
      <c r="Q758" s="7" t="s">
        <v>1034</v>
      </c>
      <c r="R758" s="13" t="s">
        <v>879</v>
      </c>
      <c r="S758" s="26" t="s">
        <v>880</v>
      </c>
      <c r="T758" s="25">
        <v>41207</v>
      </c>
      <c r="U758" s="13"/>
      <c r="V758" s="7"/>
    </row>
    <row r="759" spans="1:22">
      <c r="A759" s="5" t="s">
        <v>1035</v>
      </c>
      <c r="B759" s="5" t="str">
        <f>GetAddress(A759)</f>
        <v>\\chno0276\Aseguranza de Calidad\Control de Documentos\Doc. controlados PDF\Control Plans\ITRON\BONDING\CP-BOND-025   BACC65ALXXXS.pdf</v>
      </c>
      <c r="C759" s="5" t="str">
        <f>MID(B759,LEN(B759) - FIND(".",REVERSETEXT(B759))+2,1000)</f>
        <v>pdf</v>
      </c>
      <c r="D759" s="6">
        <v>9</v>
      </c>
      <c r="E759" s="7" t="s">
        <v>873</v>
      </c>
      <c r="F759" s="7" t="s">
        <v>256</v>
      </c>
      <c r="G759" s="8" t="s">
        <v>23</v>
      </c>
      <c r="H759" s="8">
        <v>5</v>
      </c>
      <c r="I759" s="8" t="s">
        <v>874</v>
      </c>
      <c r="J759" s="8">
        <v>10</v>
      </c>
      <c r="K759" s="8" t="s">
        <v>967</v>
      </c>
      <c r="L759" s="8">
        <v>10</v>
      </c>
      <c r="M759" s="7" t="s">
        <v>968</v>
      </c>
      <c r="N759" s="13" t="s">
        <v>1031</v>
      </c>
      <c r="O759" s="25"/>
      <c r="P759" s="13" t="s">
        <v>27</v>
      </c>
      <c r="Q759" s="7" t="s">
        <v>1036</v>
      </c>
      <c r="R759" s="13" t="s">
        <v>879</v>
      </c>
      <c r="S759" s="26" t="s">
        <v>880</v>
      </c>
      <c r="T759" s="25">
        <v>41207</v>
      </c>
      <c r="U759" s="13"/>
      <c r="V759" s="7"/>
    </row>
    <row r="760" spans="1:22" ht="318.75">
      <c r="A760" s="28" t="s">
        <v>1037</v>
      </c>
      <c r="B760" s="5" t="str">
        <f>GetAddress(A760)</f>
        <v>\\chno0276\Aseguranza de Calidad\Control de Documentos\Doc. controlados PDF\Control Plans\ITRON\BONDING\CP-BOND-026   BACS16W, BACS16X, VB10-1UWC11 &amp; VB10-PWC11.pdf</v>
      </c>
      <c r="C760" s="5" t="str">
        <f>MID(B760,LEN(B760) - FIND(".",REVERSETEXT(B760))+2,1000)</f>
        <v>pdf</v>
      </c>
      <c r="D760" s="6">
        <v>9</v>
      </c>
      <c r="E760" s="7" t="s">
        <v>873</v>
      </c>
      <c r="F760" s="7" t="s">
        <v>256</v>
      </c>
      <c r="G760" s="8" t="s">
        <v>23</v>
      </c>
      <c r="H760" s="8">
        <v>5</v>
      </c>
      <c r="I760" s="8" t="s">
        <v>874</v>
      </c>
      <c r="J760" s="8">
        <v>10</v>
      </c>
      <c r="K760" s="8" t="s">
        <v>967</v>
      </c>
      <c r="L760" s="8">
        <v>10</v>
      </c>
      <c r="M760" s="7" t="s">
        <v>968</v>
      </c>
      <c r="N760" s="7" t="s">
        <v>1038</v>
      </c>
      <c r="O760" s="25"/>
      <c r="P760" s="13" t="s">
        <v>27</v>
      </c>
      <c r="Q760" s="29" t="s">
        <v>1039</v>
      </c>
      <c r="R760" s="13" t="s">
        <v>879</v>
      </c>
      <c r="S760" s="26" t="s">
        <v>880</v>
      </c>
      <c r="T760" s="25">
        <v>41207</v>
      </c>
      <c r="U760" s="13"/>
      <c r="V760" s="7"/>
    </row>
    <row r="761" spans="1:22">
      <c r="A761" s="5" t="s">
        <v>1040</v>
      </c>
      <c r="B761" s="5" t="str">
        <f>GetAddress(A761)</f>
        <v>\\chno0276\Aseguranza de Calidad\Control de Documentos\Doc. controlados PDF\Control Plans\ITRON\BONDING\CP-BOND-027  BACT44E1S.pdf</v>
      </c>
      <c r="C761" s="5" t="str">
        <f>MID(B761,LEN(B761) - FIND(".",REVERSETEXT(B761))+2,1000)</f>
        <v>pdf</v>
      </c>
      <c r="D761" s="6">
        <v>9</v>
      </c>
      <c r="E761" s="7" t="s">
        <v>873</v>
      </c>
      <c r="F761" s="7" t="s">
        <v>256</v>
      </c>
      <c r="G761" s="8" t="s">
        <v>23</v>
      </c>
      <c r="H761" s="8">
        <v>5</v>
      </c>
      <c r="I761" s="8" t="s">
        <v>874</v>
      </c>
      <c r="J761" s="8">
        <v>10</v>
      </c>
      <c r="K761" s="8" t="s">
        <v>967</v>
      </c>
      <c r="L761" s="8">
        <v>10</v>
      </c>
      <c r="M761" s="7" t="s">
        <v>968</v>
      </c>
      <c r="N761" s="7" t="s">
        <v>1005</v>
      </c>
      <c r="O761" s="25"/>
      <c r="P761" s="13" t="s">
        <v>27</v>
      </c>
      <c r="Q761" s="7" t="s">
        <v>1041</v>
      </c>
      <c r="R761" s="13" t="s">
        <v>879</v>
      </c>
      <c r="S761" s="26" t="s">
        <v>880</v>
      </c>
      <c r="T761" s="25">
        <v>41207</v>
      </c>
      <c r="U761" s="13"/>
      <c r="V761" s="7"/>
    </row>
    <row r="762" spans="1:22">
      <c r="A762" s="5" t="s">
        <v>2786</v>
      </c>
      <c r="B762" s="20" t="e">
        <f>GetAddress(A762)</f>
        <v>#VALUE!</v>
      </c>
      <c r="C762" s="20" t="e">
        <f>MID(B762,LEN(B762) - FIND(".",REVERSETEXT(B762))+2,1000)</f>
        <v>#VALUE!</v>
      </c>
      <c r="D762" s="6">
        <v>9</v>
      </c>
      <c r="E762" s="7" t="s">
        <v>873</v>
      </c>
      <c r="F762" s="7" t="s">
        <v>256</v>
      </c>
      <c r="G762" s="8" t="s">
        <v>23</v>
      </c>
      <c r="H762" s="8">
        <v>5</v>
      </c>
      <c r="I762" s="8" t="s">
        <v>874</v>
      </c>
      <c r="J762" s="8">
        <v>10</v>
      </c>
      <c r="K762" s="8" t="s">
        <v>967</v>
      </c>
      <c r="L762" s="8">
        <v>10</v>
      </c>
      <c r="M762" s="7" t="s">
        <v>968</v>
      </c>
      <c r="N762" s="7"/>
      <c r="O762" s="25"/>
      <c r="P762" s="13"/>
      <c r="Q762" s="7"/>
      <c r="R762" s="7"/>
      <c r="S762" s="8"/>
      <c r="T762" s="25"/>
      <c r="U762" s="13"/>
      <c r="V762" s="7"/>
    </row>
    <row r="763" spans="1:22">
      <c r="A763" s="5" t="s">
        <v>1704</v>
      </c>
      <c r="B763" s="5" t="str">
        <f>GetAddress(A763)</f>
        <v>\\chno0276\Aseguranza de Calidad\Control de Documentos\Doc. controlados PDF\Control Plans\MICROMINI\CHANGE-OUT\CP-CHGO-001  CA4C5SC060M.pdf</v>
      </c>
      <c r="C763" s="5" t="str">
        <f>MID(B763,LEN(B763) - FIND(".",REVERSETEXT(B763))+2,1000)</f>
        <v>pdf</v>
      </c>
      <c r="D763" s="6">
        <v>9</v>
      </c>
      <c r="E763" s="7" t="s">
        <v>873</v>
      </c>
      <c r="F763" s="7" t="s">
        <v>256</v>
      </c>
      <c r="G763" s="8" t="s">
        <v>23</v>
      </c>
      <c r="H763" s="8">
        <v>5</v>
      </c>
      <c r="I763" s="8" t="s">
        <v>24</v>
      </c>
      <c r="J763" s="8">
        <v>12</v>
      </c>
      <c r="K763" s="8" t="s">
        <v>25</v>
      </c>
      <c r="L763" s="8">
        <v>4</v>
      </c>
      <c r="M763" s="7" t="s">
        <v>26</v>
      </c>
      <c r="N763" s="7" t="s">
        <v>1705</v>
      </c>
      <c r="O763" s="9">
        <v>41026</v>
      </c>
      <c r="P763" s="7" t="s">
        <v>27</v>
      </c>
      <c r="Q763" s="31" t="s">
        <v>1706</v>
      </c>
      <c r="R763" s="7" t="s">
        <v>1583</v>
      </c>
      <c r="S763" s="8" t="s">
        <v>1584</v>
      </c>
      <c r="T763" s="9"/>
      <c r="U763" s="7"/>
      <c r="V763" s="7"/>
    </row>
    <row r="764" spans="1:22">
      <c r="A764" s="5" t="s">
        <v>1707</v>
      </c>
      <c r="B764" s="5" t="str">
        <f>GetAddress(A764)</f>
        <v>\\chno0276\Aseguranza de Calidad\Control de Documentos\Doc. controlados PDF\Control Plans\MICROMINI\CHANGE-OUT\CP-CHGO-002  CX852-CX852-37AN.pdf</v>
      </c>
      <c r="C764" s="5" t="str">
        <f>MID(B764,LEN(B764) - FIND(".",REVERSETEXT(B764))+2,1000)</f>
        <v>pdf</v>
      </c>
      <c r="D764" s="6">
        <v>9</v>
      </c>
      <c r="E764" s="7" t="s">
        <v>873</v>
      </c>
      <c r="F764" s="7" t="s">
        <v>256</v>
      </c>
      <c r="G764" s="8" t="s">
        <v>23</v>
      </c>
      <c r="H764" s="8">
        <v>5</v>
      </c>
      <c r="I764" s="8" t="s">
        <v>24</v>
      </c>
      <c r="J764" s="8">
        <v>12</v>
      </c>
      <c r="K764" s="8" t="s">
        <v>25</v>
      </c>
      <c r="L764" s="8">
        <v>4</v>
      </c>
      <c r="M764" s="7" t="s">
        <v>26</v>
      </c>
      <c r="N764" s="7" t="s">
        <v>1263</v>
      </c>
      <c r="O764" s="9">
        <v>41051</v>
      </c>
      <c r="P764" s="7" t="s">
        <v>27</v>
      </c>
      <c r="Q764" s="7" t="s">
        <v>1708</v>
      </c>
      <c r="R764" s="7" t="s">
        <v>1583</v>
      </c>
      <c r="S764" s="8" t="s">
        <v>1584</v>
      </c>
      <c r="T764" s="7"/>
      <c r="U764" s="7"/>
      <c r="V764" s="7"/>
    </row>
    <row r="765" spans="1:22" ht="38.25">
      <c r="A765" s="5" t="s">
        <v>1709</v>
      </c>
      <c r="B765" s="5" t="str">
        <f>GetAddress(A765)</f>
        <v>\\chno0276\Aseguranza de Calidad\Control de Documentos\Doc. controlados PDF\Control Plans\MICROMINI\CHANGE-OUT\CP-CHGO-003  X8652-CS.pdf</v>
      </c>
      <c r="C765" s="5" t="str">
        <f>MID(B765,LEN(B765) - FIND(".",REVERSETEXT(B765))+2,1000)</f>
        <v>pdf</v>
      </c>
      <c r="D765" s="6">
        <v>9</v>
      </c>
      <c r="E765" s="7" t="s">
        <v>873</v>
      </c>
      <c r="F765" s="7" t="s">
        <v>256</v>
      </c>
      <c r="G765" s="8" t="s">
        <v>23</v>
      </c>
      <c r="H765" s="8">
        <v>5</v>
      </c>
      <c r="I765" s="8" t="s">
        <v>24</v>
      </c>
      <c r="J765" s="8">
        <v>12</v>
      </c>
      <c r="K765" s="8" t="s">
        <v>25</v>
      </c>
      <c r="L765" s="8">
        <v>4</v>
      </c>
      <c r="M765" s="7" t="s">
        <v>26</v>
      </c>
      <c r="N765" s="7" t="s">
        <v>1710</v>
      </c>
      <c r="O765" s="9">
        <v>44718</v>
      </c>
      <c r="P765" s="7" t="s">
        <v>27</v>
      </c>
      <c r="Q765" s="13" t="s">
        <v>1711</v>
      </c>
      <c r="R765" s="7" t="s">
        <v>1583</v>
      </c>
      <c r="S765" s="8" t="s">
        <v>1584</v>
      </c>
      <c r="T765" s="7"/>
      <c r="U765" s="7"/>
      <c r="V765" s="7"/>
    </row>
    <row r="766" spans="1:22">
      <c r="A766" s="5" t="s">
        <v>1712</v>
      </c>
      <c r="B766" s="5" t="str">
        <f>GetAddress(A766)</f>
        <v>\\CHNO0276\Aseguranza de Calidad\Control de Documentos\Doc. controlados PDF\Control Plans\MICROMINI\CHANGE-OUT\CP-CHGO-004 Control Plan X8653-FN.pdf</v>
      </c>
      <c r="C766" s="5" t="str">
        <f>MID(B766,LEN(B766) - FIND(".",REVERSETEXT(B766))+2,1000)</f>
        <v>pdf</v>
      </c>
      <c r="D766" s="6">
        <v>9</v>
      </c>
      <c r="E766" s="7" t="s">
        <v>873</v>
      </c>
      <c r="F766" s="7" t="s">
        <v>256</v>
      </c>
      <c r="G766" s="8" t="s">
        <v>23</v>
      </c>
      <c r="H766" s="8">
        <v>5</v>
      </c>
      <c r="I766" s="8" t="s">
        <v>24</v>
      </c>
      <c r="J766" s="8">
        <v>12</v>
      </c>
      <c r="K766" s="8" t="s">
        <v>25</v>
      </c>
      <c r="L766" s="8">
        <v>4</v>
      </c>
      <c r="M766" s="7" t="s">
        <v>26</v>
      </c>
      <c r="N766" s="7" t="s">
        <v>1713</v>
      </c>
      <c r="O766" s="9">
        <v>41113</v>
      </c>
      <c r="P766" s="7" t="s">
        <v>27</v>
      </c>
      <c r="Q766" s="7" t="s">
        <v>1714</v>
      </c>
      <c r="R766" s="7" t="s">
        <v>1583</v>
      </c>
      <c r="S766" s="8" t="s">
        <v>1584</v>
      </c>
      <c r="T766" s="7"/>
      <c r="U766" s="7"/>
      <c r="V766" s="7"/>
    </row>
    <row r="767" spans="1:22">
      <c r="A767" s="5" t="s">
        <v>1262</v>
      </c>
      <c r="B767" s="5" t="str">
        <f>GetAddress(A767)</f>
        <v>\\chno0276\Aseguranza de Calidad\Control de Documentos\Doc. controlados PDF\Control Plans\MICROMINI\CHANGE-OUT\CP-CHGO-006  CX865237AN.pdf</v>
      </c>
      <c r="C767" s="5" t="str">
        <f>MID(B767,LEN(B767) - FIND(".",REVERSETEXT(B767))+2,1000)</f>
        <v>pdf</v>
      </c>
      <c r="D767" s="6">
        <v>9</v>
      </c>
      <c r="E767" s="7" t="s">
        <v>873</v>
      </c>
      <c r="F767" s="7" t="s">
        <v>256</v>
      </c>
      <c r="G767" s="8" t="s">
        <v>23</v>
      </c>
      <c r="H767" s="8">
        <v>5</v>
      </c>
      <c r="I767" s="8" t="s">
        <v>24</v>
      </c>
      <c r="J767" s="8">
        <v>12</v>
      </c>
      <c r="K767" s="8" t="s">
        <v>25</v>
      </c>
      <c r="L767" s="8">
        <v>4</v>
      </c>
      <c r="M767" s="7" t="s">
        <v>26</v>
      </c>
      <c r="N767" s="7" t="s">
        <v>1263</v>
      </c>
      <c r="O767" s="9"/>
      <c r="P767" s="7" t="s">
        <v>27</v>
      </c>
      <c r="Q767" s="7" t="s">
        <v>1264</v>
      </c>
      <c r="R767" s="7" t="s">
        <v>1252</v>
      </c>
      <c r="S767" s="8" t="s">
        <v>1253</v>
      </c>
      <c r="T767" s="9">
        <v>41193</v>
      </c>
      <c r="U767" s="7"/>
      <c r="V767" s="7"/>
    </row>
    <row r="768" spans="1:22">
      <c r="A768" s="5" t="s">
        <v>1265</v>
      </c>
      <c r="B768" s="5" t="str">
        <f>GetAddress(A768)</f>
        <v>\\chno0276\Aseguranza de Calidad\Control de Documentos\Doc. controlados PDF\Control Plans\MICROMINI\CHANGE-OUT\CP-CHGO-007  CX8653312P.pdf</v>
      </c>
      <c r="C768" s="5" t="str">
        <f>MID(B768,LEN(B768) - FIND(".",REVERSETEXT(B768))+2,1000)</f>
        <v>pdf</v>
      </c>
      <c r="D768" s="6">
        <v>9</v>
      </c>
      <c r="E768" s="7" t="s">
        <v>873</v>
      </c>
      <c r="F768" s="7" t="s">
        <v>256</v>
      </c>
      <c r="G768" s="8" t="s">
        <v>23</v>
      </c>
      <c r="H768" s="8">
        <v>5</v>
      </c>
      <c r="I768" s="8" t="s">
        <v>24</v>
      </c>
      <c r="J768" s="8">
        <v>12</v>
      </c>
      <c r="K768" s="8" t="s">
        <v>25</v>
      </c>
      <c r="L768" s="8">
        <v>4</v>
      </c>
      <c r="M768" s="7" t="s">
        <v>26</v>
      </c>
      <c r="N768" s="7" t="s">
        <v>1266</v>
      </c>
      <c r="O768" s="9"/>
      <c r="P768" s="7" t="s">
        <v>27</v>
      </c>
      <c r="Q768" s="7" t="s">
        <v>1267</v>
      </c>
      <c r="R768" s="7" t="s">
        <v>1252</v>
      </c>
      <c r="S768" s="8" t="s">
        <v>1253</v>
      </c>
      <c r="T768" s="9">
        <v>41193</v>
      </c>
      <c r="U768" s="7"/>
      <c r="V768" s="7"/>
    </row>
    <row r="769" spans="1:22">
      <c r="A769" s="5" t="s">
        <v>1268</v>
      </c>
      <c r="B769" s="5" t="str">
        <f>GetAddress(A769)</f>
        <v>\\chno0276\Aseguranza de Calidad\Control de Documentos\Doc. controlados PDF\Control Plans\MICROMINI\CHANGE-OUT\CP-CHGO-008  CX8653316P.pdf</v>
      </c>
      <c r="C769" s="5" t="str">
        <f>MID(B769,LEN(B769) - FIND(".",REVERSETEXT(B769))+2,1000)</f>
        <v>pdf</v>
      </c>
      <c r="D769" s="6">
        <v>9</v>
      </c>
      <c r="E769" s="7" t="s">
        <v>873</v>
      </c>
      <c r="F769" s="7" t="s">
        <v>256</v>
      </c>
      <c r="G769" s="8" t="s">
        <v>23</v>
      </c>
      <c r="H769" s="8">
        <v>5</v>
      </c>
      <c r="I769" s="8" t="s">
        <v>24</v>
      </c>
      <c r="J769" s="8">
        <v>12</v>
      </c>
      <c r="K769" s="8" t="s">
        <v>25</v>
      </c>
      <c r="L769" s="8">
        <v>4</v>
      </c>
      <c r="M769" s="7" t="s">
        <v>26</v>
      </c>
      <c r="N769" s="7" t="s">
        <v>1266</v>
      </c>
      <c r="O769" s="9"/>
      <c r="P769" s="7" t="s">
        <v>27</v>
      </c>
      <c r="Q769" s="7" t="s">
        <v>1269</v>
      </c>
      <c r="R769" s="7" t="s">
        <v>1252</v>
      </c>
      <c r="S769" s="8" t="s">
        <v>1253</v>
      </c>
      <c r="T769" s="9">
        <v>41193</v>
      </c>
      <c r="U769" s="7"/>
      <c r="V769" s="7"/>
    </row>
    <row r="770" spans="1:22" ht="51">
      <c r="A770" s="5" t="s">
        <v>1270</v>
      </c>
      <c r="B770" s="5" t="str">
        <f>GetAddress(A770)</f>
        <v>\\chno0276\Aseguranza de Calidad\Control de Documentos\Doc. controlados PDF\Control Plans\MICROMINI\CHANGE-OUT\CP-CHGO-009  CX8653330.pdf</v>
      </c>
      <c r="C770" s="5" t="str">
        <f>MID(B770,LEN(B770) - FIND(".",REVERSETEXT(B770))+2,1000)</f>
        <v>pdf</v>
      </c>
      <c r="D770" s="6">
        <v>9</v>
      </c>
      <c r="E770" s="7" t="s">
        <v>873</v>
      </c>
      <c r="F770" s="7" t="s">
        <v>256</v>
      </c>
      <c r="G770" s="8" t="s">
        <v>23</v>
      </c>
      <c r="H770" s="8">
        <v>5</v>
      </c>
      <c r="I770" s="8" t="s">
        <v>24</v>
      </c>
      <c r="J770" s="8">
        <v>12</v>
      </c>
      <c r="K770" s="8" t="s">
        <v>25</v>
      </c>
      <c r="L770" s="8">
        <v>4</v>
      </c>
      <c r="M770" s="7" t="s">
        <v>26</v>
      </c>
      <c r="N770" s="7" t="s">
        <v>1266</v>
      </c>
      <c r="O770" s="9"/>
      <c r="P770" s="7" t="s">
        <v>27</v>
      </c>
      <c r="Q770" s="13" t="s">
        <v>1271</v>
      </c>
      <c r="R770" s="7" t="s">
        <v>1252</v>
      </c>
      <c r="S770" s="8" t="s">
        <v>1253</v>
      </c>
      <c r="T770" s="9">
        <v>41193</v>
      </c>
      <c r="U770" s="7"/>
      <c r="V770" s="7"/>
    </row>
    <row r="771" spans="1:22">
      <c r="A771" s="5" t="s">
        <v>1272</v>
      </c>
      <c r="B771" s="5" t="str">
        <f>GetAddress(A771)</f>
        <v>\\chno0276\Aseguranza de Calidad\Control de Documentos\Doc. controlados PDF\Control Plans\MICROMINI\CHANGE-OUT\CP-CHGO-010  CX8653346P.pdf</v>
      </c>
      <c r="C771" s="5" t="str">
        <f>MID(B771,LEN(B771) - FIND(".",REVERSETEXT(B771))+2,1000)</f>
        <v>pdf</v>
      </c>
      <c r="D771" s="6">
        <v>9</v>
      </c>
      <c r="E771" s="7" t="s">
        <v>873</v>
      </c>
      <c r="F771" s="7" t="s">
        <v>256</v>
      </c>
      <c r="G771" s="8" t="s">
        <v>23</v>
      </c>
      <c r="H771" s="8">
        <v>5</v>
      </c>
      <c r="I771" s="8" t="s">
        <v>24</v>
      </c>
      <c r="J771" s="8">
        <v>12</v>
      </c>
      <c r="K771" s="8" t="s">
        <v>25</v>
      </c>
      <c r="L771" s="8">
        <v>4</v>
      </c>
      <c r="M771" s="7" t="s">
        <v>26</v>
      </c>
      <c r="N771" s="7" t="s">
        <v>1273</v>
      </c>
      <c r="O771" s="9"/>
      <c r="P771" s="7" t="s">
        <v>27</v>
      </c>
      <c r="Q771" s="7" t="s">
        <v>1274</v>
      </c>
      <c r="R771" s="7" t="s">
        <v>1252</v>
      </c>
      <c r="S771" s="8" t="s">
        <v>1253</v>
      </c>
      <c r="T771" s="9">
        <v>41193</v>
      </c>
      <c r="U771" s="7"/>
      <c r="V771" s="7"/>
    </row>
    <row r="772" spans="1:22" ht="216.75">
      <c r="A772" s="28" t="s">
        <v>1275</v>
      </c>
      <c r="B772" s="5" t="str">
        <f>GetAddress(A772)</f>
        <v>\\chno0276\Aseguranza de Calidad\Control de Documentos\Doc. controlados PDF\Control Plans\MICROMINI\CHANGE-OUT\CP-CHGO-011   X865248P.pdf</v>
      </c>
      <c r="C772" s="5" t="str">
        <f>MID(B772,LEN(B772) - FIND(".",REVERSETEXT(B772))+2,1000)</f>
        <v>pdf</v>
      </c>
      <c r="D772" s="6">
        <v>9</v>
      </c>
      <c r="E772" s="7" t="s">
        <v>873</v>
      </c>
      <c r="F772" s="7" t="s">
        <v>256</v>
      </c>
      <c r="G772" s="8" t="s">
        <v>23</v>
      </c>
      <c r="H772" s="8">
        <v>5</v>
      </c>
      <c r="I772" s="8" t="s">
        <v>24</v>
      </c>
      <c r="J772" s="8">
        <v>12</v>
      </c>
      <c r="K772" s="8" t="s">
        <v>25</v>
      </c>
      <c r="L772" s="8">
        <v>4</v>
      </c>
      <c r="M772" s="7" t="s">
        <v>26</v>
      </c>
      <c r="N772" s="7" t="s">
        <v>1276</v>
      </c>
      <c r="O772" s="9"/>
      <c r="P772" s="7" t="s">
        <v>27</v>
      </c>
      <c r="Q772" s="13" t="s">
        <v>1277</v>
      </c>
      <c r="R772" s="7" t="s">
        <v>1252</v>
      </c>
      <c r="S772" s="8" t="s">
        <v>1253</v>
      </c>
      <c r="T772" s="9">
        <v>41193</v>
      </c>
      <c r="U772" s="7"/>
      <c r="V772" s="7"/>
    </row>
    <row r="773" spans="1:22">
      <c r="A773" s="5" t="s">
        <v>1278</v>
      </c>
      <c r="B773" s="5" t="str">
        <f>GetAddress(A773)</f>
        <v>\\chno0276\Aseguranza de Calidad\Control de Documentos\Doc. controlados PDF\Control Plans\MICROMINI\CHANGE-OUT\CP-CHGO-012   X865251P.pdf</v>
      </c>
      <c r="C773" s="5" t="str">
        <f>MID(B773,LEN(B773) - FIND(".",REVERSETEXT(B773))+2,1000)</f>
        <v>pdf</v>
      </c>
      <c r="D773" s="6">
        <v>9</v>
      </c>
      <c r="E773" s="7" t="s">
        <v>873</v>
      </c>
      <c r="F773" s="7" t="s">
        <v>256</v>
      </c>
      <c r="G773" s="8" t="s">
        <v>23</v>
      </c>
      <c r="H773" s="8">
        <v>5</v>
      </c>
      <c r="I773" s="8" t="s">
        <v>24</v>
      </c>
      <c r="J773" s="8">
        <v>12</v>
      </c>
      <c r="K773" s="8" t="s">
        <v>25</v>
      </c>
      <c r="L773" s="8">
        <v>4</v>
      </c>
      <c r="M773" s="7" t="s">
        <v>26</v>
      </c>
      <c r="N773" s="7" t="s">
        <v>1279</v>
      </c>
      <c r="O773" s="9"/>
      <c r="P773" s="7" t="s">
        <v>27</v>
      </c>
      <c r="Q773" s="7" t="s">
        <v>1280</v>
      </c>
      <c r="R773" s="7" t="s">
        <v>1252</v>
      </c>
      <c r="S773" s="8" t="s">
        <v>1253</v>
      </c>
      <c r="T773" s="9">
        <v>41193</v>
      </c>
      <c r="U773" s="7"/>
      <c r="V773" s="7"/>
    </row>
    <row r="774" spans="1:22" ht="153">
      <c r="A774" s="5" t="s">
        <v>1281</v>
      </c>
      <c r="B774" s="5" t="str">
        <f>GetAddress(A774)</f>
        <v>\\chno0276\Aseguranza de Calidad\Control de Documentos\Doc. controlados PDF\Control Plans\MICROMINI\CHANGE-OUT\CP-CHGO-013  X865316P, X865398P.pdf</v>
      </c>
      <c r="C774" s="5" t="str">
        <f>MID(B774,LEN(B774) - FIND(".",REVERSETEXT(B774))+2,1000)</f>
        <v>pdf</v>
      </c>
      <c r="D774" s="6">
        <v>9</v>
      </c>
      <c r="E774" s="7" t="s">
        <v>873</v>
      </c>
      <c r="F774" s="7" t="s">
        <v>256</v>
      </c>
      <c r="G774" s="8" t="s">
        <v>23</v>
      </c>
      <c r="H774" s="8">
        <v>5</v>
      </c>
      <c r="I774" s="8" t="s">
        <v>24</v>
      </c>
      <c r="J774" s="8">
        <v>12</v>
      </c>
      <c r="K774" s="8" t="s">
        <v>25</v>
      </c>
      <c r="L774" s="8">
        <v>4</v>
      </c>
      <c r="M774" s="7" t="s">
        <v>26</v>
      </c>
      <c r="N774" s="7" t="s">
        <v>1282</v>
      </c>
      <c r="O774" s="9"/>
      <c r="P774" s="7" t="s">
        <v>27</v>
      </c>
      <c r="Q774" s="13" t="s">
        <v>1283</v>
      </c>
      <c r="R774" s="7" t="s">
        <v>1252</v>
      </c>
      <c r="S774" s="8" t="s">
        <v>1253</v>
      </c>
      <c r="T774" s="9">
        <v>41193</v>
      </c>
      <c r="U774" s="7"/>
      <c r="V774" s="7"/>
    </row>
    <row r="775" spans="1:22" ht="216.75">
      <c r="A775" s="5" t="s">
        <v>1284</v>
      </c>
      <c r="B775" s="5" t="str">
        <f>GetAddress(A775)</f>
        <v>\\chno0276\Aseguranza de Calidad\Control de Documentos\Doc. controlados PDF\Control Plans\MICROMINI\CHANGE-OUT\CP-CHGO-014  X865344P.pdf</v>
      </c>
      <c r="C775" s="5" t="str">
        <f>MID(B775,LEN(B775) - FIND(".",REVERSETEXT(B775))+2,1000)</f>
        <v>pdf</v>
      </c>
      <c r="D775" s="6">
        <v>9</v>
      </c>
      <c r="E775" s="7" t="s">
        <v>873</v>
      </c>
      <c r="F775" s="7" t="s">
        <v>256</v>
      </c>
      <c r="G775" s="8" t="s">
        <v>23</v>
      </c>
      <c r="H775" s="8">
        <v>5</v>
      </c>
      <c r="I775" s="8" t="s">
        <v>24</v>
      </c>
      <c r="J775" s="8">
        <v>12</v>
      </c>
      <c r="K775" s="8" t="s">
        <v>25</v>
      </c>
      <c r="L775" s="8">
        <v>4</v>
      </c>
      <c r="M775" s="7" t="s">
        <v>26</v>
      </c>
      <c r="N775" s="7" t="s">
        <v>1285</v>
      </c>
      <c r="O775" s="9"/>
      <c r="P775" s="7" t="s">
        <v>27</v>
      </c>
      <c r="Q775" s="13" t="s">
        <v>1286</v>
      </c>
      <c r="R775" s="7" t="s">
        <v>1252</v>
      </c>
      <c r="S775" s="8" t="s">
        <v>1253</v>
      </c>
      <c r="T775" s="9">
        <v>41193</v>
      </c>
      <c r="U775" s="7"/>
      <c r="V775" s="7"/>
    </row>
    <row r="776" spans="1:22" ht="178.5">
      <c r="A776" s="5" t="s">
        <v>1287</v>
      </c>
      <c r="B776" s="5" t="str">
        <f>GetAddress(A776)</f>
        <v>\\chno0276\Aseguranza de Calidad\Control de Documentos\Doc. controlados PDF\Control Plans\MICROMINI\CHANGE-OUT\CP-CHGO-015  X865393P.pdf</v>
      </c>
      <c r="C776" s="5" t="str">
        <f>MID(B776,LEN(B776) - FIND(".",REVERSETEXT(B776))+2,1000)</f>
        <v>pdf</v>
      </c>
      <c r="D776" s="6">
        <v>9</v>
      </c>
      <c r="E776" s="7" t="s">
        <v>873</v>
      </c>
      <c r="F776" s="7" t="s">
        <v>256</v>
      </c>
      <c r="G776" s="8" t="s">
        <v>23</v>
      </c>
      <c r="H776" s="8">
        <v>5</v>
      </c>
      <c r="I776" s="8" t="s">
        <v>24</v>
      </c>
      <c r="J776" s="8">
        <v>12</v>
      </c>
      <c r="K776" s="8" t="s">
        <v>25</v>
      </c>
      <c r="L776" s="8">
        <v>4</v>
      </c>
      <c r="M776" s="7" t="s">
        <v>26</v>
      </c>
      <c r="N776" s="7" t="s">
        <v>1288</v>
      </c>
      <c r="O776" s="9">
        <v>41187</v>
      </c>
      <c r="P776" s="7" t="s">
        <v>27</v>
      </c>
      <c r="Q776" s="13" t="s">
        <v>1289</v>
      </c>
      <c r="R776" s="7" t="s">
        <v>1252</v>
      </c>
      <c r="S776" s="8" t="s">
        <v>1253</v>
      </c>
      <c r="T776" s="7"/>
      <c r="U776" s="7"/>
      <c r="V776" s="7"/>
    </row>
    <row r="777" spans="1:22" ht="216.75">
      <c r="A777" s="5" t="s">
        <v>1290</v>
      </c>
      <c r="B777" s="5" t="str">
        <f>GetAddress(A777)</f>
        <v>\\chno0276\Aseguranza de Calidad\Control de Documentos\Doc. controlados PDF\Control Plans\MICROMINI\CHANGE-OUT\CP-CHGO-016   X8651648P.pdf</v>
      </c>
      <c r="C777" s="5" t="str">
        <f>MID(B777,LEN(B777) - FIND(".",REVERSETEXT(B777))+2,1000)</f>
        <v>pdf</v>
      </c>
      <c r="D777" s="6">
        <v>9</v>
      </c>
      <c r="E777" s="7" t="s">
        <v>873</v>
      </c>
      <c r="F777" s="7" t="s">
        <v>256</v>
      </c>
      <c r="G777" s="8" t="s">
        <v>23</v>
      </c>
      <c r="H777" s="8">
        <v>5</v>
      </c>
      <c r="I777" s="8" t="s">
        <v>24</v>
      </c>
      <c r="J777" s="8">
        <v>12</v>
      </c>
      <c r="K777" s="8" t="s">
        <v>25</v>
      </c>
      <c r="L777" s="8">
        <v>4</v>
      </c>
      <c r="M777" s="7" t="s">
        <v>26</v>
      </c>
      <c r="N777" s="7" t="s">
        <v>1291</v>
      </c>
      <c r="O777" s="9">
        <v>41187</v>
      </c>
      <c r="P777" s="7" t="s">
        <v>27</v>
      </c>
      <c r="Q777" s="13" t="s">
        <v>1292</v>
      </c>
      <c r="R777" s="7" t="s">
        <v>1252</v>
      </c>
      <c r="S777" s="8" t="s">
        <v>1253</v>
      </c>
      <c r="T777" s="7"/>
      <c r="U777" s="7"/>
      <c r="V777" s="7"/>
    </row>
    <row r="778" spans="1:22">
      <c r="A778" s="5" t="s">
        <v>1293</v>
      </c>
      <c r="B778" s="5" t="str">
        <f>GetAddress(A778)</f>
        <v>\\chno0276\Aseguranza de Calidad\Control de Documentos\Doc. controlados PDF\Control Plans\MICROMINI\CHANGE-OUT\CP-CHGO-017  X8653325.pdf</v>
      </c>
      <c r="C778" s="5" t="str">
        <f>MID(B778,LEN(B778) - FIND(".",REVERSETEXT(B778))+2,1000)</f>
        <v>pdf</v>
      </c>
      <c r="D778" s="6">
        <v>9</v>
      </c>
      <c r="E778" s="7" t="s">
        <v>873</v>
      </c>
      <c r="F778" s="7" t="s">
        <v>256</v>
      </c>
      <c r="G778" s="8" t="s">
        <v>23</v>
      </c>
      <c r="H778" s="8">
        <v>5</v>
      </c>
      <c r="I778" s="8" t="s">
        <v>24</v>
      </c>
      <c r="J778" s="8">
        <v>12</v>
      </c>
      <c r="K778" s="8" t="s">
        <v>25</v>
      </c>
      <c r="L778" s="8">
        <v>4</v>
      </c>
      <c r="M778" s="7" t="s">
        <v>26</v>
      </c>
      <c r="N778" s="7" t="s">
        <v>1285</v>
      </c>
      <c r="O778" s="9">
        <v>41191</v>
      </c>
      <c r="P778" s="7" t="s">
        <v>27</v>
      </c>
      <c r="Q778" s="13" t="s">
        <v>1294</v>
      </c>
      <c r="R778" s="7" t="s">
        <v>1252</v>
      </c>
      <c r="S778" s="8" t="s">
        <v>1253</v>
      </c>
      <c r="T778" s="7"/>
      <c r="U778" s="7"/>
      <c r="V778" s="7"/>
    </row>
    <row r="779" spans="1:22">
      <c r="A779" s="5" t="s">
        <v>1295</v>
      </c>
      <c r="B779" s="5" t="str">
        <f>GetAddress(A779)</f>
        <v>\\chno0276\Aseguranza de Calidad\Control de Documentos\Doc. controlados PDF\Control Plans\MICROMINI\CHANGE-OUT\CP-CHGO-018     X8653382P.pdf</v>
      </c>
      <c r="C779" s="5" t="str">
        <f>MID(B779,LEN(B779) - FIND(".",REVERSETEXT(B779))+2,1000)</f>
        <v>pdf</v>
      </c>
      <c r="D779" s="6">
        <v>9</v>
      </c>
      <c r="E779" s="7" t="s">
        <v>873</v>
      </c>
      <c r="F779" s="7" t="s">
        <v>256</v>
      </c>
      <c r="G779" s="8" t="s">
        <v>23</v>
      </c>
      <c r="H779" s="8">
        <v>5</v>
      </c>
      <c r="I779" s="8" t="s">
        <v>24</v>
      </c>
      <c r="J779" s="8">
        <v>12</v>
      </c>
      <c r="K779" s="8" t="s">
        <v>25</v>
      </c>
      <c r="L779" s="8">
        <v>4</v>
      </c>
      <c r="M779" s="7" t="s">
        <v>26</v>
      </c>
      <c r="N779" s="7" t="s">
        <v>1296</v>
      </c>
      <c r="O779" s="9">
        <v>41191</v>
      </c>
      <c r="P779" s="7" t="s">
        <v>27</v>
      </c>
      <c r="Q779" s="13" t="s">
        <v>1297</v>
      </c>
      <c r="R779" s="7" t="s">
        <v>1252</v>
      </c>
      <c r="S779" s="8" t="s">
        <v>1253</v>
      </c>
      <c r="T779" s="7"/>
      <c r="U779" s="7"/>
      <c r="V779" s="7"/>
    </row>
    <row r="780" spans="1:22" ht="89.25">
      <c r="A780" s="5" t="s">
        <v>1298</v>
      </c>
      <c r="B780" s="5" t="str">
        <f>GetAddress(A780)</f>
        <v>\\chno0276\Aseguranza de Calidad\Control de Documentos\Doc. controlados PDF\Control Plans\MICROMINI\CHANGE-OUT\CP-CHGO-019    X8653568P.pdf</v>
      </c>
      <c r="C780" s="5" t="str">
        <f>MID(B780,LEN(B780) - FIND(".",REVERSETEXT(B780))+2,1000)</f>
        <v>pdf</v>
      </c>
      <c r="D780" s="6">
        <v>9</v>
      </c>
      <c r="E780" s="7" t="s">
        <v>873</v>
      </c>
      <c r="F780" s="7" t="s">
        <v>256</v>
      </c>
      <c r="G780" s="8" t="s">
        <v>23</v>
      </c>
      <c r="H780" s="8">
        <v>5</v>
      </c>
      <c r="I780" s="8" t="s">
        <v>24</v>
      </c>
      <c r="J780" s="8">
        <v>12</v>
      </c>
      <c r="K780" s="8" t="s">
        <v>25</v>
      </c>
      <c r="L780" s="8">
        <v>4</v>
      </c>
      <c r="M780" s="7" t="s">
        <v>26</v>
      </c>
      <c r="N780" s="7" t="s">
        <v>1299</v>
      </c>
      <c r="O780" s="9">
        <v>41191</v>
      </c>
      <c r="P780" s="7" t="s">
        <v>27</v>
      </c>
      <c r="Q780" s="13" t="s">
        <v>1300</v>
      </c>
      <c r="R780" s="7" t="s">
        <v>1252</v>
      </c>
      <c r="S780" s="8" t="s">
        <v>1253</v>
      </c>
      <c r="T780" s="7"/>
      <c r="U780" s="7"/>
      <c r="V780" s="7"/>
    </row>
    <row r="781" spans="1:22" ht="153">
      <c r="A781" s="5" t="s">
        <v>1301</v>
      </c>
      <c r="B781" s="5" t="str">
        <f>GetAddress(A781)</f>
        <v>\\chno0276\Aseguranza de Calidad\Control de Documentos\Doc. controlados PDF\Control Plans\MICROMINI\CHANGE-OUT\CP-CHGO-020    X8653687P.pdf</v>
      </c>
      <c r="C781" s="5" t="str">
        <f>MID(B781,LEN(B781) - FIND(".",REVERSETEXT(B781))+2,1000)</f>
        <v>pdf</v>
      </c>
      <c r="D781" s="6">
        <v>9</v>
      </c>
      <c r="E781" s="7" t="s">
        <v>873</v>
      </c>
      <c r="F781" s="7" t="s">
        <v>256</v>
      </c>
      <c r="G781" s="8" t="s">
        <v>23</v>
      </c>
      <c r="H781" s="8">
        <v>5</v>
      </c>
      <c r="I781" s="8" t="s">
        <v>24</v>
      </c>
      <c r="J781" s="8">
        <v>12</v>
      </c>
      <c r="K781" s="8" t="s">
        <v>25</v>
      </c>
      <c r="L781" s="8">
        <v>4</v>
      </c>
      <c r="M781" s="7" t="s">
        <v>26</v>
      </c>
      <c r="N781" s="7" t="s">
        <v>1302</v>
      </c>
      <c r="O781" s="9">
        <v>41191</v>
      </c>
      <c r="P781" s="7" t="s">
        <v>27</v>
      </c>
      <c r="Q781" s="13" t="s">
        <v>1303</v>
      </c>
      <c r="R781" s="7" t="s">
        <v>1252</v>
      </c>
      <c r="S781" s="8" t="s">
        <v>1253</v>
      </c>
      <c r="T781" s="7"/>
      <c r="U781" s="7"/>
      <c r="V781" s="7"/>
    </row>
    <row r="782" spans="1:22" ht="63.75">
      <c r="A782" s="5" t="s">
        <v>1304</v>
      </c>
      <c r="B782" s="5" t="str">
        <f>GetAddress(A782)</f>
        <v>\\chno0276\Aseguranza de Calidad\Control de Documentos\Doc. controlados PDF\Control Plans\MICROMINI\CHANGE-OUT\CP-CHGO-021   X86521624P.pdf</v>
      </c>
      <c r="C782" s="5" t="str">
        <f>MID(B782,LEN(B782) - FIND(".",REVERSETEXT(B782))+2,1000)</f>
        <v>pdf</v>
      </c>
      <c r="D782" s="6">
        <v>9</v>
      </c>
      <c r="E782" s="7" t="s">
        <v>873</v>
      </c>
      <c r="F782" s="7" t="s">
        <v>256</v>
      </c>
      <c r="G782" s="8" t="s">
        <v>23</v>
      </c>
      <c r="H782" s="8">
        <v>5</v>
      </c>
      <c r="I782" s="8" t="s">
        <v>24</v>
      </c>
      <c r="J782" s="8">
        <v>12</v>
      </c>
      <c r="K782" s="8" t="s">
        <v>25</v>
      </c>
      <c r="L782" s="8">
        <v>4</v>
      </c>
      <c r="M782" s="7" t="s">
        <v>26</v>
      </c>
      <c r="N782" s="7" t="s">
        <v>1276</v>
      </c>
      <c r="O782" s="9">
        <v>41193</v>
      </c>
      <c r="P782" s="7" t="s">
        <v>27</v>
      </c>
      <c r="Q782" s="13" t="s">
        <v>1305</v>
      </c>
      <c r="R782" s="7" t="s">
        <v>1252</v>
      </c>
      <c r="S782" s="8" t="s">
        <v>1253</v>
      </c>
      <c r="T782" s="7"/>
      <c r="U782" s="7"/>
      <c r="V782" s="7"/>
    </row>
    <row r="783" spans="1:22">
      <c r="A783" s="5" t="s">
        <v>1306</v>
      </c>
      <c r="B783" s="5" t="str">
        <f>GetAddress(A783)</f>
        <v>\\chno0276\Aseguranza de Calidad\Control de Documentos\Doc. controlados PDF\Control Plans\MICROMINI\CHANGE-OUT\CP-CHGO-022   X86531621P.pdf</v>
      </c>
      <c r="C783" s="5" t="str">
        <f>MID(B783,LEN(B783) - FIND(".",REVERSETEXT(B783))+2,1000)</f>
        <v>pdf</v>
      </c>
      <c r="D783" s="6">
        <v>9</v>
      </c>
      <c r="E783" s="7" t="s">
        <v>873</v>
      </c>
      <c r="F783" s="7" t="s">
        <v>256</v>
      </c>
      <c r="G783" s="8" t="s">
        <v>23</v>
      </c>
      <c r="H783" s="8">
        <v>5</v>
      </c>
      <c r="I783" s="8" t="s">
        <v>24</v>
      </c>
      <c r="J783" s="8">
        <v>12</v>
      </c>
      <c r="K783" s="8" t="s">
        <v>25</v>
      </c>
      <c r="L783" s="8">
        <v>4</v>
      </c>
      <c r="M783" s="7" t="s">
        <v>26</v>
      </c>
      <c r="N783" s="7" t="s">
        <v>1307</v>
      </c>
      <c r="O783" s="9">
        <v>41193</v>
      </c>
      <c r="P783" s="7" t="s">
        <v>27</v>
      </c>
      <c r="Q783" s="7" t="s">
        <v>1308</v>
      </c>
      <c r="R783" s="7" t="s">
        <v>1252</v>
      </c>
      <c r="S783" s="8" t="s">
        <v>1253</v>
      </c>
      <c r="T783" s="7"/>
      <c r="U783" s="7"/>
      <c r="V783" s="7"/>
    </row>
    <row r="784" spans="1:22">
      <c r="A784" s="5" t="s">
        <v>1089</v>
      </c>
      <c r="B784" s="5" t="str">
        <f>GetAddress(A784)</f>
        <v>\\CHNO0276\Aseguranza de Calidad\Control de Documentos\Doc. controlados PDF\Control Plans\ITRON\MILTICELL A&amp;B\CP-IMB-001 Rev. A (CON-1300-005  00628-2304-0001  28-2305-0001) (5).pdf</v>
      </c>
      <c r="C784" s="5" t="str">
        <f>MID(B784,LEN(B784) - FIND(".",REVERSETEXT(B784))+2,1000)</f>
        <v>pdf</v>
      </c>
      <c r="D784" s="6">
        <v>9</v>
      </c>
      <c r="E784" s="7" t="s">
        <v>873</v>
      </c>
      <c r="F784" s="7" t="s">
        <v>256</v>
      </c>
      <c r="G784" s="8" t="s">
        <v>23</v>
      </c>
      <c r="H784" s="8">
        <v>5</v>
      </c>
      <c r="I784" s="8" t="s">
        <v>257</v>
      </c>
      <c r="J784" s="8">
        <v>9</v>
      </c>
      <c r="K784" s="8" t="s">
        <v>1090</v>
      </c>
      <c r="L784" s="8">
        <v>9</v>
      </c>
      <c r="M784" s="7" t="s">
        <v>1091</v>
      </c>
      <c r="N784" s="7" t="s">
        <v>1092</v>
      </c>
      <c r="O784" s="9">
        <v>41142</v>
      </c>
      <c r="P784" s="7" t="s">
        <v>27</v>
      </c>
      <c r="Q784" s="7" t="s">
        <v>1093</v>
      </c>
      <c r="R784" s="13" t="s">
        <v>879</v>
      </c>
      <c r="S784" s="26" t="s">
        <v>880</v>
      </c>
      <c r="T784" s="9">
        <v>41142</v>
      </c>
      <c r="U784" s="7"/>
      <c r="V784" s="7"/>
    </row>
    <row r="785" spans="1:22">
      <c r="A785" s="5" t="s">
        <v>1585</v>
      </c>
      <c r="B785" s="5" t="str">
        <f>GetAddress(A785)</f>
        <v>\\CHNO0276\Aseguranza de Calidad\Control de Documentos\Doc. controlados PDF\Control Plans\MOLDEO\MOLDEO MOORPARK\CP-MRPK-001 Rev. A   096-0278-001.pdf</v>
      </c>
      <c r="C785" s="5" t="str">
        <f>MID(B785,LEN(B785) - FIND(".",REVERSETEXT(B785))+2,1000)</f>
        <v>pdf</v>
      </c>
      <c r="D785" s="6">
        <v>9</v>
      </c>
      <c r="E785" s="7" t="s">
        <v>873</v>
      </c>
      <c r="F785" s="7" t="s">
        <v>256</v>
      </c>
      <c r="G785" s="8" t="s">
        <v>23</v>
      </c>
      <c r="H785" s="8">
        <v>5</v>
      </c>
      <c r="I785" s="8" t="s">
        <v>469</v>
      </c>
      <c r="J785" s="8">
        <v>13</v>
      </c>
      <c r="K785" s="8" t="s">
        <v>470</v>
      </c>
      <c r="L785" s="8">
        <v>15</v>
      </c>
      <c r="M785" s="7" t="s">
        <v>471</v>
      </c>
      <c r="N785" s="7" t="s">
        <v>1586</v>
      </c>
      <c r="O785" s="9">
        <v>41081</v>
      </c>
      <c r="P785" s="7" t="s">
        <v>27</v>
      </c>
      <c r="Q785" s="7" t="s">
        <v>1587</v>
      </c>
      <c r="R785" s="7" t="s">
        <v>1583</v>
      </c>
      <c r="S785" s="8" t="s">
        <v>1584</v>
      </c>
      <c r="T785" s="9">
        <v>41081</v>
      </c>
      <c r="U785" s="7"/>
      <c r="V785" s="7"/>
    </row>
    <row r="786" spans="1:22">
      <c r="A786" s="5" t="s">
        <v>1718</v>
      </c>
      <c r="B786" s="5" t="str">
        <f>GetAddress(A786)</f>
        <v>\\chno0276\Aseguranza de Calidad\Control de Documentos\Doc. controlados PDF\Control Plans\MICROMINI\MS\CP-MS-001  568055-J.pdf</v>
      </c>
      <c r="C786" s="5" t="str">
        <f>MID(B786,LEN(B786) - FIND(".",REVERSETEXT(B786))+2,1000)</f>
        <v>pdf</v>
      </c>
      <c r="D786" s="6">
        <v>9</v>
      </c>
      <c r="E786" s="7" t="s">
        <v>873</v>
      </c>
      <c r="F786" s="7" t="s">
        <v>256</v>
      </c>
      <c r="G786" s="8" t="s">
        <v>23</v>
      </c>
      <c r="H786" s="8">
        <v>5</v>
      </c>
      <c r="I786" s="8" t="s">
        <v>24</v>
      </c>
      <c r="J786" s="8">
        <v>12</v>
      </c>
      <c r="K786" s="8" t="s">
        <v>515</v>
      </c>
      <c r="L786" s="8">
        <v>16</v>
      </c>
      <c r="M786" s="7" t="s">
        <v>515</v>
      </c>
      <c r="N786" s="7" t="s">
        <v>1719</v>
      </c>
      <c r="O786" s="9">
        <v>41064</v>
      </c>
      <c r="P786" s="9" t="s">
        <v>46</v>
      </c>
      <c r="Q786" s="7" t="s">
        <v>1720</v>
      </c>
      <c r="R786" s="7" t="s">
        <v>1583</v>
      </c>
      <c r="S786" s="8" t="s">
        <v>1584</v>
      </c>
      <c r="T786" s="9"/>
      <c r="U786" s="7"/>
      <c r="V786" s="7"/>
    </row>
    <row r="787" spans="1:22">
      <c r="A787" s="5" t="s">
        <v>1721</v>
      </c>
      <c r="B787" s="5" t="str">
        <f>GetAddress(A787)</f>
        <v>\\chno0276\Aseguranza de Calidad\Control de Documentos\Doc. controlados PDF\Control Plans\MICROMINI\MS\CP-MS-002  568055.pdf</v>
      </c>
      <c r="C787" s="5" t="str">
        <f>MID(B787,LEN(B787) - FIND(".",REVERSETEXT(B787))+2,1000)</f>
        <v>pdf</v>
      </c>
      <c r="D787" s="6">
        <v>9</v>
      </c>
      <c r="E787" s="7" t="s">
        <v>873</v>
      </c>
      <c r="F787" s="7" t="s">
        <v>256</v>
      </c>
      <c r="G787" s="8" t="s">
        <v>23</v>
      </c>
      <c r="H787" s="8">
        <v>5</v>
      </c>
      <c r="I787" s="8" t="s">
        <v>24</v>
      </c>
      <c r="J787" s="8">
        <v>12</v>
      </c>
      <c r="K787" s="8" t="s">
        <v>515</v>
      </c>
      <c r="L787" s="8">
        <v>16</v>
      </c>
      <c r="M787" s="7" t="s">
        <v>515</v>
      </c>
      <c r="N787" s="7" t="s">
        <v>1722</v>
      </c>
      <c r="O787" s="9">
        <v>41019</v>
      </c>
      <c r="P787" s="7" t="s">
        <v>27</v>
      </c>
      <c r="Q787" s="7">
        <v>568055</v>
      </c>
      <c r="R787" s="7" t="s">
        <v>1583</v>
      </c>
      <c r="S787" s="8" t="s">
        <v>1584</v>
      </c>
      <c r="T787" s="9"/>
      <c r="U787" s="7"/>
      <c r="V787" s="7"/>
    </row>
    <row r="788" spans="1:22">
      <c r="A788" s="5" t="s">
        <v>1723</v>
      </c>
      <c r="B788" s="5" t="str">
        <f>GetAddress(A788)</f>
        <v>\\chno0276\Aseguranza de Calidad\Control de Documentos\Doc. controlados PDF\Control Plans\MICROMINI\MS\CP-MS-003  CHK08022110X.pdf</v>
      </c>
      <c r="C788" s="5" t="str">
        <f>MID(B788,LEN(B788) - FIND(".",REVERSETEXT(B788))+2,1000)</f>
        <v>pdf</v>
      </c>
      <c r="D788" s="6">
        <v>9</v>
      </c>
      <c r="E788" s="7" t="s">
        <v>873</v>
      </c>
      <c r="F788" s="7" t="s">
        <v>256</v>
      </c>
      <c r="G788" s="8" t="s">
        <v>23</v>
      </c>
      <c r="H788" s="8">
        <v>5</v>
      </c>
      <c r="I788" s="8" t="s">
        <v>24</v>
      </c>
      <c r="J788" s="8">
        <v>12</v>
      </c>
      <c r="K788" s="8" t="s">
        <v>515</v>
      </c>
      <c r="L788" s="8">
        <v>16</v>
      </c>
      <c r="M788" s="7" t="s">
        <v>515</v>
      </c>
      <c r="N788" s="7" t="s">
        <v>1448</v>
      </c>
      <c r="O788" s="9">
        <v>41019</v>
      </c>
      <c r="P788" s="7" t="s">
        <v>27</v>
      </c>
      <c r="Q788" s="7" t="s">
        <v>1724</v>
      </c>
      <c r="R788" s="7" t="s">
        <v>1583</v>
      </c>
      <c r="S788" s="8" t="s">
        <v>1584</v>
      </c>
      <c r="T788" s="9"/>
      <c r="U788" s="7"/>
      <c r="V788" s="7"/>
    </row>
    <row r="789" spans="1:22">
      <c r="A789" s="5" t="s">
        <v>1725</v>
      </c>
      <c r="B789" s="5" t="str">
        <f>GetAddress(A789)</f>
        <v>\\chno0276\Aseguranza de Calidad\Control de Documentos\Doc. controlados PDF\Control Plans\MICROMINI\MS\CP-MS-004  568055-E.pdf</v>
      </c>
      <c r="C789" s="5" t="str">
        <f>MID(B789,LEN(B789) - FIND(".",REVERSETEXT(B789))+2,1000)</f>
        <v>pdf</v>
      </c>
      <c r="D789" s="6">
        <v>9</v>
      </c>
      <c r="E789" s="7" t="s">
        <v>873</v>
      </c>
      <c r="F789" s="7" t="s">
        <v>256</v>
      </c>
      <c r="G789" s="8" t="s">
        <v>23</v>
      </c>
      <c r="H789" s="8">
        <v>5</v>
      </c>
      <c r="I789" s="8" t="s">
        <v>24</v>
      </c>
      <c r="J789" s="8">
        <v>12</v>
      </c>
      <c r="K789" s="8" t="s">
        <v>515</v>
      </c>
      <c r="L789" s="8">
        <v>16</v>
      </c>
      <c r="M789" s="7" t="s">
        <v>515</v>
      </c>
      <c r="N789" s="7" t="s">
        <v>1719</v>
      </c>
      <c r="O789" s="35">
        <v>41064</v>
      </c>
      <c r="P789" s="7" t="s">
        <v>27</v>
      </c>
      <c r="Q789" s="7" t="s">
        <v>1726</v>
      </c>
      <c r="R789" s="7" t="s">
        <v>1583</v>
      </c>
      <c r="S789" s="8" t="s">
        <v>1584</v>
      </c>
      <c r="T789" s="9"/>
      <c r="U789" s="7"/>
      <c r="V789" s="7"/>
    </row>
    <row r="790" spans="1:22">
      <c r="A790" s="5" t="s">
        <v>1727</v>
      </c>
      <c r="B790" s="5" t="str">
        <f>GetAddress(A790)</f>
        <v>\\chno0276\Aseguranza de Calidad\Control de Documentos\Doc. controlados PDF\Control Plans\MICROMINI\MS\CP-MS-005  P15-32302C.pdf</v>
      </c>
      <c r="C790" s="5" t="str">
        <f>MID(B790,LEN(B790) - FIND(".",REVERSETEXT(B790))+2,1000)</f>
        <v>pdf</v>
      </c>
      <c r="D790" s="6">
        <v>9</v>
      </c>
      <c r="E790" s="7" t="s">
        <v>873</v>
      </c>
      <c r="F790" s="7" t="s">
        <v>256</v>
      </c>
      <c r="G790" s="8" t="s">
        <v>23</v>
      </c>
      <c r="H790" s="8">
        <v>5</v>
      </c>
      <c r="I790" s="8" t="s">
        <v>24</v>
      </c>
      <c r="J790" s="8">
        <v>12</v>
      </c>
      <c r="K790" s="8" t="s">
        <v>515</v>
      </c>
      <c r="L790" s="8">
        <v>16</v>
      </c>
      <c r="M790" s="7" t="s">
        <v>515</v>
      </c>
      <c r="N790" s="7" t="s">
        <v>1728</v>
      </c>
      <c r="O790" s="9">
        <v>41017</v>
      </c>
      <c r="P790" s="7" t="s">
        <v>27</v>
      </c>
      <c r="Q790" s="7" t="s">
        <v>1729</v>
      </c>
      <c r="R790" s="7" t="s">
        <v>1583</v>
      </c>
      <c r="S790" s="8" t="s">
        <v>1584</v>
      </c>
      <c r="T790" s="9"/>
      <c r="U790" s="7"/>
      <c r="V790" s="7"/>
    </row>
    <row r="791" spans="1:22">
      <c r="A791" s="5" t="s">
        <v>1730</v>
      </c>
      <c r="B791" s="5" t="str">
        <f>GetAddress(A791)</f>
        <v>\\chno0276\Aseguranza de Calidad\Control de Documentos\Documentos controlados\CN-QAAS (Aseguranza de calidad)\Control Plans\MICROMINI\MS\CP-MS-007 Rev. A 568055-H.xlsx</v>
      </c>
      <c r="C791" s="5" t="str">
        <f>MID(B791,LEN(B791) - FIND(".",REVERSETEXT(B791))+2,1000)</f>
        <v>xlsx</v>
      </c>
      <c r="D791" s="6">
        <v>9</v>
      </c>
      <c r="E791" s="7" t="s">
        <v>873</v>
      </c>
      <c r="F791" s="7" t="s">
        <v>256</v>
      </c>
      <c r="G791" s="8" t="s">
        <v>23</v>
      </c>
      <c r="H791" s="8">
        <v>5</v>
      </c>
      <c r="I791" s="8" t="s">
        <v>24</v>
      </c>
      <c r="J791" s="8">
        <v>12</v>
      </c>
      <c r="K791" s="8" t="s">
        <v>515</v>
      </c>
      <c r="L791" s="8">
        <v>16</v>
      </c>
      <c r="M791" s="7" t="s">
        <v>515</v>
      </c>
      <c r="N791" s="7" t="s">
        <v>1731</v>
      </c>
      <c r="O791" s="9">
        <v>41064</v>
      </c>
      <c r="P791" s="7" t="s">
        <v>27</v>
      </c>
      <c r="Q791" s="7" t="s">
        <v>1732</v>
      </c>
      <c r="R791" s="7" t="s">
        <v>1583</v>
      </c>
      <c r="S791" s="8" t="s">
        <v>1584</v>
      </c>
      <c r="T791" s="9"/>
      <c r="U791" s="7"/>
      <c r="V791" s="7"/>
    </row>
    <row r="792" spans="1:22">
      <c r="A792" s="5" t="s">
        <v>1733</v>
      </c>
      <c r="B792" s="5" t="str">
        <f>GetAddress(A792)</f>
        <v>\\chno0276\Aseguranza de Calidad\Control de Documentos\Doc. controlados PDF\Control Plans\MICROMINI\MS\CP-MS-008  CH504148B-A.pdf</v>
      </c>
      <c r="C792" s="5" t="str">
        <f>MID(B792,LEN(B792) - FIND(".",REVERSETEXT(B792))+2,1000)</f>
        <v>pdf</v>
      </c>
      <c r="D792" s="6">
        <v>9</v>
      </c>
      <c r="E792" s="7" t="s">
        <v>873</v>
      </c>
      <c r="F792" s="7" t="s">
        <v>256</v>
      </c>
      <c r="G792" s="8" t="s">
        <v>23</v>
      </c>
      <c r="H792" s="8">
        <v>5</v>
      </c>
      <c r="I792" s="8" t="s">
        <v>24</v>
      </c>
      <c r="J792" s="8">
        <v>12</v>
      </c>
      <c r="K792" s="8" t="s">
        <v>515</v>
      </c>
      <c r="L792" s="8">
        <v>16</v>
      </c>
      <c r="M792" s="7" t="s">
        <v>515</v>
      </c>
      <c r="N792" s="7" t="s">
        <v>1734</v>
      </c>
      <c r="O792" s="9">
        <v>41102</v>
      </c>
      <c r="P792" s="7" t="s">
        <v>46</v>
      </c>
      <c r="Q792" s="7" t="s">
        <v>1735</v>
      </c>
      <c r="R792" s="7" t="s">
        <v>1583</v>
      </c>
      <c r="S792" s="8" t="s">
        <v>1584</v>
      </c>
      <c r="T792" s="7"/>
      <c r="U792" s="7"/>
      <c r="V792" s="7"/>
    </row>
    <row r="793" spans="1:22">
      <c r="A793" s="5" t="s">
        <v>1736</v>
      </c>
      <c r="B793" s="5" t="str">
        <f>GetAddress(A793)</f>
        <v>\\chno0276\Aseguranza de Calidad\Control de Documentos\Doc. controlados PDF\Control Plans\MICROMINI\MS\CP-MS-009  CH5041490B.pdf</v>
      </c>
      <c r="C793" s="5" t="str">
        <f>MID(B793,LEN(B793) - FIND(".",REVERSETEXT(B793))+2,1000)</f>
        <v>pdf</v>
      </c>
      <c r="D793" s="6">
        <v>9</v>
      </c>
      <c r="E793" s="7" t="s">
        <v>873</v>
      </c>
      <c r="F793" s="7" t="s">
        <v>256</v>
      </c>
      <c r="G793" s="8" t="s">
        <v>23</v>
      </c>
      <c r="H793" s="8">
        <v>5</v>
      </c>
      <c r="I793" s="8" t="s">
        <v>24</v>
      </c>
      <c r="J793" s="8">
        <v>12</v>
      </c>
      <c r="K793" s="8" t="s">
        <v>515</v>
      </c>
      <c r="L793" s="8">
        <v>16</v>
      </c>
      <c r="M793" s="7" t="s">
        <v>515</v>
      </c>
      <c r="N793" s="7" t="s">
        <v>1734</v>
      </c>
      <c r="O793" s="9">
        <v>40995</v>
      </c>
      <c r="P793" s="7" t="s">
        <v>27</v>
      </c>
      <c r="Q793" s="7" t="s">
        <v>1737</v>
      </c>
      <c r="R793" s="7" t="s">
        <v>1583</v>
      </c>
      <c r="S793" s="8" t="s">
        <v>1584</v>
      </c>
      <c r="T793" s="7"/>
      <c r="U793" s="7"/>
      <c r="V793" s="7"/>
    </row>
    <row r="794" spans="1:22">
      <c r="A794" s="5" t="s">
        <v>1738</v>
      </c>
      <c r="B794" s="5" t="str">
        <f>GetAddress(A794)</f>
        <v>\\chno0276\Aseguranza de Calidad\Control de Documentos\Doc. controlados PDF\Control Plans\MICROMINI\MS\CP-MS-010  CH5041497B.pdf</v>
      </c>
      <c r="C794" s="5" t="str">
        <f>MID(B794,LEN(B794) - FIND(".",REVERSETEXT(B794))+2,1000)</f>
        <v>pdf</v>
      </c>
      <c r="D794" s="6">
        <v>9</v>
      </c>
      <c r="E794" s="7" t="s">
        <v>873</v>
      </c>
      <c r="F794" s="7" t="s">
        <v>256</v>
      </c>
      <c r="G794" s="8" t="s">
        <v>23</v>
      </c>
      <c r="H794" s="8">
        <v>5</v>
      </c>
      <c r="I794" s="8" t="s">
        <v>24</v>
      </c>
      <c r="J794" s="8">
        <v>12</v>
      </c>
      <c r="K794" s="8" t="s">
        <v>515</v>
      </c>
      <c r="L794" s="8">
        <v>16</v>
      </c>
      <c r="M794" s="7" t="s">
        <v>515</v>
      </c>
      <c r="N794" s="7" t="s">
        <v>1739</v>
      </c>
      <c r="O794" s="9">
        <v>41038</v>
      </c>
      <c r="P794" s="7" t="s">
        <v>27</v>
      </c>
      <c r="Q794" s="7" t="s">
        <v>1740</v>
      </c>
      <c r="R794" s="7" t="s">
        <v>1583</v>
      </c>
      <c r="S794" s="8" t="s">
        <v>1584</v>
      </c>
      <c r="T794" s="7"/>
      <c r="U794" s="7"/>
      <c r="V794" s="7"/>
    </row>
    <row r="795" spans="1:22">
      <c r="A795" s="5" t="s">
        <v>1741</v>
      </c>
      <c r="B795" s="5" t="str">
        <f>GetAddress(A795)</f>
        <v>\\chno0276\Aseguranza de Calidad\Control de Documentos\Doc. controlados PDF\Control Plans\MICROMINI\MS\CP-MS-011  568055-A.pdf</v>
      </c>
      <c r="C795" s="5" t="str">
        <f>MID(B795,LEN(B795) - FIND(".",REVERSETEXT(B795))+2,1000)</f>
        <v>pdf</v>
      </c>
      <c r="D795" s="6">
        <v>9</v>
      </c>
      <c r="E795" s="7" t="s">
        <v>873</v>
      </c>
      <c r="F795" s="7" t="s">
        <v>256</v>
      </c>
      <c r="G795" s="8" t="s">
        <v>23</v>
      </c>
      <c r="H795" s="8">
        <v>5</v>
      </c>
      <c r="I795" s="8" t="s">
        <v>24</v>
      </c>
      <c r="J795" s="8">
        <v>12</v>
      </c>
      <c r="K795" s="8" t="s">
        <v>515</v>
      </c>
      <c r="L795" s="8">
        <v>16</v>
      </c>
      <c r="M795" s="7" t="s">
        <v>515</v>
      </c>
      <c r="N795" s="7" t="s">
        <v>1742</v>
      </c>
      <c r="O795" s="9">
        <v>41102</v>
      </c>
      <c r="P795" s="7" t="s">
        <v>27</v>
      </c>
      <c r="Q795" s="7" t="s">
        <v>1743</v>
      </c>
      <c r="R795" s="7" t="s">
        <v>1583</v>
      </c>
      <c r="S795" s="8" t="s">
        <v>1584</v>
      </c>
      <c r="T795" s="7"/>
      <c r="U795" s="7"/>
      <c r="V795" s="7"/>
    </row>
    <row r="796" spans="1:22">
      <c r="A796" s="5" t="s">
        <v>1744</v>
      </c>
      <c r="B796" s="5" t="str">
        <f>GetAddress(A796)</f>
        <v>\\CHNO0276\Aseguranza de Calidad\Control de Documentos\Documentos controlados\CN-QAAS (Aseguranza de calidad)\Control Plans\MICROMINI\MS\CP-MS-012 Rev. A SP15-32302C.xlsx</v>
      </c>
      <c r="C796" s="5" t="str">
        <f>MID(B796,LEN(B796) - FIND(".",REVERSETEXT(B796))+2,1000)</f>
        <v>xlsx</v>
      </c>
      <c r="D796" s="6">
        <v>9</v>
      </c>
      <c r="E796" s="7" t="s">
        <v>873</v>
      </c>
      <c r="F796" s="7" t="s">
        <v>256</v>
      </c>
      <c r="G796" s="8" t="s">
        <v>23</v>
      </c>
      <c r="H796" s="8">
        <v>5</v>
      </c>
      <c r="I796" s="8" t="s">
        <v>24</v>
      </c>
      <c r="J796" s="8">
        <v>12</v>
      </c>
      <c r="K796" s="8" t="s">
        <v>515</v>
      </c>
      <c r="L796" s="8">
        <v>16</v>
      </c>
      <c r="M796" s="7" t="s">
        <v>515</v>
      </c>
      <c r="N796" s="7" t="s">
        <v>1745</v>
      </c>
      <c r="O796" s="9">
        <v>41117</v>
      </c>
      <c r="P796" s="7" t="s">
        <v>27</v>
      </c>
      <c r="Q796" s="7" t="s">
        <v>1746</v>
      </c>
      <c r="R796" s="7" t="s">
        <v>1583</v>
      </c>
      <c r="S796" s="8" t="s">
        <v>1584</v>
      </c>
      <c r="T796" s="7"/>
      <c r="U796" s="7"/>
      <c r="V796" s="7"/>
    </row>
    <row r="797" spans="1:22">
      <c r="A797" s="5" t="s">
        <v>1367</v>
      </c>
      <c r="B797" s="5" t="str">
        <f>GetAddress(A797)</f>
        <v>\\chno0276\Aseguranza de Calidad\Control de Documentos\Doc. controlados PDF\Control Plans\MICROMINI\MS\CP-MS-013  203205a.pdf</v>
      </c>
      <c r="C797" s="5" t="str">
        <f>MID(B797,LEN(B797) - FIND(".",REVERSETEXT(B797))+2,1000)</f>
        <v>pdf</v>
      </c>
      <c r="D797" s="6">
        <v>9</v>
      </c>
      <c r="E797" s="7" t="s">
        <v>873</v>
      </c>
      <c r="F797" s="7" t="s">
        <v>256</v>
      </c>
      <c r="G797" s="8" t="s">
        <v>23</v>
      </c>
      <c r="H797" s="8">
        <v>5</v>
      </c>
      <c r="I797" s="8" t="s">
        <v>24</v>
      </c>
      <c r="J797" s="8">
        <v>12</v>
      </c>
      <c r="K797" s="8" t="s">
        <v>515</v>
      </c>
      <c r="L797" s="8">
        <v>16</v>
      </c>
      <c r="M797" s="7" t="s">
        <v>515</v>
      </c>
      <c r="N797" s="7" t="s">
        <v>1368</v>
      </c>
      <c r="O797" s="9"/>
      <c r="P797" s="7" t="s">
        <v>27</v>
      </c>
      <c r="Q797" s="7" t="s">
        <v>1369</v>
      </c>
      <c r="R797" s="7" t="s">
        <v>1252</v>
      </c>
      <c r="S797" s="8" t="s">
        <v>1253</v>
      </c>
      <c r="T797" s="9">
        <v>41193</v>
      </c>
      <c r="U797" s="7"/>
      <c r="V797" s="7"/>
    </row>
    <row r="798" spans="1:22" ht="127.5">
      <c r="A798" s="5" t="s">
        <v>1370</v>
      </c>
      <c r="B798" s="5" t="str">
        <f>GetAddress(A798)</f>
        <v>\\chno0276\Aseguranza de Calidad\Control de Documentos\Doc. controlados PDF\Control Plans\MICROMINI\MS\CP-MS-014  5680551.pdf</v>
      </c>
      <c r="C798" s="5" t="str">
        <f>MID(B798,LEN(B798) - FIND(".",REVERSETEXT(B798))+2,1000)</f>
        <v>pdf</v>
      </c>
      <c r="D798" s="6">
        <v>9</v>
      </c>
      <c r="E798" s="7" t="s">
        <v>873</v>
      </c>
      <c r="F798" s="7" t="s">
        <v>256</v>
      </c>
      <c r="G798" s="8" t="s">
        <v>23</v>
      </c>
      <c r="H798" s="8">
        <v>5</v>
      </c>
      <c r="I798" s="8" t="s">
        <v>24</v>
      </c>
      <c r="J798" s="8">
        <v>12</v>
      </c>
      <c r="K798" s="8" t="s">
        <v>515</v>
      </c>
      <c r="L798" s="8">
        <v>16</v>
      </c>
      <c r="M798" s="7" t="s">
        <v>515</v>
      </c>
      <c r="N798" s="7" t="s">
        <v>1371</v>
      </c>
      <c r="O798" s="9"/>
      <c r="P798" s="7" t="s">
        <v>27</v>
      </c>
      <c r="Q798" s="13" t="s">
        <v>1372</v>
      </c>
      <c r="R798" s="7" t="s">
        <v>1252</v>
      </c>
      <c r="S798" s="8" t="s">
        <v>1253</v>
      </c>
      <c r="T798" s="9">
        <v>41193</v>
      </c>
      <c r="U798" s="7"/>
      <c r="V798" s="7"/>
    </row>
    <row r="799" spans="1:22" ht="102">
      <c r="A799" s="5" t="s">
        <v>1373</v>
      </c>
      <c r="B799" s="5" t="str">
        <f>GetAddress(A799)</f>
        <v>\\chno0276\Aseguranza de Calidad\Control de Documentos\Doc. controlados PDF\Control Plans\MICROMINI\MS\CP-MS-015  11613668 &amp; 11536313.pdf</v>
      </c>
      <c r="C799" s="5" t="str">
        <f>MID(B799,LEN(B799) - FIND(".",REVERSETEXT(B799))+2,1000)</f>
        <v>pdf</v>
      </c>
      <c r="D799" s="6">
        <v>9</v>
      </c>
      <c r="E799" s="7" t="s">
        <v>873</v>
      </c>
      <c r="F799" s="7" t="s">
        <v>256</v>
      </c>
      <c r="G799" s="8" t="s">
        <v>23</v>
      </c>
      <c r="H799" s="8">
        <v>5</v>
      </c>
      <c r="I799" s="8" t="s">
        <v>24</v>
      </c>
      <c r="J799" s="8">
        <v>12</v>
      </c>
      <c r="K799" s="8" t="s">
        <v>515</v>
      </c>
      <c r="L799" s="8">
        <v>16</v>
      </c>
      <c r="M799" s="7" t="s">
        <v>515</v>
      </c>
      <c r="N799" s="7" t="s">
        <v>1374</v>
      </c>
      <c r="O799" s="9"/>
      <c r="P799" s="7" t="s">
        <v>27</v>
      </c>
      <c r="Q799" s="13" t="s">
        <v>1375</v>
      </c>
      <c r="R799" s="7" t="s">
        <v>1252</v>
      </c>
      <c r="S799" s="8" t="s">
        <v>1253</v>
      </c>
      <c r="T799" s="9">
        <v>41193</v>
      </c>
      <c r="U799" s="7"/>
      <c r="V799" s="7"/>
    </row>
    <row r="800" spans="1:22" ht="102">
      <c r="A800" s="5" t="s">
        <v>1376</v>
      </c>
      <c r="B800" s="5" t="str">
        <f>GetAddress(A800)</f>
        <v>\\chno0276\Aseguranza de Calidad\Control de Documentos\Doc. controlados PDF\Control Plans\MICROMINI\MS\CP-MS-016   11547793.pdf</v>
      </c>
      <c r="C800" s="5" t="str">
        <f>MID(B800,LEN(B800) - FIND(".",REVERSETEXT(B800))+2,1000)</f>
        <v>pdf</v>
      </c>
      <c r="D800" s="6">
        <v>9</v>
      </c>
      <c r="E800" s="7" t="s">
        <v>873</v>
      </c>
      <c r="F800" s="7" t="s">
        <v>256</v>
      </c>
      <c r="G800" s="8" t="s">
        <v>23</v>
      </c>
      <c r="H800" s="8">
        <v>5</v>
      </c>
      <c r="I800" s="8" t="s">
        <v>24</v>
      </c>
      <c r="J800" s="8">
        <v>12</v>
      </c>
      <c r="K800" s="8" t="s">
        <v>515</v>
      </c>
      <c r="L800" s="8">
        <v>16</v>
      </c>
      <c r="M800" s="7" t="s">
        <v>515</v>
      </c>
      <c r="N800" s="7" t="s">
        <v>1377</v>
      </c>
      <c r="O800" s="9"/>
      <c r="P800" s="7" t="s">
        <v>27</v>
      </c>
      <c r="Q800" s="13" t="s">
        <v>1378</v>
      </c>
      <c r="R800" s="7" t="s">
        <v>1252</v>
      </c>
      <c r="S800" s="8" t="s">
        <v>1253</v>
      </c>
      <c r="T800" s="9">
        <v>41193</v>
      </c>
      <c r="U800" s="7"/>
      <c r="V800" s="7"/>
    </row>
    <row r="801" spans="1:22" ht="63.75">
      <c r="A801" s="5" t="s">
        <v>1379</v>
      </c>
      <c r="B801" s="5" t="str">
        <f>GetAddress(A801)</f>
        <v>\\chno0276\Aseguranza de Calidad\Control de Documentos\Doc. controlados PDF\Control Plans\MICROMINI\MS\CP-MS-017  CH5041495B0360.pdf</v>
      </c>
      <c r="C801" s="5" t="str">
        <f>MID(B801,LEN(B801) - FIND(".",REVERSETEXT(B801))+2,1000)</f>
        <v>pdf</v>
      </c>
      <c r="D801" s="6">
        <v>9</v>
      </c>
      <c r="E801" s="7" t="s">
        <v>873</v>
      </c>
      <c r="F801" s="7" t="s">
        <v>256</v>
      </c>
      <c r="G801" s="8" t="s">
        <v>23</v>
      </c>
      <c r="H801" s="8">
        <v>5</v>
      </c>
      <c r="I801" s="8" t="s">
        <v>24</v>
      </c>
      <c r="J801" s="8">
        <v>12</v>
      </c>
      <c r="K801" s="8" t="s">
        <v>515</v>
      </c>
      <c r="L801" s="8">
        <v>16</v>
      </c>
      <c r="M801" s="7" t="s">
        <v>515</v>
      </c>
      <c r="N801" s="7" t="s">
        <v>1374</v>
      </c>
      <c r="O801" s="9"/>
      <c r="P801" s="7" t="s">
        <v>27</v>
      </c>
      <c r="Q801" s="13" t="s">
        <v>1380</v>
      </c>
      <c r="R801" s="7" t="s">
        <v>1252</v>
      </c>
      <c r="S801" s="8" t="s">
        <v>1253</v>
      </c>
      <c r="T801" s="9">
        <v>41193</v>
      </c>
      <c r="U801" s="7"/>
      <c r="V801" s="7"/>
    </row>
    <row r="802" spans="1:22" ht="51">
      <c r="A802" s="5" t="s">
        <v>1381</v>
      </c>
      <c r="B802" s="5" t="str">
        <f>GetAddress(A802)</f>
        <v>\\chno0276\Aseguranza de Calidad\Control de Documentos\Doc. controlados PDF\Control Plans\MICROMINI\MS\CP-MS-018  CHCCR003P.pdf</v>
      </c>
      <c r="C802" s="5" t="str">
        <f>MID(B802,LEN(B802) - FIND(".",REVERSETEXT(B802))+2,1000)</f>
        <v>pdf</v>
      </c>
      <c r="D802" s="6">
        <v>9</v>
      </c>
      <c r="E802" s="7" t="s">
        <v>873</v>
      </c>
      <c r="F802" s="7" t="s">
        <v>256</v>
      </c>
      <c r="G802" s="8" t="s">
        <v>23</v>
      </c>
      <c r="H802" s="8">
        <v>5</v>
      </c>
      <c r="I802" s="8" t="s">
        <v>24</v>
      </c>
      <c r="J802" s="8">
        <v>12</v>
      </c>
      <c r="K802" s="8" t="s">
        <v>515</v>
      </c>
      <c r="L802" s="8">
        <v>16</v>
      </c>
      <c r="M802" s="7" t="s">
        <v>515</v>
      </c>
      <c r="N802" s="7" t="s">
        <v>1377</v>
      </c>
      <c r="O802" s="9"/>
      <c r="P802" s="7" t="s">
        <v>27</v>
      </c>
      <c r="Q802" s="13" t="s">
        <v>1382</v>
      </c>
      <c r="R802" s="7" t="s">
        <v>1252</v>
      </c>
      <c r="S802" s="8" t="s">
        <v>1253</v>
      </c>
      <c r="T802" s="9">
        <v>41193</v>
      </c>
      <c r="U802" s="7"/>
      <c r="V802" s="7"/>
    </row>
    <row r="803" spans="1:22">
      <c r="A803" s="5" t="s">
        <v>1383</v>
      </c>
      <c r="B803" s="5" t="str">
        <f>GetAddress(A803)</f>
        <v>\\chno0276\Aseguranza de Calidad\Control de Documentos\Doc. controlados PDF\Control Plans\MICROMINI\MS\CP-MS-019  M5E1811A230MH.pdf</v>
      </c>
      <c r="C803" s="5" t="str">
        <f>MID(B803,LEN(B803) - FIND(".",REVERSETEXT(B803))+2,1000)</f>
        <v>pdf</v>
      </c>
      <c r="D803" s="6">
        <v>9</v>
      </c>
      <c r="E803" s="7" t="s">
        <v>873</v>
      </c>
      <c r="F803" s="7" t="s">
        <v>256</v>
      </c>
      <c r="G803" s="8" t="s">
        <v>23</v>
      </c>
      <c r="H803" s="8">
        <v>5</v>
      </c>
      <c r="I803" s="8" t="s">
        <v>24</v>
      </c>
      <c r="J803" s="8">
        <v>12</v>
      </c>
      <c r="K803" s="8" t="s">
        <v>515</v>
      </c>
      <c r="L803" s="8">
        <v>16</v>
      </c>
      <c r="M803" s="7" t="s">
        <v>515</v>
      </c>
      <c r="N803" s="7" t="s">
        <v>1368</v>
      </c>
      <c r="O803" s="9"/>
      <c r="P803" s="7" t="s">
        <v>27</v>
      </c>
      <c r="Q803" s="13" t="s">
        <v>1384</v>
      </c>
      <c r="R803" s="7" t="s">
        <v>1252</v>
      </c>
      <c r="S803" s="8" t="s">
        <v>1253</v>
      </c>
      <c r="T803" s="9">
        <v>41193</v>
      </c>
      <c r="U803" s="7"/>
      <c r="V803" s="7"/>
    </row>
    <row r="804" spans="1:22" ht="38.25">
      <c r="A804" s="5" t="s">
        <v>1385</v>
      </c>
      <c r="B804" s="5" t="str">
        <f>GetAddress(A804)</f>
        <v>\\chno0276\Aseguranza de Calidad\Control de Documentos\Doc. controlados PDF\Control Plans\MICROMINI\MS\CP-MS-020   P1526042B130, P1529042B130, P1532302C21, P1532302C27.pdf</v>
      </c>
      <c r="C804" s="5" t="str">
        <f>MID(B804,LEN(B804) - FIND(".",REVERSETEXT(B804))+2,1000)</f>
        <v>pdf</v>
      </c>
      <c r="D804" s="6">
        <v>9</v>
      </c>
      <c r="E804" s="7" t="s">
        <v>873</v>
      </c>
      <c r="F804" s="7" t="s">
        <v>256</v>
      </c>
      <c r="G804" s="8" t="s">
        <v>23</v>
      </c>
      <c r="H804" s="8">
        <v>5</v>
      </c>
      <c r="I804" s="8" t="s">
        <v>24</v>
      </c>
      <c r="J804" s="8">
        <v>12</v>
      </c>
      <c r="K804" s="8" t="s">
        <v>515</v>
      </c>
      <c r="L804" s="8">
        <v>16</v>
      </c>
      <c r="M804" s="7" t="s">
        <v>515</v>
      </c>
      <c r="N804" s="7" t="s">
        <v>1386</v>
      </c>
      <c r="O804" s="9"/>
      <c r="P804" s="7" t="s">
        <v>27</v>
      </c>
      <c r="Q804" s="13" t="s">
        <v>1387</v>
      </c>
      <c r="R804" s="7" t="s">
        <v>1252</v>
      </c>
      <c r="S804" s="8" t="s">
        <v>1253</v>
      </c>
      <c r="T804" s="9">
        <v>41193</v>
      </c>
      <c r="U804" s="7"/>
      <c r="V804" s="7"/>
    </row>
    <row r="805" spans="1:22" ht="89.25">
      <c r="A805" s="5" t="s">
        <v>1388</v>
      </c>
      <c r="B805" s="5" t="str">
        <f>GetAddress(A805)</f>
        <v>\\chno0276\Aseguranza de Calidad\Control de Documentos\Doc. controlados PDF\Control Plans\MICROMINI\MS\CP-MS-021  SMEA0092010, SMEA0092025, SMEA0092030, SMEA0092040, SMEA0092045, SMEA0092050.pdf</v>
      </c>
      <c r="C805" s="5" t="str">
        <f>MID(B805,LEN(B805) - FIND(".",REVERSETEXT(B805))+2,1000)</f>
        <v>pdf</v>
      </c>
      <c r="D805" s="6">
        <v>9</v>
      </c>
      <c r="E805" s="7" t="s">
        <v>873</v>
      </c>
      <c r="F805" s="7" t="s">
        <v>256</v>
      </c>
      <c r="G805" s="8" t="s">
        <v>23</v>
      </c>
      <c r="H805" s="8">
        <v>5</v>
      </c>
      <c r="I805" s="8" t="s">
        <v>24</v>
      </c>
      <c r="J805" s="8">
        <v>12</v>
      </c>
      <c r="K805" s="8" t="s">
        <v>515</v>
      </c>
      <c r="L805" s="8">
        <v>16</v>
      </c>
      <c r="M805" s="7" t="s">
        <v>515</v>
      </c>
      <c r="N805" s="7" t="s">
        <v>1386</v>
      </c>
      <c r="O805" s="9"/>
      <c r="P805" s="7" t="s">
        <v>27</v>
      </c>
      <c r="Q805" s="13" t="s">
        <v>1389</v>
      </c>
      <c r="R805" s="7" t="s">
        <v>1252</v>
      </c>
      <c r="S805" s="8" t="s">
        <v>1253</v>
      </c>
      <c r="T805" s="9">
        <v>41193</v>
      </c>
      <c r="U805" s="7"/>
      <c r="V805" s="7"/>
    </row>
    <row r="806" spans="1:22" ht="25.5">
      <c r="A806" s="5" t="s">
        <v>1390</v>
      </c>
      <c r="B806" s="5" t="str">
        <f>GetAddress(A806)</f>
        <v>\\chno0276\Aseguranza de Calidad\Control de Documentos\Doc. controlados PDF\Control Plans\MICROMINI\MS\CP-MS-022  SMEA0094007, SMEA0094030.pdf</v>
      </c>
      <c r="C806" s="5" t="str">
        <f>MID(B806,LEN(B806) - FIND(".",REVERSETEXT(B806))+2,1000)</f>
        <v>pdf</v>
      </c>
      <c r="D806" s="6">
        <v>9</v>
      </c>
      <c r="E806" s="7" t="s">
        <v>873</v>
      </c>
      <c r="F806" s="7" t="s">
        <v>256</v>
      </c>
      <c r="G806" s="8" t="s">
        <v>23</v>
      </c>
      <c r="H806" s="8">
        <v>5</v>
      </c>
      <c r="I806" s="8" t="s">
        <v>24</v>
      </c>
      <c r="J806" s="8">
        <v>12</v>
      </c>
      <c r="K806" s="8" t="s">
        <v>515</v>
      </c>
      <c r="L806" s="8">
        <v>16</v>
      </c>
      <c r="M806" s="7" t="s">
        <v>515</v>
      </c>
      <c r="N806" s="7" t="s">
        <v>1391</v>
      </c>
      <c r="O806" s="9"/>
      <c r="P806" s="7" t="s">
        <v>27</v>
      </c>
      <c r="Q806" s="13" t="s">
        <v>1392</v>
      </c>
      <c r="R806" s="7" t="s">
        <v>1252</v>
      </c>
      <c r="S806" s="8" t="s">
        <v>1253</v>
      </c>
      <c r="T806" s="9">
        <v>41193</v>
      </c>
      <c r="U806" s="7"/>
      <c r="V806" s="7"/>
    </row>
    <row r="807" spans="1:22" ht="51">
      <c r="A807" s="5" t="s">
        <v>1393</v>
      </c>
      <c r="B807" s="5" t="str">
        <f>GetAddress(A807)</f>
        <v>\\chno0276\Aseguranza de Calidad\Control de Documentos\Doc. controlados PDF\Control Plans\MICROMINI\MS\CP-MS-023  SMEA0114007, 4010, 4015, 4030.pdf</v>
      </c>
      <c r="C807" s="5" t="str">
        <f>MID(B807,LEN(B807) - FIND(".",REVERSETEXT(B807))+2,1000)</f>
        <v>pdf</v>
      </c>
      <c r="D807" s="6">
        <v>9</v>
      </c>
      <c r="E807" s="7" t="s">
        <v>873</v>
      </c>
      <c r="F807" s="7" t="s">
        <v>256</v>
      </c>
      <c r="G807" s="8" t="s">
        <v>23</v>
      </c>
      <c r="H807" s="8">
        <v>5</v>
      </c>
      <c r="I807" s="8" t="s">
        <v>24</v>
      </c>
      <c r="J807" s="8">
        <v>12</v>
      </c>
      <c r="K807" s="8" t="s">
        <v>515</v>
      </c>
      <c r="L807" s="8">
        <v>16</v>
      </c>
      <c r="M807" s="7" t="s">
        <v>515</v>
      </c>
      <c r="N807" s="7" t="s">
        <v>1394</v>
      </c>
      <c r="O807" s="9"/>
      <c r="P807" s="7" t="s">
        <v>27</v>
      </c>
      <c r="Q807" s="13" t="s">
        <v>1395</v>
      </c>
      <c r="R807" s="7" t="s">
        <v>1252</v>
      </c>
      <c r="S807" s="8" t="s">
        <v>1253</v>
      </c>
      <c r="T807" s="9">
        <v>41193</v>
      </c>
      <c r="U807" s="7"/>
      <c r="V807" s="7"/>
    </row>
    <row r="808" spans="1:22" ht="76.5">
      <c r="A808" s="5" t="s">
        <v>1396</v>
      </c>
      <c r="B808" s="5" t="str">
        <f>GetAddress(A808)</f>
        <v>\\chno0276\Aseguranza de Calidad\Control de Documentos\Doc. controlados PDF\Control Plans\MICROMINI\MS\CP-MS-024  SMEA0115010, 5015, 5020, 5030, 5035, 5060.pdf</v>
      </c>
      <c r="C808" s="5" t="str">
        <f>MID(B808,LEN(B808) - FIND(".",REVERSETEXT(B808))+2,1000)</f>
        <v>pdf</v>
      </c>
      <c r="D808" s="6">
        <v>9</v>
      </c>
      <c r="E808" s="7" t="s">
        <v>873</v>
      </c>
      <c r="F808" s="7" t="s">
        <v>256</v>
      </c>
      <c r="G808" s="8" t="s">
        <v>23</v>
      </c>
      <c r="H808" s="8">
        <v>5</v>
      </c>
      <c r="I808" s="8" t="s">
        <v>24</v>
      </c>
      <c r="J808" s="8">
        <v>12</v>
      </c>
      <c r="K808" s="8" t="s">
        <v>515</v>
      </c>
      <c r="L808" s="8">
        <v>16</v>
      </c>
      <c r="M808" s="7" t="s">
        <v>515</v>
      </c>
      <c r="N808" s="7" t="s">
        <v>1397</v>
      </c>
      <c r="O808" s="9"/>
      <c r="P808" s="7" t="s">
        <v>27</v>
      </c>
      <c r="Q808" s="13" t="s">
        <v>1398</v>
      </c>
      <c r="R808" s="7" t="s">
        <v>1252</v>
      </c>
      <c r="S808" s="8" t="s">
        <v>1253</v>
      </c>
      <c r="T808" s="9">
        <v>41180</v>
      </c>
      <c r="U808" s="7"/>
      <c r="V808" s="7"/>
    </row>
    <row r="809" spans="1:22" ht="51">
      <c r="A809" s="5" t="s">
        <v>1399</v>
      </c>
      <c r="B809" s="5" t="str">
        <f>GetAddress(A809)</f>
        <v>\\chno0276\Aseguranza de Calidad\Control de Documentos\Doc. controlados PDF\Control Plans\MICROMINI\MS\CP-MS-025  SMEA0120010, 0030, 0040, 0040, 0045.pdf</v>
      </c>
      <c r="C809" s="5" t="str">
        <f>MID(B809,LEN(B809) - FIND(".",REVERSETEXT(B809))+2,1000)</f>
        <v>pdf</v>
      </c>
      <c r="D809" s="6">
        <v>9</v>
      </c>
      <c r="E809" s="7" t="s">
        <v>873</v>
      </c>
      <c r="F809" s="7" t="s">
        <v>256</v>
      </c>
      <c r="G809" s="8" t="s">
        <v>23</v>
      </c>
      <c r="H809" s="8">
        <v>5</v>
      </c>
      <c r="I809" s="8" t="s">
        <v>24</v>
      </c>
      <c r="J809" s="8">
        <v>12</v>
      </c>
      <c r="K809" s="8" t="s">
        <v>515</v>
      </c>
      <c r="L809" s="8">
        <v>16</v>
      </c>
      <c r="M809" s="7" t="s">
        <v>515</v>
      </c>
      <c r="N809" s="7" t="s">
        <v>1400</v>
      </c>
      <c r="O809" s="9"/>
      <c r="P809" s="7" t="s">
        <v>27</v>
      </c>
      <c r="Q809" s="13" t="s">
        <v>1401</v>
      </c>
      <c r="R809" s="7" t="s">
        <v>1252</v>
      </c>
      <c r="S809" s="8" t="s">
        <v>1253</v>
      </c>
      <c r="T809" s="9">
        <v>41180</v>
      </c>
      <c r="U809" s="7"/>
      <c r="V809" s="7"/>
    </row>
    <row r="810" spans="1:22">
      <c r="A810" s="5" t="s">
        <v>2787</v>
      </c>
      <c r="B810" s="20" t="e">
        <f>GetAddress(A810)</f>
        <v>#VALUE!</v>
      </c>
      <c r="C810" s="20" t="e">
        <f>MID(B810,LEN(B810) - FIND(".",REVERSETEXT(B810))+2,1000)</f>
        <v>#VALUE!</v>
      </c>
      <c r="D810" s="6">
        <v>9</v>
      </c>
      <c r="E810" s="7" t="s">
        <v>873</v>
      </c>
      <c r="F810" s="7" t="s">
        <v>256</v>
      </c>
      <c r="G810" s="8" t="s">
        <v>23</v>
      </c>
      <c r="H810" s="8">
        <v>5</v>
      </c>
      <c r="I810" s="8" t="s">
        <v>24</v>
      </c>
      <c r="J810" s="8">
        <v>12</v>
      </c>
      <c r="K810" s="8" t="s">
        <v>515</v>
      </c>
      <c r="L810" s="8">
        <v>16</v>
      </c>
      <c r="M810" s="7" t="s">
        <v>515</v>
      </c>
      <c r="N810" s="7"/>
      <c r="O810" s="9"/>
      <c r="P810" s="7"/>
      <c r="Q810" s="13"/>
      <c r="R810" s="7"/>
      <c r="S810" s="8"/>
      <c r="T810" s="9"/>
      <c r="U810" s="7"/>
      <c r="V810" s="7"/>
    </row>
    <row r="811" spans="1:22">
      <c r="A811" s="5" t="s">
        <v>1787</v>
      </c>
      <c r="B811" s="5" t="str">
        <f>GetAddress(A811)</f>
        <v>\\CHNO0276\Aseguranza de Calidad\Control de Documentos\Doc. controlados PDF\Control Plans\MICROMINI\POTTED\CP-POTT-001 Rev.A 5000108.pdf</v>
      </c>
      <c r="C811" s="5" t="str">
        <f>MID(B811,LEN(B811) - FIND(".",REVERSETEXT(B811))+2,1000)</f>
        <v>pdf</v>
      </c>
      <c r="D811" s="6">
        <v>9</v>
      </c>
      <c r="E811" s="7" t="s">
        <v>873</v>
      </c>
      <c r="F811" s="7" t="s">
        <v>256</v>
      </c>
      <c r="G811" s="8" t="s">
        <v>23</v>
      </c>
      <c r="H811" s="8">
        <v>5</v>
      </c>
      <c r="I811" s="8" t="s">
        <v>24</v>
      </c>
      <c r="J811" s="8">
        <v>12</v>
      </c>
      <c r="K811" s="8" t="s">
        <v>129</v>
      </c>
      <c r="L811" s="8">
        <v>18</v>
      </c>
      <c r="M811" s="7" t="s">
        <v>130</v>
      </c>
      <c r="N811" s="7" t="s">
        <v>1788</v>
      </c>
      <c r="O811" s="9">
        <v>41019</v>
      </c>
      <c r="P811" s="7" t="s">
        <v>27</v>
      </c>
      <c r="Q811" s="7">
        <v>5000108</v>
      </c>
      <c r="R811" s="7" t="s">
        <v>1583</v>
      </c>
      <c r="S811" s="8" t="s">
        <v>1584</v>
      </c>
      <c r="T811" s="9"/>
      <c r="U811" s="7"/>
      <c r="V811" s="7"/>
    </row>
    <row r="812" spans="1:22">
      <c r="A812" s="5" t="s">
        <v>1789</v>
      </c>
      <c r="B812" s="5" t="str">
        <f>GetAddress(A812)</f>
        <v>\\CHNO0276\Aseguranza de Calidad\Control de Documentos\Doc. controlados PDF\Control Plans\MICROMINI\POTTED\CP-POTT-002 Rev.A  CX8653 PART CX8653 -343P Y -346P.pdf</v>
      </c>
      <c r="C812" s="5" t="str">
        <f>MID(B812,LEN(B812) - FIND(".",REVERSETEXT(B812))+2,1000)</f>
        <v>pdf</v>
      </c>
      <c r="D812" s="6">
        <v>9</v>
      </c>
      <c r="E812" s="7" t="s">
        <v>873</v>
      </c>
      <c r="F812" s="7" t="s">
        <v>256</v>
      </c>
      <c r="G812" s="8" t="s">
        <v>23</v>
      </c>
      <c r="H812" s="8">
        <v>5</v>
      </c>
      <c r="I812" s="8" t="s">
        <v>24</v>
      </c>
      <c r="J812" s="8">
        <v>12</v>
      </c>
      <c r="K812" s="8" t="s">
        <v>129</v>
      </c>
      <c r="L812" s="8">
        <v>18</v>
      </c>
      <c r="M812" s="7" t="s">
        <v>130</v>
      </c>
      <c r="N812" s="7" t="s">
        <v>1273</v>
      </c>
      <c r="O812" s="9">
        <v>41051</v>
      </c>
      <c r="P812" s="7" t="s">
        <v>27</v>
      </c>
      <c r="Q812" s="7" t="s">
        <v>1790</v>
      </c>
      <c r="R812" s="7" t="s">
        <v>1583</v>
      </c>
      <c r="S812" s="8" t="s">
        <v>1584</v>
      </c>
      <c r="T812" s="9"/>
      <c r="U812" s="7"/>
      <c r="V812" s="7"/>
    </row>
    <row r="813" spans="1:22">
      <c r="A813" s="5" t="s">
        <v>1791</v>
      </c>
      <c r="B813" s="5" t="str">
        <f>GetAddress(A813)</f>
        <v>\\CHNO0276\Aseguranza de Calidad\Control de Documentos\Doc. controlados PDF\Control Plans\MICROMINI\POTTED\CP-POTT-003 Rev.A  50001101 -  5000110-Z.pdf</v>
      </c>
      <c r="C813" s="5" t="str">
        <f>MID(B813,LEN(B813) - FIND(".",REVERSETEXT(B813))+2,1000)</f>
        <v>pdf</v>
      </c>
      <c r="D813" s="6">
        <v>9</v>
      </c>
      <c r="E813" s="7" t="s">
        <v>873</v>
      </c>
      <c r="F813" s="7" t="s">
        <v>256</v>
      </c>
      <c r="G813" s="8" t="s">
        <v>23</v>
      </c>
      <c r="H813" s="8">
        <v>5</v>
      </c>
      <c r="I813" s="8" t="s">
        <v>24</v>
      </c>
      <c r="J813" s="8">
        <v>12</v>
      </c>
      <c r="K813" s="8" t="s">
        <v>129</v>
      </c>
      <c r="L813" s="8">
        <v>18</v>
      </c>
      <c r="M813" s="7" t="s">
        <v>130</v>
      </c>
      <c r="N813" s="7" t="s">
        <v>1792</v>
      </c>
      <c r="O813" s="9">
        <v>41083</v>
      </c>
      <c r="P813" s="7" t="s">
        <v>27</v>
      </c>
      <c r="Q813" s="7" t="s">
        <v>1793</v>
      </c>
      <c r="R813" s="7" t="s">
        <v>1583</v>
      </c>
      <c r="S813" s="8" t="s">
        <v>1584</v>
      </c>
      <c r="T813" s="9"/>
      <c r="U813" s="7"/>
      <c r="V813" s="7"/>
    </row>
    <row r="814" spans="1:22">
      <c r="A814" s="5" t="s">
        <v>1794</v>
      </c>
      <c r="B814" s="5" t="str">
        <f>GetAddress(A814)</f>
        <v>\\CHNO0276\Aseguranza de Calidad\Control de Documentos\Doc. controlados PDF\Control Plans\MICROMINI\POTTED\CP-POTT-004 Rev.A  5000117- 4053R y 4054R.pdf</v>
      </c>
      <c r="C814" s="5" t="str">
        <f>MID(B814,LEN(B814) - FIND(".",REVERSETEXT(B814))+2,1000)</f>
        <v>pdf</v>
      </c>
      <c r="D814" s="6">
        <v>9</v>
      </c>
      <c r="E814" s="7" t="s">
        <v>873</v>
      </c>
      <c r="F814" s="7" t="s">
        <v>256</v>
      </c>
      <c r="G814" s="8" t="s">
        <v>23</v>
      </c>
      <c r="H814" s="8">
        <v>5</v>
      </c>
      <c r="I814" s="8" t="s">
        <v>24</v>
      </c>
      <c r="J814" s="8">
        <v>12</v>
      </c>
      <c r="K814" s="8" t="s">
        <v>129</v>
      </c>
      <c r="L814" s="8">
        <v>18</v>
      </c>
      <c r="M814" s="7" t="s">
        <v>130</v>
      </c>
      <c r="N814" s="7" t="s">
        <v>1795</v>
      </c>
      <c r="O814" s="9">
        <v>41047</v>
      </c>
      <c r="P814" s="7" t="s">
        <v>27</v>
      </c>
      <c r="Q814" s="7" t="s">
        <v>1796</v>
      </c>
      <c r="R814" s="7" t="s">
        <v>1583</v>
      </c>
      <c r="S814" s="8" t="s">
        <v>1584</v>
      </c>
      <c r="T814" s="7"/>
      <c r="U814" s="7"/>
      <c r="V814" s="7"/>
    </row>
    <row r="815" spans="1:22">
      <c r="A815" s="5" t="s">
        <v>1797</v>
      </c>
      <c r="B815" s="5" t="str">
        <f>GetAddress(A815)</f>
        <v>\\CHNO0276\Aseguranza de Calidad\Control de Documentos\Doc. controlados PDF\Control Plans\MICROMINI\POTTED\CP-POTT-005 Rev.A  CH5041494B.pdf</v>
      </c>
      <c r="C815" s="5" t="str">
        <f>MID(B815,LEN(B815) - FIND(".",REVERSETEXT(B815))+2,1000)</f>
        <v>pdf</v>
      </c>
      <c r="D815" s="6">
        <v>9</v>
      </c>
      <c r="E815" s="7" t="s">
        <v>873</v>
      </c>
      <c r="F815" s="7" t="s">
        <v>256</v>
      </c>
      <c r="G815" s="8" t="s">
        <v>23</v>
      </c>
      <c r="H815" s="8">
        <v>5</v>
      </c>
      <c r="I815" s="8" t="s">
        <v>24</v>
      </c>
      <c r="J815" s="8">
        <v>12</v>
      </c>
      <c r="K815" s="8" t="s">
        <v>129</v>
      </c>
      <c r="L815" s="8">
        <v>18</v>
      </c>
      <c r="M815" s="7" t="s">
        <v>130</v>
      </c>
      <c r="N815" s="7" t="s">
        <v>1739</v>
      </c>
      <c r="O815" s="9">
        <v>40995</v>
      </c>
      <c r="P815" s="7" t="s">
        <v>27</v>
      </c>
      <c r="Q815" s="7" t="s">
        <v>1798</v>
      </c>
      <c r="R815" s="7" t="s">
        <v>1583</v>
      </c>
      <c r="S815" s="8" t="s">
        <v>1584</v>
      </c>
      <c r="T815" s="7"/>
      <c r="U815" s="7"/>
      <c r="V815" s="7"/>
    </row>
    <row r="816" spans="1:22">
      <c r="A816" s="5" t="s">
        <v>1799</v>
      </c>
      <c r="B816" s="5" t="str">
        <f>GetAddress(A816)</f>
        <v>\\CHNO0276\Aseguranza de Calidad\Control de Documentos\Doc. controlados PDF\Control Plans\MICROMINI\POTTED\CP-POTT-006 Rev.A  CH5041493B.pdf</v>
      </c>
      <c r="C816" s="5" t="str">
        <f>MID(B816,LEN(B816) - FIND(".",REVERSETEXT(B816))+2,1000)</f>
        <v>pdf</v>
      </c>
      <c r="D816" s="6">
        <v>9</v>
      </c>
      <c r="E816" s="7" t="s">
        <v>873</v>
      </c>
      <c r="F816" s="7" t="s">
        <v>256</v>
      </c>
      <c r="G816" s="8" t="s">
        <v>23</v>
      </c>
      <c r="H816" s="8">
        <v>5</v>
      </c>
      <c r="I816" s="8" t="s">
        <v>24</v>
      </c>
      <c r="J816" s="8">
        <v>12</v>
      </c>
      <c r="K816" s="8" t="s">
        <v>129</v>
      </c>
      <c r="L816" s="8">
        <v>18</v>
      </c>
      <c r="M816" s="7" t="s">
        <v>130</v>
      </c>
      <c r="N816" s="7" t="s">
        <v>1739</v>
      </c>
      <c r="O816" s="9">
        <v>40995</v>
      </c>
      <c r="P816" s="7" t="s">
        <v>27</v>
      </c>
      <c r="Q816" s="7" t="s">
        <v>1800</v>
      </c>
      <c r="R816" s="7" t="s">
        <v>1583</v>
      </c>
      <c r="S816" s="8" t="s">
        <v>1584</v>
      </c>
      <c r="T816" s="7"/>
      <c r="U816" s="7"/>
      <c r="V816" s="7"/>
    </row>
    <row r="817" spans="1:22">
      <c r="A817" s="5" t="s">
        <v>1801</v>
      </c>
      <c r="B817" s="5" t="str">
        <f>GetAddress(A817)</f>
        <v>\\CHNO0276\Aseguranza de Calidad\Control de Documentos\Doc. controlados PDF\Control Plans\MICROMINI\POTTED\CP-POTT-008 Rev.A  5000129.pdf</v>
      </c>
      <c r="C817" s="5" t="str">
        <f>MID(B817,LEN(B817) - FIND(".",REVERSETEXT(B817))+2,1000)</f>
        <v>pdf</v>
      </c>
      <c r="D817" s="6">
        <v>9</v>
      </c>
      <c r="E817" s="7" t="s">
        <v>873</v>
      </c>
      <c r="F817" s="7" t="s">
        <v>256</v>
      </c>
      <c r="G817" s="8" t="s">
        <v>23</v>
      </c>
      <c r="H817" s="8">
        <v>5</v>
      </c>
      <c r="I817" s="8" t="s">
        <v>24</v>
      </c>
      <c r="J817" s="8">
        <v>12</v>
      </c>
      <c r="K817" s="8" t="s">
        <v>129</v>
      </c>
      <c r="L817" s="8">
        <v>18</v>
      </c>
      <c r="M817" s="7" t="s">
        <v>130</v>
      </c>
      <c r="N817" s="7" t="s">
        <v>1802</v>
      </c>
      <c r="O817" s="9">
        <v>40994</v>
      </c>
      <c r="P817" s="7" t="s">
        <v>27</v>
      </c>
      <c r="Q817" s="7">
        <v>5000129</v>
      </c>
      <c r="R817" s="7" t="s">
        <v>1583</v>
      </c>
      <c r="S817" s="8" t="s">
        <v>1584</v>
      </c>
      <c r="T817" s="7"/>
      <c r="U817" s="7"/>
      <c r="V817" s="7"/>
    </row>
    <row r="818" spans="1:22">
      <c r="A818" s="5" t="s">
        <v>1803</v>
      </c>
      <c r="B818" s="5" t="str">
        <f>GetAddress(A818)</f>
        <v>\\CHNO0276\Aseguranza de Calidad\Control de Documentos\Doc. controlados PDF\Control Plans\MICROMINI\POTTED\CP-POTT-009 Rev. A 5000117-EN.pdf</v>
      </c>
      <c r="C818" s="5" t="str">
        <f>MID(B818,LEN(B818) - FIND(".",REVERSETEXT(B818))+2,1000)</f>
        <v>pdf</v>
      </c>
      <c r="D818" s="6">
        <v>9</v>
      </c>
      <c r="E818" s="7" t="s">
        <v>873</v>
      </c>
      <c r="F818" s="7" t="s">
        <v>256</v>
      </c>
      <c r="G818" s="8" t="s">
        <v>23</v>
      </c>
      <c r="H818" s="8">
        <v>5</v>
      </c>
      <c r="I818" s="8" t="s">
        <v>24</v>
      </c>
      <c r="J818" s="8">
        <v>12</v>
      </c>
      <c r="K818" s="8" t="s">
        <v>129</v>
      </c>
      <c r="L818" s="8">
        <v>18</v>
      </c>
      <c r="M818" s="7" t="s">
        <v>130</v>
      </c>
      <c r="N818" s="7" t="s">
        <v>1804</v>
      </c>
      <c r="O818" s="9">
        <v>41118</v>
      </c>
      <c r="P818" s="7" t="s">
        <v>27</v>
      </c>
      <c r="Q818" s="7" t="s">
        <v>1805</v>
      </c>
      <c r="R818" s="7" t="s">
        <v>1583</v>
      </c>
      <c r="S818" s="8" t="s">
        <v>1584</v>
      </c>
      <c r="T818" s="7"/>
      <c r="U818" s="7"/>
      <c r="V818" s="7"/>
    </row>
    <row r="819" spans="1:22">
      <c r="A819" s="5" t="s">
        <v>1813</v>
      </c>
      <c r="B819" s="5" t="str">
        <f>GetAddress(A819)</f>
        <v>\\CHNO0276\Aseguranza de Calidad\Control de Documentos\Doc. controlados PDF\Control Plans\SOLAR\CP-SOL-001 Rev.A Plan First Solar.pdf</v>
      </c>
      <c r="C819" s="5" t="str">
        <f>MID(B819,LEN(B819) - FIND(".",REVERSETEXT(B819))+2,1000)</f>
        <v>pdf</v>
      </c>
      <c r="D819" s="6">
        <v>9</v>
      </c>
      <c r="E819" s="7" t="s">
        <v>873</v>
      </c>
      <c r="F819" s="7" t="s">
        <v>256</v>
      </c>
      <c r="G819" s="8" t="s">
        <v>23</v>
      </c>
      <c r="H819" s="8">
        <v>5</v>
      </c>
      <c r="I819" s="8" t="s">
        <v>92</v>
      </c>
      <c r="J819" s="8">
        <v>6</v>
      </c>
      <c r="K819" s="8" t="s">
        <v>93</v>
      </c>
      <c r="L819" s="8">
        <v>14</v>
      </c>
      <c r="M819" s="7" t="s">
        <v>94</v>
      </c>
      <c r="N819" s="7" t="s">
        <v>1814</v>
      </c>
      <c r="O819" s="9">
        <v>41075</v>
      </c>
      <c r="P819" s="7" t="s">
        <v>27</v>
      </c>
      <c r="Q819" s="7" t="s">
        <v>28</v>
      </c>
      <c r="R819" s="7" t="s">
        <v>1583</v>
      </c>
      <c r="S819" s="8" t="s">
        <v>1584</v>
      </c>
      <c r="T819" s="7"/>
      <c r="U819" s="7"/>
      <c r="V819" s="7"/>
    </row>
    <row r="820" spans="1:22" ht="102">
      <c r="A820" s="5" t="s">
        <v>1815</v>
      </c>
      <c r="B820" s="5" t="str">
        <f>GetAddress(A820)</f>
        <v>\\CHNO0276\Aseguranza de Calidad\Control de Documentos\Doc. controlados PDF\Control Plans\SOLAR\CP-SOL-002 Rev.A  ZACHRY.pdf</v>
      </c>
      <c r="C820" s="5" t="str">
        <f>MID(B820,LEN(B820) - FIND(".",REVERSETEXT(B820))+2,1000)</f>
        <v>pdf</v>
      </c>
      <c r="D820" s="6">
        <v>9</v>
      </c>
      <c r="E820" s="7" t="s">
        <v>873</v>
      </c>
      <c r="F820" s="7" t="s">
        <v>256</v>
      </c>
      <c r="G820" s="8" t="s">
        <v>23</v>
      </c>
      <c r="H820" s="8">
        <v>5</v>
      </c>
      <c r="I820" s="8" t="s">
        <v>92</v>
      </c>
      <c r="J820" s="8">
        <v>6</v>
      </c>
      <c r="K820" s="8" t="s">
        <v>93</v>
      </c>
      <c r="L820" s="8">
        <v>14</v>
      </c>
      <c r="M820" s="7" t="s">
        <v>94</v>
      </c>
      <c r="N820" s="13" t="s">
        <v>1816</v>
      </c>
      <c r="O820" s="9">
        <v>40721</v>
      </c>
      <c r="P820" s="7" t="s">
        <v>27</v>
      </c>
      <c r="Q820" s="13" t="s">
        <v>1817</v>
      </c>
      <c r="R820" s="7" t="s">
        <v>1583</v>
      </c>
      <c r="S820" s="8" t="s">
        <v>1584</v>
      </c>
      <c r="T820" s="7"/>
      <c r="U820" s="7"/>
      <c r="V820" s="7"/>
    </row>
    <row r="821" spans="1:22">
      <c r="A821" s="5" t="s">
        <v>1818</v>
      </c>
      <c r="B821" s="5" t="str">
        <f>GetAddress(A821)</f>
        <v>\\CHNO0276\Aseguranza de Calidad\Control de Documentos\Doc. controlados PDF\Control Plans\SOLAR\CP-SOL-003 Rev.A  SCHUCO.pdf</v>
      </c>
      <c r="C821" s="5" t="str">
        <f>MID(B821,LEN(B821) - FIND(".",REVERSETEXT(B821))+2,1000)</f>
        <v>pdf</v>
      </c>
      <c r="D821" s="6">
        <v>9</v>
      </c>
      <c r="E821" s="7" t="s">
        <v>873</v>
      </c>
      <c r="F821" s="7" t="s">
        <v>256</v>
      </c>
      <c r="G821" s="8" t="s">
        <v>23</v>
      </c>
      <c r="H821" s="8">
        <v>5</v>
      </c>
      <c r="I821" s="8" t="s">
        <v>92</v>
      </c>
      <c r="J821" s="8">
        <v>6</v>
      </c>
      <c r="K821" s="8" t="s">
        <v>93</v>
      </c>
      <c r="L821" s="8">
        <v>14</v>
      </c>
      <c r="M821" s="7" t="s">
        <v>94</v>
      </c>
      <c r="N821" s="7" t="s">
        <v>1819</v>
      </c>
      <c r="O821" s="35">
        <v>40728</v>
      </c>
      <c r="P821" s="7" t="s">
        <v>27</v>
      </c>
      <c r="Q821" s="13" t="s">
        <v>1820</v>
      </c>
      <c r="R821" s="7" t="s">
        <v>1583</v>
      </c>
      <c r="S821" s="8" t="s">
        <v>1584</v>
      </c>
      <c r="T821" s="7"/>
      <c r="U821" s="7"/>
      <c r="V821" s="7"/>
    </row>
    <row r="822" spans="1:22" ht="25.5">
      <c r="A822" s="5" t="s">
        <v>1821</v>
      </c>
      <c r="B822" s="5" t="str">
        <f>GetAddress(A822)</f>
        <v>\\CHNO0276\Aseguranza de Calidad\Control de Documentos\Doc. controlados PDF\Control Plans\SOLAR\CP-SOL-004 Rev.A FALL RIVER.pdf</v>
      </c>
      <c r="C822" s="5" t="str">
        <f>MID(B822,LEN(B822) - FIND(".",REVERSETEXT(B822))+2,1000)</f>
        <v>pdf</v>
      </c>
      <c r="D822" s="6">
        <v>9</v>
      </c>
      <c r="E822" s="7" t="s">
        <v>873</v>
      </c>
      <c r="F822" s="7" t="s">
        <v>256</v>
      </c>
      <c r="G822" s="8" t="s">
        <v>23</v>
      </c>
      <c r="H822" s="8">
        <v>5</v>
      </c>
      <c r="I822" s="8" t="s">
        <v>92</v>
      </c>
      <c r="J822" s="8">
        <v>6</v>
      </c>
      <c r="K822" s="8" t="s">
        <v>93</v>
      </c>
      <c r="L822" s="8">
        <v>14</v>
      </c>
      <c r="M822" s="7" t="s">
        <v>94</v>
      </c>
      <c r="N822" s="7" t="s">
        <v>1816</v>
      </c>
      <c r="O822" s="9">
        <v>40728</v>
      </c>
      <c r="P822" s="7" t="s">
        <v>27</v>
      </c>
      <c r="Q822" s="13" t="s">
        <v>1822</v>
      </c>
      <c r="R822" s="7" t="s">
        <v>1583</v>
      </c>
      <c r="S822" s="8" t="s">
        <v>1584</v>
      </c>
      <c r="T822" s="7"/>
      <c r="U822" s="7"/>
      <c r="V822" s="7"/>
    </row>
    <row r="823" spans="1:22">
      <c r="A823" s="5" t="s">
        <v>1823</v>
      </c>
      <c r="B823" s="5" t="str">
        <f>GetAddress(A823)</f>
        <v>\\CHNO0276\Aseguranza de Calidad\Control de Documentos\Doc. controlados PDF\Control Plans\SOLAR\CP-SOL-005 Rev.A CRAMBURY.pdf</v>
      </c>
      <c r="C823" s="5" t="str">
        <f>MID(B823,LEN(B823) - FIND(".",REVERSETEXT(B823))+2,1000)</f>
        <v>pdf</v>
      </c>
      <c r="D823" s="6">
        <v>9</v>
      </c>
      <c r="E823" s="7" t="s">
        <v>873</v>
      </c>
      <c r="F823" s="7" t="s">
        <v>256</v>
      </c>
      <c r="G823" s="8" t="s">
        <v>23</v>
      </c>
      <c r="H823" s="8">
        <v>5</v>
      </c>
      <c r="I823" s="8" t="s">
        <v>92</v>
      </c>
      <c r="J823" s="8">
        <v>6</v>
      </c>
      <c r="K823" s="8" t="s">
        <v>93</v>
      </c>
      <c r="L823" s="8">
        <v>14</v>
      </c>
      <c r="M823" s="7" t="s">
        <v>94</v>
      </c>
      <c r="N823" s="7" t="s">
        <v>1824</v>
      </c>
      <c r="O823" s="9">
        <v>40728</v>
      </c>
      <c r="P823" s="7" t="s">
        <v>27</v>
      </c>
      <c r="Q823" s="7" t="s">
        <v>1825</v>
      </c>
      <c r="R823" s="7" t="s">
        <v>1583</v>
      </c>
      <c r="S823" s="8" t="s">
        <v>1584</v>
      </c>
      <c r="T823" s="7"/>
      <c r="U823" s="7"/>
      <c r="V823" s="7"/>
    </row>
    <row r="824" spans="1:22">
      <c r="A824" s="5" t="s">
        <v>1826</v>
      </c>
      <c r="B824" s="5" t="str">
        <f>GetAddress(A824)</f>
        <v>\\CHNO0276\Aseguranza de Calidad\Control de Documentos\Doc. controlados PDF\Control Plans\SOLAR\CP-SOL-006 Rev.A   IC-B29-RL-BLK1 Secuencia 2-3-4-5-6-7.pdf</v>
      </c>
      <c r="C824" s="5" t="str">
        <f>MID(B824,LEN(B824) - FIND(".",REVERSETEXT(B824))+2,1000)</f>
        <v>pdf</v>
      </c>
      <c r="D824" s="6">
        <v>9</v>
      </c>
      <c r="E824" s="7" t="s">
        <v>873</v>
      </c>
      <c r="F824" s="7" t="s">
        <v>256</v>
      </c>
      <c r="G824" s="8" t="s">
        <v>23</v>
      </c>
      <c r="H824" s="8">
        <v>5</v>
      </c>
      <c r="I824" s="8" t="s">
        <v>92</v>
      </c>
      <c r="J824" s="8">
        <v>6</v>
      </c>
      <c r="K824" s="8" t="s">
        <v>93</v>
      </c>
      <c r="L824" s="8">
        <v>14</v>
      </c>
      <c r="M824" s="7" t="s">
        <v>94</v>
      </c>
      <c r="N824" s="7" t="s">
        <v>1827</v>
      </c>
      <c r="O824" s="9">
        <v>41102</v>
      </c>
      <c r="P824" s="7" t="s">
        <v>27</v>
      </c>
      <c r="Q824" s="7" t="s">
        <v>1828</v>
      </c>
      <c r="R824" s="7" t="s">
        <v>1583</v>
      </c>
      <c r="S824" s="8" t="s">
        <v>1584</v>
      </c>
      <c r="T824" s="7"/>
      <c r="U824" s="7"/>
      <c r="V824" s="7"/>
    </row>
    <row r="825" spans="1:22">
      <c r="A825" s="5" t="s">
        <v>1452</v>
      </c>
      <c r="B825" s="5" t="str">
        <f>GetAddress(A825)</f>
        <v>\\CHNO0276\Aseguranza de Calidad\Control de Documentos\Doc. controlados PDF\Control Plans\SOLAR\CP-SOL-007 Rev A Control Plan IC-B72    SOLAR.pdf</v>
      </c>
      <c r="C825" s="5" t="str">
        <f>MID(B825,LEN(B825) - FIND(".",REVERSETEXT(B825))+2,1000)</f>
        <v>pdf</v>
      </c>
      <c r="D825" s="6">
        <v>9</v>
      </c>
      <c r="E825" s="7" t="s">
        <v>873</v>
      </c>
      <c r="F825" s="7" t="s">
        <v>256</v>
      </c>
      <c r="G825" s="8" t="s">
        <v>23</v>
      </c>
      <c r="H825" s="8">
        <v>5</v>
      </c>
      <c r="I825" s="8" t="s">
        <v>92</v>
      </c>
      <c r="J825" s="8">
        <v>6</v>
      </c>
      <c r="K825" s="8" t="s">
        <v>93</v>
      </c>
      <c r="L825" s="8">
        <v>14</v>
      </c>
      <c r="M825" s="7" t="s">
        <v>94</v>
      </c>
      <c r="N825" s="7" t="s">
        <v>1453</v>
      </c>
      <c r="O825" s="9">
        <v>41178</v>
      </c>
      <c r="P825" s="7" t="s">
        <v>27</v>
      </c>
      <c r="Q825" s="7" t="s">
        <v>28</v>
      </c>
      <c r="R825" s="7" t="s">
        <v>1252</v>
      </c>
      <c r="S825" s="8" t="s">
        <v>1253</v>
      </c>
      <c r="T825" s="7"/>
      <c r="U825" s="7"/>
      <c r="V825" s="7"/>
    </row>
    <row r="826" spans="1:22">
      <c r="A826" s="5" t="s">
        <v>595</v>
      </c>
      <c r="B826" s="5" t="str">
        <f>GetAddress(A826)</f>
        <v>\\CHNO0276\Aseguranza de Calidad\Control de Documentos\Doc. controlados PDF\Especificaciones genericas\Micromini\A Y B\CNWI-ENGI-F019 Rev  G Especificaciones dedespoje de chaqueta Celda A y B Rev  C.xlsx</v>
      </c>
      <c r="C826" s="5" t="str">
        <f>MID(B826,LEN(B826) - FIND(".",REVERSETEXT(B826))+2,1000)</f>
        <v>xlsx</v>
      </c>
      <c r="D826" s="6">
        <v>12</v>
      </c>
      <c r="E826" s="7" t="s">
        <v>21</v>
      </c>
      <c r="F826" s="7" t="s">
        <v>22</v>
      </c>
      <c r="G826" s="8" t="s">
        <v>23</v>
      </c>
      <c r="H826" s="8">
        <v>5</v>
      </c>
      <c r="I826" s="8" t="s">
        <v>24</v>
      </c>
      <c r="J826" s="8">
        <v>12</v>
      </c>
      <c r="K826" s="8" t="s">
        <v>663</v>
      </c>
      <c r="L826" s="8">
        <v>3</v>
      </c>
      <c r="M826" s="7" t="s">
        <v>664</v>
      </c>
      <c r="N826" s="5" t="s">
        <v>595</v>
      </c>
      <c r="O826" s="9">
        <v>41037</v>
      </c>
      <c r="P826" s="13" t="s">
        <v>741</v>
      </c>
      <c r="Q826" s="7" t="s">
        <v>28</v>
      </c>
      <c r="R826" s="7" t="s">
        <v>604</v>
      </c>
      <c r="S826" s="8" t="s">
        <v>605</v>
      </c>
      <c r="T826" s="7" t="s">
        <v>30</v>
      </c>
      <c r="U826" s="9" t="s">
        <v>31</v>
      </c>
      <c r="V826" s="7"/>
    </row>
    <row r="827" spans="1:22">
      <c r="A827" s="5" t="s">
        <v>595</v>
      </c>
      <c r="B827" s="5" t="str">
        <f>GetAddress(A827)</f>
        <v>\\CHNO0276\Aseguranza de Calidad\Control de Documentos\Doc. controlados PDF\Especificaciones genericas\Micromini\CHANGE OUT\CNWI-ENGI-F019 Rev. A Especificaciones dedespoje de chaqueta Change Out Rev. A.xlsx</v>
      </c>
      <c r="C827" s="5" t="str">
        <f>MID(B827,LEN(B827) - FIND(".",REVERSETEXT(B827))+2,1000)</f>
        <v>xlsx</v>
      </c>
      <c r="D827" s="6">
        <v>12</v>
      </c>
      <c r="E827" s="7" t="s">
        <v>21</v>
      </c>
      <c r="F827" s="7" t="s">
        <v>22</v>
      </c>
      <c r="G827" s="8" t="s">
        <v>23</v>
      </c>
      <c r="H827" s="8">
        <v>5</v>
      </c>
      <c r="I827" s="8" t="s">
        <v>24</v>
      </c>
      <c r="J827" s="8">
        <v>12</v>
      </c>
      <c r="K827" s="8" t="s">
        <v>25</v>
      </c>
      <c r="L827" s="8">
        <v>4</v>
      </c>
      <c r="M827" s="7" t="s">
        <v>26</v>
      </c>
      <c r="N827" s="5" t="s">
        <v>595</v>
      </c>
      <c r="O827" s="9">
        <v>40654</v>
      </c>
      <c r="P827" s="7" t="s">
        <v>27</v>
      </c>
      <c r="Q827" s="7" t="s">
        <v>28</v>
      </c>
      <c r="R827" s="21" t="s">
        <v>596</v>
      </c>
      <c r="S827" s="21"/>
      <c r="T827" s="7" t="s">
        <v>30</v>
      </c>
      <c r="U827" s="9" t="s">
        <v>31</v>
      </c>
      <c r="V827" s="7"/>
    </row>
    <row r="828" spans="1:22">
      <c r="A828" s="5" t="s">
        <v>595</v>
      </c>
      <c r="B828" s="5" t="str">
        <f>GetAddress(A828)</f>
        <v>\\CHNO0276\Aseguranza de Calidad\Control de Documentos\Doc. controlados PDF\Especificaciones genericas\Micromini\MS\CNWI-ENGI-F019 Rev. H Especificaciones dedespoje de chaqueta MS.xlsx</v>
      </c>
      <c r="C828" s="5" t="str">
        <f>MID(B828,LEN(B828) - FIND(".",REVERSETEXT(B828))+2,1000)</f>
        <v>xlsx</v>
      </c>
      <c r="D828" s="6">
        <v>12</v>
      </c>
      <c r="E828" s="7" t="s">
        <v>21</v>
      </c>
      <c r="F828" s="7" t="s">
        <v>22</v>
      </c>
      <c r="G828" s="8" t="s">
        <v>23</v>
      </c>
      <c r="H828" s="8">
        <v>5</v>
      </c>
      <c r="I828" s="8" t="s">
        <v>24</v>
      </c>
      <c r="J828" s="8">
        <v>12</v>
      </c>
      <c r="K828" s="8" t="s">
        <v>515</v>
      </c>
      <c r="L828" s="8">
        <v>16</v>
      </c>
      <c r="M828" s="7" t="s">
        <v>515</v>
      </c>
      <c r="N828" s="5" t="s">
        <v>595</v>
      </c>
      <c r="O828" s="9">
        <v>41022</v>
      </c>
      <c r="P828" s="7" t="s">
        <v>782</v>
      </c>
      <c r="Q828" s="7" t="s">
        <v>28</v>
      </c>
      <c r="R828" s="7" t="s">
        <v>604</v>
      </c>
      <c r="S828" s="8" t="s">
        <v>605</v>
      </c>
      <c r="T828" s="7" t="s">
        <v>30</v>
      </c>
      <c r="U828" s="9" t="s">
        <v>601</v>
      </c>
      <c r="V828" s="7"/>
    </row>
    <row r="829" spans="1:22">
      <c r="A829" s="5" t="s">
        <v>595</v>
      </c>
      <c r="B829" s="5" t="str">
        <f>GetAddress(A829)</f>
        <v>\\CHNO0276\Aseguranza de Calidad\Control de Documentos\Doc. controlados PDF\Especificaciones genericas\Micromini\PLEX\CNWI-ENGI-F019 Rev. A Especificaciones dedespoje de chaqueta Plex.xlsx</v>
      </c>
      <c r="C829" s="5" t="str">
        <f>MID(B829,LEN(B829) - FIND(".",REVERSETEXT(B829))+2,1000)</f>
        <v>xlsx</v>
      </c>
      <c r="D829" s="6">
        <v>12</v>
      </c>
      <c r="E829" s="7" t="s">
        <v>21</v>
      </c>
      <c r="F829" s="7" t="s">
        <v>22</v>
      </c>
      <c r="G829" s="8" t="s">
        <v>23</v>
      </c>
      <c r="H829" s="8">
        <v>5</v>
      </c>
      <c r="I829" s="8" t="s">
        <v>24</v>
      </c>
      <c r="J829" s="8">
        <v>12</v>
      </c>
      <c r="K829" s="8" t="s">
        <v>599</v>
      </c>
      <c r="L829" s="8">
        <v>19</v>
      </c>
      <c r="M829" s="7" t="s">
        <v>600</v>
      </c>
      <c r="N829" s="5" t="s">
        <v>595</v>
      </c>
      <c r="O829" s="9">
        <v>41020</v>
      </c>
      <c r="P829" s="7" t="s">
        <v>27</v>
      </c>
      <c r="Q829" s="7" t="s">
        <v>28</v>
      </c>
      <c r="R829" s="21" t="s">
        <v>596</v>
      </c>
      <c r="S829" s="21"/>
      <c r="T829" s="7" t="s">
        <v>30</v>
      </c>
      <c r="U829" s="9" t="s">
        <v>601</v>
      </c>
      <c r="V829" s="7"/>
    </row>
    <row r="830" spans="1:22">
      <c r="A830" s="5" t="s">
        <v>595</v>
      </c>
      <c r="B830" s="5" t="str">
        <f>GetAddress(A830)</f>
        <v>\\CHNO0276\Aseguranza de Calidad\Control de Documentos\Doc. controlados PDF\Especificaciones genericas\Micromini\POTTED\CNWI-ENGI-F019 Rev. A Especificaciones dedespoje de chaqueta Potted.xlsx</v>
      </c>
      <c r="C830" s="5" t="str">
        <f>MID(B830,LEN(B830) - FIND(".",REVERSETEXT(B830))+2,1000)</f>
        <v>xlsx</v>
      </c>
      <c r="D830" s="6">
        <v>12</v>
      </c>
      <c r="E830" s="7" t="s">
        <v>21</v>
      </c>
      <c r="F830" s="7" t="s">
        <v>22</v>
      </c>
      <c r="G830" s="8" t="s">
        <v>23</v>
      </c>
      <c r="H830" s="8">
        <v>5</v>
      </c>
      <c r="I830" s="8" t="s">
        <v>24</v>
      </c>
      <c r="J830" s="8">
        <v>12</v>
      </c>
      <c r="K830" s="8" t="s">
        <v>129</v>
      </c>
      <c r="L830" s="8">
        <v>18</v>
      </c>
      <c r="M830" s="7" t="s">
        <v>130</v>
      </c>
      <c r="N830" s="5" t="s">
        <v>595</v>
      </c>
      <c r="O830" s="9">
        <v>40654</v>
      </c>
      <c r="P830" s="7" t="s">
        <v>27</v>
      </c>
      <c r="Q830" s="7" t="s">
        <v>28</v>
      </c>
      <c r="R830" s="21" t="s">
        <v>596</v>
      </c>
      <c r="S830" s="21"/>
      <c r="T830" s="7" t="s">
        <v>30</v>
      </c>
      <c r="U830" s="9" t="s">
        <v>601</v>
      </c>
      <c r="V830" s="7"/>
    </row>
    <row r="831" spans="1:22">
      <c r="A831" s="5" t="s">
        <v>597</v>
      </c>
      <c r="B831" s="5" t="str">
        <f>GetAddress(A831)</f>
        <v>\\CHNO0276\Aseguranza de Calidad\Control de Documentos\Doc. controlados PDF\Especificaciones genericas\Micromini\A Y B\CNWI-ENGI-F019 Rev  F Especificaciones dedespoje de conductores celda A y B Rev  B.xlsx</v>
      </c>
      <c r="C831" s="5" t="str">
        <f>MID(B831,LEN(B831) - FIND(".",REVERSETEXT(B831))+2,1000)</f>
        <v>xlsx</v>
      </c>
      <c r="D831" s="6">
        <v>12</v>
      </c>
      <c r="E831" s="7" t="s">
        <v>21</v>
      </c>
      <c r="F831" s="7" t="s">
        <v>22</v>
      </c>
      <c r="G831" s="8" t="s">
        <v>23</v>
      </c>
      <c r="H831" s="8">
        <v>5</v>
      </c>
      <c r="I831" s="8" t="s">
        <v>24</v>
      </c>
      <c r="J831" s="8">
        <v>12</v>
      </c>
      <c r="K831" s="8" t="s">
        <v>663</v>
      </c>
      <c r="L831" s="8">
        <v>3</v>
      </c>
      <c r="M831" s="7" t="s">
        <v>664</v>
      </c>
      <c r="N831" s="5" t="s">
        <v>597</v>
      </c>
      <c r="O831" s="9">
        <v>41037</v>
      </c>
      <c r="P831" s="7" t="s">
        <v>742</v>
      </c>
      <c r="Q831" s="7" t="s">
        <v>28</v>
      </c>
      <c r="R831" s="7" t="s">
        <v>604</v>
      </c>
      <c r="S831" s="8" t="s">
        <v>605</v>
      </c>
      <c r="T831" s="7" t="s">
        <v>30</v>
      </c>
      <c r="U831" s="9" t="s">
        <v>31</v>
      </c>
      <c r="V831" s="7"/>
    </row>
    <row r="832" spans="1:22">
      <c r="A832" s="5" t="s">
        <v>597</v>
      </c>
      <c r="B832" s="5" t="str">
        <f>GetAddress(A832)</f>
        <v>\\chno0276\Aseguranza de Calidad\Control de Documentos\Doc. controlados PDF\Control Plans\ITRON\BONDING\CP-BOND-003  Conector BACC65 TODOS.pdf</v>
      </c>
      <c r="C832" s="5" t="str">
        <f>MID(B832,LEN(B832) - FIND(".",REVERSETEXT(B832))+2,1000)</f>
        <v>pdf</v>
      </c>
      <c r="D832" s="6">
        <v>12</v>
      </c>
      <c r="E832" s="7" t="s">
        <v>21</v>
      </c>
      <c r="F832" s="7" t="s">
        <v>22</v>
      </c>
      <c r="G832" s="8" t="s">
        <v>23</v>
      </c>
      <c r="H832" s="8">
        <v>5</v>
      </c>
      <c r="I832" s="8" t="s">
        <v>24</v>
      </c>
      <c r="J832" s="8">
        <v>12</v>
      </c>
      <c r="K832" s="8" t="s">
        <v>25</v>
      </c>
      <c r="L832" s="8">
        <v>4</v>
      </c>
      <c r="M832" s="7" t="s">
        <v>26</v>
      </c>
      <c r="N832" s="5" t="s">
        <v>597</v>
      </c>
      <c r="O832" s="9">
        <v>41021</v>
      </c>
      <c r="P832" s="7" t="s">
        <v>27</v>
      </c>
      <c r="Q832" s="7" t="s">
        <v>28</v>
      </c>
      <c r="R832" s="21" t="s">
        <v>596</v>
      </c>
      <c r="S832" s="21"/>
      <c r="T832" s="7" t="s">
        <v>30</v>
      </c>
      <c r="U832" s="9" t="s">
        <v>31</v>
      </c>
      <c r="V832" s="7"/>
    </row>
    <row r="833" spans="1:22">
      <c r="A833" s="5" t="s">
        <v>597</v>
      </c>
      <c r="B833" s="5" t="str">
        <f>GetAddress(A833)</f>
        <v>\\chno0276\Aseguranza de Calidad\Control de Documentos\Doc. controlados PDF\Control Plans\ITRON\BONDING\CP-BOND-003  Conector BACC65 TODOS.pdf</v>
      </c>
      <c r="C833" s="5" t="str">
        <f>MID(B833,LEN(B833) - FIND(".",REVERSETEXT(B833))+2,1000)</f>
        <v>pdf</v>
      </c>
      <c r="D833" s="6">
        <v>12</v>
      </c>
      <c r="E833" s="7" t="s">
        <v>21</v>
      </c>
      <c r="F833" s="7" t="s">
        <v>22</v>
      </c>
      <c r="G833" s="8" t="s">
        <v>23</v>
      </c>
      <c r="H833" s="8">
        <v>5</v>
      </c>
      <c r="I833" s="8" t="s">
        <v>24</v>
      </c>
      <c r="J833" s="8">
        <v>12</v>
      </c>
      <c r="K833" s="8" t="s">
        <v>515</v>
      </c>
      <c r="L833" s="8">
        <v>16</v>
      </c>
      <c r="M833" s="7" t="s">
        <v>515</v>
      </c>
      <c r="N833" s="5" t="s">
        <v>597</v>
      </c>
      <c r="O833" s="9">
        <v>41022</v>
      </c>
      <c r="P833" s="7" t="s">
        <v>782</v>
      </c>
      <c r="Q833" s="7" t="s">
        <v>28</v>
      </c>
      <c r="R833" s="7" t="s">
        <v>604</v>
      </c>
      <c r="S833" s="8" t="s">
        <v>605</v>
      </c>
      <c r="T833" s="7" t="s">
        <v>30</v>
      </c>
      <c r="U833" s="9" t="s">
        <v>601</v>
      </c>
      <c r="V833" s="7"/>
    </row>
    <row r="834" spans="1:22">
      <c r="A834" s="5" t="s">
        <v>597</v>
      </c>
      <c r="B834" s="5" t="str">
        <f>GetAddress(A834)</f>
        <v>\\chno0276\Aseguranza de Calidad\Control de Documentos\Doc. controlados PDF\Control Plans\ITRON\BONDING\CP-BOND-003  Conector BACC65 TODOS.pdf</v>
      </c>
      <c r="C834" s="5" t="str">
        <f>MID(B834,LEN(B834) - FIND(".",REVERSETEXT(B834))+2,1000)</f>
        <v>pdf</v>
      </c>
      <c r="D834" s="6">
        <v>12</v>
      </c>
      <c r="E834" s="7" t="s">
        <v>21</v>
      </c>
      <c r="F834" s="7" t="s">
        <v>22</v>
      </c>
      <c r="G834" s="8" t="s">
        <v>23</v>
      </c>
      <c r="H834" s="8">
        <v>5</v>
      </c>
      <c r="I834" s="8" t="s">
        <v>24</v>
      </c>
      <c r="J834" s="8">
        <v>12</v>
      </c>
      <c r="K834" s="8" t="s">
        <v>599</v>
      </c>
      <c r="L834" s="8">
        <v>19</v>
      </c>
      <c r="M834" s="7" t="s">
        <v>600</v>
      </c>
      <c r="N834" s="5" t="s">
        <v>597</v>
      </c>
      <c r="O834" s="9">
        <v>41037</v>
      </c>
      <c r="P834" s="7" t="s">
        <v>159</v>
      </c>
      <c r="Q834" s="7" t="s">
        <v>28</v>
      </c>
      <c r="R834" s="7" t="s">
        <v>604</v>
      </c>
      <c r="S834" s="8" t="s">
        <v>605</v>
      </c>
      <c r="T834" s="7" t="s">
        <v>30</v>
      </c>
      <c r="U834" s="9" t="s">
        <v>601</v>
      </c>
      <c r="V834" s="7"/>
    </row>
    <row r="835" spans="1:22">
      <c r="A835" s="5" t="s">
        <v>597</v>
      </c>
      <c r="B835" s="5" t="str">
        <f>GetAddress(A835)</f>
        <v>\\chno0276\Aseguranza de Calidad\Control de Documentos\Doc. controlados PDF\Control Plans\ITRON\BONDING\CP-BOND-003  Conector BACC65 TODOS.pdf</v>
      </c>
      <c r="C835" s="5" t="str">
        <f>MID(B835,LEN(B835) - FIND(".",REVERSETEXT(B835))+2,1000)</f>
        <v>pdf</v>
      </c>
      <c r="D835" s="6">
        <v>12</v>
      </c>
      <c r="E835" s="7" t="s">
        <v>21</v>
      </c>
      <c r="F835" s="7" t="s">
        <v>22</v>
      </c>
      <c r="G835" s="8" t="s">
        <v>23</v>
      </c>
      <c r="H835" s="8">
        <v>5</v>
      </c>
      <c r="I835" s="8" t="s">
        <v>24</v>
      </c>
      <c r="J835" s="8">
        <v>12</v>
      </c>
      <c r="K835" s="8" t="s">
        <v>129</v>
      </c>
      <c r="L835" s="8">
        <v>18</v>
      </c>
      <c r="M835" s="7" t="s">
        <v>130</v>
      </c>
      <c r="N835" s="5" t="s">
        <v>597</v>
      </c>
      <c r="O835" s="9">
        <v>40893</v>
      </c>
      <c r="P835" s="7" t="s">
        <v>742</v>
      </c>
      <c r="Q835" s="7" t="s">
        <v>28</v>
      </c>
      <c r="R835" s="7" t="s">
        <v>604</v>
      </c>
      <c r="S835" s="8" t="s">
        <v>605</v>
      </c>
      <c r="T835" s="7" t="s">
        <v>30</v>
      </c>
      <c r="U835" s="9" t="s">
        <v>601</v>
      </c>
      <c r="V835" s="7"/>
    </row>
    <row r="836" spans="1:22">
      <c r="A836" s="5" t="s">
        <v>598</v>
      </c>
      <c r="B836" s="5" t="str">
        <f>GetAddress(A836)</f>
        <v>\\chno0276\Aseguranza de Calidad\Control de Documentos\Doc. controlados PDF\Control Plans\ITRON\BONDING\CP-BOND-003  Conector BACC65 TODOS.pdf</v>
      </c>
      <c r="C836" s="5" t="str">
        <f>MID(B836,LEN(B836) - FIND(".",REVERSETEXT(B836))+2,1000)</f>
        <v>pdf</v>
      </c>
      <c r="D836" s="6">
        <v>12</v>
      </c>
      <c r="E836" s="7" t="s">
        <v>21</v>
      </c>
      <c r="F836" s="7" t="s">
        <v>22</v>
      </c>
      <c r="G836" s="8" t="s">
        <v>23</v>
      </c>
      <c r="H836" s="8">
        <v>5</v>
      </c>
      <c r="I836" s="8" t="s">
        <v>24</v>
      </c>
      <c r="J836" s="8">
        <v>12</v>
      </c>
      <c r="K836" s="8" t="s">
        <v>663</v>
      </c>
      <c r="L836" s="8">
        <v>3</v>
      </c>
      <c r="M836" s="7" t="s">
        <v>664</v>
      </c>
      <c r="N836" s="5" t="s">
        <v>598</v>
      </c>
      <c r="O836" s="9">
        <v>41037</v>
      </c>
      <c r="P836" s="13" t="s">
        <v>742</v>
      </c>
      <c r="Q836" s="7" t="s">
        <v>28</v>
      </c>
      <c r="R836" s="7" t="s">
        <v>604</v>
      </c>
      <c r="S836" s="8" t="s">
        <v>605</v>
      </c>
      <c r="T836" s="7" t="s">
        <v>30</v>
      </c>
      <c r="U836" s="9" t="s">
        <v>31</v>
      </c>
      <c r="V836" s="7"/>
    </row>
    <row r="837" spans="1:22">
      <c r="A837" s="5" t="s">
        <v>598</v>
      </c>
      <c r="B837" s="5" t="str">
        <f>GetAddress(A837)</f>
        <v>\\chno0276\Aseguranza de Calidad\Control de Documentos\Doc. controlados PDF\Control Plans\ITRON\BONDING\CP-BOND-003  Conector BACC65 TODOS.pdf</v>
      </c>
      <c r="C837" s="5" t="str">
        <f>MID(B837,LEN(B837) - FIND(".",REVERSETEXT(B837))+2,1000)</f>
        <v>pdf</v>
      </c>
      <c r="D837" s="6">
        <v>12</v>
      </c>
      <c r="E837" s="7" t="s">
        <v>21</v>
      </c>
      <c r="F837" s="7" t="s">
        <v>22</v>
      </c>
      <c r="G837" s="8" t="s">
        <v>23</v>
      </c>
      <c r="H837" s="8">
        <v>5</v>
      </c>
      <c r="I837" s="8" t="s">
        <v>24</v>
      </c>
      <c r="J837" s="8">
        <v>12</v>
      </c>
      <c r="K837" s="8" t="s">
        <v>25</v>
      </c>
      <c r="L837" s="8">
        <v>4</v>
      </c>
      <c r="M837" s="7" t="s">
        <v>26</v>
      </c>
      <c r="N837" s="5" t="s">
        <v>598</v>
      </c>
      <c r="O837" s="9">
        <v>40675</v>
      </c>
      <c r="P837" s="7" t="s">
        <v>27</v>
      </c>
      <c r="Q837" s="7" t="s">
        <v>28</v>
      </c>
      <c r="R837" s="21" t="s">
        <v>596</v>
      </c>
      <c r="S837" s="21"/>
      <c r="T837" s="7" t="s">
        <v>30</v>
      </c>
      <c r="U837" s="9" t="s">
        <v>31</v>
      </c>
      <c r="V837" s="7"/>
    </row>
    <row r="838" spans="1:22">
      <c r="A838" s="5" t="s">
        <v>598</v>
      </c>
      <c r="B838" s="5" t="str">
        <f>GetAddress(A838)</f>
        <v>\\chno0276\Aseguranza de Calidad\Control de Documentos\Doc. controlados PDF\Control Plans\ITRON\BONDING\CP-BOND-003  Conector BACC65 TODOS.pdf</v>
      </c>
      <c r="C838" s="5" t="str">
        <f>MID(B838,LEN(B838) - FIND(".",REVERSETEXT(B838))+2,1000)</f>
        <v>pdf</v>
      </c>
      <c r="D838" s="6">
        <v>12</v>
      </c>
      <c r="E838" s="7" t="s">
        <v>21</v>
      </c>
      <c r="F838" s="7" t="s">
        <v>22</v>
      </c>
      <c r="G838" s="8" t="s">
        <v>23</v>
      </c>
      <c r="H838" s="8">
        <v>5</v>
      </c>
      <c r="I838" s="8" t="s">
        <v>24</v>
      </c>
      <c r="J838" s="8">
        <v>12</v>
      </c>
      <c r="K838" s="8" t="s">
        <v>515</v>
      </c>
      <c r="L838" s="8">
        <v>16</v>
      </c>
      <c r="M838" s="7" t="s">
        <v>515</v>
      </c>
      <c r="N838" s="5" t="s">
        <v>598</v>
      </c>
      <c r="O838" s="9">
        <v>41022</v>
      </c>
      <c r="P838" s="7" t="s">
        <v>782</v>
      </c>
      <c r="Q838" s="7" t="s">
        <v>28</v>
      </c>
      <c r="R838" s="7" t="s">
        <v>604</v>
      </c>
      <c r="S838" s="8" t="s">
        <v>605</v>
      </c>
      <c r="T838" s="7" t="s">
        <v>30</v>
      </c>
      <c r="U838" s="9" t="s">
        <v>601</v>
      </c>
      <c r="V838" s="7"/>
    </row>
    <row r="839" spans="1:22">
      <c r="A839" s="5" t="s">
        <v>598</v>
      </c>
      <c r="B839" s="5" t="str">
        <f>GetAddress(A839)</f>
        <v>\\chno0276\Aseguranza de Calidad\Control de Documentos\Doc. controlados PDF\Control Plans\ITRON\BONDING\CP-BOND-003  Conector BACC65 TODOS.pdf</v>
      </c>
      <c r="C839" s="5" t="str">
        <f>MID(B839,LEN(B839) - FIND(".",REVERSETEXT(B839))+2,1000)</f>
        <v>pdf</v>
      </c>
      <c r="D839" s="6">
        <v>12</v>
      </c>
      <c r="E839" s="7" t="s">
        <v>21</v>
      </c>
      <c r="F839" s="7" t="s">
        <v>22</v>
      </c>
      <c r="G839" s="8" t="s">
        <v>23</v>
      </c>
      <c r="H839" s="8">
        <v>5</v>
      </c>
      <c r="I839" s="8" t="s">
        <v>24</v>
      </c>
      <c r="J839" s="8">
        <v>12</v>
      </c>
      <c r="K839" s="8" t="s">
        <v>599</v>
      </c>
      <c r="L839" s="8">
        <v>19</v>
      </c>
      <c r="M839" s="7" t="s">
        <v>600</v>
      </c>
      <c r="N839" s="5" t="s">
        <v>598</v>
      </c>
      <c r="O839" s="9">
        <v>40896</v>
      </c>
      <c r="P839" s="7" t="s">
        <v>46</v>
      </c>
      <c r="Q839" s="7" t="s">
        <v>28</v>
      </c>
      <c r="R839" s="7" t="s">
        <v>604</v>
      </c>
      <c r="S839" s="8" t="s">
        <v>605</v>
      </c>
      <c r="T839" s="7" t="s">
        <v>30</v>
      </c>
      <c r="U839" s="9" t="s">
        <v>601</v>
      </c>
      <c r="V839" s="7"/>
    </row>
    <row r="840" spans="1:22">
      <c r="A840" s="5" t="s">
        <v>598</v>
      </c>
      <c r="B840" s="5" t="str">
        <f>GetAddress(A840)</f>
        <v>\\chno0276\Aseguranza de Calidad\Control de Documentos\Doc. controlados PDF\Control Plans\ITRON\BONDING\CP-BOND-003  Conector BACC65 TODOS.pdf</v>
      </c>
      <c r="C840" s="5" t="str">
        <f>MID(B840,LEN(B840) - FIND(".",REVERSETEXT(B840))+2,1000)</f>
        <v>pdf</v>
      </c>
      <c r="D840" s="6">
        <v>12</v>
      </c>
      <c r="E840" s="7" t="s">
        <v>21</v>
      </c>
      <c r="F840" s="7" t="s">
        <v>22</v>
      </c>
      <c r="G840" s="8" t="s">
        <v>23</v>
      </c>
      <c r="H840" s="8">
        <v>5</v>
      </c>
      <c r="I840" s="8" t="s">
        <v>24</v>
      </c>
      <c r="J840" s="8">
        <v>12</v>
      </c>
      <c r="K840" s="8" t="s">
        <v>129</v>
      </c>
      <c r="L840" s="8">
        <v>18</v>
      </c>
      <c r="M840" s="7" t="s">
        <v>130</v>
      </c>
      <c r="N840" s="5" t="s">
        <v>598</v>
      </c>
      <c r="O840" s="9">
        <v>40893</v>
      </c>
      <c r="P840" s="7" t="s">
        <v>742</v>
      </c>
      <c r="Q840" s="7" t="s">
        <v>28</v>
      </c>
      <c r="R840" s="7" t="s">
        <v>604</v>
      </c>
      <c r="S840" s="8" t="s">
        <v>605</v>
      </c>
      <c r="T840" s="7" t="s">
        <v>30</v>
      </c>
      <c r="U840" s="9" t="s">
        <v>601</v>
      </c>
      <c r="V840" s="7"/>
    </row>
    <row r="841" spans="1:22">
      <c r="A841" s="5" t="s">
        <v>2782</v>
      </c>
      <c r="B841" s="5" t="str">
        <f>GetAddress(A841)</f>
        <v>\\chno0276\Aseguranza de Calidad\Control de Documentos\Doc. controlados PDF\Control Plans\ITRON\BONDING\CP-BOND-003  Conector BACC65 TODOS.pdf</v>
      </c>
      <c r="C841" s="5" t="str">
        <f>MID(B841,LEN(B841) - FIND(".",REVERSETEXT(B841))+2,1000)</f>
        <v>pdf</v>
      </c>
      <c r="D841" s="6">
        <v>12</v>
      </c>
      <c r="E841" s="7" t="s">
        <v>21</v>
      </c>
      <c r="F841" s="7" t="s">
        <v>22</v>
      </c>
      <c r="G841" s="8" t="s">
        <v>23</v>
      </c>
      <c r="H841" s="8">
        <v>5</v>
      </c>
      <c r="I841" s="8" t="s">
        <v>874</v>
      </c>
      <c r="J841" s="8">
        <v>10</v>
      </c>
      <c r="K841" s="8" t="s">
        <v>875</v>
      </c>
      <c r="L841" s="8">
        <v>7</v>
      </c>
      <c r="M841" s="7" t="s">
        <v>876</v>
      </c>
      <c r="N841" s="5" t="s">
        <v>2782</v>
      </c>
      <c r="O841" s="9">
        <v>41192</v>
      </c>
      <c r="P841" s="7" t="s">
        <v>2472</v>
      </c>
      <c r="Q841" s="7" t="s">
        <v>28</v>
      </c>
      <c r="R841" s="7" t="s">
        <v>2783</v>
      </c>
      <c r="S841" s="8" t="s">
        <v>2427</v>
      </c>
      <c r="T841" s="7" t="s">
        <v>624</v>
      </c>
      <c r="U841" s="27" t="s">
        <v>2693</v>
      </c>
      <c r="V841" s="7"/>
    </row>
    <row r="842" spans="1:22">
      <c r="A842" s="5" t="s">
        <v>2692</v>
      </c>
      <c r="B842" s="5" t="str">
        <f>GetAddress(A842)</f>
        <v>\\chno0276\Aseguranza de Calidad\Control de Documentos\Doc. controlados PDF\Control Plans\ITRON\BONDING\CP-BOND-003  Conector BACC65 TODOS.pdf</v>
      </c>
      <c r="C842" s="5" t="str">
        <f>MID(B842,LEN(B842) - FIND(".",REVERSETEXT(B842))+2,1000)</f>
        <v>pdf</v>
      </c>
      <c r="D842" s="6">
        <v>12</v>
      </c>
      <c r="E842" s="7" t="s">
        <v>21</v>
      </c>
      <c r="F842" s="7" t="s">
        <v>22</v>
      </c>
      <c r="G842" s="8" t="s">
        <v>23</v>
      </c>
      <c r="H842" s="8">
        <v>5</v>
      </c>
      <c r="I842" s="8" t="s">
        <v>2126</v>
      </c>
      <c r="J842" s="8">
        <v>36</v>
      </c>
      <c r="K842" s="8" t="s">
        <v>2126</v>
      </c>
      <c r="L842" s="8">
        <v>26</v>
      </c>
      <c r="M842" s="7" t="s">
        <v>2127</v>
      </c>
      <c r="N842" s="5" t="s">
        <v>2692</v>
      </c>
      <c r="O842" s="9">
        <v>41197</v>
      </c>
      <c r="P842" s="7" t="s">
        <v>38</v>
      </c>
      <c r="Q842" s="7" t="s">
        <v>28</v>
      </c>
      <c r="R842" s="7" t="s">
        <v>2426</v>
      </c>
      <c r="S842" s="8" t="s">
        <v>2427</v>
      </c>
      <c r="T842" s="7" t="s">
        <v>30</v>
      </c>
      <c r="U842" s="27" t="s">
        <v>2693</v>
      </c>
      <c r="V842" s="7"/>
    </row>
    <row r="843" spans="1:22">
      <c r="A843" s="5" t="s">
        <v>2692</v>
      </c>
      <c r="B843" s="5" t="str">
        <f>GetAddress(A843)</f>
        <v>\\chno0276\Aseguranza de Calidad\Control de Documentos\Doc. controlados PDF\Control Plans\ITRON\BONDING\CP-BOND-003  Conector BACC65 TODOS.pdf</v>
      </c>
      <c r="C843" s="5" t="str">
        <f>MID(B843,LEN(B843) - FIND(".",REVERSETEXT(B843))+2,1000)</f>
        <v>pdf</v>
      </c>
      <c r="D843" s="6">
        <v>12</v>
      </c>
      <c r="E843" s="7" t="s">
        <v>21</v>
      </c>
      <c r="F843" s="7" t="s">
        <v>22</v>
      </c>
      <c r="G843" s="8" t="s">
        <v>23</v>
      </c>
      <c r="H843" s="8">
        <v>5</v>
      </c>
      <c r="I843" s="8" t="s">
        <v>257</v>
      </c>
      <c r="J843" s="8">
        <v>9</v>
      </c>
      <c r="K843" s="8"/>
      <c r="L843" s="8"/>
      <c r="M843" s="7" t="s">
        <v>2784</v>
      </c>
      <c r="N843" s="5" t="s">
        <v>2692</v>
      </c>
      <c r="O843" s="25">
        <v>41177</v>
      </c>
      <c r="P843" s="7" t="s">
        <v>159</v>
      </c>
      <c r="Q843" s="7" t="s">
        <v>28</v>
      </c>
      <c r="R843" s="7" t="s">
        <v>2783</v>
      </c>
      <c r="S843" s="8" t="s">
        <v>2427</v>
      </c>
      <c r="T843" s="27" t="s">
        <v>2785</v>
      </c>
      <c r="U843" s="27" t="s">
        <v>2693</v>
      </c>
      <c r="V843" s="7"/>
    </row>
    <row r="844" spans="1:22">
      <c r="A844" s="5" t="s">
        <v>930</v>
      </c>
      <c r="B844" s="5" t="str">
        <f>GetAddress(A844)</f>
        <v>\\chno0276\Aseguranza de Calidad\Control de Documentos\Doc. controlados PDF\Control Plans\ITRON\BONDING\CP-BOND-003  Conector BACC65 TODOS.pdf</v>
      </c>
      <c r="C844" s="5" t="str">
        <f>MID(B844,LEN(B844) - FIND(".",REVERSETEXT(B844))+2,1000)</f>
        <v>pdf</v>
      </c>
      <c r="D844" s="6">
        <v>11</v>
      </c>
      <c r="E844" s="7" t="s">
        <v>931</v>
      </c>
      <c r="F844" s="7" t="s">
        <v>256</v>
      </c>
      <c r="G844" s="8" t="s">
        <v>23</v>
      </c>
      <c r="H844" s="8">
        <v>5</v>
      </c>
      <c r="I844" s="8" t="s">
        <v>874</v>
      </c>
      <c r="J844" s="8">
        <v>10</v>
      </c>
      <c r="K844" s="8" t="s">
        <v>875</v>
      </c>
      <c r="L844" s="8">
        <v>7</v>
      </c>
      <c r="M844" s="7" t="s">
        <v>876</v>
      </c>
      <c r="N844" s="7" t="s">
        <v>897</v>
      </c>
      <c r="O844" s="25">
        <v>41164</v>
      </c>
      <c r="P844" s="13" t="s">
        <v>27</v>
      </c>
      <c r="Q844" s="7" t="s">
        <v>932</v>
      </c>
      <c r="R844" s="13" t="s">
        <v>879</v>
      </c>
      <c r="S844" s="26" t="s">
        <v>880</v>
      </c>
      <c r="T844" s="7"/>
      <c r="U844" s="13"/>
      <c r="V844" s="13"/>
    </row>
    <row r="845" spans="1:22">
      <c r="A845" s="5" t="s">
        <v>933</v>
      </c>
      <c r="B845" s="5" t="str">
        <f>GetAddress(A845)</f>
        <v>\\chno0276\Aseguranza de Calidad\Control de Documentos\Doc. controlados PDF\Control Plans\ITRON\BONDING\CP-BOND-003  Conector BACC65 TODOS.pdf</v>
      </c>
      <c r="C845" s="5" t="str">
        <f>MID(B845,LEN(B845) - FIND(".",REVERSETEXT(B845))+2,1000)</f>
        <v>pdf</v>
      </c>
      <c r="D845" s="6">
        <v>11</v>
      </c>
      <c r="E845" s="7" t="s">
        <v>931</v>
      </c>
      <c r="F845" s="7" t="s">
        <v>256</v>
      </c>
      <c r="G845" s="8" t="s">
        <v>23</v>
      </c>
      <c r="H845" s="8">
        <v>5</v>
      </c>
      <c r="I845" s="8" t="s">
        <v>874</v>
      </c>
      <c r="J845" s="8">
        <v>10</v>
      </c>
      <c r="K845" s="8" t="s">
        <v>875</v>
      </c>
      <c r="L845" s="8">
        <v>7</v>
      </c>
      <c r="M845" s="7" t="s">
        <v>876</v>
      </c>
      <c r="N845" s="7" t="s">
        <v>934</v>
      </c>
      <c r="O845" s="25">
        <v>41164</v>
      </c>
      <c r="P845" s="13" t="s">
        <v>27</v>
      </c>
      <c r="Q845" s="7" t="s">
        <v>901</v>
      </c>
      <c r="R845" s="13" t="s">
        <v>879</v>
      </c>
      <c r="S845" s="26" t="s">
        <v>880</v>
      </c>
      <c r="T845" s="7"/>
      <c r="U845" s="13"/>
      <c r="V845" s="13"/>
    </row>
    <row r="846" spans="1:22">
      <c r="A846" s="5" t="s">
        <v>935</v>
      </c>
      <c r="B846" s="5" t="str">
        <f>GetAddress(A846)</f>
        <v>\\chno0276\Aseguranza de Calidad\Control de Documentos\Doc. controlados PDF\Control Plans\ITRON\BONDING\CP-BOND-003  Conector BACC65 TODOS.pdf</v>
      </c>
      <c r="C846" s="5" t="str">
        <f>MID(B846,LEN(B846) - FIND(".",REVERSETEXT(B846))+2,1000)</f>
        <v>pdf</v>
      </c>
      <c r="D846" s="6">
        <v>11</v>
      </c>
      <c r="E846" s="7" t="s">
        <v>931</v>
      </c>
      <c r="F846" s="7" t="s">
        <v>256</v>
      </c>
      <c r="G846" s="8" t="s">
        <v>23</v>
      </c>
      <c r="H846" s="8">
        <v>5</v>
      </c>
      <c r="I846" s="8" t="s">
        <v>874</v>
      </c>
      <c r="J846" s="8">
        <v>10</v>
      </c>
      <c r="K846" s="8" t="s">
        <v>875</v>
      </c>
      <c r="L846" s="8">
        <v>7</v>
      </c>
      <c r="M846" s="7" t="s">
        <v>876</v>
      </c>
      <c r="N846" s="7" t="s">
        <v>936</v>
      </c>
      <c r="O846" s="25">
        <v>41164</v>
      </c>
      <c r="P846" s="13" t="s">
        <v>27</v>
      </c>
      <c r="Q846" s="7" t="s">
        <v>904</v>
      </c>
      <c r="R846" s="13" t="s">
        <v>879</v>
      </c>
      <c r="S846" s="26" t="s">
        <v>880</v>
      </c>
      <c r="T846" s="7"/>
      <c r="U846" s="13"/>
      <c r="V846" s="13"/>
    </row>
    <row r="847" spans="1:22">
      <c r="A847" s="5" t="s">
        <v>937</v>
      </c>
      <c r="B847" s="5" t="str">
        <f>GetAddress(A847)</f>
        <v>\\chno0276\Aseguranza de Calidad\Control de Documentos\Doc. controlados PDF\Control Plans\ITRON\BONDING\CP-BOND-003  Conector BACC65 TODOS.pdf</v>
      </c>
      <c r="C847" s="5" t="str">
        <f>MID(B847,LEN(B847) - FIND(".",REVERSETEXT(B847))+2,1000)</f>
        <v>pdf</v>
      </c>
      <c r="D847" s="6">
        <v>11</v>
      </c>
      <c r="E847" s="7" t="s">
        <v>931</v>
      </c>
      <c r="F847" s="7" t="s">
        <v>256</v>
      </c>
      <c r="G847" s="8" t="s">
        <v>23</v>
      </c>
      <c r="H847" s="8">
        <v>5</v>
      </c>
      <c r="I847" s="8" t="s">
        <v>874</v>
      </c>
      <c r="J847" s="8">
        <v>10</v>
      </c>
      <c r="K847" s="8" t="s">
        <v>875</v>
      </c>
      <c r="L847" s="8">
        <v>7</v>
      </c>
      <c r="M847" s="7" t="s">
        <v>876</v>
      </c>
      <c r="N847" s="7" t="s">
        <v>882</v>
      </c>
      <c r="O847" s="25">
        <v>41165</v>
      </c>
      <c r="P847" s="13" t="s">
        <v>27</v>
      </c>
      <c r="Q847" s="7" t="s">
        <v>927</v>
      </c>
      <c r="R847" s="13" t="s">
        <v>879</v>
      </c>
      <c r="S847" s="26" t="s">
        <v>880</v>
      </c>
      <c r="T847" s="7"/>
      <c r="U847" s="13"/>
      <c r="V847" s="13"/>
    </row>
    <row r="848" spans="1:22" ht="89.25">
      <c r="A848" s="5" t="s">
        <v>938</v>
      </c>
      <c r="B848" s="5" t="str">
        <f>GetAddress(A848)</f>
        <v>\\chno0276\Control de Documentos\Doc. controlados PDF\Flow Chart\ITRON\AMSAFE\FC- AMSA -005  004046-001 to 004046-0083 004043-0001 004044-0001 004044-0001 004045-0001 0040406-0071 to 0040406-0078.pdf</v>
      </c>
      <c r="C848" s="5" t="str">
        <f>MID(B848,LEN(B848) - FIND(".",REVERSETEXT(B848))+2,1000)</f>
        <v>pdf</v>
      </c>
      <c r="D848" s="6">
        <v>11</v>
      </c>
      <c r="E848" s="7" t="s">
        <v>931</v>
      </c>
      <c r="F848" s="7" t="s">
        <v>256</v>
      </c>
      <c r="G848" s="8" t="s">
        <v>23</v>
      </c>
      <c r="H848" s="8">
        <v>5</v>
      </c>
      <c r="I848" s="8" t="s">
        <v>874</v>
      </c>
      <c r="J848" s="8">
        <v>10</v>
      </c>
      <c r="K848" s="8" t="s">
        <v>875</v>
      </c>
      <c r="L848" s="8">
        <v>7</v>
      </c>
      <c r="M848" s="7" t="s">
        <v>876</v>
      </c>
      <c r="N848" s="13" t="s">
        <v>882</v>
      </c>
      <c r="O848" s="25">
        <v>41165</v>
      </c>
      <c r="P848" s="13" t="s">
        <v>27</v>
      </c>
      <c r="Q848" s="13" t="s">
        <v>883</v>
      </c>
      <c r="R848" s="13" t="s">
        <v>879</v>
      </c>
      <c r="S848" s="26" t="s">
        <v>880</v>
      </c>
      <c r="T848" s="7"/>
      <c r="U848" s="13"/>
      <c r="V848" s="13"/>
    </row>
    <row r="849" spans="1:22">
      <c r="A849" s="5" t="s">
        <v>939</v>
      </c>
      <c r="B849" s="5" t="str">
        <f>GetAddress(A849)</f>
        <v>\\chno0276\Control de Documentos\Doc. controlados PDF\Flow Chart\ITRON\AMSAFE\FC-AMSA -006  004041-0001  004041-0002.pdf</v>
      </c>
      <c r="C849" s="5" t="str">
        <f>MID(B849,LEN(B849) - FIND(".",REVERSETEXT(B849))+2,1000)</f>
        <v>pdf</v>
      </c>
      <c r="D849" s="6">
        <v>11</v>
      </c>
      <c r="E849" s="7" t="s">
        <v>931</v>
      </c>
      <c r="F849" s="7" t="s">
        <v>256</v>
      </c>
      <c r="G849" s="8" t="s">
        <v>23</v>
      </c>
      <c r="H849" s="8">
        <v>5</v>
      </c>
      <c r="I849" s="8" t="s">
        <v>874</v>
      </c>
      <c r="J849" s="8">
        <v>10</v>
      </c>
      <c r="K849" s="8" t="s">
        <v>875</v>
      </c>
      <c r="L849" s="8">
        <v>7</v>
      </c>
      <c r="M849" s="7" t="s">
        <v>876</v>
      </c>
      <c r="N849" s="7" t="s">
        <v>908</v>
      </c>
      <c r="O849" s="25">
        <v>41165</v>
      </c>
      <c r="P849" s="13" t="s">
        <v>27</v>
      </c>
      <c r="Q849" s="7" t="s">
        <v>909</v>
      </c>
      <c r="R849" s="13" t="s">
        <v>879</v>
      </c>
      <c r="S849" s="26" t="s">
        <v>880</v>
      </c>
      <c r="T849" s="7"/>
      <c r="U849" s="13"/>
      <c r="V849" s="13"/>
    </row>
    <row r="850" spans="1:22">
      <c r="A850" s="5" t="s">
        <v>940</v>
      </c>
      <c r="B850" s="5" t="str">
        <f>GetAddress(A850)</f>
        <v>\\chno0276\Control de Documentos\Doc. controlados PDF\Flow Chart\ITRON\AMSAFE\FC-AMSA -007 004042-TAB  004031-TAB.pdf</v>
      </c>
      <c r="C850" s="5" t="str">
        <f>MID(B850,LEN(B850) - FIND(".",REVERSETEXT(B850))+2,1000)</f>
        <v>pdf</v>
      </c>
      <c r="D850" s="6">
        <v>11</v>
      </c>
      <c r="E850" s="7" t="s">
        <v>931</v>
      </c>
      <c r="F850" s="7" t="s">
        <v>256</v>
      </c>
      <c r="G850" s="8" t="s">
        <v>23</v>
      </c>
      <c r="H850" s="8">
        <v>5</v>
      </c>
      <c r="I850" s="8" t="s">
        <v>874</v>
      </c>
      <c r="J850" s="8">
        <v>10</v>
      </c>
      <c r="K850" s="8" t="s">
        <v>875</v>
      </c>
      <c r="L850" s="8">
        <v>7</v>
      </c>
      <c r="M850" s="7" t="s">
        <v>876</v>
      </c>
      <c r="N850" s="7" t="s">
        <v>941</v>
      </c>
      <c r="O850" s="25">
        <v>41165</v>
      </c>
      <c r="P850" s="13" t="s">
        <v>27</v>
      </c>
      <c r="Q850" s="7" t="s">
        <v>925</v>
      </c>
      <c r="R850" s="13" t="s">
        <v>879</v>
      </c>
      <c r="S850" s="26" t="s">
        <v>880</v>
      </c>
      <c r="T850" s="7"/>
      <c r="U850" s="13"/>
      <c r="V850" s="13"/>
    </row>
    <row r="851" spans="1:22">
      <c r="A851" s="5" t="s">
        <v>942</v>
      </c>
      <c r="B851" s="5" t="str">
        <f>GetAddress(A851)</f>
        <v>\\chno0276\Control de Documentos\Doc. controlados PDF\Flow Chart\ITRON\AMSAFE\FC-AMSA -008  04055-002.pdf</v>
      </c>
      <c r="C851" s="5" t="str">
        <f>MID(B851,LEN(B851) - FIND(".",REVERSETEXT(B851))+2,1000)</f>
        <v>pdf</v>
      </c>
      <c r="D851" s="6">
        <v>11</v>
      </c>
      <c r="E851" s="7" t="s">
        <v>931</v>
      </c>
      <c r="F851" s="7" t="s">
        <v>256</v>
      </c>
      <c r="G851" s="8" t="s">
        <v>23</v>
      </c>
      <c r="H851" s="8">
        <v>5</v>
      </c>
      <c r="I851" s="8" t="s">
        <v>874</v>
      </c>
      <c r="J851" s="8">
        <v>10</v>
      </c>
      <c r="K851" s="8" t="s">
        <v>875</v>
      </c>
      <c r="L851" s="8">
        <v>7</v>
      </c>
      <c r="M851" s="7" t="s">
        <v>876</v>
      </c>
      <c r="N851" s="7" t="s">
        <v>914</v>
      </c>
      <c r="O851" s="25">
        <v>41165</v>
      </c>
      <c r="P851" s="13" t="s">
        <v>27</v>
      </c>
      <c r="Q851" s="7" t="s">
        <v>943</v>
      </c>
      <c r="R851" s="13" t="s">
        <v>879</v>
      </c>
      <c r="S851" s="26" t="s">
        <v>880</v>
      </c>
      <c r="T851" s="7"/>
      <c r="U851" s="13"/>
      <c r="V851" s="13"/>
    </row>
    <row r="852" spans="1:22">
      <c r="A852" s="5" t="s">
        <v>944</v>
      </c>
      <c r="B852" s="5" t="str">
        <f>GetAddress(A852)</f>
        <v>\\chno0276\Control de Documentos\Doc. controlados PDF\Flow Chart\ITRON\AMSAFE\FC-AMSA -009 004065-TAB.pdf</v>
      </c>
      <c r="C852" s="5" t="str">
        <f>MID(B852,LEN(B852) - FIND(".",REVERSETEXT(B852))+2,1000)</f>
        <v>pdf</v>
      </c>
      <c r="D852" s="6">
        <v>11</v>
      </c>
      <c r="E852" s="7" t="s">
        <v>931</v>
      </c>
      <c r="F852" s="7" t="s">
        <v>256</v>
      </c>
      <c r="G852" s="8" t="s">
        <v>23</v>
      </c>
      <c r="H852" s="8">
        <v>5</v>
      </c>
      <c r="I852" s="8" t="s">
        <v>874</v>
      </c>
      <c r="J852" s="8">
        <v>10</v>
      </c>
      <c r="K852" s="8" t="s">
        <v>875</v>
      </c>
      <c r="L852" s="8">
        <v>7</v>
      </c>
      <c r="M852" s="7" t="s">
        <v>876</v>
      </c>
      <c r="N852" s="7" t="s">
        <v>877</v>
      </c>
      <c r="O852" s="25">
        <v>41165</v>
      </c>
      <c r="P852" s="13" t="s">
        <v>27</v>
      </c>
      <c r="Q852" s="7" t="s">
        <v>945</v>
      </c>
      <c r="R852" s="13" t="s">
        <v>879</v>
      </c>
      <c r="S852" s="26" t="s">
        <v>880</v>
      </c>
      <c r="T852" s="7"/>
      <c r="U852" s="13"/>
      <c r="V852" s="13"/>
    </row>
    <row r="853" spans="1:22" ht="38.25">
      <c r="A853" s="5" t="s">
        <v>946</v>
      </c>
      <c r="B853" s="5" t="str">
        <f>GetAddress(A853)</f>
        <v>\\chno0276\Control de Documentos\Doc. controlados PDF\Flow Chart\ITRON\AMSAFE\FC-  AMSA -0010  004035-TAB, 004034-0001, 004014-0001 &amp; 003082-0001.pdf</v>
      </c>
      <c r="C853" s="5" t="str">
        <f>MID(B853,LEN(B853) - FIND(".",REVERSETEXT(B853))+2,1000)</f>
        <v>pdf</v>
      </c>
      <c r="D853" s="6">
        <v>11</v>
      </c>
      <c r="E853" s="7" t="s">
        <v>931</v>
      </c>
      <c r="F853" s="7" t="s">
        <v>256</v>
      </c>
      <c r="G853" s="8" t="s">
        <v>23</v>
      </c>
      <c r="H853" s="8">
        <v>5</v>
      </c>
      <c r="I853" s="8" t="s">
        <v>874</v>
      </c>
      <c r="J853" s="8">
        <v>10</v>
      </c>
      <c r="K853" s="8" t="s">
        <v>875</v>
      </c>
      <c r="L853" s="8">
        <v>7</v>
      </c>
      <c r="M853" s="7" t="s">
        <v>876</v>
      </c>
      <c r="N853" s="7" t="s">
        <v>947</v>
      </c>
      <c r="O853" s="25">
        <v>41165</v>
      </c>
      <c r="P853" s="13" t="s">
        <v>27</v>
      </c>
      <c r="Q853" s="13" t="s">
        <v>889</v>
      </c>
      <c r="R853" s="13" t="s">
        <v>879</v>
      </c>
      <c r="S853" s="26" t="s">
        <v>880</v>
      </c>
      <c r="T853" s="7"/>
      <c r="U853" s="13"/>
      <c r="V853" s="13"/>
    </row>
    <row r="854" spans="1:22" ht="229.5">
      <c r="A854" s="5" t="s">
        <v>948</v>
      </c>
      <c r="B854" s="5" t="str">
        <f>GetAddress(A854)</f>
        <v>\\chno0276\Aseguranza de Calidad\Control de Documentos\Doc. controlados PDF\Control Plans\ITRON\AMSAFE\CP-AMSA-006  000-4005-0001, 004005-0002, 004005-0003 &amp; 004005-0005004005-TAB.pdf</v>
      </c>
      <c r="C854" s="5" t="str">
        <f>MID(B854,LEN(B854) - FIND(".",REVERSETEXT(B854))+2,1000)</f>
        <v>pdf</v>
      </c>
      <c r="D854" s="6">
        <v>11</v>
      </c>
      <c r="E854" s="7" t="s">
        <v>931</v>
      </c>
      <c r="F854" s="7" t="s">
        <v>256</v>
      </c>
      <c r="G854" s="8" t="s">
        <v>23</v>
      </c>
      <c r="H854" s="8">
        <v>5</v>
      </c>
      <c r="I854" s="8" t="s">
        <v>874</v>
      </c>
      <c r="J854" s="8">
        <v>10</v>
      </c>
      <c r="K854" s="8" t="s">
        <v>875</v>
      </c>
      <c r="L854" s="8">
        <v>7</v>
      </c>
      <c r="M854" s="7" t="s">
        <v>876</v>
      </c>
      <c r="N854" s="7" t="s">
        <v>882</v>
      </c>
      <c r="O854" s="25">
        <v>41165</v>
      </c>
      <c r="P854" s="13" t="s">
        <v>27</v>
      </c>
      <c r="Q854" s="13" t="s">
        <v>949</v>
      </c>
      <c r="R854" s="13" t="s">
        <v>879</v>
      </c>
      <c r="S854" s="26" t="s">
        <v>880</v>
      </c>
      <c r="T854" s="7"/>
      <c r="U854" s="13"/>
      <c r="V854" s="13"/>
    </row>
    <row r="855" spans="1:22">
      <c r="A855" s="5" t="s">
        <v>950</v>
      </c>
      <c r="B855" s="5" t="str">
        <f>GetAddress(A855)</f>
        <v>\\chno0276\Aseguranza de Calidad\Control de Documentos\Doc. controlados PDF\Control Plans\ITRON\AMSAFE\CP-AMSA-006  000-4005-0001, 004005-0002, 004005-0003 &amp; 004005-0005004005-TAB.pdf</v>
      </c>
      <c r="C855" s="5" t="str">
        <f>MID(B855,LEN(B855) - FIND(".",REVERSETEXT(B855))+2,1000)</f>
        <v>pdf</v>
      </c>
      <c r="D855" s="6">
        <v>11</v>
      </c>
      <c r="E855" s="7" t="s">
        <v>931</v>
      </c>
      <c r="F855" s="7" t="s">
        <v>256</v>
      </c>
      <c r="G855" s="8" t="s">
        <v>23</v>
      </c>
      <c r="H855" s="8">
        <v>5</v>
      </c>
      <c r="I855" s="8" t="s">
        <v>874</v>
      </c>
      <c r="J855" s="8">
        <v>10</v>
      </c>
      <c r="K855" s="8" t="s">
        <v>875</v>
      </c>
      <c r="L855" s="8">
        <v>7</v>
      </c>
      <c r="M855" s="7" t="s">
        <v>876</v>
      </c>
      <c r="N855" s="7" t="s">
        <v>951</v>
      </c>
      <c r="O855" s="25">
        <v>41165</v>
      </c>
      <c r="P855" s="13" t="s">
        <v>27</v>
      </c>
      <c r="Q855" s="7" t="s">
        <v>892</v>
      </c>
      <c r="R855" s="13" t="s">
        <v>879</v>
      </c>
      <c r="S855" s="26" t="s">
        <v>880</v>
      </c>
      <c r="T855" s="7"/>
      <c r="U855" s="13"/>
      <c r="V855" s="13"/>
    </row>
    <row r="856" spans="1:22">
      <c r="A856" s="5" t="s">
        <v>952</v>
      </c>
      <c r="B856" s="5" t="str">
        <f>GetAddress(A856)</f>
        <v>\\chno0276\Aseguranza de Calidad\Control de Documentos\Doc. controlados PDF\Control Plans\ITRON\AMSAFE\CP-AMSA-006  000-4005-0001, 004005-0002, 004005-0003 &amp; 004005-0005004005-TAB.pdf</v>
      </c>
      <c r="C856" s="5" t="str">
        <f>MID(B856,LEN(B856) - FIND(".",REVERSETEXT(B856))+2,1000)</f>
        <v>pdf</v>
      </c>
      <c r="D856" s="6">
        <v>11</v>
      </c>
      <c r="E856" s="7" t="s">
        <v>931</v>
      </c>
      <c r="F856" s="7" t="s">
        <v>256</v>
      </c>
      <c r="G856" s="8" t="s">
        <v>23</v>
      </c>
      <c r="H856" s="8">
        <v>5</v>
      </c>
      <c r="I856" s="8" t="s">
        <v>874</v>
      </c>
      <c r="J856" s="8">
        <v>10</v>
      </c>
      <c r="K856" s="8" t="s">
        <v>875</v>
      </c>
      <c r="L856" s="8">
        <v>7</v>
      </c>
      <c r="M856" s="7" t="s">
        <v>876</v>
      </c>
      <c r="N856" s="7" t="s">
        <v>877</v>
      </c>
      <c r="O856" s="25">
        <v>41165</v>
      </c>
      <c r="P856" s="13" t="s">
        <v>27</v>
      </c>
      <c r="Q856" s="7" t="s">
        <v>918</v>
      </c>
      <c r="R856" s="13" t="s">
        <v>879</v>
      </c>
      <c r="S856" s="26" t="s">
        <v>880</v>
      </c>
      <c r="T856" s="7"/>
      <c r="U856" s="13"/>
      <c r="V856" s="13"/>
    </row>
    <row r="857" spans="1:22">
      <c r="A857" s="5" t="s">
        <v>953</v>
      </c>
      <c r="B857" s="5" t="str">
        <f>GetAddress(A857)</f>
        <v>\\chno0276\Aseguranza de Calidad\Control de Documentos\Doc. controlados PDF\Control Plans\ITRON\AMSAFE\CP-AMSA-009  0004071-0001.pdf</v>
      </c>
      <c r="C857" s="5" t="str">
        <f>MID(B857,LEN(B857) - FIND(".",REVERSETEXT(B857))+2,1000)</f>
        <v>pdf</v>
      </c>
      <c r="D857" s="6">
        <v>11</v>
      </c>
      <c r="E857" s="7" t="s">
        <v>931</v>
      </c>
      <c r="F857" s="7" t="s">
        <v>256</v>
      </c>
      <c r="G857" s="8" t="s">
        <v>23</v>
      </c>
      <c r="H857" s="8">
        <v>5</v>
      </c>
      <c r="I857" s="8" t="s">
        <v>874</v>
      </c>
      <c r="J857" s="8">
        <v>10</v>
      </c>
      <c r="K857" s="8" t="s">
        <v>875</v>
      </c>
      <c r="L857" s="8">
        <v>7</v>
      </c>
      <c r="M857" s="7" t="s">
        <v>876</v>
      </c>
      <c r="N857" s="7" t="s">
        <v>882</v>
      </c>
      <c r="O857" s="25">
        <v>41165</v>
      </c>
      <c r="P857" s="13" t="s">
        <v>27</v>
      </c>
      <c r="Q857" s="7" t="s">
        <v>922</v>
      </c>
      <c r="R857" s="13" t="s">
        <v>879</v>
      </c>
      <c r="S857" s="26" t="s">
        <v>880</v>
      </c>
      <c r="T857" s="7"/>
      <c r="U857" s="13"/>
      <c r="V857" s="13"/>
    </row>
    <row r="858" spans="1:22">
      <c r="A858" s="5" t="s">
        <v>954</v>
      </c>
      <c r="B858" s="5" t="str">
        <f>GetAddress(A858)</f>
        <v>\\chno0276\Aseguranza de Calidad\Control de Documentos\Doc. controlados PDF\Control Plans\ITRON\AMSAFE\CP-AMSA-009  0004071-0001.pdf</v>
      </c>
      <c r="C858" s="5" t="str">
        <f>MID(B858,LEN(B858) - FIND(".",REVERSETEXT(B858))+2,1000)</f>
        <v>pdf</v>
      </c>
      <c r="D858" s="6">
        <v>11</v>
      </c>
      <c r="E858" s="7" t="s">
        <v>931</v>
      </c>
      <c r="F858" s="7" t="s">
        <v>256</v>
      </c>
      <c r="G858" s="8" t="s">
        <v>23</v>
      </c>
      <c r="H858" s="8">
        <v>5</v>
      </c>
      <c r="I858" s="8" t="s">
        <v>874</v>
      </c>
      <c r="J858" s="8">
        <v>10</v>
      </c>
      <c r="K858" s="8" t="s">
        <v>875</v>
      </c>
      <c r="L858" s="8">
        <v>7</v>
      </c>
      <c r="M858" s="7" t="s">
        <v>876</v>
      </c>
      <c r="N858" s="7" t="s">
        <v>955</v>
      </c>
      <c r="O858" s="25">
        <v>41165</v>
      </c>
      <c r="P858" s="13" t="s">
        <v>27</v>
      </c>
      <c r="Q858" s="7" t="s">
        <v>956</v>
      </c>
      <c r="R858" s="13" t="s">
        <v>879</v>
      </c>
      <c r="S858" s="26" t="s">
        <v>880</v>
      </c>
      <c r="T858" s="7"/>
      <c r="U858" s="13"/>
      <c r="V858" s="13"/>
    </row>
    <row r="859" spans="1:22">
      <c r="A859" s="5" t="s">
        <v>957</v>
      </c>
      <c r="B859" s="5" t="str">
        <f>GetAddress(A859)</f>
        <v>\\chno0276\Aseguranza de Calidad\Control de Documentos\Doc. controlados PDF\Control Plans\ITRON\AMSAFE\CP-AMSA-009  0004071-0001.pdf</v>
      </c>
      <c r="C859" s="5" t="str">
        <f>MID(B859,LEN(B859) - FIND(".",REVERSETEXT(B859))+2,1000)</f>
        <v>pdf</v>
      </c>
      <c r="D859" s="6">
        <v>11</v>
      </c>
      <c r="E859" s="7" t="s">
        <v>931</v>
      </c>
      <c r="F859" s="7" t="s">
        <v>256</v>
      </c>
      <c r="G859" s="8" t="s">
        <v>23</v>
      </c>
      <c r="H859" s="8">
        <v>5</v>
      </c>
      <c r="I859" s="8" t="s">
        <v>874</v>
      </c>
      <c r="J859" s="8">
        <v>10</v>
      </c>
      <c r="K859" s="8" t="s">
        <v>875</v>
      </c>
      <c r="L859" s="8">
        <v>7</v>
      </c>
      <c r="M859" s="7" t="s">
        <v>876</v>
      </c>
      <c r="N859" s="7" t="s">
        <v>885</v>
      </c>
      <c r="O859" s="25">
        <v>41165</v>
      </c>
      <c r="P859" s="13" t="s">
        <v>27</v>
      </c>
      <c r="Q859" s="7" t="s">
        <v>958</v>
      </c>
      <c r="R859" s="13" t="s">
        <v>879</v>
      </c>
      <c r="S859" s="26" t="s">
        <v>880</v>
      </c>
      <c r="T859" s="7"/>
      <c r="U859" s="13"/>
      <c r="V859" s="13"/>
    </row>
    <row r="860" spans="1:22">
      <c r="A860" s="5" t="s">
        <v>959</v>
      </c>
      <c r="B860" s="5" t="str">
        <f>GetAddress(A860)</f>
        <v>\\chno0276\Control de Documentos\Doc. controlados PDF\Flow Chart\ITRON\AMSAFE\FC-AMSA-017 003077-0001.pdf</v>
      </c>
      <c r="C860" s="5" t="str">
        <f>MID(B860,LEN(B860) - FIND(".",REVERSETEXT(B860))+2,1000)</f>
        <v>pdf</v>
      </c>
      <c r="D860" s="6">
        <v>11</v>
      </c>
      <c r="E860" s="7" t="s">
        <v>931</v>
      </c>
      <c r="F860" s="7" t="s">
        <v>256</v>
      </c>
      <c r="G860" s="8" t="s">
        <v>23</v>
      </c>
      <c r="H860" s="8">
        <v>5</v>
      </c>
      <c r="I860" s="8" t="s">
        <v>874</v>
      </c>
      <c r="J860" s="8">
        <v>10</v>
      </c>
      <c r="K860" s="8" t="s">
        <v>875</v>
      </c>
      <c r="L860" s="8">
        <v>7</v>
      </c>
      <c r="M860" s="7" t="s">
        <v>876</v>
      </c>
      <c r="N860" s="7" t="s">
        <v>951</v>
      </c>
      <c r="O860" s="25">
        <v>41165</v>
      </c>
      <c r="P860" s="13" t="s">
        <v>27</v>
      </c>
      <c r="Q860" s="7" t="s">
        <v>920</v>
      </c>
      <c r="R860" s="13" t="s">
        <v>879</v>
      </c>
      <c r="S860" s="26" t="s">
        <v>880</v>
      </c>
      <c r="T860" s="7"/>
      <c r="U860" s="13"/>
      <c r="V860" s="13"/>
    </row>
    <row r="861" spans="1:22">
      <c r="A861" s="5" t="s">
        <v>960</v>
      </c>
      <c r="B861" s="5" t="str">
        <f>GetAddress(A861)</f>
        <v>\\chno0276\Aseguranza de Calidad\Control de Documentos\Doc. controlados PDF\Control Plans\ITRON\AMSAFE\CP-AMSA-009  0004071-0001.pdf</v>
      </c>
      <c r="C861" s="5" t="str">
        <f>MID(B861,LEN(B861) - FIND(".",REVERSETEXT(B861))+2,1000)</f>
        <v>pdf</v>
      </c>
      <c r="D861" s="6">
        <v>11</v>
      </c>
      <c r="E861" s="7" t="s">
        <v>931</v>
      </c>
      <c r="F861" s="7" t="s">
        <v>256</v>
      </c>
      <c r="G861" s="8" t="s">
        <v>23</v>
      </c>
      <c r="H861" s="8">
        <v>5</v>
      </c>
      <c r="I861" s="8" t="s">
        <v>874</v>
      </c>
      <c r="J861" s="8">
        <v>10</v>
      </c>
      <c r="K861" s="8" t="s">
        <v>875</v>
      </c>
      <c r="L861" s="8">
        <v>7</v>
      </c>
      <c r="M861" s="7" t="s">
        <v>876</v>
      </c>
      <c r="N861" s="7" t="s">
        <v>882</v>
      </c>
      <c r="O861" s="25">
        <v>41165</v>
      </c>
      <c r="P861" s="13" t="s">
        <v>27</v>
      </c>
      <c r="Q861" s="7" t="s">
        <v>912</v>
      </c>
      <c r="R861" s="13" t="s">
        <v>879</v>
      </c>
      <c r="S861" s="26" t="s">
        <v>880</v>
      </c>
      <c r="T861" s="7"/>
      <c r="U861" s="13"/>
      <c r="V861" s="13"/>
    </row>
    <row r="862" spans="1:22">
      <c r="A862" s="5" t="s">
        <v>961</v>
      </c>
      <c r="B862" s="5" t="str">
        <f>GetAddress(A862)</f>
        <v>\\chno0276\Aseguranza de Calidad\Control de Documentos\Doc. controlados PDF\Control Plans\ITRON\AMSAFE\CP-AMSA-009  0004071-0001.pdf</v>
      </c>
      <c r="C862" s="5" t="str">
        <f>MID(B862,LEN(B862) - FIND(".",REVERSETEXT(B862))+2,1000)</f>
        <v>pdf</v>
      </c>
      <c r="D862" s="6">
        <v>11</v>
      </c>
      <c r="E862" s="7" t="s">
        <v>931</v>
      </c>
      <c r="F862" s="7" t="s">
        <v>256</v>
      </c>
      <c r="G862" s="8" t="s">
        <v>23</v>
      </c>
      <c r="H862" s="8">
        <v>5</v>
      </c>
      <c r="I862" s="8" t="s">
        <v>874</v>
      </c>
      <c r="J862" s="8">
        <v>10</v>
      </c>
      <c r="K862" s="8" t="s">
        <v>875</v>
      </c>
      <c r="L862" s="8">
        <v>7</v>
      </c>
      <c r="M862" s="7" t="s">
        <v>876</v>
      </c>
      <c r="N862" s="7" t="s">
        <v>877</v>
      </c>
      <c r="O862" s="25">
        <v>41165</v>
      </c>
      <c r="P862" s="13" t="s">
        <v>27</v>
      </c>
      <c r="Q862" s="7" t="s">
        <v>906</v>
      </c>
      <c r="R862" s="13" t="s">
        <v>879</v>
      </c>
      <c r="S862" s="26" t="s">
        <v>880</v>
      </c>
      <c r="T862" s="7"/>
      <c r="U862" s="13"/>
      <c r="V862" s="13"/>
    </row>
    <row r="863" spans="1:22" ht="51">
      <c r="A863" s="30" t="s">
        <v>1042</v>
      </c>
      <c r="B863" s="5" t="str">
        <f>GetAddress(A863)</f>
        <v>\\chno0276\Aseguranza de Calidad\Control de Documentos\Doc. controlados PDF\Control Plans\ITRON\AMSAFE\CP-AMSA-009  0004071-0001.pdf</v>
      </c>
      <c r="C863" s="5" t="str">
        <f>MID(B863,LEN(B863) - FIND(".",REVERSETEXT(B863))+2,1000)</f>
        <v>pdf</v>
      </c>
      <c r="D863" s="6">
        <v>11</v>
      </c>
      <c r="E863" s="7" t="s">
        <v>931</v>
      </c>
      <c r="F863" s="7" t="s">
        <v>256</v>
      </c>
      <c r="G863" s="8" t="s">
        <v>23</v>
      </c>
      <c r="H863" s="8">
        <v>5</v>
      </c>
      <c r="I863" s="8" t="s">
        <v>874</v>
      </c>
      <c r="J863" s="8">
        <v>10</v>
      </c>
      <c r="K863" s="8" t="s">
        <v>967</v>
      </c>
      <c r="L863" s="8">
        <v>10</v>
      </c>
      <c r="M863" s="7" t="s">
        <v>968</v>
      </c>
      <c r="N863" s="13" t="s">
        <v>969</v>
      </c>
      <c r="O863" s="25">
        <v>41141</v>
      </c>
      <c r="P863" s="13" t="s">
        <v>27</v>
      </c>
      <c r="Q863" s="13" t="s">
        <v>1043</v>
      </c>
      <c r="R863" s="13" t="s">
        <v>879</v>
      </c>
      <c r="S863" s="26" t="s">
        <v>880</v>
      </c>
      <c r="T863" s="7"/>
      <c r="U863" s="13"/>
      <c r="V863" s="13"/>
    </row>
    <row r="864" spans="1:22">
      <c r="A864" s="5" t="s">
        <v>1044</v>
      </c>
      <c r="B864" s="5" t="str">
        <f>GetAddress(A864)</f>
        <v>\\chno0276\Aseguranza de Calidad\Control de Documentos\Doc. controlados PDF\Control Plans\ITRON\AMSAFE\CP-AMSA-009  0004071-0001.pdf</v>
      </c>
      <c r="C864" s="5" t="str">
        <f>MID(B864,LEN(B864) - FIND(".",REVERSETEXT(B864))+2,1000)</f>
        <v>pdf</v>
      </c>
      <c r="D864" s="6">
        <v>11</v>
      </c>
      <c r="E864" s="7" t="s">
        <v>931</v>
      </c>
      <c r="F864" s="7" t="s">
        <v>256</v>
      </c>
      <c r="G864" s="8" t="s">
        <v>23</v>
      </c>
      <c r="H864" s="8">
        <v>5</v>
      </c>
      <c r="I864" s="8" t="s">
        <v>874</v>
      </c>
      <c r="J864" s="8">
        <v>10</v>
      </c>
      <c r="K864" s="8" t="s">
        <v>967</v>
      </c>
      <c r="L864" s="8">
        <v>10</v>
      </c>
      <c r="M864" s="7" t="s">
        <v>968</v>
      </c>
      <c r="N864" s="7" t="s">
        <v>972</v>
      </c>
      <c r="O864" s="9">
        <v>41149</v>
      </c>
      <c r="P864" s="7" t="s">
        <v>27</v>
      </c>
      <c r="Q864" s="7" t="s">
        <v>973</v>
      </c>
      <c r="R864" s="13" t="s">
        <v>879</v>
      </c>
      <c r="S864" s="26" t="s">
        <v>880</v>
      </c>
      <c r="T864" s="7"/>
      <c r="U864" s="13"/>
      <c r="V864" s="13"/>
    </row>
    <row r="865" spans="1:22">
      <c r="A865" s="5" t="s">
        <v>1045</v>
      </c>
      <c r="B865" s="5" t="str">
        <f>GetAddress(A865)</f>
        <v>\\chno0276\Aseguranza de Calidad\Control de Documentos\Doc. controlados PDF\Control Plans\ITRON\AMSAFE\CP-AMSA-009  0004071-0001.pdf</v>
      </c>
      <c r="C865" s="5" t="str">
        <f>MID(B865,LEN(B865) - FIND(".",REVERSETEXT(B865))+2,1000)</f>
        <v>pdf</v>
      </c>
      <c r="D865" s="6">
        <v>11</v>
      </c>
      <c r="E865" s="7" t="s">
        <v>931</v>
      </c>
      <c r="F865" s="7" t="s">
        <v>256</v>
      </c>
      <c r="G865" s="8" t="s">
        <v>23</v>
      </c>
      <c r="H865" s="8">
        <v>5</v>
      </c>
      <c r="I865" s="8" t="s">
        <v>874</v>
      </c>
      <c r="J865" s="8">
        <v>10</v>
      </c>
      <c r="K865" s="8" t="s">
        <v>967</v>
      </c>
      <c r="L865" s="8">
        <v>10</v>
      </c>
      <c r="M865" s="7" t="s">
        <v>968</v>
      </c>
      <c r="N865" s="7" t="s">
        <v>1046</v>
      </c>
      <c r="O865" s="9">
        <v>41181</v>
      </c>
      <c r="P865" s="7" t="s">
        <v>27</v>
      </c>
      <c r="Q865" s="7" t="s">
        <v>976</v>
      </c>
      <c r="R865" s="13" t="s">
        <v>879</v>
      </c>
      <c r="S865" s="26" t="s">
        <v>880</v>
      </c>
      <c r="T865" s="7"/>
      <c r="U865" s="13"/>
      <c r="V865" s="13"/>
    </row>
    <row r="866" spans="1:22">
      <c r="A866" s="5" t="s">
        <v>1047</v>
      </c>
      <c r="B866" s="5" t="str">
        <f>GetAddress(A866)</f>
        <v>\\chno0276\Aseguranza de Calidad\Control de Documentos\Doc. controlados PDF\Control Plans\ITRON\AMSAFE\CP-AMSA-009  0004071-0001.pdf</v>
      </c>
      <c r="C866" s="5" t="str">
        <f>MID(B866,LEN(B866) - FIND(".",REVERSETEXT(B866))+2,1000)</f>
        <v>pdf</v>
      </c>
      <c r="D866" s="6">
        <v>11</v>
      </c>
      <c r="E866" s="7" t="s">
        <v>931</v>
      </c>
      <c r="F866" s="7" t="s">
        <v>256</v>
      </c>
      <c r="G866" s="8" t="s">
        <v>23</v>
      </c>
      <c r="H866" s="8">
        <v>5</v>
      </c>
      <c r="I866" s="8" t="s">
        <v>874</v>
      </c>
      <c r="J866" s="8">
        <v>10</v>
      </c>
      <c r="K866" s="8" t="s">
        <v>967</v>
      </c>
      <c r="L866" s="8">
        <v>10</v>
      </c>
      <c r="M866" s="7" t="s">
        <v>968</v>
      </c>
      <c r="N866" s="7" t="s">
        <v>1048</v>
      </c>
      <c r="O866" s="9">
        <v>41207</v>
      </c>
      <c r="P866" s="7" t="s">
        <v>27</v>
      </c>
      <c r="Q866" s="7" t="s">
        <v>1006</v>
      </c>
      <c r="R866" s="13" t="s">
        <v>879</v>
      </c>
      <c r="S866" s="26" t="s">
        <v>880</v>
      </c>
      <c r="T866" s="7"/>
      <c r="U866" s="13"/>
      <c r="V866" s="13"/>
    </row>
    <row r="867" spans="1:22">
      <c r="A867" s="5" t="s">
        <v>1049</v>
      </c>
      <c r="B867" s="5" t="str">
        <f>GetAddress(A867)</f>
        <v>\\chno0276\Aseguranza de Calidad\Control de Documentos\Doc. controlados PDF\Flow Chart\ITRON\BONDING\FC-BOND-005    002371-0003.pdf</v>
      </c>
      <c r="C867" s="5" t="str">
        <f>MID(B867,LEN(B867) - FIND(".",REVERSETEXT(B867))+2,1000)</f>
        <v>pdf</v>
      </c>
      <c r="D867" s="6">
        <v>11</v>
      </c>
      <c r="E867" s="7" t="s">
        <v>931</v>
      </c>
      <c r="F867" s="7" t="s">
        <v>256</v>
      </c>
      <c r="G867" s="8" t="s">
        <v>23</v>
      </c>
      <c r="H867" s="8">
        <v>5</v>
      </c>
      <c r="I867" s="8" t="s">
        <v>874</v>
      </c>
      <c r="J867" s="8">
        <v>10</v>
      </c>
      <c r="K867" s="8" t="s">
        <v>967</v>
      </c>
      <c r="L867" s="8">
        <v>10</v>
      </c>
      <c r="M867" s="7" t="s">
        <v>968</v>
      </c>
      <c r="N867" s="7" t="s">
        <v>1048</v>
      </c>
      <c r="O867" s="9">
        <v>41208</v>
      </c>
      <c r="P867" s="7" t="s">
        <v>27</v>
      </c>
      <c r="Q867" s="13" t="s">
        <v>1008</v>
      </c>
      <c r="R867" s="13" t="s">
        <v>879</v>
      </c>
      <c r="S867" s="26" t="s">
        <v>880</v>
      </c>
      <c r="T867" s="7"/>
      <c r="U867" s="13"/>
      <c r="V867" s="13"/>
    </row>
    <row r="868" spans="1:22">
      <c r="A868" s="5" t="s">
        <v>1050</v>
      </c>
      <c r="B868" s="5" t="str">
        <f>GetAddress(A868)</f>
        <v>\\chno0276\Aseguranza de Calidad\Control de Documentos\Doc. controlados PDF\Flow Chart\ITRON\BONDING\FC-BOND-006   002314 &amp; 002315.pdf</v>
      </c>
      <c r="C868" s="5" t="str">
        <f>MID(B868,LEN(B868) - FIND(".",REVERSETEXT(B868))+2,1000)</f>
        <v>pdf</v>
      </c>
      <c r="D868" s="6">
        <v>11</v>
      </c>
      <c r="E868" s="7" t="s">
        <v>931</v>
      </c>
      <c r="F868" s="7" t="s">
        <v>256</v>
      </c>
      <c r="G868" s="8" t="s">
        <v>23</v>
      </c>
      <c r="H868" s="8">
        <v>5</v>
      </c>
      <c r="I868" s="8" t="s">
        <v>874</v>
      </c>
      <c r="J868" s="8">
        <v>10</v>
      </c>
      <c r="K868" s="8" t="s">
        <v>967</v>
      </c>
      <c r="L868" s="8">
        <v>10</v>
      </c>
      <c r="M868" s="7" t="s">
        <v>968</v>
      </c>
      <c r="N868" s="7" t="s">
        <v>1051</v>
      </c>
      <c r="O868" s="9">
        <v>41208</v>
      </c>
      <c r="P868" s="7" t="s">
        <v>27</v>
      </c>
      <c r="Q868" s="7" t="s">
        <v>982</v>
      </c>
      <c r="R868" s="13" t="s">
        <v>879</v>
      </c>
      <c r="S868" s="26" t="s">
        <v>880</v>
      </c>
      <c r="T868" s="7"/>
      <c r="U868" s="13"/>
      <c r="V868" s="13"/>
    </row>
    <row r="869" spans="1:22">
      <c r="A869" s="5" t="s">
        <v>1052</v>
      </c>
      <c r="B869" s="20" t="e">
        <f>GetAddress(A869)</f>
        <v>#VALUE!</v>
      </c>
      <c r="C869" s="20" t="e">
        <f>MID(B869,LEN(B869) - FIND(".",REVERSETEXT(B869))+2,1000)</f>
        <v>#VALUE!</v>
      </c>
      <c r="D869" s="6">
        <v>11</v>
      </c>
      <c r="E869" s="7" t="s">
        <v>931</v>
      </c>
      <c r="F869" s="7" t="s">
        <v>256</v>
      </c>
      <c r="G869" s="8" t="s">
        <v>23</v>
      </c>
      <c r="H869" s="8">
        <v>5</v>
      </c>
      <c r="I869" s="8" t="s">
        <v>874</v>
      </c>
      <c r="J869" s="8">
        <v>10</v>
      </c>
      <c r="K869" s="8" t="s">
        <v>967</v>
      </c>
      <c r="L869" s="8">
        <v>10</v>
      </c>
      <c r="M869" s="7" t="s">
        <v>968</v>
      </c>
      <c r="N869" s="7" t="s">
        <v>969</v>
      </c>
      <c r="O869" s="9">
        <v>41208</v>
      </c>
      <c r="P869" s="7" t="s">
        <v>27</v>
      </c>
      <c r="Q869" s="7" t="s">
        <v>979</v>
      </c>
      <c r="R869" s="13" t="s">
        <v>879</v>
      </c>
      <c r="S869" s="26" t="s">
        <v>880</v>
      </c>
      <c r="T869" s="7"/>
      <c r="U869" s="13"/>
      <c r="V869" s="13"/>
    </row>
    <row r="870" spans="1:22">
      <c r="A870" s="5" t="s">
        <v>1053</v>
      </c>
      <c r="B870" s="5" t="str">
        <f>GetAddress(A870)</f>
        <v>\\chno0276\Aseguranza de Calidad\Control de Documentos\Doc. controlados PDF\Flow Chart\ITRON\BONDING\FC-BOND-008   002367-0121.pdf</v>
      </c>
      <c r="C870" s="5" t="str">
        <f>MID(B870,LEN(B870) - FIND(".",REVERSETEXT(B870))+2,1000)</f>
        <v>pdf</v>
      </c>
      <c r="D870" s="6">
        <v>11</v>
      </c>
      <c r="E870" s="7" t="s">
        <v>931</v>
      </c>
      <c r="F870" s="7" t="s">
        <v>256</v>
      </c>
      <c r="G870" s="8" t="s">
        <v>23</v>
      </c>
      <c r="H870" s="8">
        <v>5</v>
      </c>
      <c r="I870" s="8" t="s">
        <v>874</v>
      </c>
      <c r="J870" s="8">
        <v>10</v>
      </c>
      <c r="K870" s="8" t="s">
        <v>967</v>
      </c>
      <c r="L870" s="8">
        <v>10</v>
      </c>
      <c r="M870" s="7" t="s">
        <v>968</v>
      </c>
      <c r="N870" s="7" t="s">
        <v>984</v>
      </c>
      <c r="O870" s="9">
        <v>41208</v>
      </c>
      <c r="P870" s="7" t="s">
        <v>27</v>
      </c>
      <c r="Q870" s="7" t="s">
        <v>985</v>
      </c>
      <c r="R870" s="13" t="s">
        <v>879</v>
      </c>
      <c r="S870" s="26" t="s">
        <v>880</v>
      </c>
      <c r="T870" s="7"/>
      <c r="U870" s="13"/>
      <c r="V870" s="13"/>
    </row>
    <row r="871" spans="1:22">
      <c r="A871" s="5" t="s">
        <v>1054</v>
      </c>
      <c r="B871" s="5" t="str">
        <f>GetAddress(A871)</f>
        <v>\\chno0276\Aseguranza de Calidad\Control de Documentos\Doc. controlados PDF\Flow Chart\ITRON\BONDING\FC-BOND-009  002368-0002, 002368-0003, 002368-0007 &amp; 002368-0018.pdf</v>
      </c>
      <c r="C871" s="5" t="str">
        <f>MID(B871,LEN(B871) - FIND(".",REVERSETEXT(B871))+2,1000)</f>
        <v>pdf</v>
      </c>
      <c r="D871" s="6">
        <v>11</v>
      </c>
      <c r="E871" s="7" t="s">
        <v>931</v>
      </c>
      <c r="F871" s="7" t="s">
        <v>256</v>
      </c>
      <c r="G871" s="8" t="s">
        <v>23</v>
      </c>
      <c r="H871" s="8">
        <v>5</v>
      </c>
      <c r="I871" s="8" t="s">
        <v>874</v>
      </c>
      <c r="J871" s="8">
        <v>10</v>
      </c>
      <c r="K871" s="8" t="s">
        <v>967</v>
      </c>
      <c r="L871" s="8">
        <v>10</v>
      </c>
      <c r="M871" s="7" t="s">
        <v>968</v>
      </c>
      <c r="N871" s="7" t="s">
        <v>987</v>
      </c>
      <c r="O871" s="9">
        <v>41208</v>
      </c>
      <c r="P871" s="7" t="s">
        <v>27</v>
      </c>
      <c r="Q871" s="7" t="s">
        <v>988</v>
      </c>
      <c r="R871" s="13" t="s">
        <v>879</v>
      </c>
      <c r="S871" s="26" t="s">
        <v>880</v>
      </c>
      <c r="T871" s="7"/>
      <c r="U871" s="13"/>
      <c r="V871" s="13"/>
    </row>
    <row r="872" spans="1:22">
      <c r="A872" s="5" t="s">
        <v>1055</v>
      </c>
      <c r="B872" s="5" t="str">
        <f>GetAddress(A872)</f>
        <v>\\chno0276\Aseguranza de Calidad\Control de Documentos\Doc. controlados PDF\Flow Chart\ITRON\BONDING\FC-BOND-010    002368-0211A.pdf</v>
      </c>
      <c r="C872" s="5" t="str">
        <f>MID(B872,LEN(B872) - FIND(".",REVERSETEXT(B872))+2,1000)</f>
        <v>pdf</v>
      </c>
      <c r="D872" s="6">
        <v>11</v>
      </c>
      <c r="E872" s="7" t="s">
        <v>931</v>
      </c>
      <c r="F872" s="7" t="s">
        <v>256</v>
      </c>
      <c r="G872" s="8" t="s">
        <v>23</v>
      </c>
      <c r="H872" s="8">
        <v>5</v>
      </c>
      <c r="I872" s="8" t="s">
        <v>874</v>
      </c>
      <c r="J872" s="8">
        <v>10</v>
      </c>
      <c r="K872" s="8" t="s">
        <v>967</v>
      </c>
      <c r="L872" s="8">
        <v>10</v>
      </c>
      <c r="M872" s="7" t="s">
        <v>968</v>
      </c>
      <c r="N872" s="7" t="s">
        <v>990</v>
      </c>
      <c r="O872" s="9">
        <v>41208</v>
      </c>
      <c r="P872" s="7" t="s">
        <v>27</v>
      </c>
      <c r="Q872" s="7" t="s">
        <v>991</v>
      </c>
      <c r="R872" s="13" t="s">
        <v>879</v>
      </c>
      <c r="S872" s="26" t="s">
        <v>880</v>
      </c>
      <c r="T872" s="7"/>
      <c r="U872" s="13"/>
      <c r="V872" s="13"/>
    </row>
    <row r="873" spans="1:22">
      <c r="A873" s="5" t="s">
        <v>1056</v>
      </c>
      <c r="B873" s="5" t="str">
        <f>GetAddress(A873)</f>
        <v>\\chno0276\Aseguranza de Calidad\Control de Documentos\Doc. controlados PDF\Flow Chart\ITRON\BONDING\FC-BOND-011   002368-0221.pdf</v>
      </c>
      <c r="C873" s="5" t="str">
        <f>MID(B873,LEN(B873) - FIND(".",REVERSETEXT(B873))+2,1000)</f>
        <v>pdf</v>
      </c>
      <c r="D873" s="6">
        <v>11</v>
      </c>
      <c r="E873" s="7" t="s">
        <v>931</v>
      </c>
      <c r="F873" s="7" t="s">
        <v>256</v>
      </c>
      <c r="G873" s="8" t="s">
        <v>23</v>
      </c>
      <c r="H873" s="8">
        <v>5</v>
      </c>
      <c r="I873" s="8" t="s">
        <v>874</v>
      </c>
      <c r="J873" s="8">
        <v>10</v>
      </c>
      <c r="K873" s="8" t="s">
        <v>967</v>
      </c>
      <c r="L873" s="8">
        <v>10</v>
      </c>
      <c r="M873" s="7" t="s">
        <v>968</v>
      </c>
      <c r="N873" s="7" t="s">
        <v>1057</v>
      </c>
      <c r="O873" s="9">
        <v>41208</v>
      </c>
      <c r="P873" s="7" t="s">
        <v>27</v>
      </c>
      <c r="Q873" s="7" t="s">
        <v>994</v>
      </c>
      <c r="R873" s="13" t="s">
        <v>879</v>
      </c>
      <c r="S873" s="26" t="s">
        <v>880</v>
      </c>
      <c r="T873" s="7"/>
      <c r="U873" s="13"/>
      <c r="V873" s="13"/>
    </row>
    <row r="874" spans="1:22">
      <c r="A874" s="5" t="s">
        <v>1058</v>
      </c>
      <c r="B874" s="5" t="str">
        <f>GetAddress(A874)</f>
        <v>\\chno0276\Aseguranza de Calidad\Control de Documentos\Doc. controlados PDF\Flow Chart\ITRON\BONDING\FC-BOND-012     002368-0221A.pdf</v>
      </c>
      <c r="C874" s="5" t="str">
        <f>MID(B874,LEN(B874) - FIND(".",REVERSETEXT(B874))+2,1000)</f>
        <v>pdf</v>
      </c>
      <c r="D874" s="6">
        <v>11</v>
      </c>
      <c r="E874" s="7" t="s">
        <v>931</v>
      </c>
      <c r="F874" s="7" t="s">
        <v>256</v>
      </c>
      <c r="G874" s="8" t="s">
        <v>23</v>
      </c>
      <c r="H874" s="8">
        <v>5</v>
      </c>
      <c r="I874" s="8" t="s">
        <v>874</v>
      </c>
      <c r="J874" s="8">
        <v>10</v>
      </c>
      <c r="K874" s="8" t="s">
        <v>967</v>
      </c>
      <c r="L874" s="8">
        <v>10</v>
      </c>
      <c r="M874" s="7" t="s">
        <v>968</v>
      </c>
      <c r="N874" s="7" t="s">
        <v>1059</v>
      </c>
      <c r="O874" s="9">
        <v>41208</v>
      </c>
      <c r="P874" s="7" t="s">
        <v>27</v>
      </c>
      <c r="Q874" s="7" t="s">
        <v>997</v>
      </c>
      <c r="R874" s="13" t="s">
        <v>879</v>
      </c>
      <c r="S874" s="26" t="s">
        <v>880</v>
      </c>
      <c r="T874" s="7"/>
      <c r="U874" s="13"/>
      <c r="V874" s="13"/>
    </row>
    <row r="875" spans="1:22">
      <c r="A875" s="5" t="s">
        <v>1060</v>
      </c>
      <c r="B875" s="5" t="str">
        <f>GetAddress(A875)</f>
        <v>\\chno0276\Aseguranza de Calidad\Control de Documentos\Doc. controlados PDF\Flow Chart\ITRON\BONDING\FC-BOND-013    002368-0802.pdf</v>
      </c>
      <c r="C875" s="5" t="str">
        <f>MID(B875,LEN(B875) - FIND(".",REVERSETEXT(B875))+2,1000)</f>
        <v>pdf</v>
      </c>
      <c r="D875" s="6">
        <v>11</v>
      </c>
      <c r="E875" s="7" t="s">
        <v>931</v>
      </c>
      <c r="F875" s="7" t="s">
        <v>256</v>
      </c>
      <c r="G875" s="8" t="s">
        <v>23</v>
      </c>
      <c r="H875" s="8">
        <v>5</v>
      </c>
      <c r="I875" s="8" t="s">
        <v>874</v>
      </c>
      <c r="J875" s="8">
        <v>10</v>
      </c>
      <c r="K875" s="8" t="s">
        <v>967</v>
      </c>
      <c r="L875" s="8">
        <v>10</v>
      </c>
      <c r="M875" s="7" t="s">
        <v>968</v>
      </c>
      <c r="N875" s="7" t="s">
        <v>999</v>
      </c>
      <c r="O875" s="9">
        <v>41208</v>
      </c>
      <c r="P875" s="7" t="s">
        <v>27</v>
      </c>
      <c r="Q875" s="7" t="s">
        <v>1000</v>
      </c>
      <c r="R875" s="13" t="s">
        <v>879</v>
      </c>
      <c r="S875" s="26" t="s">
        <v>880</v>
      </c>
      <c r="T875" s="7"/>
      <c r="U875" s="13"/>
      <c r="V875" s="13"/>
    </row>
    <row r="876" spans="1:22">
      <c r="A876" s="5" t="s">
        <v>1061</v>
      </c>
      <c r="B876" s="5" t="str">
        <f>GetAddress(A876)</f>
        <v>\\chno0276\Aseguranza de Calidad\Control de Documentos\Doc. controlados PDF\Flow Chart\ITRON\BONDING\FC-BOND-014   002368-XXXX.pdf</v>
      </c>
      <c r="C876" s="5" t="str">
        <f>MID(B876,LEN(B876) - FIND(".",REVERSETEXT(B876))+2,1000)</f>
        <v>pdf</v>
      </c>
      <c r="D876" s="6">
        <v>11</v>
      </c>
      <c r="E876" s="7" t="s">
        <v>931</v>
      </c>
      <c r="F876" s="7" t="s">
        <v>256</v>
      </c>
      <c r="G876" s="8" t="s">
        <v>23</v>
      </c>
      <c r="H876" s="8">
        <v>5</v>
      </c>
      <c r="I876" s="8" t="s">
        <v>874</v>
      </c>
      <c r="J876" s="8">
        <v>10</v>
      </c>
      <c r="K876" s="8" t="s">
        <v>967</v>
      </c>
      <c r="L876" s="8">
        <v>10</v>
      </c>
      <c r="M876" s="7" t="s">
        <v>968</v>
      </c>
      <c r="N876" s="7" t="s">
        <v>1062</v>
      </c>
      <c r="O876" s="9">
        <v>41208</v>
      </c>
      <c r="P876" s="7" t="s">
        <v>27</v>
      </c>
      <c r="Q876" s="7" t="s">
        <v>1063</v>
      </c>
      <c r="R876" s="13" t="s">
        <v>879</v>
      </c>
      <c r="S876" s="26" t="s">
        <v>880</v>
      </c>
      <c r="T876" s="7"/>
      <c r="U876" s="13"/>
      <c r="V876" s="13"/>
    </row>
    <row r="877" spans="1:22">
      <c r="A877" s="5" t="s">
        <v>1064</v>
      </c>
      <c r="B877" s="5" t="str">
        <f>GetAddress(A877)</f>
        <v>\\chno0276\Aseguranza de Calidad\Control de Documentos\Documentos controlados\CN-QAAS (Aseguranza de calidad)\Control Plans\MICROMINI\CELDA A-B\CP-A&amp;B-012  Rev. A  PDR1-18.xlsx</v>
      </c>
      <c r="C877" s="5" t="str">
        <f>MID(B877,LEN(B877) - FIND(".",REVERSETEXT(B877))+2,1000)</f>
        <v>xlsx</v>
      </c>
      <c r="D877" s="6">
        <v>11</v>
      </c>
      <c r="E877" s="7" t="s">
        <v>931</v>
      </c>
      <c r="F877" s="7" t="s">
        <v>256</v>
      </c>
      <c r="G877" s="8" t="s">
        <v>23</v>
      </c>
      <c r="H877" s="8">
        <v>5</v>
      </c>
      <c r="I877" s="8" t="s">
        <v>874</v>
      </c>
      <c r="J877" s="8">
        <v>10</v>
      </c>
      <c r="K877" s="8" t="s">
        <v>967</v>
      </c>
      <c r="L877" s="8">
        <v>10</v>
      </c>
      <c r="M877" s="7" t="s">
        <v>968</v>
      </c>
      <c r="N877" s="7" t="s">
        <v>1002</v>
      </c>
      <c r="O877" s="9">
        <v>41208</v>
      </c>
      <c r="P877" s="7" t="s">
        <v>27</v>
      </c>
      <c r="Q877" s="7" t="s">
        <v>1003</v>
      </c>
      <c r="R877" s="13" t="s">
        <v>879</v>
      </c>
      <c r="S877" s="26" t="s">
        <v>880</v>
      </c>
      <c r="T877" s="7"/>
      <c r="U877" s="13"/>
      <c r="V877" s="13"/>
    </row>
    <row r="878" spans="1:22">
      <c r="A878" s="5" t="s">
        <v>1065</v>
      </c>
      <c r="B878" s="5" t="str">
        <f>GetAddress(A878)</f>
        <v>\\chno0276\Aseguranza de Calidad\Control de Documentos\Documentos controlados\CN-QAAS (Aseguranza de calidad)\Control Plans\MICROMINI\CELDA A-B\CP-A&amp;B-012  Rev. A  PDR1-18.xlsx</v>
      </c>
      <c r="C878" s="5" t="str">
        <f>MID(B878,LEN(B878) - FIND(".",REVERSETEXT(B878))+2,1000)</f>
        <v>xlsx</v>
      </c>
      <c r="D878" s="6">
        <v>11</v>
      </c>
      <c r="E878" s="7" t="s">
        <v>931</v>
      </c>
      <c r="F878" s="7" t="s">
        <v>256</v>
      </c>
      <c r="G878" s="8" t="s">
        <v>23</v>
      </c>
      <c r="H878" s="8">
        <v>5</v>
      </c>
      <c r="I878" s="8" t="s">
        <v>874</v>
      </c>
      <c r="J878" s="8">
        <v>10</v>
      </c>
      <c r="K878" s="8" t="s">
        <v>967</v>
      </c>
      <c r="L878" s="8">
        <v>10</v>
      </c>
      <c r="M878" s="7" t="s">
        <v>968</v>
      </c>
      <c r="N878" s="7" t="s">
        <v>1010</v>
      </c>
      <c r="O878" s="9">
        <v>41208</v>
      </c>
      <c r="P878" s="7" t="s">
        <v>27</v>
      </c>
      <c r="Q878" s="7" t="s">
        <v>1011</v>
      </c>
      <c r="R878" s="13" t="s">
        <v>879</v>
      </c>
      <c r="S878" s="26" t="s">
        <v>880</v>
      </c>
      <c r="T878" s="7"/>
      <c r="U878" s="13"/>
      <c r="V878" s="13"/>
    </row>
    <row r="879" spans="1:22">
      <c r="A879" s="5" t="s">
        <v>1066</v>
      </c>
      <c r="B879" s="5" t="str">
        <f>GetAddress(A879)</f>
        <v>\\chno0276\Aseguranza de Calidad\Control de Documentos\Documentos controlados\CN-QAAS (Aseguranza de calidad)\Control Plans\MICROMINI\CELDA A-B\CP-A&amp;B-012  Rev. A  PDR1-18.xlsx</v>
      </c>
      <c r="C879" s="5" t="str">
        <f>MID(B879,LEN(B879) - FIND(".",REVERSETEXT(B879))+2,1000)</f>
        <v>xlsx</v>
      </c>
      <c r="D879" s="6">
        <v>11</v>
      </c>
      <c r="E879" s="7" t="s">
        <v>931</v>
      </c>
      <c r="F879" s="7" t="s">
        <v>256</v>
      </c>
      <c r="G879" s="8" t="s">
        <v>23</v>
      </c>
      <c r="H879" s="8">
        <v>5</v>
      </c>
      <c r="I879" s="8" t="s">
        <v>874</v>
      </c>
      <c r="J879" s="8">
        <v>10</v>
      </c>
      <c r="K879" s="8" t="s">
        <v>967</v>
      </c>
      <c r="L879" s="8">
        <v>10</v>
      </c>
      <c r="M879" s="7" t="s">
        <v>968</v>
      </c>
      <c r="N879" s="7" t="s">
        <v>1013</v>
      </c>
      <c r="O879" s="9">
        <v>41208</v>
      </c>
      <c r="P879" s="7" t="s">
        <v>27</v>
      </c>
      <c r="Q879" s="7" t="s">
        <v>1014</v>
      </c>
      <c r="R879" s="13" t="s">
        <v>879</v>
      </c>
      <c r="S879" s="26" t="s">
        <v>880</v>
      </c>
      <c r="T879" s="7"/>
      <c r="U879" s="13"/>
      <c r="V879" s="13"/>
    </row>
    <row r="880" spans="1:22">
      <c r="A880" s="5" t="s">
        <v>1067</v>
      </c>
      <c r="B880" s="5" t="str">
        <f>GetAddress(A880)</f>
        <v>\\chno0276\Aseguranza de Calidad\Control de Documentos\Documentos controlados\CN-QAAS (Aseguranza de calidad)\Control Plans\MICROMINI\CELDA A-B\CP-A&amp;B-012  Rev. A  PDR1-18.xlsx</v>
      </c>
      <c r="C880" s="5" t="str">
        <f>MID(B880,LEN(B880) - FIND(".",REVERSETEXT(B880))+2,1000)</f>
        <v>xlsx</v>
      </c>
      <c r="D880" s="6">
        <v>11</v>
      </c>
      <c r="E880" s="7" t="s">
        <v>931</v>
      </c>
      <c r="F880" s="7" t="s">
        <v>256</v>
      </c>
      <c r="G880" s="8" t="s">
        <v>23</v>
      </c>
      <c r="H880" s="8">
        <v>5</v>
      </c>
      <c r="I880" s="8" t="s">
        <v>874</v>
      </c>
      <c r="J880" s="8">
        <v>10</v>
      </c>
      <c r="K880" s="8" t="s">
        <v>967</v>
      </c>
      <c r="L880" s="8">
        <v>10</v>
      </c>
      <c r="M880" s="7" t="s">
        <v>968</v>
      </c>
      <c r="N880" s="7" t="s">
        <v>1068</v>
      </c>
      <c r="O880" s="9">
        <v>41208</v>
      </c>
      <c r="P880" s="7" t="s">
        <v>27</v>
      </c>
      <c r="Q880" s="7" t="s">
        <v>1069</v>
      </c>
      <c r="R880" s="13" t="s">
        <v>879</v>
      </c>
      <c r="S880" s="26" t="s">
        <v>880</v>
      </c>
      <c r="T880" s="7"/>
      <c r="U880" s="13"/>
      <c r="V880" s="13"/>
    </row>
    <row r="881" spans="1:22">
      <c r="A881" s="5" t="s">
        <v>1070</v>
      </c>
      <c r="B881" s="5" t="str">
        <f>GetAddress(A881)</f>
        <v>\\chno0276\Aseguranza de Calidad\Control de Documentos\Doc. controlados PDF\Flow Chart\ITRON\BONDING\FC-BOND-019    002600-000X &amp; 002601-000X.pdf</v>
      </c>
      <c r="C881" s="5" t="str">
        <f>MID(B881,LEN(B881) - FIND(".",REVERSETEXT(B881))+2,1000)</f>
        <v>pdf</v>
      </c>
      <c r="D881" s="6">
        <v>11</v>
      </c>
      <c r="E881" s="7" t="s">
        <v>931</v>
      </c>
      <c r="F881" s="7" t="s">
        <v>256</v>
      </c>
      <c r="G881" s="8" t="s">
        <v>23</v>
      </c>
      <c r="H881" s="8">
        <v>5</v>
      </c>
      <c r="I881" s="8" t="s">
        <v>874</v>
      </c>
      <c r="J881" s="8">
        <v>10</v>
      </c>
      <c r="K881" s="8" t="s">
        <v>967</v>
      </c>
      <c r="L881" s="8">
        <v>10</v>
      </c>
      <c r="M881" s="7" t="s">
        <v>968</v>
      </c>
      <c r="N881" s="7" t="s">
        <v>1019</v>
      </c>
      <c r="O881" s="9">
        <v>41208</v>
      </c>
      <c r="P881" s="7" t="s">
        <v>27</v>
      </c>
      <c r="Q881" s="7" t="s">
        <v>1020</v>
      </c>
      <c r="R881" s="13" t="s">
        <v>879</v>
      </c>
      <c r="S881" s="26" t="s">
        <v>880</v>
      </c>
      <c r="T881" s="7"/>
      <c r="U881" s="13"/>
      <c r="V881" s="13"/>
    </row>
    <row r="882" spans="1:22">
      <c r="A882" s="5" t="s">
        <v>1071</v>
      </c>
      <c r="B882" s="5" t="str">
        <f>GetAddress(A882)</f>
        <v>\\chno0276\Aseguranza de Calidad\Control de Documentos\Doc. controlados PDF\Control Plans\MICROMINI\CELDA A&amp;B\CP-A&amp;B-016  ML4C4TC.pdf</v>
      </c>
      <c r="C882" s="5" t="str">
        <f>MID(B882,LEN(B882) - FIND(".",REVERSETEXT(B882))+2,1000)</f>
        <v>pdf</v>
      </c>
      <c r="D882" s="6">
        <v>11</v>
      </c>
      <c r="E882" s="7" t="s">
        <v>931</v>
      </c>
      <c r="F882" s="7" t="s">
        <v>256</v>
      </c>
      <c r="G882" s="8" t="s">
        <v>23</v>
      </c>
      <c r="H882" s="8">
        <v>5</v>
      </c>
      <c r="I882" s="8" t="s">
        <v>874</v>
      </c>
      <c r="J882" s="8">
        <v>10</v>
      </c>
      <c r="K882" s="8" t="s">
        <v>967</v>
      </c>
      <c r="L882" s="8">
        <v>10</v>
      </c>
      <c r="M882" s="7" t="s">
        <v>968</v>
      </c>
      <c r="N882" s="7" t="s">
        <v>1022</v>
      </c>
      <c r="O882" s="9">
        <v>41208</v>
      </c>
      <c r="P882" s="7" t="s">
        <v>27</v>
      </c>
      <c r="Q882" s="7" t="s">
        <v>1072</v>
      </c>
      <c r="R882" s="13" t="s">
        <v>879</v>
      </c>
      <c r="S882" s="26" t="s">
        <v>880</v>
      </c>
      <c r="T882" s="7"/>
      <c r="U882" s="13"/>
      <c r="V882" s="13"/>
    </row>
    <row r="883" spans="1:22">
      <c r="A883" s="5" t="s">
        <v>1073</v>
      </c>
      <c r="B883" s="5" t="str">
        <f>GetAddress(A883)</f>
        <v>\\chno0276\Aseguranza de Calidad\Control de Documentos\Doc. controlados PDF\Control Plans\MICROMINI\CELDA A&amp;B\CP-A&amp;B-016  ML4C4TC.pdf</v>
      </c>
      <c r="C883" s="5" t="str">
        <f>MID(B883,LEN(B883) - FIND(".",REVERSETEXT(B883))+2,1000)</f>
        <v>pdf</v>
      </c>
      <c r="D883" s="6">
        <v>11</v>
      </c>
      <c r="E883" s="7" t="s">
        <v>931</v>
      </c>
      <c r="F883" s="7" t="s">
        <v>256</v>
      </c>
      <c r="G883" s="8" t="s">
        <v>23</v>
      </c>
      <c r="H883" s="8">
        <v>5</v>
      </c>
      <c r="I883" s="8" t="s">
        <v>874</v>
      </c>
      <c r="J883" s="8">
        <v>10</v>
      </c>
      <c r="K883" s="8" t="s">
        <v>967</v>
      </c>
      <c r="L883" s="8">
        <v>10</v>
      </c>
      <c r="M883" s="7" t="s">
        <v>968</v>
      </c>
      <c r="N883" s="7" t="s">
        <v>1074</v>
      </c>
      <c r="O883" s="9">
        <v>41208</v>
      </c>
      <c r="P883" s="7" t="s">
        <v>27</v>
      </c>
      <c r="Q883" s="7" t="s">
        <v>1026</v>
      </c>
      <c r="R883" s="13" t="s">
        <v>879</v>
      </c>
      <c r="S883" s="26" t="s">
        <v>880</v>
      </c>
      <c r="T883" s="7"/>
      <c r="U883" s="13"/>
      <c r="V883" s="13"/>
    </row>
    <row r="884" spans="1:22">
      <c r="A884" s="5" t="s">
        <v>1075</v>
      </c>
      <c r="B884" s="5" t="str">
        <f>GetAddress(A884)</f>
        <v>\\chno0276\Aseguranza de Calidad\Control de Documentos\Doc. controlados PDF\Control Plans\MICROMINI\CELDA A&amp;B\CP-A&amp;B-016  ML4C4TC.pdf</v>
      </c>
      <c r="C884" s="5" t="str">
        <f>MID(B884,LEN(B884) - FIND(".",REVERSETEXT(B884))+2,1000)</f>
        <v>pdf</v>
      </c>
      <c r="D884" s="6">
        <v>11</v>
      </c>
      <c r="E884" s="7" t="s">
        <v>931</v>
      </c>
      <c r="F884" s="7" t="s">
        <v>256</v>
      </c>
      <c r="G884" s="8" t="s">
        <v>23</v>
      </c>
      <c r="H884" s="8">
        <v>5</v>
      </c>
      <c r="I884" s="8" t="s">
        <v>874</v>
      </c>
      <c r="J884" s="8">
        <v>10</v>
      </c>
      <c r="K884" s="8" t="s">
        <v>967</v>
      </c>
      <c r="L884" s="8">
        <v>10</v>
      </c>
      <c r="M884" s="7" t="s">
        <v>968</v>
      </c>
      <c r="N884" s="7" t="s">
        <v>1028</v>
      </c>
      <c r="O884" s="9">
        <v>41208</v>
      </c>
      <c r="P884" s="7" t="s">
        <v>27</v>
      </c>
      <c r="Q884" s="7" t="s">
        <v>1029</v>
      </c>
      <c r="R884" s="13" t="s">
        <v>879</v>
      </c>
      <c r="S884" s="26" t="s">
        <v>880</v>
      </c>
      <c r="T884" s="7"/>
      <c r="U884" s="13"/>
      <c r="V884" s="13"/>
    </row>
    <row r="885" spans="1:22">
      <c r="A885" s="5" t="s">
        <v>1076</v>
      </c>
      <c r="B885" s="5" t="str">
        <f>GetAddress(A885)</f>
        <v>\\chno0276\Aseguranza de Calidad\Control de Documentos\Doc. controlados PDF\Flow Chart\ITRON\BONDING\FC-BOND-023  Rev. A   BACC65AKXXXP &amp; BACC65AJXXXS.pdf</v>
      </c>
      <c r="C885" s="5" t="str">
        <f>MID(B885,LEN(B885) - FIND(".",REVERSETEXT(B885))+2,1000)</f>
        <v>pdf</v>
      </c>
      <c r="D885" s="6">
        <v>11</v>
      </c>
      <c r="E885" s="7" t="s">
        <v>931</v>
      </c>
      <c r="F885" s="7" t="s">
        <v>256</v>
      </c>
      <c r="G885" s="8" t="s">
        <v>23</v>
      </c>
      <c r="H885" s="8">
        <v>5</v>
      </c>
      <c r="I885" s="8" t="s">
        <v>874</v>
      </c>
      <c r="J885" s="8">
        <v>10</v>
      </c>
      <c r="K885" s="8" t="s">
        <v>967</v>
      </c>
      <c r="L885" s="8">
        <v>10</v>
      </c>
      <c r="M885" s="7" t="s">
        <v>968</v>
      </c>
      <c r="N885" s="7" t="s">
        <v>1077</v>
      </c>
      <c r="O885" s="9">
        <v>41208</v>
      </c>
      <c r="P885" s="7" t="s">
        <v>27</v>
      </c>
      <c r="Q885" s="7" t="s">
        <v>1078</v>
      </c>
      <c r="R885" s="13" t="s">
        <v>879</v>
      </c>
      <c r="S885" s="26" t="s">
        <v>880</v>
      </c>
      <c r="T885" s="7"/>
      <c r="U885" s="13"/>
      <c r="V885" s="13"/>
    </row>
    <row r="886" spans="1:22">
      <c r="A886" s="5" t="s">
        <v>1079</v>
      </c>
      <c r="B886" s="5" t="str">
        <f>GetAddress(A886)</f>
        <v>\\chno0276\Aseguranza de Calidad\Control de Documentos\Doc. controlados PDF\Flow Chart\ITRON\BONDING\FC-BOND-024  BACC65ALXXXS.pdf</v>
      </c>
      <c r="C886" s="5" t="str">
        <f>MID(B886,LEN(B886) - FIND(".",REVERSETEXT(B886))+2,1000)</f>
        <v>pdf</v>
      </c>
      <c r="D886" s="6">
        <v>11</v>
      </c>
      <c r="E886" s="7" t="s">
        <v>931</v>
      </c>
      <c r="F886" s="7" t="s">
        <v>256</v>
      </c>
      <c r="G886" s="8" t="s">
        <v>23</v>
      </c>
      <c r="H886" s="8">
        <v>5</v>
      </c>
      <c r="I886" s="8" t="s">
        <v>874</v>
      </c>
      <c r="J886" s="8">
        <v>10</v>
      </c>
      <c r="K886" s="8" t="s">
        <v>967</v>
      </c>
      <c r="L886" s="8">
        <v>10</v>
      </c>
      <c r="M886" s="7" t="s">
        <v>968</v>
      </c>
      <c r="N886" s="7" t="s">
        <v>1077</v>
      </c>
      <c r="O886" s="9">
        <v>41208</v>
      </c>
      <c r="P886" s="7" t="s">
        <v>27</v>
      </c>
      <c r="Q886" s="7" t="s">
        <v>1080</v>
      </c>
      <c r="R886" s="13" t="s">
        <v>879</v>
      </c>
      <c r="S886" s="26" t="s">
        <v>880</v>
      </c>
      <c r="T886" s="7"/>
      <c r="U886" s="13"/>
      <c r="V886" s="13"/>
    </row>
    <row r="887" spans="1:22">
      <c r="A887" s="5" t="s">
        <v>1081</v>
      </c>
      <c r="B887" s="5" t="str">
        <f>GetAddress(A887)</f>
        <v>\\chno0276\Aseguranza de Calidad\Control de Documentos\Doc. controlados PDF\Flow Chart\ITRON\BONDING\FC-BOND-025   BACS16W, BACS16X, VB10-1UWC11 &amp; VB10-1PWC11.pdf</v>
      </c>
      <c r="C887" s="5" t="str">
        <f>MID(B887,LEN(B887) - FIND(".",REVERSETEXT(B887))+2,1000)</f>
        <v>pdf</v>
      </c>
      <c r="D887" s="6">
        <v>11</v>
      </c>
      <c r="E887" s="7" t="s">
        <v>931</v>
      </c>
      <c r="F887" s="7" t="s">
        <v>256</v>
      </c>
      <c r="G887" s="8" t="s">
        <v>23</v>
      </c>
      <c r="H887" s="8">
        <v>5</v>
      </c>
      <c r="I887" s="8" t="s">
        <v>874</v>
      </c>
      <c r="J887" s="8">
        <v>10</v>
      </c>
      <c r="K887" s="8" t="s">
        <v>967</v>
      </c>
      <c r="L887" s="8">
        <v>10</v>
      </c>
      <c r="M887" s="7" t="s">
        <v>968</v>
      </c>
      <c r="N887" s="7" t="s">
        <v>1082</v>
      </c>
      <c r="O887" s="9">
        <v>41208</v>
      </c>
      <c r="P887" s="7" t="s">
        <v>27</v>
      </c>
      <c r="Q887" s="31" t="s">
        <v>1039</v>
      </c>
      <c r="R887" s="13" t="s">
        <v>879</v>
      </c>
      <c r="S887" s="26" t="s">
        <v>880</v>
      </c>
      <c r="T887" s="7"/>
      <c r="U887" s="13"/>
      <c r="V887" s="13"/>
    </row>
    <row r="888" spans="1:22">
      <c r="A888" s="5" t="s">
        <v>1083</v>
      </c>
      <c r="B888" s="5" t="str">
        <f>GetAddress(A888)</f>
        <v>\\chno0276\Control de Documentos\Doc. controlados PDF\Flow Chart\ITRON\BONDING\FC-BOND-026   BACT44E1S.pdf</v>
      </c>
      <c r="C888" s="5" t="str">
        <f>MID(B888,LEN(B888) - FIND(".",REVERSETEXT(B888))+2,1000)</f>
        <v>pdf</v>
      </c>
      <c r="D888" s="6">
        <v>11</v>
      </c>
      <c r="E888" s="7" t="s">
        <v>931</v>
      </c>
      <c r="F888" s="7" t="s">
        <v>256</v>
      </c>
      <c r="G888" s="8" t="s">
        <v>23</v>
      </c>
      <c r="H888" s="8">
        <v>5</v>
      </c>
      <c r="I888" s="8" t="s">
        <v>874</v>
      </c>
      <c r="J888" s="8">
        <v>10</v>
      </c>
      <c r="K888" s="8" t="s">
        <v>967</v>
      </c>
      <c r="L888" s="8">
        <v>10</v>
      </c>
      <c r="M888" s="7" t="s">
        <v>968</v>
      </c>
      <c r="N888" s="7" t="s">
        <v>1048</v>
      </c>
      <c r="O888" s="9">
        <v>41208</v>
      </c>
      <c r="P888" s="7" t="s">
        <v>27</v>
      </c>
      <c r="Q888" s="7" t="s">
        <v>1041</v>
      </c>
      <c r="R888" s="13" t="s">
        <v>879</v>
      </c>
      <c r="S888" s="26" t="s">
        <v>880</v>
      </c>
      <c r="T888" s="7"/>
      <c r="U888" s="13"/>
      <c r="V888" s="13"/>
    </row>
    <row r="889" spans="1:22">
      <c r="A889" s="5" t="s">
        <v>1309</v>
      </c>
      <c r="B889" s="5" t="str">
        <f>GetAddress(A889)</f>
        <v>\\chno0276\Control de Documentos\Doc. controlados PDF\Flow Chart\MICROMINI\CHANGE-OUT\FC-CHGO-001 CX865237AN.pdf</v>
      </c>
      <c r="C889" s="5" t="str">
        <f>MID(B889,LEN(B889) - FIND(".",REVERSETEXT(B889))+2,1000)</f>
        <v>pdf</v>
      </c>
      <c r="D889" s="6">
        <v>11</v>
      </c>
      <c r="E889" s="7" t="s">
        <v>931</v>
      </c>
      <c r="F889" s="7" t="s">
        <v>256</v>
      </c>
      <c r="G889" s="8" t="s">
        <v>23</v>
      </c>
      <c r="H889" s="8">
        <v>5</v>
      </c>
      <c r="I889" s="8" t="s">
        <v>24</v>
      </c>
      <c r="J889" s="8">
        <v>12</v>
      </c>
      <c r="K889" s="8" t="s">
        <v>25</v>
      </c>
      <c r="L889" s="8">
        <v>4</v>
      </c>
      <c r="M889" s="7" t="s">
        <v>26</v>
      </c>
      <c r="N889" s="7" t="s">
        <v>1263</v>
      </c>
      <c r="O889" s="9">
        <v>41185</v>
      </c>
      <c r="P889" s="7" t="s">
        <v>27</v>
      </c>
      <c r="Q889" s="31" t="s">
        <v>1264</v>
      </c>
      <c r="R889" s="7" t="s">
        <v>1252</v>
      </c>
      <c r="S889" s="8" t="s">
        <v>1253</v>
      </c>
      <c r="T889" s="7"/>
      <c r="U889" s="7"/>
      <c r="V889" s="7"/>
    </row>
    <row r="890" spans="1:22">
      <c r="A890" s="5" t="s">
        <v>1310</v>
      </c>
      <c r="B890" s="5" t="str">
        <f>GetAddress(A890)</f>
        <v>\\chno0276\Aseguranza de Calidad\Control de Documentos\Doc. controlados PDF\Flow Chart\MICROMINI\CHANGE-OUT\FC-CHGO-002  CX8653312P.pdf</v>
      </c>
      <c r="C890" s="5" t="str">
        <f>MID(B890,LEN(B890) - FIND(".",REVERSETEXT(B890))+2,1000)</f>
        <v>pdf</v>
      </c>
      <c r="D890" s="6">
        <v>11</v>
      </c>
      <c r="E890" s="7" t="s">
        <v>931</v>
      </c>
      <c r="F890" s="7" t="s">
        <v>256</v>
      </c>
      <c r="G890" s="8" t="s">
        <v>23</v>
      </c>
      <c r="H890" s="8">
        <v>5</v>
      </c>
      <c r="I890" s="8" t="s">
        <v>24</v>
      </c>
      <c r="J890" s="8">
        <v>12</v>
      </c>
      <c r="K890" s="8" t="s">
        <v>25</v>
      </c>
      <c r="L890" s="8">
        <v>4</v>
      </c>
      <c r="M890" s="7" t="s">
        <v>26</v>
      </c>
      <c r="N890" s="7" t="s">
        <v>1311</v>
      </c>
      <c r="O890" s="9">
        <v>41186</v>
      </c>
      <c r="P890" s="7" t="s">
        <v>27</v>
      </c>
      <c r="Q890" s="7" t="s">
        <v>1267</v>
      </c>
      <c r="R890" s="7" t="s">
        <v>1252</v>
      </c>
      <c r="S890" s="8" t="s">
        <v>1253</v>
      </c>
      <c r="T890" s="7"/>
      <c r="U890" s="7"/>
      <c r="V890" s="7"/>
    </row>
    <row r="891" spans="1:22">
      <c r="A891" s="5" t="s">
        <v>1312</v>
      </c>
      <c r="B891" s="5" t="str">
        <f>GetAddress(A891)</f>
        <v>\\chno0276\Aseguranza de Calidad\Control de Documentos\Doc. controlados PDF\Flow Chart\MICROMINI\CHANGE-OUT\FC-CHGO-003  CX8653316P.pdf</v>
      </c>
      <c r="C891" s="5" t="str">
        <f>MID(B891,LEN(B891) - FIND(".",REVERSETEXT(B891))+2,1000)</f>
        <v>pdf</v>
      </c>
      <c r="D891" s="6">
        <v>11</v>
      </c>
      <c r="E891" s="7" t="s">
        <v>931</v>
      </c>
      <c r="F891" s="7" t="s">
        <v>256</v>
      </c>
      <c r="G891" s="8" t="s">
        <v>23</v>
      </c>
      <c r="H891" s="8">
        <v>5</v>
      </c>
      <c r="I891" s="8" t="s">
        <v>24</v>
      </c>
      <c r="J891" s="8">
        <v>12</v>
      </c>
      <c r="K891" s="8" t="s">
        <v>25</v>
      </c>
      <c r="L891" s="8">
        <v>4</v>
      </c>
      <c r="M891" s="7" t="s">
        <v>26</v>
      </c>
      <c r="N891" s="7" t="s">
        <v>1285</v>
      </c>
      <c r="O891" s="9">
        <v>41186</v>
      </c>
      <c r="P891" s="7" t="s">
        <v>27</v>
      </c>
      <c r="Q891" s="7" t="s">
        <v>1269</v>
      </c>
      <c r="R891" s="7" t="s">
        <v>1252</v>
      </c>
      <c r="S891" s="8" t="s">
        <v>1253</v>
      </c>
      <c r="T891" s="7"/>
      <c r="U891" s="7"/>
      <c r="V891" s="7"/>
    </row>
    <row r="892" spans="1:22" ht="51">
      <c r="A892" s="5" t="s">
        <v>1313</v>
      </c>
      <c r="B892" s="5" t="str">
        <f>GetAddress(A892)</f>
        <v>\\chno0276\Aseguranza de Calidad\Control de Documentos\Doc. controlados PDF\Flow Chart\MICROMINI\CHANGE-OUT\FC-CHGO-004  CX8653330P.pdf</v>
      </c>
      <c r="C892" s="5" t="str">
        <f>MID(B892,LEN(B892) - FIND(".",REVERSETEXT(B892))+2,1000)</f>
        <v>pdf</v>
      </c>
      <c r="D892" s="6">
        <v>11</v>
      </c>
      <c r="E892" s="7" t="s">
        <v>931</v>
      </c>
      <c r="F892" s="7" t="s">
        <v>256</v>
      </c>
      <c r="G892" s="8" t="s">
        <v>23</v>
      </c>
      <c r="H892" s="8">
        <v>5</v>
      </c>
      <c r="I892" s="8" t="s">
        <v>24</v>
      </c>
      <c r="J892" s="8">
        <v>12</v>
      </c>
      <c r="K892" s="8" t="s">
        <v>25</v>
      </c>
      <c r="L892" s="8">
        <v>4</v>
      </c>
      <c r="M892" s="7" t="s">
        <v>26</v>
      </c>
      <c r="N892" s="7" t="s">
        <v>1311</v>
      </c>
      <c r="O892" s="9">
        <v>41186</v>
      </c>
      <c r="P892" s="7" t="s">
        <v>27</v>
      </c>
      <c r="Q892" s="13" t="s">
        <v>1271</v>
      </c>
      <c r="R892" s="7" t="s">
        <v>1252</v>
      </c>
      <c r="S892" s="8" t="s">
        <v>1253</v>
      </c>
      <c r="T892" s="7"/>
      <c r="U892" s="7"/>
      <c r="V892" s="7"/>
    </row>
    <row r="893" spans="1:22">
      <c r="A893" s="5" t="s">
        <v>1314</v>
      </c>
      <c r="B893" s="5" t="str">
        <f>GetAddress(A893)</f>
        <v>\\chno0276\Aseguranza de Calidad\Control de Documentos\Doc. controlados PDF\Flow Chart\MICROMINI\CHANGE-OUT\FC-CHGO-005  CX8653346P.pdf</v>
      </c>
      <c r="C893" s="5" t="str">
        <f>MID(B893,LEN(B893) - FIND(".",REVERSETEXT(B893))+2,1000)</f>
        <v>pdf</v>
      </c>
      <c r="D893" s="6">
        <v>11</v>
      </c>
      <c r="E893" s="7" t="s">
        <v>931</v>
      </c>
      <c r="F893" s="7" t="s">
        <v>256</v>
      </c>
      <c r="G893" s="8" t="s">
        <v>23</v>
      </c>
      <c r="H893" s="8">
        <v>5</v>
      </c>
      <c r="I893" s="8" t="s">
        <v>24</v>
      </c>
      <c r="J893" s="8">
        <v>12</v>
      </c>
      <c r="K893" s="8" t="s">
        <v>25</v>
      </c>
      <c r="L893" s="8">
        <v>4</v>
      </c>
      <c r="M893" s="7" t="s">
        <v>26</v>
      </c>
      <c r="N893" s="7" t="s">
        <v>1273</v>
      </c>
      <c r="O893" s="9">
        <v>41186</v>
      </c>
      <c r="P893" s="7" t="s">
        <v>27</v>
      </c>
      <c r="Q893" s="7" t="s">
        <v>1274</v>
      </c>
      <c r="R893" s="7" t="s">
        <v>1252</v>
      </c>
      <c r="S893" s="8" t="s">
        <v>1253</v>
      </c>
      <c r="T893" s="7"/>
      <c r="U893" s="7"/>
      <c r="V893" s="7"/>
    </row>
    <row r="894" spans="1:22" ht="204">
      <c r="A894" s="5" t="s">
        <v>1315</v>
      </c>
      <c r="B894" s="5" t="str">
        <f>GetAddress(A894)</f>
        <v>\\chno0276\Aseguranza de Calidad\Control de Documentos\Doc. controlados PDF\Flow Chart\MICROMINI\CHANGE-OUT\FC-CHGO-006   X865248P.pdf</v>
      </c>
      <c r="C894" s="5" t="str">
        <f>MID(B894,LEN(B894) - FIND(".",REVERSETEXT(B894))+2,1000)</f>
        <v>pdf</v>
      </c>
      <c r="D894" s="6">
        <v>11</v>
      </c>
      <c r="E894" s="7" t="s">
        <v>931</v>
      </c>
      <c r="F894" s="7" t="s">
        <v>256</v>
      </c>
      <c r="G894" s="8" t="s">
        <v>23</v>
      </c>
      <c r="H894" s="8">
        <v>5</v>
      </c>
      <c r="I894" s="8" t="s">
        <v>24</v>
      </c>
      <c r="J894" s="8">
        <v>12</v>
      </c>
      <c r="K894" s="8" t="s">
        <v>25</v>
      </c>
      <c r="L894" s="8">
        <v>4</v>
      </c>
      <c r="M894" s="7" t="s">
        <v>26</v>
      </c>
      <c r="N894" s="7" t="s">
        <v>1316</v>
      </c>
      <c r="O894" s="9">
        <v>41186</v>
      </c>
      <c r="P894" s="7" t="s">
        <v>27</v>
      </c>
      <c r="Q894" s="13" t="s">
        <v>1317</v>
      </c>
      <c r="R894" s="7" t="s">
        <v>1252</v>
      </c>
      <c r="S894" s="8" t="s">
        <v>1253</v>
      </c>
      <c r="T894" s="7"/>
      <c r="U894" s="7"/>
      <c r="V894" s="7"/>
    </row>
    <row r="895" spans="1:22">
      <c r="A895" s="5" t="s">
        <v>1318</v>
      </c>
      <c r="B895" s="5" t="str">
        <f>GetAddress(A895)</f>
        <v>\\chno0276\Aseguranza de Calidad\Control de Documentos\Documentos controlados\CN-QAAS (Aseguranza de calidad)\Flow Chart\MICROMINI\CHANGE - OUT\FC-CHGO-007 Rev. A  X865251P.xlsx</v>
      </c>
      <c r="C895" s="5" t="str">
        <f>MID(B895,LEN(B895) - FIND(".",REVERSETEXT(B895))+2,1000)</f>
        <v>xlsx</v>
      </c>
      <c r="D895" s="6">
        <v>11</v>
      </c>
      <c r="E895" s="7" t="s">
        <v>931</v>
      </c>
      <c r="F895" s="7" t="s">
        <v>256</v>
      </c>
      <c r="G895" s="8" t="s">
        <v>23</v>
      </c>
      <c r="H895" s="8">
        <v>5</v>
      </c>
      <c r="I895" s="8" t="s">
        <v>24</v>
      </c>
      <c r="J895" s="8">
        <v>12</v>
      </c>
      <c r="K895" s="8" t="s">
        <v>25</v>
      </c>
      <c r="L895" s="8">
        <v>4</v>
      </c>
      <c r="M895" s="7" t="s">
        <v>26</v>
      </c>
      <c r="N895" s="7" t="s">
        <v>1279</v>
      </c>
      <c r="O895" s="9">
        <v>41186</v>
      </c>
      <c r="P895" s="7" t="s">
        <v>27</v>
      </c>
      <c r="Q895" s="7" t="s">
        <v>1280</v>
      </c>
      <c r="R895" s="7" t="s">
        <v>1252</v>
      </c>
      <c r="S895" s="8" t="s">
        <v>1253</v>
      </c>
      <c r="T895" s="7"/>
      <c r="U895" s="7"/>
      <c r="V895" s="7"/>
    </row>
    <row r="896" spans="1:22" ht="255">
      <c r="A896" s="5" t="s">
        <v>1319</v>
      </c>
      <c r="B896" s="5" t="str">
        <f>GetAddress(A896)</f>
        <v>\\chno0276\Aseguranza de Calidad\Control de Documentos\Doc. controlados PDF\Flow Chart\MICROMINI\CHANGE-OUT\FC-CHGO-008  X865316P, X865398P.pdf</v>
      </c>
      <c r="C896" s="5" t="str">
        <f>MID(B896,LEN(B896) - FIND(".",REVERSETEXT(B896))+2,1000)</f>
        <v>pdf</v>
      </c>
      <c r="D896" s="6">
        <v>11</v>
      </c>
      <c r="E896" s="7" t="s">
        <v>931</v>
      </c>
      <c r="F896" s="7" t="s">
        <v>256</v>
      </c>
      <c r="G896" s="8" t="s">
        <v>23</v>
      </c>
      <c r="H896" s="8">
        <v>5</v>
      </c>
      <c r="I896" s="8" t="s">
        <v>24</v>
      </c>
      <c r="J896" s="8">
        <v>12</v>
      </c>
      <c r="K896" s="8" t="s">
        <v>25</v>
      </c>
      <c r="L896" s="8">
        <v>4</v>
      </c>
      <c r="M896" s="7" t="s">
        <v>26</v>
      </c>
      <c r="N896" s="7" t="s">
        <v>1282</v>
      </c>
      <c r="O896" s="9">
        <v>41186</v>
      </c>
      <c r="P896" s="7" t="s">
        <v>27</v>
      </c>
      <c r="Q896" s="13" t="s">
        <v>1320</v>
      </c>
      <c r="R896" s="7" t="s">
        <v>1252</v>
      </c>
      <c r="S896" s="8" t="s">
        <v>1253</v>
      </c>
      <c r="T896" s="7"/>
      <c r="U896" s="7"/>
      <c r="V896" s="7"/>
    </row>
    <row r="897" spans="1:22" ht="216.75">
      <c r="A897" s="5" t="s">
        <v>1321</v>
      </c>
      <c r="B897" s="5" t="str">
        <f>GetAddress(A897)</f>
        <v>\\chno0276\Aseguranza de Calidad\Control de Documentos\Doc. controlados PDF\Flow Chart\MICROMINI\CHANGE-OUT\FC-CHGO-009  X865344P.pdf</v>
      </c>
      <c r="C897" s="5" t="str">
        <f>MID(B897,LEN(B897) - FIND(".",REVERSETEXT(B897))+2,1000)</f>
        <v>pdf</v>
      </c>
      <c r="D897" s="6">
        <v>11</v>
      </c>
      <c r="E897" s="7" t="s">
        <v>931</v>
      </c>
      <c r="F897" s="7" t="s">
        <v>256</v>
      </c>
      <c r="G897" s="8" t="s">
        <v>23</v>
      </c>
      <c r="H897" s="8">
        <v>5</v>
      </c>
      <c r="I897" s="8" t="s">
        <v>24</v>
      </c>
      <c r="J897" s="8">
        <v>12</v>
      </c>
      <c r="K897" s="8" t="s">
        <v>25</v>
      </c>
      <c r="L897" s="8">
        <v>4</v>
      </c>
      <c r="M897" s="7" t="s">
        <v>26</v>
      </c>
      <c r="N897" s="7" t="s">
        <v>1311</v>
      </c>
      <c r="O897" s="9">
        <v>41186</v>
      </c>
      <c r="P897" s="7" t="s">
        <v>27</v>
      </c>
      <c r="Q897" s="13" t="s">
        <v>1322</v>
      </c>
      <c r="R897" s="7" t="s">
        <v>1252</v>
      </c>
      <c r="S897" s="8" t="s">
        <v>1253</v>
      </c>
      <c r="T897" s="7"/>
      <c r="U897" s="7"/>
      <c r="V897" s="7"/>
    </row>
    <row r="898" spans="1:22" ht="178.5">
      <c r="A898" s="5" t="s">
        <v>1323</v>
      </c>
      <c r="B898" s="5" t="str">
        <f>GetAddress(A898)</f>
        <v>\\chno0276\Aseguranza de Calidad\Control de Documentos\Doc. controlados PDF\Flow Chart\MICROMINI\CHANGE-OUT\FC-CHGO-010   X865393P.pdf</v>
      </c>
      <c r="C898" s="5" t="str">
        <f>MID(B898,LEN(B898) - FIND(".",REVERSETEXT(B898))+2,1000)</f>
        <v>pdf</v>
      </c>
      <c r="D898" s="6">
        <v>11</v>
      </c>
      <c r="E898" s="7" t="s">
        <v>931</v>
      </c>
      <c r="F898" s="7" t="s">
        <v>256</v>
      </c>
      <c r="G898" s="8" t="s">
        <v>23</v>
      </c>
      <c r="H898" s="8">
        <v>5</v>
      </c>
      <c r="I898" s="8" t="s">
        <v>24</v>
      </c>
      <c r="J898" s="8">
        <v>12</v>
      </c>
      <c r="K898" s="8" t="s">
        <v>25</v>
      </c>
      <c r="L898" s="8">
        <v>4</v>
      </c>
      <c r="M898" s="7" t="s">
        <v>26</v>
      </c>
      <c r="N898" s="7" t="s">
        <v>1324</v>
      </c>
      <c r="O898" s="9">
        <v>41187</v>
      </c>
      <c r="P898" s="7" t="s">
        <v>27</v>
      </c>
      <c r="Q898" s="13" t="s">
        <v>1289</v>
      </c>
      <c r="R898" s="7" t="s">
        <v>1252</v>
      </c>
      <c r="S898" s="8" t="s">
        <v>1253</v>
      </c>
      <c r="T898" s="7"/>
      <c r="U898" s="7"/>
      <c r="V898" s="7"/>
    </row>
    <row r="899" spans="1:22" ht="216.75">
      <c r="A899" s="5" t="s">
        <v>1325</v>
      </c>
      <c r="B899" s="5" t="str">
        <f>GetAddress(A899)</f>
        <v>\\chno0276\Aseguranza de Calidad\Control de Documentos\Doc. controlados PDF\Flow Chart\MICROMINI\CHANGE-OUT\FC-CHGO-011  X8651648P.pdf</v>
      </c>
      <c r="C899" s="5" t="str">
        <f>MID(B899,LEN(B899) - FIND(".",REVERSETEXT(B899))+2,1000)</f>
        <v>pdf</v>
      </c>
      <c r="D899" s="6">
        <v>11</v>
      </c>
      <c r="E899" s="7" t="s">
        <v>931</v>
      </c>
      <c r="F899" s="7" t="s">
        <v>256</v>
      </c>
      <c r="G899" s="8" t="s">
        <v>23</v>
      </c>
      <c r="H899" s="8">
        <v>5</v>
      </c>
      <c r="I899" s="8" t="s">
        <v>24</v>
      </c>
      <c r="J899" s="8">
        <v>12</v>
      </c>
      <c r="K899" s="8" t="s">
        <v>25</v>
      </c>
      <c r="L899" s="8">
        <v>4</v>
      </c>
      <c r="M899" s="7" t="s">
        <v>26</v>
      </c>
      <c r="N899" s="7" t="s">
        <v>1291</v>
      </c>
      <c r="O899" s="9">
        <v>41187</v>
      </c>
      <c r="P899" s="7" t="s">
        <v>27</v>
      </c>
      <c r="Q899" s="13" t="s">
        <v>1326</v>
      </c>
      <c r="R899" s="7" t="s">
        <v>1252</v>
      </c>
      <c r="S899" s="8" t="s">
        <v>1253</v>
      </c>
      <c r="T899" s="7"/>
      <c r="U899" s="7"/>
      <c r="V899" s="7"/>
    </row>
    <row r="900" spans="1:22" ht="38.25">
      <c r="A900" s="5" t="s">
        <v>1327</v>
      </c>
      <c r="B900" s="5" t="str">
        <f>GetAddress(A900)</f>
        <v>\\chno0276\Aseguranza de Calidad\Control de Documentos\Doc. controlados PDF\Flow Chart\MICROMINI\CHANGE-OUT\FC-CHGO-012  X8653325.pdf</v>
      </c>
      <c r="C900" s="5" t="str">
        <f>MID(B900,LEN(B900) - FIND(".",REVERSETEXT(B900))+2,1000)</f>
        <v>pdf</v>
      </c>
      <c r="D900" s="6">
        <v>11</v>
      </c>
      <c r="E900" s="7" t="s">
        <v>931</v>
      </c>
      <c r="F900" s="7" t="s">
        <v>256</v>
      </c>
      <c r="G900" s="8" t="s">
        <v>23</v>
      </c>
      <c r="H900" s="8">
        <v>5</v>
      </c>
      <c r="I900" s="8" t="s">
        <v>24</v>
      </c>
      <c r="J900" s="8">
        <v>12</v>
      </c>
      <c r="K900" s="8" t="s">
        <v>25</v>
      </c>
      <c r="L900" s="8">
        <v>4</v>
      </c>
      <c r="M900" s="7" t="s">
        <v>26</v>
      </c>
      <c r="N900" s="7" t="s">
        <v>1285</v>
      </c>
      <c r="O900" s="9">
        <v>41191</v>
      </c>
      <c r="P900" s="7" t="s">
        <v>27</v>
      </c>
      <c r="Q900" s="13" t="s">
        <v>1328</v>
      </c>
      <c r="R900" s="7" t="s">
        <v>1252</v>
      </c>
      <c r="S900" s="8" t="s">
        <v>1253</v>
      </c>
      <c r="T900" s="7"/>
      <c r="U900" s="7"/>
      <c r="V900" s="7"/>
    </row>
    <row r="901" spans="1:22">
      <c r="A901" s="5" t="s">
        <v>1329</v>
      </c>
      <c r="B901" s="5" t="str">
        <f>GetAddress(A901)</f>
        <v>\\chno0276\Control de Documentos\Doc. controlados PDF\Flow Chart\MICROMINI\CHANGE-OUT\FC-CHGO-013 Rev. A   X8653382P.xlsx</v>
      </c>
      <c r="C901" s="5" t="str">
        <f>MID(B901,LEN(B901) - FIND(".",REVERSETEXT(B901))+2,1000)</f>
        <v>xlsx</v>
      </c>
      <c r="D901" s="6">
        <v>11</v>
      </c>
      <c r="E901" s="7" t="s">
        <v>931</v>
      </c>
      <c r="F901" s="7" t="s">
        <v>256</v>
      </c>
      <c r="G901" s="8" t="s">
        <v>23</v>
      </c>
      <c r="H901" s="8">
        <v>5</v>
      </c>
      <c r="I901" s="8" t="s">
        <v>24</v>
      </c>
      <c r="J901" s="8">
        <v>12</v>
      </c>
      <c r="K901" s="8" t="s">
        <v>25</v>
      </c>
      <c r="L901" s="8">
        <v>4</v>
      </c>
      <c r="M901" s="7" t="s">
        <v>26</v>
      </c>
      <c r="N901" s="7" t="s">
        <v>1330</v>
      </c>
      <c r="O901" s="9">
        <v>41191</v>
      </c>
      <c r="P901" s="7" t="s">
        <v>27</v>
      </c>
      <c r="Q901" s="7" t="s">
        <v>1297</v>
      </c>
      <c r="R901" s="7" t="s">
        <v>1252</v>
      </c>
      <c r="S901" s="8" t="s">
        <v>1253</v>
      </c>
      <c r="T901" s="7"/>
      <c r="U901" s="7"/>
      <c r="V901" s="7"/>
    </row>
    <row r="902" spans="1:22" ht="89.25">
      <c r="A902" s="5" t="s">
        <v>1331</v>
      </c>
      <c r="B902" s="5" t="str">
        <f>GetAddress(A902)</f>
        <v>\\chno0276\Control de Documentos\Doc. controlados PDF\Flow Chart\MICROMINI\CHANGE-OUT\FC-CHGO-014    X8653568P.pdf</v>
      </c>
      <c r="C902" s="5" t="str">
        <f>MID(B902,LEN(B902) - FIND(".",REVERSETEXT(B902))+2,1000)</f>
        <v>pdf</v>
      </c>
      <c r="D902" s="6">
        <v>11</v>
      </c>
      <c r="E902" s="7" t="s">
        <v>931</v>
      </c>
      <c r="F902" s="7" t="s">
        <v>256</v>
      </c>
      <c r="G902" s="8" t="s">
        <v>23</v>
      </c>
      <c r="H902" s="8">
        <v>5</v>
      </c>
      <c r="I902" s="8" t="s">
        <v>24</v>
      </c>
      <c r="J902" s="8">
        <v>12</v>
      </c>
      <c r="K902" s="8" t="s">
        <v>25</v>
      </c>
      <c r="L902" s="8">
        <v>4</v>
      </c>
      <c r="M902" s="7" t="s">
        <v>26</v>
      </c>
      <c r="N902" s="7" t="s">
        <v>1299</v>
      </c>
      <c r="O902" s="9">
        <v>41191</v>
      </c>
      <c r="P902" s="7" t="s">
        <v>27</v>
      </c>
      <c r="Q902" s="13" t="s">
        <v>1300</v>
      </c>
      <c r="R902" s="7" t="s">
        <v>1252</v>
      </c>
      <c r="S902" s="8" t="s">
        <v>1253</v>
      </c>
      <c r="T902" s="7"/>
      <c r="U902" s="7"/>
      <c r="V902" s="7"/>
    </row>
    <row r="903" spans="1:22" ht="153">
      <c r="A903" s="5" t="s">
        <v>1332</v>
      </c>
      <c r="B903" s="5" t="str">
        <f>GetAddress(A903)</f>
        <v>\\chno0276\Aseguranza de Calidad\Control de Documentos\Doc. controlados PDF\Flow Chart\MICROMINI\CHANGE-OUT\FC-CHGO-015    X8653687P.pdf</v>
      </c>
      <c r="C903" s="5" t="str">
        <f>MID(B903,LEN(B903) - FIND(".",REVERSETEXT(B903))+2,1000)</f>
        <v>pdf</v>
      </c>
      <c r="D903" s="6">
        <v>11</v>
      </c>
      <c r="E903" s="7" t="s">
        <v>931</v>
      </c>
      <c r="F903" s="7" t="s">
        <v>256</v>
      </c>
      <c r="G903" s="8" t="s">
        <v>23</v>
      </c>
      <c r="H903" s="8">
        <v>5</v>
      </c>
      <c r="I903" s="8" t="s">
        <v>24</v>
      </c>
      <c r="J903" s="8">
        <v>12</v>
      </c>
      <c r="K903" s="8" t="s">
        <v>25</v>
      </c>
      <c r="L903" s="8">
        <v>4</v>
      </c>
      <c r="M903" s="7" t="s">
        <v>26</v>
      </c>
      <c r="N903" s="7" t="s">
        <v>1302</v>
      </c>
      <c r="O903" s="9">
        <v>41191</v>
      </c>
      <c r="P903" s="7" t="s">
        <v>27</v>
      </c>
      <c r="Q903" s="13" t="s">
        <v>1303</v>
      </c>
      <c r="R903" s="7" t="s">
        <v>1252</v>
      </c>
      <c r="S903" s="8" t="s">
        <v>1253</v>
      </c>
      <c r="T903" s="7"/>
      <c r="U903" s="7"/>
      <c r="V903" s="7"/>
    </row>
    <row r="904" spans="1:22" ht="63.75">
      <c r="A904" s="5" t="s">
        <v>1333</v>
      </c>
      <c r="B904" s="5" t="str">
        <f>GetAddress(A904)</f>
        <v>\\chno0276\Aseguranza de Calidad\Control de Documentos\Doc. controlados PDF\Flow Chart\MICROMINI\CHANGE-OUT\FC-CHGO-016   X86521624P.pdf</v>
      </c>
      <c r="C904" s="5" t="str">
        <f>MID(B904,LEN(B904) - FIND(".",REVERSETEXT(B904))+2,1000)</f>
        <v>pdf</v>
      </c>
      <c r="D904" s="6">
        <v>11</v>
      </c>
      <c r="E904" s="7" t="s">
        <v>931</v>
      </c>
      <c r="F904" s="7" t="s">
        <v>256</v>
      </c>
      <c r="G904" s="8" t="s">
        <v>23</v>
      </c>
      <c r="H904" s="8">
        <v>5</v>
      </c>
      <c r="I904" s="8" t="s">
        <v>24</v>
      </c>
      <c r="J904" s="8">
        <v>12</v>
      </c>
      <c r="K904" s="8" t="s">
        <v>25</v>
      </c>
      <c r="L904" s="8">
        <v>4</v>
      </c>
      <c r="M904" s="7" t="s">
        <v>26</v>
      </c>
      <c r="N904" s="7" t="s">
        <v>1316</v>
      </c>
      <c r="O904" s="9">
        <v>41193</v>
      </c>
      <c r="P904" s="7" t="s">
        <v>27</v>
      </c>
      <c r="Q904" s="13" t="s">
        <v>1334</v>
      </c>
      <c r="R904" s="7" t="s">
        <v>1252</v>
      </c>
      <c r="S904" s="8" t="s">
        <v>1253</v>
      </c>
      <c r="T904" s="7"/>
      <c r="U904" s="7"/>
      <c r="V904" s="7"/>
    </row>
    <row r="905" spans="1:22">
      <c r="A905" s="5" t="s">
        <v>1335</v>
      </c>
      <c r="B905" s="5" t="str">
        <f>GetAddress(A905)</f>
        <v>\\chno0276\Aseguranza de Calidad\Control de Documentos\Doc. controlados PDF\Control Plans\MICROMINI\CELDA A&amp;B\CP-A&amp;B-040  AM2C2MG030F, AM3C2MG030F, AM4C2MG030F, AM5C2MG030F.pdf</v>
      </c>
      <c r="C905" s="5" t="str">
        <f>MID(B905,LEN(B905) - FIND(".",REVERSETEXT(B905))+2,1000)</f>
        <v>pdf</v>
      </c>
      <c r="D905" s="6">
        <v>11</v>
      </c>
      <c r="E905" s="7" t="s">
        <v>931</v>
      </c>
      <c r="F905" s="7" t="s">
        <v>256</v>
      </c>
      <c r="G905" s="8" t="s">
        <v>23</v>
      </c>
      <c r="H905" s="8">
        <v>5</v>
      </c>
      <c r="I905" s="8" t="s">
        <v>24</v>
      </c>
      <c r="J905" s="8">
        <v>12</v>
      </c>
      <c r="K905" s="8" t="s">
        <v>25</v>
      </c>
      <c r="L905" s="8">
        <v>4</v>
      </c>
      <c r="M905" s="7" t="s">
        <v>26</v>
      </c>
      <c r="N905" s="7" t="s">
        <v>1336</v>
      </c>
      <c r="O905" s="9">
        <v>41193</v>
      </c>
      <c r="P905" s="7" t="s">
        <v>27</v>
      </c>
      <c r="Q905" s="7" t="s">
        <v>1337</v>
      </c>
      <c r="R905" s="7" t="s">
        <v>1252</v>
      </c>
      <c r="S905" s="8" t="s">
        <v>1253</v>
      </c>
      <c r="T905" s="7"/>
      <c r="U905" s="7"/>
      <c r="V905" s="7"/>
    </row>
    <row r="906" spans="1:22">
      <c r="A906" s="5" t="s">
        <v>1581</v>
      </c>
      <c r="B906" s="5" t="str">
        <f>GetAddress(A906)</f>
        <v>\\chno0276\Aseguranza de Calidad\Control de Documentos\Doc. controlados PDF\Control Plans\MICROMINI\CELDA A&amp;B\CP-A&amp;B-040  AM2C2MG030F, AM3C2MG030F, AM4C2MG030F, AM5C2MG030F.pdf</v>
      </c>
      <c r="C906" s="5" t="str">
        <f>MID(B906,LEN(B906) - FIND(".",REVERSETEXT(B906))+2,1000)</f>
        <v>pdf</v>
      </c>
      <c r="D906" s="6">
        <v>11</v>
      </c>
      <c r="E906" s="7" t="s">
        <v>931</v>
      </c>
      <c r="F906" s="7" t="s">
        <v>256</v>
      </c>
      <c r="G906" s="8" t="s">
        <v>23</v>
      </c>
      <c r="H906" s="8">
        <v>5</v>
      </c>
      <c r="I906" s="8" t="s">
        <v>257</v>
      </c>
      <c r="J906" s="8">
        <v>9</v>
      </c>
      <c r="K906" s="8" t="s">
        <v>1090</v>
      </c>
      <c r="L906" s="8">
        <v>9</v>
      </c>
      <c r="M906" s="7" t="s">
        <v>1091</v>
      </c>
      <c r="N906" s="7" t="s">
        <v>1582</v>
      </c>
      <c r="O906" s="9">
        <v>41142</v>
      </c>
      <c r="P906" s="13" t="s">
        <v>27</v>
      </c>
      <c r="Q906" s="13" t="s">
        <v>1098</v>
      </c>
      <c r="R906" s="7" t="s">
        <v>1583</v>
      </c>
      <c r="S906" s="8" t="s">
        <v>1584</v>
      </c>
      <c r="T906" s="7"/>
      <c r="U906" s="7"/>
      <c r="V906" s="7"/>
    </row>
    <row r="907" spans="1:22">
      <c r="A907" s="5" t="s">
        <v>1402</v>
      </c>
      <c r="B907" s="5" t="str">
        <f>GetAddress(A907)</f>
        <v>\\chno0276\Aseguranza de Calidad\Control de Documentos\Doc. controlados PDF\Control Plans\MICROMINI\CELDA A&amp;B\CP-A&amp;B-040  AM2C2MG030F, AM3C2MG030F, AM4C2MG030F, AM5C2MG030F.pdf</v>
      </c>
      <c r="C907" s="5" t="str">
        <f>MID(B907,LEN(B907) - FIND(".",REVERSETEXT(B907))+2,1000)</f>
        <v>pdf</v>
      </c>
      <c r="D907" s="6">
        <v>11</v>
      </c>
      <c r="E907" s="7" t="s">
        <v>931</v>
      </c>
      <c r="F907" s="7" t="s">
        <v>256</v>
      </c>
      <c r="G907" s="8" t="s">
        <v>23</v>
      </c>
      <c r="H907" s="8">
        <v>5</v>
      </c>
      <c r="I907" s="8" t="s">
        <v>24</v>
      </c>
      <c r="J907" s="8">
        <v>12</v>
      </c>
      <c r="K907" s="8" t="s">
        <v>515</v>
      </c>
      <c r="L907" s="8">
        <v>16</v>
      </c>
      <c r="M907" s="7" t="s">
        <v>515</v>
      </c>
      <c r="N907" s="7" t="s">
        <v>1403</v>
      </c>
      <c r="O907" s="9">
        <v>41179</v>
      </c>
      <c r="P907" s="9" t="s">
        <v>27</v>
      </c>
      <c r="Q907" s="7" t="s">
        <v>1369</v>
      </c>
      <c r="R907" s="7" t="s">
        <v>1252</v>
      </c>
      <c r="S907" s="8" t="s">
        <v>1253</v>
      </c>
      <c r="T907" s="7"/>
      <c r="U907" s="7"/>
      <c r="V907" s="7"/>
    </row>
    <row r="908" spans="1:22" ht="38.25">
      <c r="A908" s="5" t="s">
        <v>1404</v>
      </c>
      <c r="B908" s="5" t="str">
        <f>GetAddress(A908)</f>
        <v>\\chno0276\Aseguranza de Calidad\Control de Documentos\Doc. controlados PDF\Flow Chart\MICROMINI\MS\FC-MS-002  5680551.pdf</v>
      </c>
      <c r="C908" s="5" t="str">
        <f>MID(B908,LEN(B908) - FIND(".",REVERSETEXT(B908))+2,1000)</f>
        <v>pdf</v>
      </c>
      <c r="D908" s="6">
        <v>11</v>
      </c>
      <c r="E908" s="7" t="s">
        <v>931</v>
      </c>
      <c r="F908" s="7" t="s">
        <v>256</v>
      </c>
      <c r="G908" s="8" t="s">
        <v>23</v>
      </c>
      <c r="H908" s="8">
        <v>5</v>
      </c>
      <c r="I908" s="8" t="s">
        <v>24</v>
      </c>
      <c r="J908" s="8">
        <v>12</v>
      </c>
      <c r="K908" s="8" t="s">
        <v>515</v>
      </c>
      <c r="L908" s="8">
        <v>16</v>
      </c>
      <c r="M908" s="7" t="s">
        <v>515</v>
      </c>
      <c r="N908" s="7" t="s">
        <v>1405</v>
      </c>
      <c r="O908" s="9">
        <v>41179</v>
      </c>
      <c r="P908" s="7" t="s">
        <v>27</v>
      </c>
      <c r="Q908" s="13" t="s">
        <v>1406</v>
      </c>
      <c r="R908" s="7" t="s">
        <v>1252</v>
      </c>
      <c r="S908" s="8" t="s">
        <v>1253</v>
      </c>
      <c r="T908" s="7"/>
      <c r="U908" s="7"/>
      <c r="V908" s="7"/>
    </row>
    <row r="909" spans="1:22" ht="127.5">
      <c r="A909" s="5" t="s">
        <v>1407</v>
      </c>
      <c r="B909" s="5" t="str">
        <f>GetAddress(A909)</f>
        <v>\\chno0276\Aseguranza de Calidad\Control de Documentos\Doc. controlados PDF\Flow Chart\MICROMINI\MS\FC-MS-003   11536313.pdf</v>
      </c>
      <c r="C909" s="5" t="str">
        <f>MID(B909,LEN(B909) - FIND(".",REVERSETEXT(B909))+2,1000)</f>
        <v>pdf</v>
      </c>
      <c r="D909" s="6">
        <v>11</v>
      </c>
      <c r="E909" s="7" t="s">
        <v>931</v>
      </c>
      <c r="F909" s="7" t="s">
        <v>256</v>
      </c>
      <c r="G909" s="8" t="s">
        <v>23</v>
      </c>
      <c r="H909" s="8">
        <v>5</v>
      </c>
      <c r="I909" s="8" t="s">
        <v>24</v>
      </c>
      <c r="J909" s="8">
        <v>12</v>
      </c>
      <c r="K909" s="8" t="s">
        <v>515</v>
      </c>
      <c r="L909" s="8">
        <v>16</v>
      </c>
      <c r="M909" s="7" t="s">
        <v>515</v>
      </c>
      <c r="N909" s="7" t="s">
        <v>1374</v>
      </c>
      <c r="O909" s="9">
        <v>41179</v>
      </c>
      <c r="P909" s="7" t="s">
        <v>27</v>
      </c>
      <c r="Q909" s="13" t="s">
        <v>1408</v>
      </c>
      <c r="R909" s="7" t="s">
        <v>1252</v>
      </c>
      <c r="S909" s="8" t="s">
        <v>1253</v>
      </c>
      <c r="T909" s="7"/>
      <c r="U909" s="7"/>
      <c r="V909" s="7"/>
    </row>
    <row r="910" spans="1:22" ht="38.25">
      <c r="A910" s="5" t="s">
        <v>1409</v>
      </c>
      <c r="B910" s="5" t="str">
        <f>GetAddress(A910)</f>
        <v>\\chno0276\Aseguranza de Calidad\Control de Documentos\Doc. controlados PDF\Flow Chart\MICROMINI\MS\FC-MS-004  11547793.pdf</v>
      </c>
      <c r="C910" s="5" t="str">
        <f>MID(B910,LEN(B910) - FIND(".",REVERSETEXT(B910))+2,1000)</f>
        <v>pdf</v>
      </c>
      <c r="D910" s="6">
        <v>11</v>
      </c>
      <c r="E910" s="7" t="s">
        <v>931</v>
      </c>
      <c r="F910" s="7" t="s">
        <v>256</v>
      </c>
      <c r="G910" s="8" t="s">
        <v>23</v>
      </c>
      <c r="H910" s="8">
        <v>5</v>
      </c>
      <c r="I910" s="8" t="s">
        <v>24</v>
      </c>
      <c r="J910" s="8">
        <v>12</v>
      </c>
      <c r="K910" s="8" t="s">
        <v>515</v>
      </c>
      <c r="L910" s="8">
        <v>16</v>
      </c>
      <c r="M910" s="7" t="s">
        <v>515</v>
      </c>
      <c r="N910" s="7" t="s">
        <v>1410</v>
      </c>
      <c r="O910" s="9">
        <v>41180</v>
      </c>
      <c r="P910" s="7" t="s">
        <v>27</v>
      </c>
      <c r="Q910" s="13" t="s">
        <v>1411</v>
      </c>
      <c r="R910" s="7" t="s">
        <v>1252</v>
      </c>
      <c r="S910" s="8" t="s">
        <v>1253</v>
      </c>
      <c r="T910" s="7"/>
      <c r="U910" s="7"/>
      <c r="V910" s="7"/>
    </row>
    <row r="911" spans="1:22">
      <c r="A911" s="5" t="s">
        <v>1412</v>
      </c>
      <c r="B911" s="20" t="e">
        <f>GetAddress(A911)</f>
        <v>#VALUE!</v>
      </c>
      <c r="C911" s="20" t="e">
        <f>MID(B911,LEN(B911) - FIND(".",REVERSETEXT(B911))+2,1000)</f>
        <v>#VALUE!</v>
      </c>
      <c r="D911" s="6">
        <v>11</v>
      </c>
      <c r="E911" s="7" t="s">
        <v>931</v>
      </c>
      <c r="F911" s="7" t="s">
        <v>256</v>
      </c>
      <c r="G911" s="8" t="s">
        <v>23</v>
      </c>
      <c r="H911" s="8">
        <v>5</v>
      </c>
      <c r="I911" s="8" t="s">
        <v>24</v>
      </c>
      <c r="J911" s="8">
        <v>12</v>
      </c>
      <c r="K911" s="8" t="s">
        <v>515</v>
      </c>
      <c r="L911" s="8">
        <v>16</v>
      </c>
      <c r="M911" s="7" t="s">
        <v>515</v>
      </c>
      <c r="N911" s="7" t="s">
        <v>1374</v>
      </c>
      <c r="O911" s="9">
        <v>41180</v>
      </c>
      <c r="P911" s="7" t="s">
        <v>27</v>
      </c>
      <c r="Q911" s="13" t="s">
        <v>1413</v>
      </c>
      <c r="R911" s="7" t="s">
        <v>1252</v>
      </c>
      <c r="S911" s="8" t="s">
        <v>1253</v>
      </c>
      <c r="T911" s="7"/>
      <c r="U911" s="7"/>
      <c r="V911" s="7"/>
    </row>
    <row r="912" spans="1:22" ht="51">
      <c r="A912" s="5" t="s">
        <v>1414</v>
      </c>
      <c r="B912" s="5" t="str">
        <f>GetAddress(A912)</f>
        <v>\\chno0276\Aseguranza de Calidad\Control de Documentos\Doc. controlados PDF\Flow Chart\MICROMINI\MS\FC-MS-006 CHCCR003P.pdf</v>
      </c>
      <c r="C912" s="5" t="str">
        <f>MID(B912,LEN(B912) - FIND(".",REVERSETEXT(B912))+2,1000)</f>
        <v>pdf</v>
      </c>
      <c r="D912" s="6">
        <v>11</v>
      </c>
      <c r="E912" s="7" t="s">
        <v>931</v>
      </c>
      <c r="F912" s="7" t="s">
        <v>256</v>
      </c>
      <c r="G912" s="8" t="s">
        <v>23</v>
      </c>
      <c r="H912" s="8">
        <v>5</v>
      </c>
      <c r="I912" s="8" t="s">
        <v>24</v>
      </c>
      <c r="J912" s="8">
        <v>12</v>
      </c>
      <c r="K912" s="8" t="s">
        <v>515</v>
      </c>
      <c r="L912" s="8">
        <v>16</v>
      </c>
      <c r="M912" s="7" t="s">
        <v>515</v>
      </c>
      <c r="N912" s="7" t="s">
        <v>1410</v>
      </c>
      <c r="O912" s="9">
        <v>41180</v>
      </c>
      <c r="P912" s="7" t="s">
        <v>27</v>
      </c>
      <c r="Q912" s="13" t="s">
        <v>1415</v>
      </c>
      <c r="R912" s="7" t="s">
        <v>1252</v>
      </c>
      <c r="S912" s="8" t="s">
        <v>1253</v>
      </c>
      <c r="T912" s="7"/>
      <c r="U912" s="7"/>
      <c r="V912" s="7"/>
    </row>
    <row r="913" spans="1:22">
      <c r="A913" s="5" t="s">
        <v>1416</v>
      </c>
      <c r="B913" s="5" t="str">
        <f>GetAddress(A913)</f>
        <v>\\chno0276\Aseguranza de Calidad\Control de Documentos\Doc. controlados PDF\Flow Chart\MICROMINI\MS\FC-MS-007 M5E1811A230MH.pdf</v>
      </c>
      <c r="C913" s="5" t="str">
        <f>MID(B913,LEN(B913) - FIND(".",REVERSETEXT(B913))+2,1000)</f>
        <v>pdf</v>
      </c>
      <c r="D913" s="6">
        <v>11</v>
      </c>
      <c r="E913" s="7" t="s">
        <v>931</v>
      </c>
      <c r="F913" s="7" t="s">
        <v>256</v>
      </c>
      <c r="G913" s="8" t="s">
        <v>23</v>
      </c>
      <c r="H913" s="8">
        <v>5</v>
      </c>
      <c r="I913" s="8" t="s">
        <v>24</v>
      </c>
      <c r="J913" s="8">
        <v>12</v>
      </c>
      <c r="K913" s="8" t="s">
        <v>515</v>
      </c>
      <c r="L913" s="8">
        <v>16</v>
      </c>
      <c r="M913" s="7" t="s">
        <v>515</v>
      </c>
      <c r="N913" s="7" t="s">
        <v>1417</v>
      </c>
      <c r="O913" s="9">
        <v>41180</v>
      </c>
      <c r="P913" s="7" t="s">
        <v>27</v>
      </c>
      <c r="Q913" s="13" t="s">
        <v>1384</v>
      </c>
      <c r="R913" s="7" t="s">
        <v>1252</v>
      </c>
      <c r="S913" s="8" t="s">
        <v>1253</v>
      </c>
      <c r="T913" s="7"/>
      <c r="U913" s="7"/>
      <c r="V913" s="7"/>
    </row>
    <row r="914" spans="1:22" ht="38.25">
      <c r="A914" s="5" t="s">
        <v>1418</v>
      </c>
      <c r="B914" s="5" t="str">
        <f>GetAddress(A914)</f>
        <v>\\chno0276\Aseguranza de Calidad\Control de Documentos\Doc. controlados PDF\Flow Chart\MICROMINI\MS\FC-MS-008 P1529042B130, P1532302C21, P1532302C27.pdf</v>
      </c>
      <c r="C914" s="5" t="str">
        <f>MID(B914,LEN(B914) - FIND(".",REVERSETEXT(B914))+2,1000)</f>
        <v>pdf</v>
      </c>
      <c r="D914" s="6">
        <v>11</v>
      </c>
      <c r="E914" s="7" t="s">
        <v>931</v>
      </c>
      <c r="F914" s="7" t="s">
        <v>256</v>
      </c>
      <c r="G914" s="8" t="s">
        <v>23</v>
      </c>
      <c r="H914" s="8">
        <v>5</v>
      </c>
      <c r="I914" s="8" t="s">
        <v>24</v>
      </c>
      <c r="J914" s="8">
        <v>12</v>
      </c>
      <c r="K914" s="8" t="s">
        <v>515</v>
      </c>
      <c r="L914" s="8">
        <v>16</v>
      </c>
      <c r="M914" s="7" t="s">
        <v>515</v>
      </c>
      <c r="N914" s="7" t="s">
        <v>1419</v>
      </c>
      <c r="O914" s="9">
        <v>41180</v>
      </c>
      <c r="P914" s="7" t="s">
        <v>27</v>
      </c>
      <c r="Q914" s="13" t="s">
        <v>1387</v>
      </c>
      <c r="R914" s="7" t="s">
        <v>1252</v>
      </c>
      <c r="S914" s="8" t="s">
        <v>1253</v>
      </c>
      <c r="T914" s="7"/>
      <c r="U914" s="7"/>
      <c r="V914" s="7"/>
    </row>
    <row r="915" spans="1:22" ht="89.25">
      <c r="A915" s="5" t="s">
        <v>1420</v>
      </c>
      <c r="B915" s="5" t="str">
        <f>GetAddress(A915)</f>
        <v>\\chno0276\Aseguranza de Calidad\Control de Documentos\Doc. controlados PDF\Flow Chart\MICROMINI\MS\FC-MS-009  SMEA0092010, SMEA0092025, SMEA0092030, SMEA0092040, SMEA0092045, SMEA0092050.pdf</v>
      </c>
      <c r="C915" s="5" t="str">
        <f>MID(B915,LEN(B915) - FIND(".",REVERSETEXT(B915))+2,1000)</f>
        <v>pdf</v>
      </c>
      <c r="D915" s="6">
        <v>11</v>
      </c>
      <c r="E915" s="7" t="s">
        <v>931</v>
      </c>
      <c r="F915" s="7" t="s">
        <v>256</v>
      </c>
      <c r="G915" s="8" t="s">
        <v>23</v>
      </c>
      <c r="H915" s="8">
        <v>5</v>
      </c>
      <c r="I915" s="8" t="s">
        <v>24</v>
      </c>
      <c r="J915" s="8">
        <v>12</v>
      </c>
      <c r="K915" s="8" t="s">
        <v>515</v>
      </c>
      <c r="L915" s="8">
        <v>16</v>
      </c>
      <c r="M915" s="7" t="s">
        <v>515</v>
      </c>
      <c r="N915" s="7" t="s">
        <v>1386</v>
      </c>
      <c r="O915" s="9">
        <v>41180</v>
      </c>
      <c r="P915" s="7" t="s">
        <v>27</v>
      </c>
      <c r="Q915" s="13" t="s">
        <v>1421</v>
      </c>
      <c r="R915" s="7" t="s">
        <v>1252</v>
      </c>
      <c r="S915" s="8" t="s">
        <v>1253</v>
      </c>
      <c r="T915" s="7"/>
      <c r="U915" s="7"/>
      <c r="V915" s="7"/>
    </row>
    <row r="916" spans="1:22" ht="25.5">
      <c r="A916" s="5" t="s">
        <v>1422</v>
      </c>
      <c r="B916" s="5" t="str">
        <f>GetAddress(A916)</f>
        <v>\\chno0276\Aseguranza de Calidad\Control de Documentos\Doc. controlados PDF\Flow Chart\MICROMINI\MS\FC-MS-010  SMEA0094007, SMEA0094030.pdf</v>
      </c>
      <c r="C916" s="5" t="str">
        <f>MID(B916,LEN(B916) - FIND(".",REVERSETEXT(B916))+2,1000)</f>
        <v>pdf</v>
      </c>
      <c r="D916" s="6">
        <v>11</v>
      </c>
      <c r="E916" s="7" t="s">
        <v>931</v>
      </c>
      <c r="F916" s="7" t="s">
        <v>256</v>
      </c>
      <c r="G916" s="8" t="s">
        <v>23</v>
      </c>
      <c r="H916" s="8">
        <v>5</v>
      </c>
      <c r="I916" s="8" t="s">
        <v>24</v>
      </c>
      <c r="J916" s="8">
        <v>12</v>
      </c>
      <c r="K916" s="8" t="s">
        <v>515</v>
      </c>
      <c r="L916" s="8">
        <v>16</v>
      </c>
      <c r="M916" s="7" t="s">
        <v>515</v>
      </c>
      <c r="N916" s="7" t="s">
        <v>1391</v>
      </c>
      <c r="O916" s="9">
        <v>41180</v>
      </c>
      <c r="P916" s="7" t="s">
        <v>27</v>
      </c>
      <c r="Q916" s="13" t="s">
        <v>1423</v>
      </c>
      <c r="R916" s="7" t="s">
        <v>1252</v>
      </c>
      <c r="S916" s="8" t="s">
        <v>1253</v>
      </c>
      <c r="T916" s="7"/>
      <c r="U916" s="7"/>
      <c r="V916" s="7"/>
    </row>
    <row r="917" spans="1:22" ht="51">
      <c r="A917" s="5" t="s">
        <v>1424</v>
      </c>
      <c r="B917" s="5" t="str">
        <f>GetAddress(A917)</f>
        <v>\\chno0276\Aseguranza de Calidad\Control de Documentos\Doc. controlados PDF\Flow Chart\MICROMINI\MS\FC-MS-011  SMEA0114007, 4010, 4015, 4030.pdf</v>
      </c>
      <c r="C917" s="5" t="str">
        <f>MID(B917,LEN(B917) - FIND(".",REVERSETEXT(B917))+2,1000)</f>
        <v>pdf</v>
      </c>
      <c r="D917" s="6">
        <v>11</v>
      </c>
      <c r="E917" s="7" t="s">
        <v>931</v>
      </c>
      <c r="F917" s="7" t="s">
        <v>256</v>
      </c>
      <c r="G917" s="8" t="s">
        <v>23</v>
      </c>
      <c r="H917" s="8">
        <v>5</v>
      </c>
      <c r="I917" s="8" t="s">
        <v>24</v>
      </c>
      <c r="J917" s="8">
        <v>12</v>
      </c>
      <c r="K917" s="8" t="s">
        <v>515</v>
      </c>
      <c r="L917" s="8">
        <v>16</v>
      </c>
      <c r="M917" s="7" t="s">
        <v>515</v>
      </c>
      <c r="N917" s="7" t="s">
        <v>1425</v>
      </c>
      <c r="O917" s="9">
        <v>41180</v>
      </c>
      <c r="P917" s="7" t="s">
        <v>27</v>
      </c>
      <c r="Q917" s="13" t="s">
        <v>1395</v>
      </c>
      <c r="R917" s="7" t="s">
        <v>1252</v>
      </c>
      <c r="S917" s="8" t="s">
        <v>1253</v>
      </c>
      <c r="T917" s="7"/>
      <c r="U917" s="7"/>
      <c r="V917" s="7"/>
    </row>
    <row r="918" spans="1:22" ht="76.5">
      <c r="A918" s="5" t="s">
        <v>1426</v>
      </c>
      <c r="B918" s="5" t="str">
        <f>GetAddress(A918)</f>
        <v>\\chno0276\Aseguranza de Calidad\Control de Documentos\Doc. controlados PDF\Flow Chart\MICROMINI\MS\FC-MS-012  SMEA0115010, 5015, 5020, 5030, 5035, 5060.pdf</v>
      </c>
      <c r="C918" s="5" t="str">
        <f>MID(B918,LEN(B918) - FIND(".",REVERSETEXT(B918))+2,1000)</f>
        <v>pdf</v>
      </c>
      <c r="D918" s="6">
        <v>11</v>
      </c>
      <c r="E918" s="7" t="s">
        <v>931</v>
      </c>
      <c r="F918" s="7" t="s">
        <v>256</v>
      </c>
      <c r="G918" s="8" t="s">
        <v>23</v>
      </c>
      <c r="H918" s="8">
        <v>5</v>
      </c>
      <c r="I918" s="8" t="s">
        <v>24</v>
      </c>
      <c r="J918" s="8">
        <v>12</v>
      </c>
      <c r="K918" s="8" t="s">
        <v>515</v>
      </c>
      <c r="L918" s="8">
        <v>16</v>
      </c>
      <c r="M918" s="7" t="s">
        <v>515</v>
      </c>
      <c r="N918" s="7" t="s">
        <v>1427</v>
      </c>
      <c r="O918" s="9">
        <v>41180</v>
      </c>
      <c r="P918" s="7" t="s">
        <v>27</v>
      </c>
      <c r="Q918" s="13" t="s">
        <v>1428</v>
      </c>
      <c r="R918" s="7" t="s">
        <v>1252</v>
      </c>
      <c r="S918" s="8" t="s">
        <v>1253</v>
      </c>
      <c r="T918" s="7"/>
      <c r="U918" s="7"/>
      <c r="V918" s="7"/>
    </row>
    <row r="919" spans="1:22" ht="51">
      <c r="A919" s="5" t="s">
        <v>1429</v>
      </c>
      <c r="B919" s="5" t="str">
        <f>GetAddress(A919)</f>
        <v>\\chno0276\Aseguranza de Calidad\Control de Documentos\Doc. controlados PDF\Flow Chart\MICROMINI\MS\FC-MS-013  SMEA0120010, 0030, 0040, 0045.pdf</v>
      </c>
      <c r="C919" s="5" t="str">
        <f>MID(B919,LEN(B919) - FIND(".",REVERSETEXT(B919))+2,1000)</f>
        <v>pdf</v>
      </c>
      <c r="D919" s="6">
        <v>11</v>
      </c>
      <c r="E919" s="7" t="s">
        <v>931</v>
      </c>
      <c r="F919" s="7" t="s">
        <v>256</v>
      </c>
      <c r="G919" s="8" t="s">
        <v>23</v>
      </c>
      <c r="H919" s="8">
        <v>5</v>
      </c>
      <c r="I919" s="8" t="s">
        <v>24</v>
      </c>
      <c r="J919" s="8">
        <v>12</v>
      </c>
      <c r="K919" s="8" t="s">
        <v>515</v>
      </c>
      <c r="L919" s="8">
        <v>16</v>
      </c>
      <c r="M919" s="7" t="s">
        <v>515</v>
      </c>
      <c r="N919" s="7" t="s">
        <v>1400</v>
      </c>
      <c r="O919" s="9">
        <v>41180</v>
      </c>
      <c r="P919" s="7" t="s">
        <v>27</v>
      </c>
      <c r="Q919" s="13" t="s">
        <v>1430</v>
      </c>
      <c r="R919" s="7" t="s">
        <v>1252</v>
      </c>
      <c r="S919" s="8" t="s">
        <v>1253</v>
      </c>
      <c r="T919" s="7"/>
      <c r="U919" s="7"/>
      <c r="V919" s="7"/>
    </row>
    <row r="920" spans="1:22">
      <c r="A920" s="5" t="s">
        <v>1454</v>
      </c>
      <c r="B920" s="5" t="str">
        <f>GetAddress(A920)</f>
        <v>\\chno0276\Control de Documentos\Doc. controlados PDF\Flow Chart\SOLAR\FC-SOL-001  Diagrama de flujo Solar.pdf</v>
      </c>
      <c r="C920" s="5" t="str">
        <f>MID(B920,LEN(B920) - FIND(".",REVERSETEXT(B920))+2,1000)</f>
        <v>pdf</v>
      </c>
      <c r="D920" s="6">
        <v>11</v>
      </c>
      <c r="E920" s="7" t="s">
        <v>931</v>
      </c>
      <c r="F920" s="7" t="s">
        <v>256</v>
      </c>
      <c r="G920" s="8" t="s">
        <v>23</v>
      </c>
      <c r="H920" s="8">
        <v>5</v>
      </c>
      <c r="I920" s="8" t="s">
        <v>92</v>
      </c>
      <c r="J920" s="8">
        <v>6</v>
      </c>
      <c r="K920" s="8" t="s">
        <v>93</v>
      </c>
      <c r="L920" s="8">
        <v>14</v>
      </c>
      <c r="M920" s="7" t="s">
        <v>94</v>
      </c>
      <c r="N920" s="7" t="s">
        <v>1455</v>
      </c>
      <c r="O920" s="9">
        <v>41178</v>
      </c>
      <c r="P920" s="7" t="s">
        <v>27</v>
      </c>
      <c r="Q920" s="7" t="s">
        <v>1456</v>
      </c>
      <c r="R920" s="7" t="s">
        <v>1252</v>
      </c>
      <c r="S920" s="8" t="s">
        <v>1253</v>
      </c>
      <c r="T920" s="7"/>
      <c r="U920" s="7"/>
      <c r="V920" s="7"/>
    </row>
    <row r="921" spans="1:22">
      <c r="A921" s="5" t="s">
        <v>2032</v>
      </c>
      <c r="B921" s="5" t="str">
        <f>GetAddress(A921)</f>
        <v>\\chno0276\Control de Documentos\Doc. controlados PDF\Formas\CNWI-ENGI (Ingenieria)\F-ENGI-03-001  Rev. A Production Feasability Agreement Form PFA 100208 Rev A.xls</v>
      </c>
      <c r="C921" s="5" t="str">
        <f>MID(B921,LEN(B921) - FIND(".",REVERSETEXT(B921))+2,1000)</f>
        <v>xls</v>
      </c>
      <c r="D921" s="6">
        <v>5</v>
      </c>
      <c r="E921" s="7" t="s">
        <v>42</v>
      </c>
      <c r="F921" s="7" t="s">
        <v>22</v>
      </c>
      <c r="G921" s="8" t="s">
        <v>60</v>
      </c>
      <c r="H921" s="8">
        <v>4</v>
      </c>
      <c r="I921" s="8"/>
      <c r="J921" s="8"/>
      <c r="K921" s="8"/>
      <c r="L921" s="8"/>
      <c r="M921" s="7" t="s">
        <v>22</v>
      </c>
      <c r="N921" s="7" t="s">
        <v>2033</v>
      </c>
      <c r="O921" s="9">
        <v>41212</v>
      </c>
      <c r="P921" s="7" t="s">
        <v>27</v>
      </c>
      <c r="Q921" s="9" t="s">
        <v>28</v>
      </c>
      <c r="R921" s="7" t="s">
        <v>1887</v>
      </c>
      <c r="S921" s="8" t="s">
        <v>1888</v>
      </c>
      <c r="T921" s="12"/>
      <c r="U921" s="7"/>
      <c r="V921" s="7"/>
    </row>
    <row r="922" spans="1:22">
      <c r="A922" s="5" t="s">
        <v>1505</v>
      </c>
      <c r="B922" s="5" t="str">
        <f>GetAddress(A922)</f>
        <v>\\chno0276\Aseguranza de Calidad\Control de Documentos\Doc. controlados PDF\Formas\CN-LEAN\Formatos\F-LEAN-01-001  Rev A Lista Maestra de IMC.xlsx</v>
      </c>
      <c r="C922" s="5" t="str">
        <f>MID(B922,LEN(B922) - FIND(".",REVERSETEXT(B922))+2,1000)</f>
        <v>xlsx</v>
      </c>
      <c r="D922" s="6">
        <v>5</v>
      </c>
      <c r="E922" s="7" t="s">
        <v>42</v>
      </c>
      <c r="F922" s="7" t="s">
        <v>1215</v>
      </c>
      <c r="G922" s="8" t="s">
        <v>1500</v>
      </c>
      <c r="H922" s="8">
        <v>17</v>
      </c>
      <c r="I922" s="8"/>
      <c r="J922" s="8"/>
      <c r="K922" s="8"/>
      <c r="L922" s="8"/>
      <c r="M922" s="7" t="s">
        <v>1215</v>
      </c>
      <c r="N922" s="32" t="s">
        <v>1506</v>
      </c>
      <c r="O922" s="9">
        <v>41198</v>
      </c>
      <c r="P922" s="7" t="s">
        <v>27</v>
      </c>
      <c r="Q922" s="9" t="s">
        <v>28</v>
      </c>
      <c r="R922" s="7" t="s">
        <v>1503</v>
      </c>
      <c r="S922" s="8" t="s">
        <v>1504</v>
      </c>
      <c r="T922" s="9">
        <v>41197</v>
      </c>
      <c r="U922" s="7"/>
      <c r="V922" s="7"/>
    </row>
    <row r="923" spans="1:22">
      <c r="A923" s="5" t="s">
        <v>1507</v>
      </c>
      <c r="B923" s="5" t="str">
        <f>GetAddress(A923)</f>
        <v>\\chno0276\Aseguranza de Calidad\Control de Documentos\Doc. controlados PDF\Formas\CN-LEAN\Formatos\F-LEAN-01-002 Rev  A Plan de Eventos Kaizen.xlsx</v>
      </c>
      <c r="C923" s="5" t="str">
        <f>MID(B923,LEN(B923) - FIND(".",REVERSETEXT(B923))+2,1000)</f>
        <v>xlsx</v>
      </c>
      <c r="D923" s="6">
        <v>5</v>
      </c>
      <c r="E923" s="7" t="s">
        <v>42</v>
      </c>
      <c r="F923" s="7" t="s">
        <v>1215</v>
      </c>
      <c r="G923" s="8" t="s">
        <v>1500</v>
      </c>
      <c r="H923" s="8">
        <v>17</v>
      </c>
      <c r="I923" s="8"/>
      <c r="J923" s="8"/>
      <c r="K923" s="8"/>
      <c r="L923" s="8"/>
      <c r="M923" s="7" t="s">
        <v>1215</v>
      </c>
      <c r="N923" s="32" t="s">
        <v>1508</v>
      </c>
      <c r="O923" s="9">
        <v>41197</v>
      </c>
      <c r="P923" s="7" t="s">
        <v>27</v>
      </c>
      <c r="Q923" s="9" t="s">
        <v>28</v>
      </c>
      <c r="R923" s="7" t="s">
        <v>1503</v>
      </c>
      <c r="S923" s="8" t="s">
        <v>1504</v>
      </c>
      <c r="T923" s="9">
        <v>41197</v>
      </c>
      <c r="U923" s="7"/>
      <c r="V923" s="7"/>
    </row>
    <row r="924" spans="1:22">
      <c r="A924" s="5" t="s">
        <v>1509</v>
      </c>
      <c r="B924" s="5" t="str">
        <f>GetAddress(A924)</f>
        <v>\\chno0276\Aseguranza de Calidad\Control de Documentos\Doc. controlados PDF\Formas\CN-LEAN\Formatos\F-LEAN-01-003 Rev  A Project Deck.xlsx</v>
      </c>
      <c r="C924" s="5" t="str">
        <f>MID(B924,LEN(B924) - FIND(".",REVERSETEXT(B924))+2,1000)</f>
        <v>xlsx</v>
      </c>
      <c r="D924" s="6">
        <v>5</v>
      </c>
      <c r="E924" s="7" t="s">
        <v>42</v>
      </c>
      <c r="F924" s="7" t="s">
        <v>1215</v>
      </c>
      <c r="G924" s="8" t="s">
        <v>1500</v>
      </c>
      <c r="H924" s="8">
        <v>17</v>
      </c>
      <c r="I924" s="8"/>
      <c r="J924" s="8"/>
      <c r="K924" s="8"/>
      <c r="L924" s="8"/>
      <c r="M924" s="7" t="s">
        <v>1215</v>
      </c>
      <c r="N924" s="32" t="s">
        <v>1510</v>
      </c>
      <c r="O924" s="9">
        <v>41197</v>
      </c>
      <c r="P924" s="7" t="s">
        <v>27</v>
      </c>
      <c r="Q924" s="9" t="s">
        <v>28</v>
      </c>
      <c r="R924" s="7" t="s">
        <v>1503</v>
      </c>
      <c r="S924" s="8" t="s">
        <v>1504</v>
      </c>
      <c r="T924" s="9">
        <v>41197</v>
      </c>
      <c r="U924" s="7"/>
      <c r="V924" s="7"/>
    </row>
    <row r="925" spans="1:22">
      <c r="A925" s="5" t="s">
        <v>1511</v>
      </c>
      <c r="B925" s="5" t="str">
        <f>GetAddress(A925)</f>
        <v>\\chno0276\Aseguranza de Calidad\Control de Documentos\Doc. controlados PDF\Formas\CN-LEAN\Formatos\F-LEAN-01-004 Rev. A  Formato de IMC.xlsx</v>
      </c>
      <c r="C925" s="5" t="str">
        <f>MID(B925,LEN(B925) - FIND(".",REVERSETEXT(B925))+2,1000)</f>
        <v>xlsx</v>
      </c>
      <c r="D925" s="6">
        <v>5</v>
      </c>
      <c r="E925" s="7" t="s">
        <v>42</v>
      </c>
      <c r="F925" s="7" t="s">
        <v>1215</v>
      </c>
      <c r="G925" s="8" t="s">
        <v>1500</v>
      </c>
      <c r="H925" s="8">
        <v>17</v>
      </c>
      <c r="I925" s="8"/>
      <c r="J925" s="8"/>
      <c r="K925" s="8"/>
      <c r="L925" s="8"/>
      <c r="M925" s="7" t="s">
        <v>1215</v>
      </c>
      <c r="N925" s="7" t="s">
        <v>1512</v>
      </c>
      <c r="O925" s="9">
        <v>41199</v>
      </c>
      <c r="P925" s="7" t="s">
        <v>27</v>
      </c>
      <c r="Q925" s="9" t="s">
        <v>28</v>
      </c>
      <c r="R925" s="7" t="s">
        <v>1503</v>
      </c>
      <c r="S925" s="8" t="s">
        <v>1504</v>
      </c>
      <c r="T925" s="9">
        <v>41199</v>
      </c>
      <c r="U925" s="7"/>
      <c r="V925" s="7"/>
    </row>
    <row r="926" spans="1:22">
      <c r="A926" s="5" t="s">
        <v>962</v>
      </c>
      <c r="B926" s="5" t="str">
        <f>GetAddress(A926)</f>
        <v>\\CHNO0276\Aseguranza de Calidad\Control de Documentos\Doc. controlados PDF\FMEA\FMEA-AMSA-001  (cables AMSAFE).pdf</v>
      </c>
      <c r="C926" s="5" t="str">
        <f>MID(B926,LEN(B926) - FIND(".",REVERSETEXT(B926))+2,1000)</f>
        <v>pdf</v>
      </c>
      <c r="D926" s="6">
        <v>14</v>
      </c>
      <c r="E926" s="7" t="s">
        <v>963</v>
      </c>
      <c r="F926" s="7" t="s">
        <v>256</v>
      </c>
      <c r="G926" s="8" t="s">
        <v>23</v>
      </c>
      <c r="H926" s="8">
        <v>5</v>
      </c>
      <c r="I926" s="8" t="s">
        <v>874</v>
      </c>
      <c r="J926" s="8">
        <v>10</v>
      </c>
      <c r="K926" s="8" t="s">
        <v>875</v>
      </c>
      <c r="L926" s="8">
        <v>7</v>
      </c>
      <c r="M926" s="7" t="s">
        <v>876</v>
      </c>
      <c r="N926" s="7" t="s">
        <v>964</v>
      </c>
      <c r="O926" s="27" t="s">
        <v>965</v>
      </c>
      <c r="P926" s="13" t="s">
        <v>27</v>
      </c>
      <c r="Q926" s="7" t="s">
        <v>964</v>
      </c>
      <c r="R926" s="13" t="s">
        <v>879</v>
      </c>
      <c r="S926" s="26" t="s">
        <v>880</v>
      </c>
      <c r="T926" s="7"/>
      <c r="U926" s="13"/>
      <c r="V926" s="13"/>
    </row>
    <row r="927" spans="1:22" ht="25.5">
      <c r="A927" s="5" t="s">
        <v>1084</v>
      </c>
      <c r="B927" s="5" t="str">
        <f>GetAddress(A927)</f>
        <v>\\chno0276\Aseguranza de Calidad\Control de Documentos\Doc. controlados PDF\FMEA\ITRON\BONDING\FMEA -BOND-002  002359-TAB 002360-TAB  002361-TAB.pdf</v>
      </c>
      <c r="C927" s="5" t="str">
        <f>MID(B927,LEN(B927) - FIND(".",REVERSETEXT(B927))+2,1000)</f>
        <v>pdf</v>
      </c>
      <c r="D927" s="6">
        <v>14</v>
      </c>
      <c r="E927" s="7" t="s">
        <v>963</v>
      </c>
      <c r="F927" s="7" t="s">
        <v>256</v>
      </c>
      <c r="G927" s="8" t="s">
        <v>23</v>
      </c>
      <c r="H927" s="8">
        <v>5</v>
      </c>
      <c r="I927" s="8" t="s">
        <v>874</v>
      </c>
      <c r="J927" s="8">
        <v>10</v>
      </c>
      <c r="K927" s="8" t="s">
        <v>967</v>
      </c>
      <c r="L927" s="8">
        <v>10</v>
      </c>
      <c r="M927" s="7" t="s">
        <v>968</v>
      </c>
      <c r="N927" s="13" t="s">
        <v>1085</v>
      </c>
      <c r="O927" s="25">
        <v>41149</v>
      </c>
      <c r="P927" s="13" t="s">
        <v>27</v>
      </c>
      <c r="Q927" s="7" t="s">
        <v>973</v>
      </c>
      <c r="R927" s="13" t="s">
        <v>879</v>
      </c>
      <c r="S927" s="26" t="s">
        <v>880</v>
      </c>
      <c r="T927" s="7"/>
      <c r="U927" s="13"/>
      <c r="V927" s="13"/>
    </row>
    <row r="928" spans="1:22">
      <c r="A928" s="5" t="s">
        <v>1086</v>
      </c>
      <c r="B928" s="5" t="str">
        <f>GetAddress(A928)</f>
        <v>\\chno0276\Aseguranza de Calidad\Control de Documentos\Doc. controlados PDF\FMEA\ITRON\BONDING\FMEA-BOND-003  BACC65 TODOS.pdf</v>
      </c>
      <c r="C928" s="5" t="str">
        <f>MID(B928,LEN(B928) - FIND(".",REVERSETEXT(B928))+2,1000)</f>
        <v>pdf</v>
      </c>
      <c r="D928" s="6">
        <v>14</v>
      </c>
      <c r="E928" s="7" t="s">
        <v>963</v>
      </c>
      <c r="F928" s="7" t="s">
        <v>256</v>
      </c>
      <c r="G928" s="8" t="s">
        <v>23</v>
      </c>
      <c r="H928" s="8">
        <v>5</v>
      </c>
      <c r="I928" s="8" t="s">
        <v>874</v>
      </c>
      <c r="J928" s="8">
        <v>10</v>
      </c>
      <c r="K928" s="8" t="s">
        <v>967</v>
      </c>
      <c r="L928" s="8">
        <v>10</v>
      </c>
      <c r="M928" s="7" t="s">
        <v>968</v>
      </c>
      <c r="N928" s="7" t="s">
        <v>1087</v>
      </c>
      <c r="O928" s="25">
        <v>41181</v>
      </c>
      <c r="P928" s="13" t="s">
        <v>27</v>
      </c>
      <c r="Q928" s="7" t="s">
        <v>1088</v>
      </c>
      <c r="R928" s="13" t="s">
        <v>879</v>
      </c>
      <c r="S928" s="26" t="s">
        <v>880</v>
      </c>
      <c r="T928" s="7"/>
      <c r="U928" s="13"/>
      <c r="V928" s="13"/>
    </row>
    <row r="929" spans="1:22">
      <c r="A929" s="5" t="s">
        <v>1338</v>
      </c>
      <c r="B929" s="20" t="e">
        <f>GetAddress(A929)</f>
        <v>#VALUE!</v>
      </c>
      <c r="C929" s="20" t="e">
        <f>MID(B929,LEN(B929) - FIND(".",REVERSETEXT(B929))+2,1000)</f>
        <v>#VALUE!</v>
      </c>
      <c r="D929" s="6">
        <v>14</v>
      </c>
      <c r="E929" s="7" t="s">
        <v>963</v>
      </c>
      <c r="F929" s="7" t="s">
        <v>256</v>
      </c>
      <c r="G929" s="8" t="s">
        <v>23</v>
      </c>
      <c r="H929" s="8">
        <v>5</v>
      </c>
      <c r="I929" s="8" t="s">
        <v>24</v>
      </c>
      <c r="J929" s="8">
        <v>12</v>
      </c>
      <c r="K929" s="8" t="s">
        <v>25</v>
      </c>
      <c r="L929" s="8">
        <v>4</v>
      </c>
      <c r="M929" s="7" t="s">
        <v>26</v>
      </c>
      <c r="N929" s="7" t="s">
        <v>1339</v>
      </c>
      <c r="O929" s="9">
        <v>41186</v>
      </c>
      <c r="P929" s="7" t="s">
        <v>27</v>
      </c>
      <c r="Q929" s="7" t="s">
        <v>1267</v>
      </c>
      <c r="R929" s="7" t="s">
        <v>1252</v>
      </c>
      <c r="S929" s="8" t="s">
        <v>1253</v>
      </c>
      <c r="T929" s="7"/>
      <c r="U929" s="7"/>
      <c r="V929" s="7"/>
    </row>
    <row r="930" spans="1:22">
      <c r="A930" s="5" t="s">
        <v>1340</v>
      </c>
      <c r="B930" s="5" t="str">
        <f>GetAddress(A930)</f>
        <v>\\chno0276\Aseguranza de Calidad\Control de Documentos\Doc. controlados PDF\FMEA\MICROMINI\CHANGE-OUT\FMEA-CHGO-003  CX8653316P.pdf</v>
      </c>
      <c r="C930" s="5" t="str">
        <f>MID(B930,LEN(B930) - FIND(".",REVERSETEXT(B930))+2,1000)</f>
        <v>pdf</v>
      </c>
      <c r="D930" s="6">
        <v>14</v>
      </c>
      <c r="E930" s="7" t="s">
        <v>963</v>
      </c>
      <c r="F930" s="7" t="s">
        <v>256</v>
      </c>
      <c r="G930" s="8" t="s">
        <v>23</v>
      </c>
      <c r="H930" s="8">
        <v>5</v>
      </c>
      <c r="I930" s="8" t="s">
        <v>24</v>
      </c>
      <c r="J930" s="8">
        <v>12</v>
      </c>
      <c r="K930" s="8" t="s">
        <v>25</v>
      </c>
      <c r="L930" s="8">
        <v>4</v>
      </c>
      <c r="M930" s="7" t="s">
        <v>26</v>
      </c>
      <c r="N930" s="7" t="s">
        <v>1341</v>
      </c>
      <c r="O930" s="9">
        <v>41186</v>
      </c>
      <c r="P930" s="7" t="s">
        <v>27</v>
      </c>
      <c r="Q930" s="7" t="s">
        <v>1269</v>
      </c>
      <c r="R930" s="7" t="s">
        <v>1252</v>
      </c>
      <c r="S930" s="8" t="s">
        <v>1253</v>
      </c>
      <c r="T930" s="7"/>
      <c r="U930" s="7"/>
      <c r="V930" s="7"/>
    </row>
    <row r="931" spans="1:22" ht="25.5">
      <c r="A931" s="5" t="s">
        <v>1342</v>
      </c>
      <c r="B931" s="5" t="str">
        <f>GetAddress(A931)</f>
        <v>\\chno0276\Aseguranza de Calidad\Control de Documentos\Doc. controlados PDF\FMEA\MICROMINI\CHANGE-OUT\FMEA-CHGO-005  CX8653346P.pdf</v>
      </c>
      <c r="C931" s="5" t="str">
        <f>MID(B931,LEN(B931) - FIND(".",REVERSETEXT(B931))+2,1000)</f>
        <v>pdf</v>
      </c>
      <c r="D931" s="6">
        <v>14</v>
      </c>
      <c r="E931" s="7" t="s">
        <v>963</v>
      </c>
      <c r="F931" s="7" t="s">
        <v>256</v>
      </c>
      <c r="G931" s="8" t="s">
        <v>23</v>
      </c>
      <c r="H931" s="8">
        <v>5</v>
      </c>
      <c r="I931" s="8" t="s">
        <v>24</v>
      </c>
      <c r="J931" s="8">
        <v>12</v>
      </c>
      <c r="K931" s="8" t="s">
        <v>25</v>
      </c>
      <c r="L931" s="8">
        <v>4</v>
      </c>
      <c r="M931" s="7" t="s">
        <v>26</v>
      </c>
      <c r="N931" s="7" t="s">
        <v>1273</v>
      </c>
      <c r="O931" s="9">
        <v>41186</v>
      </c>
      <c r="P931" s="7" t="s">
        <v>27</v>
      </c>
      <c r="Q931" s="13" t="s">
        <v>1274</v>
      </c>
      <c r="R931" s="7" t="s">
        <v>1252</v>
      </c>
      <c r="S931" s="8" t="s">
        <v>1253</v>
      </c>
      <c r="T931" s="7"/>
      <c r="U931" s="7"/>
      <c r="V931" s="7"/>
    </row>
    <row r="932" spans="1:22" ht="63.75">
      <c r="A932" s="5" t="s">
        <v>1343</v>
      </c>
      <c r="B932" s="5" t="str">
        <f>GetAddress(A932)</f>
        <v>\\chno0276\Aseguranza de Calidad\Control de Documentos\Doc. controlados PDF\FMEA\MICROMINI\CHANGE-OUT\FMEA-CHGO-006  X865248P.pdf</v>
      </c>
      <c r="C932" s="5" t="str">
        <f>MID(B932,LEN(B932) - FIND(".",REVERSETEXT(B932))+2,1000)</f>
        <v>pdf</v>
      </c>
      <c r="D932" s="6">
        <v>14</v>
      </c>
      <c r="E932" s="7" t="s">
        <v>963</v>
      </c>
      <c r="F932" s="7" t="s">
        <v>256</v>
      </c>
      <c r="G932" s="8" t="s">
        <v>23</v>
      </c>
      <c r="H932" s="8">
        <v>5</v>
      </c>
      <c r="I932" s="8" t="s">
        <v>24</v>
      </c>
      <c r="J932" s="8">
        <v>12</v>
      </c>
      <c r="K932" s="8" t="s">
        <v>25</v>
      </c>
      <c r="L932" s="8">
        <v>4</v>
      </c>
      <c r="M932" s="7" t="s">
        <v>26</v>
      </c>
      <c r="N932" s="7" t="s">
        <v>1344</v>
      </c>
      <c r="O932" s="9">
        <v>41186</v>
      </c>
      <c r="P932" s="7" t="s">
        <v>27</v>
      </c>
      <c r="Q932" s="13" t="s">
        <v>1334</v>
      </c>
      <c r="R932" s="7" t="s">
        <v>1252</v>
      </c>
      <c r="S932" s="8" t="s">
        <v>1253</v>
      </c>
      <c r="T932" s="7"/>
      <c r="U932" s="7"/>
      <c r="V932" s="7"/>
    </row>
    <row r="933" spans="1:22">
      <c r="A933" s="5" t="s">
        <v>1345</v>
      </c>
      <c r="B933" s="5" t="str">
        <f>GetAddress(A933)</f>
        <v>\\chno0276\Aseguranza de Calidad\Control de Documentos\Doc. controlados PDF\FMEA\MICROMINI\CHANGE-OUT\FMEA-CHGO-007  AX865251P.pdf</v>
      </c>
      <c r="C933" s="5" t="str">
        <f>MID(B933,LEN(B933) - FIND(".",REVERSETEXT(B933))+2,1000)</f>
        <v>pdf</v>
      </c>
      <c r="D933" s="6">
        <v>14</v>
      </c>
      <c r="E933" s="7" t="s">
        <v>963</v>
      </c>
      <c r="F933" s="7" t="s">
        <v>256</v>
      </c>
      <c r="G933" s="8" t="s">
        <v>23</v>
      </c>
      <c r="H933" s="8">
        <v>5</v>
      </c>
      <c r="I933" s="8" t="s">
        <v>24</v>
      </c>
      <c r="J933" s="8">
        <v>12</v>
      </c>
      <c r="K933" s="8" t="s">
        <v>25</v>
      </c>
      <c r="L933" s="8">
        <v>4</v>
      </c>
      <c r="M933" s="7" t="s">
        <v>26</v>
      </c>
      <c r="N933" s="7" t="s">
        <v>1279</v>
      </c>
      <c r="O933" s="9">
        <v>41186</v>
      </c>
      <c r="P933" s="7" t="s">
        <v>27</v>
      </c>
      <c r="Q933" s="7" t="s">
        <v>1280</v>
      </c>
      <c r="R933" s="7" t="s">
        <v>1252</v>
      </c>
      <c r="S933" s="8" t="s">
        <v>1253</v>
      </c>
      <c r="T933" s="7"/>
      <c r="U933" s="7"/>
      <c r="V933" s="7"/>
    </row>
    <row r="934" spans="1:22" ht="229.5">
      <c r="A934" s="5" t="s">
        <v>1346</v>
      </c>
      <c r="B934" s="20" t="e">
        <f>GetAddress(A934)</f>
        <v>#VALUE!</v>
      </c>
      <c r="C934" s="20" t="e">
        <f>MID(B934,LEN(B934) - FIND(".",REVERSETEXT(B934))+2,1000)</f>
        <v>#VALUE!</v>
      </c>
      <c r="D934" s="6">
        <v>14</v>
      </c>
      <c r="E934" s="7" t="s">
        <v>963</v>
      </c>
      <c r="F934" s="7" t="s">
        <v>256</v>
      </c>
      <c r="G934" s="8" t="s">
        <v>23</v>
      </c>
      <c r="H934" s="8">
        <v>5</v>
      </c>
      <c r="I934" s="8" t="s">
        <v>24</v>
      </c>
      <c r="J934" s="8">
        <v>12</v>
      </c>
      <c r="K934" s="8" t="s">
        <v>25</v>
      </c>
      <c r="L934" s="8">
        <v>4</v>
      </c>
      <c r="M934" s="7" t="s">
        <v>26</v>
      </c>
      <c r="N934" s="7" t="s">
        <v>1347</v>
      </c>
      <c r="O934" s="9">
        <v>41186</v>
      </c>
      <c r="P934" s="7" t="s">
        <v>27</v>
      </c>
      <c r="Q934" s="13" t="s">
        <v>1348</v>
      </c>
      <c r="R934" s="7" t="s">
        <v>1252</v>
      </c>
      <c r="S934" s="8" t="s">
        <v>1253</v>
      </c>
      <c r="T934" s="7"/>
      <c r="U934" s="7"/>
      <c r="V934" s="7"/>
    </row>
    <row r="935" spans="1:22" ht="216.75">
      <c r="A935" s="5" t="s">
        <v>1349</v>
      </c>
      <c r="B935" s="5" t="str">
        <f>GetAddress(A935)</f>
        <v>\\chno0276\Aseguranza de Calidad\Control de Documentos\Doc. controlados PDF\FMEA\MICROMINI\CHANGE-OUT\FMEA-CHGO-009   X865344P.pdf</v>
      </c>
      <c r="C935" s="5" t="str">
        <f>MID(B935,LEN(B935) - FIND(".",REVERSETEXT(B935))+2,1000)</f>
        <v>pdf</v>
      </c>
      <c r="D935" s="6">
        <v>14</v>
      </c>
      <c r="E935" s="7" t="s">
        <v>963</v>
      </c>
      <c r="F935" s="7" t="s">
        <v>256</v>
      </c>
      <c r="G935" s="8" t="s">
        <v>23</v>
      </c>
      <c r="H935" s="8">
        <v>5</v>
      </c>
      <c r="I935" s="8" t="s">
        <v>24</v>
      </c>
      <c r="J935" s="8">
        <v>12</v>
      </c>
      <c r="K935" s="8" t="s">
        <v>25</v>
      </c>
      <c r="L935" s="8">
        <v>4</v>
      </c>
      <c r="M935" s="7" t="s">
        <v>26</v>
      </c>
      <c r="N935" s="7" t="s">
        <v>1341</v>
      </c>
      <c r="O935" s="9">
        <v>41186</v>
      </c>
      <c r="P935" s="7" t="s">
        <v>27</v>
      </c>
      <c r="Q935" s="13" t="s">
        <v>1350</v>
      </c>
      <c r="R935" s="7" t="s">
        <v>1252</v>
      </c>
      <c r="S935" s="8" t="s">
        <v>1253</v>
      </c>
      <c r="T935" s="7"/>
      <c r="U935" s="7"/>
      <c r="V935" s="7"/>
    </row>
    <row r="936" spans="1:22" ht="178.5">
      <c r="A936" s="5" t="s">
        <v>1351</v>
      </c>
      <c r="B936" s="5" t="str">
        <f>GetAddress(A936)</f>
        <v>\\chno0276\Aseguranza de Calidad\Control de Documentos\Doc. controlados PDF\FMEA\MICROMINI\CHANGE-OUT\FMEA-CHGO-010 .pdf</v>
      </c>
      <c r="C936" s="5" t="str">
        <f>MID(B936,LEN(B936) - FIND(".",REVERSETEXT(B936))+2,1000)</f>
        <v>pdf</v>
      </c>
      <c r="D936" s="6">
        <v>14</v>
      </c>
      <c r="E936" s="7" t="s">
        <v>963</v>
      </c>
      <c r="F936" s="7" t="s">
        <v>256</v>
      </c>
      <c r="G936" s="8" t="s">
        <v>23</v>
      </c>
      <c r="H936" s="8">
        <v>5</v>
      </c>
      <c r="I936" s="8" t="s">
        <v>24</v>
      </c>
      <c r="J936" s="8">
        <v>12</v>
      </c>
      <c r="K936" s="8" t="s">
        <v>25</v>
      </c>
      <c r="L936" s="8">
        <v>4</v>
      </c>
      <c r="M936" s="7" t="s">
        <v>26</v>
      </c>
      <c r="N936" s="7" t="s">
        <v>1288</v>
      </c>
      <c r="O936" s="9">
        <v>41187</v>
      </c>
      <c r="P936" s="7" t="s">
        <v>27</v>
      </c>
      <c r="Q936" s="13" t="s">
        <v>1352</v>
      </c>
      <c r="R936" s="7" t="s">
        <v>1252</v>
      </c>
      <c r="S936" s="8" t="s">
        <v>1253</v>
      </c>
      <c r="T936" s="7"/>
      <c r="U936" s="7"/>
      <c r="V936" s="7"/>
    </row>
    <row r="937" spans="1:22" ht="204">
      <c r="A937" s="5" t="s">
        <v>1353</v>
      </c>
      <c r="B937" s="5" t="str">
        <f>GetAddress(A937)</f>
        <v>\\chno0276\Aseguranza de Calidad\Control de Documentos\Doc. controlados PDF\FMEA\MICROMINI\CHANGE-OUT\FMEA-CHGO-011  X8651648P.pdf</v>
      </c>
      <c r="C937" s="5" t="str">
        <f>MID(B937,LEN(B937) - FIND(".",REVERSETEXT(B937))+2,1000)</f>
        <v>pdf</v>
      </c>
      <c r="D937" s="6">
        <v>14</v>
      </c>
      <c r="E937" s="7" t="s">
        <v>963</v>
      </c>
      <c r="F937" s="7" t="s">
        <v>256</v>
      </c>
      <c r="G937" s="8" t="s">
        <v>23</v>
      </c>
      <c r="H937" s="8">
        <v>5</v>
      </c>
      <c r="I937" s="8" t="s">
        <v>24</v>
      </c>
      <c r="J937" s="8">
        <v>12</v>
      </c>
      <c r="K937" s="8" t="s">
        <v>25</v>
      </c>
      <c r="L937" s="8">
        <v>4</v>
      </c>
      <c r="M937" s="7" t="s">
        <v>26</v>
      </c>
      <c r="N937" s="7" t="s">
        <v>1354</v>
      </c>
      <c r="O937" s="9">
        <v>41191</v>
      </c>
      <c r="P937" s="7" t="s">
        <v>27</v>
      </c>
      <c r="Q937" s="13" t="s">
        <v>1355</v>
      </c>
      <c r="R937" s="7" t="s">
        <v>1252</v>
      </c>
      <c r="S937" s="8" t="s">
        <v>1253</v>
      </c>
      <c r="T937" s="7"/>
      <c r="U937" s="7"/>
      <c r="V937" s="7"/>
    </row>
    <row r="938" spans="1:22" ht="38.25">
      <c r="A938" s="5" t="s">
        <v>1356</v>
      </c>
      <c r="B938" s="5" t="str">
        <f>GetAddress(A938)</f>
        <v>\\chno0276\Aseguranza de Calidad\Control de Documentos\Doc. controlados PDF\FMEA\MICROMINI\CHANGE-OUT\FMEA-CHGO-012  X8653325.pdf</v>
      </c>
      <c r="C938" s="5" t="str">
        <f>MID(B938,LEN(B938) - FIND(".",REVERSETEXT(B938))+2,1000)</f>
        <v>pdf</v>
      </c>
      <c r="D938" s="6">
        <v>14</v>
      </c>
      <c r="E938" s="7" t="s">
        <v>963</v>
      </c>
      <c r="F938" s="7" t="s">
        <v>256</v>
      </c>
      <c r="G938" s="8" t="s">
        <v>23</v>
      </c>
      <c r="H938" s="8">
        <v>5</v>
      </c>
      <c r="I938" s="8" t="s">
        <v>24</v>
      </c>
      <c r="J938" s="8">
        <v>12</v>
      </c>
      <c r="K938" s="8" t="s">
        <v>25</v>
      </c>
      <c r="L938" s="8">
        <v>4</v>
      </c>
      <c r="M938" s="7" t="s">
        <v>26</v>
      </c>
      <c r="N938" s="7" t="s">
        <v>1357</v>
      </c>
      <c r="O938" s="9">
        <v>41191</v>
      </c>
      <c r="P938" s="7" t="s">
        <v>27</v>
      </c>
      <c r="Q938" s="13" t="s">
        <v>1328</v>
      </c>
      <c r="R938" s="7" t="s">
        <v>1252</v>
      </c>
      <c r="S938" s="8" t="s">
        <v>1253</v>
      </c>
      <c r="T938" s="7"/>
      <c r="U938" s="7"/>
      <c r="V938" s="7"/>
    </row>
    <row r="939" spans="1:22">
      <c r="A939" s="5" t="s">
        <v>1358</v>
      </c>
      <c r="B939" s="5" t="str">
        <f>GetAddress(A939)</f>
        <v>\\chno0276\Aseguranza de Calidad\Control de Documentos\Doc. controlados PDF\FMEA\MICROMINI\CHANGE-OUT\FMEA-CHGO-013  X8653382P.pdf</v>
      </c>
      <c r="C939" s="5" t="str">
        <f>MID(B939,LEN(B939) - FIND(".",REVERSETEXT(B939))+2,1000)</f>
        <v>pdf</v>
      </c>
      <c r="D939" s="6">
        <v>14</v>
      </c>
      <c r="E939" s="7" t="s">
        <v>963</v>
      </c>
      <c r="F939" s="7" t="s">
        <v>256</v>
      </c>
      <c r="G939" s="8" t="s">
        <v>23</v>
      </c>
      <c r="H939" s="8">
        <v>5</v>
      </c>
      <c r="I939" s="8" t="s">
        <v>24</v>
      </c>
      <c r="J939" s="8">
        <v>12</v>
      </c>
      <c r="K939" s="8" t="s">
        <v>25</v>
      </c>
      <c r="L939" s="8">
        <v>4</v>
      </c>
      <c r="M939" s="7" t="s">
        <v>26</v>
      </c>
      <c r="N939" s="7" t="s">
        <v>1359</v>
      </c>
      <c r="O939" s="9">
        <v>41191</v>
      </c>
      <c r="P939" s="7" t="s">
        <v>27</v>
      </c>
      <c r="Q939" s="7" t="s">
        <v>1297</v>
      </c>
      <c r="R939" s="7" t="s">
        <v>1252</v>
      </c>
      <c r="S939" s="8" t="s">
        <v>1253</v>
      </c>
      <c r="T939" s="7"/>
      <c r="U939" s="7"/>
      <c r="V939" s="7"/>
    </row>
    <row r="940" spans="1:22" ht="89.25">
      <c r="A940" s="5" t="s">
        <v>1360</v>
      </c>
      <c r="B940" s="5" t="str">
        <f>GetAddress(A940)</f>
        <v>\\chno0276\Aseguranza de Calidad\Control de Documentos\Doc. controlados PDF\FMEA\MICROMINI\CHANGE-OUT\FMEA-CHGO-014     X8653568P.pdf</v>
      </c>
      <c r="C940" s="5" t="str">
        <f>MID(B940,LEN(B940) - FIND(".",REVERSETEXT(B940))+2,1000)</f>
        <v>pdf</v>
      </c>
      <c r="D940" s="6">
        <v>14</v>
      </c>
      <c r="E940" s="7" t="s">
        <v>963</v>
      </c>
      <c r="F940" s="7" t="s">
        <v>256</v>
      </c>
      <c r="G940" s="8" t="s">
        <v>23</v>
      </c>
      <c r="H940" s="8">
        <v>5</v>
      </c>
      <c r="I940" s="8" t="s">
        <v>24</v>
      </c>
      <c r="J940" s="8">
        <v>12</v>
      </c>
      <c r="K940" s="8" t="s">
        <v>25</v>
      </c>
      <c r="L940" s="8">
        <v>4</v>
      </c>
      <c r="M940" s="7" t="s">
        <v>26</v>
      </c>
      <c r="N940" s="7" t="s">
        <v>1299</v>
      </c>
      <c r="O940" s="9">
        <v>41191</v>
      </c>
      <c r="P940" s="7" t="s">
        <v>27</v>
      </c>
      <c r="Q940" s="13" t="s">
        <v>1300</v>
      </c>
      <c r="R940" s="7" t="s">
        <v>1252</v>
      </c>
      <c r="S940" s="8" t="s">
        <v>1253</v>
      </c>
      <c r="T940" s="7"/>
      <c r="U940" s="7"/>
      <c r="V940" s="7"/>
    </row>
    <row r="941" spans="1:22" ht="153">
      <c r="A941" s="5" t="s">
        <v>1361</v>
      </c>
      <c r="B941" s="20" t="e">
        <f>GetAddress(A941)</f>
        <v>#VALUE!</v>
      </c>
      <c r="C941" s="20" t="e">
        <f>MID(B941,LEN(B941) - FIND(".",REVERSETEXT(B941))+2,1000)</f>
        <v>#VALUE!</v>
      </c>
      <c r="D941" s="6">
        <v>14</v>
      </c>
      <c r="E941" s="7" t="s">
        <v>963</v>
      </c>
      <c r="F941" s="7" t="s">
        <v>256</v>
      </c>
      <c r="G941" s="8" t="s">
        <v>23</v>
      </c>
      <c r="H941" s="8">
        <v>5</v>
      </c>
      <c r="I941" s="8" t="s">
        <v>24</v>
      </c>
      <c r="J941" s="8">
        <v>12</v>
      </c>
      <c r="K941" s="8" t="s">
        <v>25</v>
      </c>
      <c r="L941" s="8">
        <v>4</v>
      </c>
      <c r="M941" s="7" t="s">
        <v>26</v>
      </c>
      <c r="N941" s="7" t="s">
        <v>1362</v>
      </c>
      <c r="O941" s="9">
        <v>41191</v>
      </c>
      <c r="P941" s="7" t="s">
        <v>27</v>
      </c>
      <c r="Q941" s="13" t="s">
        <v>1303</v>
      </c>
      <c r="R941" s="7" t="s">
        <v>1252</v>
      </c>
      <c r="S941" s="8" t="s">
        <v>1253</v>
      </c>
      <c r="T941" s="7"/>
      <c r="U941" s="7"/>
      <c r="V941" s="7"/>
    </row>
    <row r="942" spans="1:22" ht="63.75">
      <c r="A942" s="5" t="s">
        <v>1363</v>
      </c>
      <c r="B942" s="5" t="str">
        <f>GetAddress(A942)</f>
        <v>\\chno0276\Aseguranza de Calidad\Control de Documentos\Doc. controlados PDF\FMEA\MICROMINI\CHANGE-OUT\FMEA-CHGO-016  X86521624p.pdf</v>
      </c>
      <c r="C942" s="5" t="str">
        <f>MID(B942,LEN(B942) - FIND(".",REVERSETEXT(B942))+2,1000)</f>
        <v>pdf</v>
      </c>
      <c r="D942" s="6">
        <v>14</v>
      </c>
      <c r="E942" s="7" t="s">
        <v>963</v>
      </c>
      <c r="F942" s="7" t="s">
        <v>256</v>
      </c>
      <c r="G942" s="8" t="s">
        <v>23</v>
      </c>
      <c r="H942" s="8">
        <v>5</v>
      </c>
      <c r="I942" s="8" t="s">
        <v>24</v>
      </c>
      <c r="J942" s="8">
        <v>12</v>
      </c>
      <c r="K942" s="8" t="s">
        <v>25</v>
      </c>
      <c r="L942" s="8">
        <v>4</v>
      </c>
      <c r="M942" s="7" t="s">
        <v>26</v>
      </c>
      <c r="N942" s="7" t="s">
        <v>1344</v>
      </c>
      <c r="O942" s="9">
        <v>41193</v>
      </c>
      <c r="P942" s="7" t="s">
        <v>27</v>
      </c>
      <c r="Q942" s="13" t="s">
        <v>1334</v>
      </c>
      <c r="R942" s="7" t="s">
        <v>1252</v>
      </c>
      <c r="S942" s="8" t="s">
        <v>1253</v>
      </c>
      <c r="T942" s="7"/>
      <c r="U942" s="7"/>
      <c r="V942" s="7"/>
    </row>
    <row r="943" spans="1:22">
      <c r="A943" s="5" t="s">
        <v>1364</v>
      </c>
      <c r="B943" s="5" t="str">
        <f>GetAddress(A943)</f>
        <v>\\chno0276\Aseguranza de Calidad\Control de Documentos\Doc. controlados PDF\FMEA\MICROMINI\CHANGE-OUT\FMEA-CHGO-017   X86531621P.pdf</v>
      </c>
      <c r="C943" s="5" t="str">
        <f>MID(B943,LEN(B943) - FIND(".",REVERSETEXT(B943))+2,1000)</f>
        <v>pdf</v>
      </c>
      <c r="D943" s="6">
        <v>14</v>
      </c>
      <c r="E943" s="7" t="s">
        <v>963</v>
      </c>
      <c r="F943" s="7" t="s">
        <v>256</v>
      </c>
      <c r="G943" s="8" t="s">
        <v>23</v>
      </c>
      <c r="H943" s="8">
        <v>5</v>
      </c>
      <c r="I943" s="8" t="s">
        <v>24</v>
      </c>
      <c r="J943" s="8">
        <v>12</v>
      </c>
      <c r="K943" s="8" t="s">
        <v>25</v>
      </c>
      <c r="L943" s="8">
        <v>4</v>
      </c>
      <c r="M943" s="7" t="s">
        <v>26</v>
      </c>
      <c r="N943" s="7" t="s">
        <v>1365</v>
      </c>
      <c r="O943" s="9">
        <v>41193</v>
      </c>
      <c r="P943" s="7" t="s">
        <v>27</v>
      </c>
      <c r="Q943" s="7" t="s">
        <v>1366</v>
      </c>
      <c r="R943" s="7" t="s">
        <v>1252</v>
      </c>
      <c r="S943" s="8" t="s">
        <v>1253</v>
      </c>
      <c r="T943" s="7"/>
      <c r="U943" s="7"/>
      <c r="V943" s="7"/>
    </row>
    <row r="944" spans="1:22">
      <c r="A944" s="5" t="s">
        <v>1094</v>
      </c>
      <c r="B944" s="5" t="str">
        <f>GetAddress(A944)</f>
        <v>\\CHNO0276\Aseguranza de Calidad\Control de Documentos\Doc. controlados PDF\FMEA\ITRON\PLUG\FMEA- IPLUG-001 Rev. A  CBA-1300-00628-2302-0001.pdf</v>
      </c>
      <c r="C944" s="5" t="str">
        <f>MID(B944,LEN(B944) - FIND(".",REVERSETEXT(B944))+2,1000)</f>
        <v>pdf</v>
      </c>
      <c r="D944" s="6">
        <v>14</v>
      </c>
      <c r="E944" s="7" t="s">
        <v>963</v>
      </c>
      <c r="F944" s="7" t="s">
        <v>256</v>
      </c>
      <c r="G944" s="8" t="s">
        <v>23</v>
      </c>
      <c r="H944" s="8">
        <v>5</v>
      </c>
      <c r="I944" s="8" t="s">
        <v>257</v>
      </c>
      <c r="J944" s="8">
        <v>9</v>
      </c>
      <c r="K944" s="8" t="s">
        <v>1095</v>
      </c>
      <c r="L944" s="8">
        <v>1</v>
      </c>
      <c r="M944" s="7" t="s">
        <v>1096</v>
      </c>
      <c r="N944" s="7" t="s">
        <v>1097</v>
      </c>
      <c r="O944" s="9">
        <v>41144</v>
      </c>
      <c r="P944" s="7" t="s">
        <v>27</v>
      </c>
      <c r="Q944" s="7" t="s">
        <v>1098</v>
      </c>
      <c r="R944" s="13" t="s">
        <v>879</v>
      </c>
      <c r="S944" s="26" t="s">
        <v>880</v>
      </c>
      <c r="T944" s="7"/>
      <c r="U944" s="7"/>
      <c r="V944" s="7"/>
    </row>
    <row r="945" spans="1:22">
      <c r="A945" s="5" t="s">
        <v>1099</v>
      </c>
      <c r="B945" s="5" t="str">
        <f>GetAddress(A945)</f>
        <v>\\CHNO0276\Aseguranza de Calidad\Control de Documentos\Doc. controlados PDF\FMEA\ITRON\PLUG\FMEA-IPLUG-002  Rev. A 0002359-TAB 002360-TAB  002361-TAB.pdf</v>
      </c>
      <c r="C945" s="5" t="str">
        <f>MID(B945,LEN(B945) - FIND(".",REVERSETEXT(B945))+2,1000)</f>
        <v>pdf</v>
      </c>
      <c r="D945" s="6">
        <v>14</v>
      </c>
      <c r="E945" s="7" t="s">
        <v>963</v>
      </c>
      <c r="F945" s="7" t="s">
        <v>256</v>
      </c>
      <c r="G945" s="8" t="s">
        <v>23</v>
      </c>
      <c r="H945" s="8">
        <v>5</v>
      </c>
      <c r="I945" s="8" t="s">
        <v>257</v>
      </c>
      <c r="J945" s="8">
        <v>9</v>
      </c>
      <c r="K945" s="8" t="s">
        <v>1095</v>
      </c>
      <c r="L945" s="8">
        <v>1</v>
      </c>
      <c r="M945" s="7" t="s">
        <v>1096</v>
      </c>
      <c r="N945" s="7" t="s">
        <v>972</v>
      </c>
      <c r="O945" s="9">
        <v>41149</v>
      </c>
      <c r="P945" s="7" t="s">
        <v>27</v>
      </c>
      <c r="Q945" s="7" t="s">
        <v>973</v>
      </c>
      <c r="R945" s="13" t="s">
        <v>879</v>
      </c>
      <c r="S945" s="26" t="s">
        <v>880</v>
      </c>
      <c r="T945" s="7"/>
      <c r="U945" s="7"/>
      <c r="V945" s="7"/>
    </row>
    <row r="946" spans="1:22">
      <c r="A946" s="5" t="s">
        <v>1431</v>
      </c>
      <c r="B946" s="5" t="str">
        <f>GetAddress(A946)</f>
        <v>\\chno0276\Aseguranza de Calidad\Control de Documentos\Doc. controlados PDF\Control Plans\MICROMINI\MS\CP-MS-018 CHCCR003P.pdf</v>
      </c>
      <c r="C946" s="5" t="str">
        <f>MID(B946,LEN(B946) - FIND(".",REVERSETEXT(B946))+2,1000)</f>
        <v>pdf</v>
      </c>
      <c r="D946" s="6">
        <v>14</v>
      </c>
      <c r="E946" s="7" t="s">
        <v>963</v>
      </c>
      <c r="F946" s="7" t="s">
        <v>256</v>
      </c>
      <c r="G946" s="8" t="s">
        <v>23</v>
      </c>
      <c r="H946" s="8">
        <v>5</v>
      </c>
      <c r="I946" s="8" t="s">
        <v>24</v>
      </c>
      <c r="J946" s="8">
        <v>12</v>
      </c>
      <c r="K946" s="8" t="s">
        <v>515</v>
      </c>
      <c r="L946" s="8">
        <v>16</v>
      </c>
      <c r="M946" s="7" t="s">
        <v>515</v>
      </c>
      <c r="N946" s="7" t="s">
        <v>1368</v>
      </c>
      <c r="O946" s="9">
        <v>41179</v>
      </c>
      <c r="P946" s="9" t="s">
        <v>27</v>
      </c>
      <c r="Q946" s="7" t="s">
        <v>1369</v>
      </c>
      <c r="R946" s="7" t="s">
        <v>1252</v>
      </c>
      <c r="S946" s="8" t="s">
        <v>1253</v>
      </c>
      <c r="T946" s="7"/>
      <c r="U946" s="7"/>
      <c r="V946" s="7"/>
    </row>
    <row r="947" spans="1:22" ht="38.25">
      <c r="A947" s="5" t="s">
        <v>1432</v>
      </c>
      <c r="B947" s="5" t="str">
        <f>GetAddress(A947)</f>
        <v>\\chno0276\Aseguranza de Calidad\Control de Documentos\Doc. controlados PDF\Control Plans\MICROMINI\MS\CP-MS-018 CHCCR003P.pdf</v>
      </c>
      <c r="C947" s="5" t="str">
        <f>MID(B947,LEN(B947) - FIND(".",REVERSETEXT(B947))+2,1000)</f>
        <v>pdf</v>
      </c>
      <c r="D947" s="6">
        <v>14</v>
      </c>
      <c r="E947" s="7" t="s">
        <v>963</v>
      </c>
      <c r="F947" s="7" t="s">
        <v>256</v>
      </c>
      <c r="G947" s="8" t="s">
        <v>23</v>
      </c>
      <c r="H947" s="8">
        <v>5</v>
      </c>
      <c r="I947" s="8" t="s">
        <v>24</v>
      </c>
      <c r="J947" s="8">
        <v>12</v>
      </c>
      <c r="K947" s="8" t="s">
        <v>515</v>
      </c>
      <c r="L947" s="8">
        <v>16</v>
      </c>
      <c r="M947" s="7" t="s">
        <v>515</v>
      </c>
      <c r="N947" s="7" t="s">
        <v>1433</v>
      </c>
      <c r="O947" s="9">
        <v>41179</v>
      </c>
      <c r="P947" s="9" t="s">
        <v>27</v>
      </c>
      <c r="Q947" s="13" t="s">
        <v>1434</v>
      </c>
      <c r="R947" s="7" t="s">
        <v>1252</v>
      </c>
      <c r="S947" s="8" t="s">
        <v>1253</v>
      </c>
      <c r="T947" s="7"/>
      <c r="U947" s="7"/>
      <c r="V947" s="7"/>
    </row>
    <row r="948" spans="1:22" ht="114.75">
      <c r="A948" s="5" t="s">
        <v>1435</v>
      </c>
      <c r="B948" s="5" t="str">
        <f>GetAddress(A948)</f>
        <v>\\chno0276\Aseguranza de Calidad\Control de Documentos\Doc. controlados PDF\Control Plans\MICROMINI\MS\CP-MS-018 CHCCR003P.pdf</v>
      </c>
      <c r="C948" s="5" t="str">
        <f>MID(B948,LEN(B948) - FIND(".",REVERSETEXT(B948))+2,1000)</f>
        <v>pdf</v>
      </c>
      <c r="D948" s="6">
        <v>14</v>
      </c>
      <c r="E948" s="7" t="s">
        <v>963</v>
      </c>
      <c r="F948" s="7" t="s">
        <v>256</v>
      </c>
      <c r="G948" s="8" t="s">
        <v>23</v>
      </c>
      <c r="H948" s="8">
        <v>5</v>
      </c>
      <c r="I948" s="8" t="s">
        <v>24</v>
      </c>
      <c r="J948" s="8">
        <v>12</v>
      </c>
      <c r="K948" s="8" t="s">
        <v>515</v>
      </c>
      <c r="L948" s="8">
        <v>16</v>
      </c>
      <c r="M948" s="7" t="s">
        <v>515</v>
      </c>
      <c r="N948" s="7" t="s">
        <v>1374</v>
      </c>
      <c r="O948" s="9">
        <v>41179</v>
      </c>
      <c r="P948" s="9" t="s">
        <v>27</v>
      </c>
      <c r="Q948" s="13" t="s">
        <v>1436</v>
      </c>
      <c r="R948" s="7" t="s">
        <v>1252</v>
      </c>
      <c r="S948" s="8" t="s">
        <v>1253</v>
      </c>
      <c r="T948" s="7"/>
      <c r="U948" s="7"/>
      <c r="V948" s="7"/>
    </row>
    <row r="949" spans="1:22" ht="38.25">
      <c r="A949" s="5" t="s">
        <v>1437</v>
      </c>
      <c r="B949" s="5" t="str">
        <f>GetAddress(A949)</f>
        <v>\\chno0276\Aseguranza de Calidad\Control de Documentos\Doc. controlados PDF\Control Plans\MICROMINI\MS\CP-MS-018 CHCCR003P.pdf</v>
      </c>
      <c r="C949" s="5" t="str">
        <f>MID(B949,LEN(B949) - FIND(".",REVERSETEXT(B949))+2,1000)</f>
        <v>pdf</v>
      </c>
      <c r="D949" s="6">
        <v>14</v>
      </c>
      <c r="E949" s="7" t="s">
        <v>963</v>
      </c>
      <c r="F949" s="7" t="s">
        <v>256</v>
      </c>
      <c r="G949" s="8" t="s">
        <v>23</v>
      </c>
      <c r="H949" s="8">
        <v>5</v>
      </c>
      <c r="I949" s="8" t="s">
        <v>24</v>
      </c>
      <c r="J949" s="8">
        <v>12</v>
      </c>
      <c r="K949" s="8" t="s">
        <v>515</v>
      </c>
      <c r="L949" s="8">
        <v>16</v>
      </c>
      <c r="M949" s="7" t="s">
        <v>515</v>
      </c>
      <c r="N949" s="7" t="s">
        <v>1438</v>
      </c>
      <c r="O949" s="9">
        <v>41180</v>
      </c>
      <c r="P949" s="9" t="s">
        <v>27</v>
      </c>
      <c r="Q949" s="13" t="s">
        <v>1411</v>
      </c>
      <c r="R949" s="7" t="s">
        <v>1252</v>
      </c>
      <c r="S949" s="8" t="s">
        <v>1253</v>
      </c>
      <c r="T949" s="7"/>
      <c r="U949" s="7"/>
      <c r="V949" s="7"/>
    </row>
    <row r="950" spans="1:22">
      <c r="A950" s="5" t="s">
        <v>1439</v>
      </c>
      <c r="B950" s="5" t="str">
        <f>GetAddress(A950)</f>
        <v>\\chno0276\Aseguranza de Calidad\Control de Documentos\Doc. controlados PDF\Control Plans\MICROMINI\MS\CP-MS-018 CHCCR003P.pdf</v>
      </c>
      <c r="C950" s="5" t="str">
        <f>MID(B950,LEN(B950) - FIND(".",REVERSETEXT(B950))+2,1000)</f>
        <v>pdf</v>
      </c>
      <c r="D950" s="6">
        <v>14</v>
      </c>
      <c r="E950" s="7" t="s">
        <v>963</v>
      </c>
      <c r="F950" s="7" t="s">
        <v>256</v>
      </c>
      <c r="G950" s="8" t="s">
        <v>23</v>
      </c>
      <c r="H950" s="8">
        <v>5</v>
      </c>
      <c r="I950" s="8" t="s">
        <v>24</v>
      </c>
      <c r="J950" s="8">
        <v>12</v>
      </c>
      <c r="K950" s="8" t="s">
        <v>515</v>
      </c>
      <c r="L950" s="8">
        <v>16</v>
      </c>
      <c r="M950" s="7" t="s">
        <v>515</v>
      </c>
      <c r="N950" s="7" t="s">
        <v>1374</v>
      </c>
      <c r="O950" s="9">
        <v>41180</v>
      </c>
      <c r="P950" s="9" t="s">
        <v>27</v>
      </c>
      <c r="Q950" s="13" t="s">
        <v>1413</v>
      </c>
      <c r="R950" s="7" t="s">
        <v>1252</v>
      </c>
      <c r="S950" s="8" t="s">
        <v>1253</v>
      </c>
      <c r="T950" s="7"/>
      <c r="U950" s="7"/>
      <c r="V950" s="7"/>
    </row>
    <row r="951" spans="1:22" ht="63.75">
      <c r="A951" s="5" t="s">
        <v>1440</v>
      </c>
      <c r="B951" s="5" t="str">
        <f>GetAddress(A951)</f>
        <v>\\chno0276\Aseguranza de Calidad\Control de Documentos\Doc. controlados PDF\Control Plans\MICROMINI\MS\CP-MS-018 CHCCR003P.pdf</v>
      </c>
      <c r="C951" s="5" t="str">
        <f>MID(B951,LEN(B951) - FIND(".",REVERSETEXT(B951))+2,1000)</f>
        <v>pdf</v>
      </c>
      <c r="D951" s="6">
        <v>14</v>
      </c>
      <c r="E951" s="7" t="s">
        <v>963</v>
      </c>
      <c r="F951" s="7" t="s">
        <v>256</v>
      </c>
      <c r="G951" s="8" t="s">
        <v>23</v>
      </c>
      <c r="H951" s="8">
        <v>5</v>
      </c>
      <c r="I951" s="8" t="s">
        <v>24</v>
      </c>
      <c r="J951" s="8">
        <v>12</v>
      </c>
      <c r="K951" s="8" t="s">
        <v>515</v>
      </c>
      <c r="L951" s="8">
        <v>16</v>
      </c>
      <c r="M951" s="7" t="s">
        <v>515</v>
      </c>
      <c r="N951" s="7" t="s">
        <v>1441</v>
      </c>
      <c r="O951" s="9">
        <v>41180</v>
      </c>
      <c r="P951" s="9" t="s">
        <v>27</v>
      </c>
      <c r="Q951" s="13" t="s">
        <v>1442</v>
      </c>
      <c r="R951" s="7" t="s">
        <v>1252</v>
      </c>
      <c r="S951" s="8" t="s">
        <v>1253</v>
      </c>
      <c r="T951" s="7"/>
      <c r="U951" s="7"/>
      <c r="V951" s="7"/>
    </row>
    <row r="952" spans="1:22">
      <c r="A952" s="5" t="s">
        <v>1443</v>
      </c>
      <c r="B952" s="5" t="str">
        <f>GetAddress(A952)</f>
        <v>\\chno0276\Aseguranza de Calidad\Control de Documentos\Doc. controlados PDF\Control Plans\MICROMINI\MS\CP-MS-018 CHCCR003P.pdf</v>
      </c>
      <c r="C952" s="5" t="str">
        <f>MID(B952,LEN(B952) - FIND(".",REVERSETEXT(B952))+2,1000)</f>
        <v>pdf</v>
      </c>
      <c r="D952" s="6">
        <v>14</v>
      </c>
      <c r="E952" s="7" t="s">
        <v>963</v>
      </c>
      <c r="F952" s="7" t="s">
        <v>256</v>
      </c>
      <c r="G952" s="8" t="s">
        <v>23</v>
      </c>
      <c r="H952" s="8">
        <v>5</v>
      </c>
      <c r="I952" s="8" t="s">
        <v>24</v>
      </c>
      <c r="J952" s="8">
        <v>12</v>
      </c>
      <c r="K952" s="8" t="s">
        <v>515</v>
      </c>
      <c r="L952" s="8">
        <v>16</v>
      </c>
      <c r="M952" s="7" t="s">
        <v>515</v>
      </c>
      <c r="N952" s="7" t="s">
        <v>1417</v>
      </c>
      <c r="O952" s="9">
        <v>41180</v>
      </c>
      <c r="P952" s="9" t="s">
        <v>27</v>
      </c>
      <c r="Q952" s="13" t="s">
        <v>1384</v>
      </c>
      <c r="R952" s="7" t="s">
        <v>1252</v>
      </c>
      <c r="S952" s="8" t="s">
        <v>1253</v>
      </c>
      <c r="T952" s="7"/>
      <c r="U952" s="7"/>
      <c r="V952" s="7"/>
    </row>
    <row r="953" spans="1:22" ht="38.25">
      <c r="A953" s="5" t="s">
        <v>1444</v>
      </c>
      <c r="B953" s="5" t="str">
        <f>GetAddress(A953)</f>
        <v>\\chno0276\Aseguranza de Calidad\Control de Documentos\Doc. controlados PDF\Control Plans\MICROMINI\MS\CP-MS-018 CHCCR003P.pdf</v>
      </c>
      <c r="C953" s="5" t="str">
        <f>MID(B953,LEN(B953) - FIND(".",REVERSETEXT(B953))+2,1000)</f>
        <v>pdf</v>
      </c>
      <c r="D953" s="6">
        <v>14</v>
      </c>
      <c r="E953" s="7" t="s">
        <v>963</v>
      </c>
      <c r="F953" s="7" t="s">
        <v>256</v>
      </c>
      <c r="G953" s="8" t="s">
        <v>23</v>
      </c>
      <c r="H953" s="8">
        <v>5</v>
      </c>
      <c r="I953" s="8" t="s">
        <v>24</v>
      </c>
      <c r="J953" s="8">
        <v>12</v>
      </c>
      <c r="K953" s="8" t="s">
        <v>515</v>
      </c>
      <c r="L953" s="8">
        <v>16</v>
      </c>
      <c r="M953" s="7" t="s">
        <v>515</v>
      </c>
      <c r="N953" s="7" t="s">
        <v>1386</v>
      </c>
      <c r="O953" s="9">
        <v>41180</v>
      </c>
      <c r="P953" s="9" t="s">
        <v>27</v>
      </c>
      <c r="Q953" s="13" t="s">
        <v>1387</v>
      </c>
      <c r="R953" s="7" t="s">
        <v>1252</v>
      </c>
      <c r="S953" s="8" t="s">
        <v>1253</v>
      </c>
      <c r="T953" s="7"/>
      <c r="U953" s="7"/>
      <c r="V953" s="7"/>
    </row>
    <row r="954" spans="1:22" ht="89.25">
      <c r="A954" s="5" t="s">
        <v>1445</v>
      </c>
      <c r="B954" s="5" t="str">
        <f>GetAddress(A954)</f>
        <v>\\chno0276\Aseguranza de Calidad\Control de Documentos\Doc. controlados PDF\FMEA\MICROMINI\MS\FMEA-MS-009 Rev. A  SMEA0092010, SMEA0092025, SMEA0092030, SMEA0092040, SMEA0092045, SMEA0092050.pdf</v>
      </c>
      <c r="C954" s="5" t="str">
        <f>MID(B954,LEN(B954) - FIND(".",REVERSETEXT(B954))+2,1000)</f>
        <v>pdf</v>
      </c>
      <c r="D954" s="6">
        <v>14</v>
      </c>
      <c r="E954" s="7" t="s">
        <v>963</v>
      </c>
      <c r="F954" s="7" t="s">
        <v>256</v>
      </c>
      <c r="G954" s="8" t="s">
        <v>23</v>
      </c>
      <c r="H954" s="8">
        <v>5</v>
      </c>
      <c r="I954" s="8" t="s">
        <v>24</v>
      </c>
      <c r="J954" s="8">
        <v>12</v>
      </c>
      <c r="K954" s="8" t="s">
        <v>515</v>
      </c>
      <c r="L954" s="8">
        <v>16</v>
      </c>
      <c r="M954" s="7" t="s">
        <v>515</v>
      </c>
      <c r="N954" s="7" t="s">
        <v>1386</v>
      </c>
      <c r="O954" s="9">
        <v>41180</v>
      </c>
      <c r="P954" s="9" t="s">
        <v>27</v>
      </c>
      <c r="Q954" s="13" t="s">
        <v>1421</v>
      </c>
      <c r="R954" s="7" t="s">
        <v>1252</v>
      </c>
      <c r="S954" s="8" t="s">
        <v>1253</v>
      </c>
      <c r="T954" s="7"/>
      <c r="U954" s="7"/>
      <c r="V954" s="7"/>
    </row>
    <row r="955" spans="1:22" ht="25.5">
      <c r="A955" s="5" t="s">
        <v>1446</v>
      </c>
      <c r="B955" s="5" t="str">
        <f>GetAddress(A955)</f>
        <v>\\chno0276\Aseguranza de Calidad\Control de Documentos\Doc. controlados PDF\FMEA\MICROMINI\MS\FMEA-MS-010  SMEA0094007, SMEA0094030.pdf</v>
      </c>
      <c r="C955" s="5" t="str">
        <f>MID(B955,LEN(B955) - FIND(".",REVERSETEXT(B955))+2,1000)</f>
        <v>pdf</v>
      </c>
      <c r="D955" s="6">
        <v>14</v>
      </c>
      <c r="E955" s="7" t="s">
        <v>963</v>
      </c>
      <c r="F955" s="7" t="s">
        <v>256</v>
      </c>
      <c r="G955" s="8" t="s">
        <v>23</v>
      </c>
      <c r="H955" s="8">
        <v>5</v>
      </c>
      <c r="I955" s="8" t="s">
        <v>24</v>
      </c>
      <c r="J955" s="8">
        <v>12</v>
      </c>
      <c r="K955" s="8" t="s">
        <v>515</v>
      </c>
      <c r="L955" s="8">
        <v>16</v>
      </c>
      <c r="M955" s="7" t="s">
        <v>515</v>
      </c>
      <c r="N955" s="7" t="s">
        <v>1386</v>
      </c>
      <c r="O955" s="9">
        <v>41180</v>
      </c>
      <c r="P955" s="9" t="s">
        <v>27</v>
      </c>
      <c r="Q955" s="13" t="s">
        <v>1392</v>
      </c>
      <c r="R955" s="7" t="s">
        <v>1252</v>
      </c>
      <c r="S955" s="8" t="s">
        <v>1253</v>
      </c>
      <c r="T955" s="7"/>
      <c r="U955" s="7"/>
      <c r="V955" s="7"/>
    </row>
    <row r="956" spans="1:22" ht="51">
      <c r="A956" s="5" t="s">
        <v>1447</v>
      </c>
      <c r="B956" s="5" t="str">
        <f>GetAddress(A956)</f>
        <v>\\chno0276\Aseguranza de Calidad\Control de Documentos\Doc. controlados PDF\FMEA\MICROMINI\MS\FMEA-MS-011  SMEA0114007, 4010, 4015, 4030.pdf</v>
      </c>
      <c r="C956" s="5" t="str">
        <f>MID(B956,LEN(B956) - FIND(".",REVERSETEXT(B956))+2,1000)</f>
        <v>pdf</v>
      </c>
      <c r="D956" s="6">
        <v>14</v>
      </c>
      <c r="E956" s="7" t="s">
        <v>963</v>
      </c>
      <c r="F956" s="7" t="s">
        <v>256</v>
      </c>
      <c r="G956" s="8" t="s">
        <v>23</v>
      </c>
      <c r="H956" s="8">
        <v>5</v>
      </c>
      <c r="I956" s="8" t="s">
        <v>24</v>
      </c>
      <c r="J956" s="8">
        <v>12</v>
      </c>
      <c r="K956" s="8" t="s">
        <v>515</v>
      </c>
      <c r="L956" s="8">
        <v>16</v>
      </c>
      <c r="M956" s="7" t="s">
        <v>515</v>
      </c>
      <c r="N956" s="7" t="s">
        <v>1448</v>
      </c>
      <c r="O956" s="9">
        <v>41180</v>
      </c>
      <c r="P956" s="9" t="s">
        <v>27</v>
      </c>
      <c r="Q956" s="13" t="s">
        <v>1395</v>
      </c>
      <c r="R956" s="7" t="s">
        <v>1252</v>
      </c>
      <c r="S956" s="8" t="s">
        <v>1253</v>
      </c>
      <c r="T956" s="7"/>
      <c r="U956" s="7"/>
      <c r="V956" s="7"/>
    </row>
    <row r="957" spans="1:22" ht="76.5">
      <c r="A957" s="5" t="s">
        <v>1449</v>
      </c>
      <c r="B957" s="5" t="str">
        <f>GetAddress(A957)</f>
        <v>\\chno0276\Aseguranza de Calidad\Control de Documentos\Doc. controlados PDF\FMEA\MICROMINI\MS\FMEA-MS-012  SMEA0115010,5010, 5020, 5030, 5035, 5060.pdf</v>
      </c>
      <c r="C957" s="5" t="str">
        <f>MID(B957,LEN(B957) - FIND(".",REVERSETEXT(B957))+2,1000)</f>
        <v>pdf</v>
      </c>
      <c r="D957" s="6">
        <v>14</v>
      </c>
      <c r="E957" s="7" t="s">
        <v>963</v>
      </c>
      <c r="F957" s="7" t="s">
        <v>256</v>
      </c>
      <c r="G957" s="8" t="s">
        <v>23</v>
      </c>
      <c r="H957" s="8">
        <v>5</v>
      </c>
      <c r="I957" s="8" t="s">
        <v>24</v>
      </c>
      <c r="J957" s="8">
        <v>12</v>
      </c>
      <c r="K957" s="8" t="s">
        <v>515</v>
      </c>
      <c r="L957" s="8">
        <v>16</v>
      </c>
      <c r="M957" s="7" t="s">
        <v>515</v>
      </c>
      <c r="N957" s="7" t="s">
        <v>1450</v>
      </c>
      <c r="O957" s="9">
        <v>41180</v>
      </c>
      <c r="P957" s="9" t="s">
        <v>27</v>
      </c>
      <c r="Q957" s="13" t="s">
        <v>1428</v>
      </c>
      <c r="R957" s="7" t="s">
        <v>1252</v>
      </c>
      <c r="S957" s="8" t="s">
        <v>1253</v>
      </c>
      <c r="T957" s="7"/>
      <c r="U957" s="7"/>
      <c r="V957" s="7"/>
    </row>
    <row r="958" spans="1:22" ht="51">
      <c r="A958" s="5" t="s">
        <v>1451</v>
      </c>
      <c r="B958" s="5" t="str">
        <f>GetAddress(A958)</f>
        <v>\\chno0276\Aseguranza de Calidad\Control de Documentos\Doc. controlados PDF\FMEA\MICROMINI\MS\FMEA-MS-013 SMEA01200010, 0030, 0040, 0045.pdf</v>
      </c>
      <c r="C958" s="5" t="str">
        <f>MID(B958,LEN(B958) - FIND(".",REVERSETEXT(B958))+2,1000)</f>
        <v>pdf</v>
      </c>
      <c r="D958" s="6">
        <v>14</v>
      </c>
      <c r="E958" s="7" t="s">
        <v>963</v>
      </c>
      <c r="F958" s="7" t="s">
        <v>256</v>
      </c>
      <c r="G958" s="8" t="s">
        <v>23</v>
      </c>
      <c r="H958" s="8">
        <v>5</v>
      </c>
      <c r="I958" s="8" t="s">
        <v>24</v>
      </c>
      <c r="J958" s="8">
        <v>12</v>
      </c>
      <c r="K958" s="8" t="s">
        <v>515</v>
      </c>
      <c r="L958" s="8">
        <v>16</v>
      </c>
      <c r="M958" s="7" t="s">
        <v>515</v>
      </c>
      <c r="N958" s="7" t="s">
        <v>1400</v>
      </c>
      <c r="O958" s="9">
        <v>41180</v>
      </c>
      <c r="P958" s="9" t="s">
        <v>27</v>
      </c>
      <c r="Q958" s="13" t="s">
        <v>1430</v>
      </c>
      <c r="R958" s="7" t="s">
        <v>1252</v>
      </c>
      <c r="S958" s="8" t="s">
        <v>1253</v>
      </c>
      <c r="T958" s="7"/>
      <c r="U958" s="7"/>
      <c r="V958" s="7"/>
    </row>
    <row r="959" spans="1:22">
      <c r="A959" s="5" t="s">
        <v>1457</v>
      </c>
      <c r="B959" s="20" t="e">
        <f>GetAddress(A959)</f>
        <v>#VALUE!</v>
      </c>
      <c r="C959" s="20" t="e">
        <f>MID(B959,LEN(B959) - FIND(".",REVERSETEXT(B959))+2,1000)</f>
        <v>#VALUE!</v>
      </c>
      <c r="D959" s="6">
        <v>14</v>
      </c>
      <c r="E959" s="7" t="s">
        <v>963</v>
      </c>
      <c r="F959" s="7" t="s">
        <v>256</v>
      </c>
      <c r="G959" s="8" t="s">
        <v>23</v>
      </c>
      <c r="H959" s="8">
        <v>5</v>
      </c>
      <c r="I959" s="8" t="s">
        <v>92</v>
      </c>
      <c r="J959" s="8">
        <v>6</v>
      </c>
      <c r="K959" s="8" t="s">
        <v>93</v>
      </c>
      <c r="L959" s="8">
        <v>14</v>
      </c>
      <c r="M959" s="7" t="s">
        <v>94</v>
      </c>
      <c r="N959" s="7" t="s">
        <v>94</v>
      </c>
      <c r="O959" s="9">
        <v>41178</v>
      </c>
      <c r="P959" s="7" t="s">
        <v>27</v>
      </c>
      <c r="Q959" s="7" t="s">
        <v>1456</v>
      </c>
      <c r="R959" s="7" t="s">
        <v>1252</v>
      </c>
      <c r="S959" s="8" t="s">
        <v>1253</v>
      </c>
      <c r="T959" s="7"/>
      <c r="U959" s="7"/>
      <c r="V959" s="7"/>
    </row>
    <row r="960" spans="1:22">
      <c r="A960" s="5" t="s">
        <v>1497</v>
      </c>
      <c r="B960" s="5" t="str">
        <f>GetAddress(A960)</f>
        <v>\\chno0276\Control de Documentos\Doc. controlados PDF\Formas\CNWI-PRCS (compras)\F-PRCS-01-001  Rev  D FORMATO DE REQUISICION DE COMPRA.xlsx</v>
      </c>
      <c r="C960" s="5" t="str">
        <f>MID(B960,LEN(B960) - FIND(".",REVERSETEXT(B960))+2,1000)</f>
        <v>xlsx</v>
      </c>
      <c r="D960" s="6">
        <v>5</v>
      </c>
      <c r="E960" s="7" t="s">
        <v>42</v>
      </c>
      <c r="F960" s="7" t="s">
        <v>171</v>
      </c>
      <c r="G960" s="8" t="s">
        <v>528</v>
      </c>
      <c r="H960" s="8">
        <v>6</v>
      </c>
      <c r="I960" s="8" t="s">
        <v>1475</v>
      </c>
      <c r="J960" s="8">
        <v>15</v>
      </c>
      <c r="K960" s="8"/>
      <c r="L960" s="8"/>
      <c r="M960" s="7" t="s">
        <v>171</v>
      </c>
      <c r="N960" s="7" t="s">
        <v>1498</v>
      </c>
      <c r="O960" s="9">
        <v>40846</v>
      </c>
      <c r="P960" s="7" t="s">
        <v>38</v>
      </c>
      <c r="Q960" s="9" t="s">
        <v>28</v>
      </c>
      <c r="R960" s="7" t="s">
        <v>1477</v>
      </c>
      <c r="S960" s="8" t="s">
        <v>1478</v>
      </c>
      <c r="T960" s="7"/>
      <c r="U960" s="7"/>
      <c r="V960" s="7"/>
    </row>
    <row r="961" spans="1:22">
      <c r="A961" s="5" t="s">
        <v>1883</v>
      </c>
      <c r="B961" s="5" t="str">
        <f>GetAddress(A961)</f>
        <v>\\chno0276\Control de Documentos\Doc. controlados PDF\Formas\CNWI-PRCS (compras)\F-PRCS-08-001 Rev. A   Nogales Inbound Routing Guide.xlsx</v>
      </c>
      <c r="C961" s="5" t="str">
        <f>MID(B961,LEN(B961) - FIND(".",REVERSETEXT(B961))+2,1000)</f>
        <v>xlsx</v>
      </c>
      <c r="D961" s="6">
        <v>5</v>
      </c>
      <c r="E961" s="7" t="s">
        <v>42</v>
      </c>
      <c r="F961" s="7" t="s">
        <v>171</v>
      </c>
      <c r="G961" s="8" t="s">
        <v>528</v>
      </c>
      <c r="H961" s="8">
        <v>6</v>
      </c>
      <c r="I961" s="8" t="s">
        <v>1475</v>
      </c>
      <c r="J961" s="8">
        <v>15</v>
      </c>
      <c r="K961" s="8"/>
      <c r="L961" s="8"/>
      <c r="M961" s="7" t="s">
        <v>171</v>
      </c>
      <c r="N961" s="7" t="s">
        <v>1884</v>
      </c>
      <c r="O961" s="9">
        <v>41207</v>
      </c>
      <c r="P961" s="7" t="s">
        <v>27</v>
      </c>
      <c r="Q961" s="9" t="s">
        <v>28</v>
      </c>
      <c r="R961" s="7" t="s">
        <v>1869</v>
      </c>
      <c r="S961" s="8" t="s">
        <v>1870</v>
      </c>
      <c r="T961" s="7"/>
      <c r="U961" s="7"/>
      <c r="V961" s="7"/>
    </row>
    <row r="962" spans="1:22">
      <c r="A962" s="5" t="s">
        <v>1130</v>
      </c>
      <c r="B962" s="5" t="str">
        <f>GetAddress(A962)</f>
        <v>\\chno0276\Aseguranza de Calidad\Control de Documentos\Doc. controlados PDF\Formas\CNWI-QAAS (aseguranza de calidad)\F-QAAS-06-001 Rev. A MRB LOG .xlsx</v>
      </c>
      <c r="C962" s="5" t="str">
        <f>MID(B962,LEN(B962) - FIND(".",REVERSETEXT(B962))+2,1000)</f>
        <v>xlsx</v>
      </c>
      <c r="D962" s="6">
        <v>5</v>
      </c>
      <c r="E962" s="7" t="s">
        <v>42</v>
      </c>
      <c r="F962" s="7" t="s">
        <v>256</v>
      </c>
      <c r="G962" s="8" t="s">
        <v>266</v>
      </c>
      <c r="H962" s="8">
        <v>9</v>
      </c>
      <c r="I962" s="8"/>
      <c r="J962" s="8"/>
      <c r="K962" s="8"/>
      <c r="L962" s="8"/>
      <c r="M962" s="7" t="s">
        <v>256</v>
      </c>
      <c r="N962" s="7" t="s">
        <v>1131</v>
      </c>
      <c r="O962" s="9">
        <v>41207</v>
      </c>
      <c r="P962" s="7" t="s">
        <v>27</v>
      </c>
      <c r="Q962" s="9" t="s">
        <v>28</v>
      </c>
      <c r="R962" s="7" t="s">
        <v>1108</v>
      </c>
      <c r="S962" s="8" t="s">
        <v>1109</v>
      </c>
      <c r="T962" s="7"/>
      <c r="U962" s="7"/>
      <c r="V962" s="7"/>
    </row>
    <row r="963" spans="1:22">
      <c r="A963" s="5" t="s">
        <v>1132</v>
      </c>
      <c r="B963" s="5" t="str">
        <f>GetAddress(A963)</f>
        <v>\\chno0276\Aseguranza de Calidad\Control de Documentos\Doc. controlados PDF\Formas\CNWI-QAAS (aseguranza de calidad)\F-QAAS-09-001 Rev. A Carta de registros de inspeccion de entrada.xlsx</v>
      </c>
      <c r="C963" s="5" t="str">
        <f>MID(B963,LEN(B963) - FIND(".",REVERSETEXT(B963))+2,1000)</f>
        <v>xlsx</v>
      </c>
      <c r="D963" s="6">
        <v>5</v>
      </c>
      <c r="E963" s="7" t="s">
        <v>42</v>
      </c>
      <c r="F963" s="7" t="s">
        <v>256</v>
      </c>
      <c r="G963" s="8" t="s">
        <v>266</v>
      </c>
      <c r="H963" s="8">
        <v>9</v>
      </c>
      <c r="I963" s="8"/>
      <c r="J963" s="8"/>
      <c r="K963" s="8"/>
      <c r="L963" s="8"/>
      <c r="M963" s="7" t="s">
        <v>256</v>
      </c>
      <c r="N963" s="7" t="s">
        <v>1133</v>
      </c>
      <c r="O963" s="9">
        <v>41201</v>
      </c>
      <c r="P963" s="7" t="s">
        <v>27</v>
      </c>
      <c r="Q963" s="9" t="s">
        <v>28</v>
      </c>
      <c r="R963" s="7" t="s">
        <v>1108</v>
      </c>
      <c r="S963" s="8" t="s">
        <v>1109</v>
      </c>
      <c r="T963" s="9"/>
      <c r="U963" s="7"/>
      <c r="V963" s="7"/>
    </row>
    <row r="964" spans="1:22">
      <c r="A964" s="5" t="s">
        <v>1134</v>
      </c>
      <c r="B964" s="5" t="str">
        <f>GetAddress(A964)</f>
        <v>\\chno0276\Aseguranza de Calidad\Control de Documentos\Doc. controlados PDF\Formas\CNWI-QAAS (aseguranza de calidad)\F-QAAS-09-002 Rev. A Supplier Non-Conformace Material Notification .pptx</v>
      </c>
      <c r="C964" s="5" t="str">
        <f>MID(B964,LEN(B964) - FIND(".",REVERSETEXT(B964))+2,1000)</f>
        <v>pptx</v>
      </c>
      <c r="D964" s="6">
        <v>5</v>
      </c>
      <c r="E964" s="7" t="s">
        <v>42</v>
      </c>
      <c r="F964" s="7" t="s">
        <v>256</v>
      </c>
      <c r="G964" s="8" t="s">
        <v>266</v>
      </c>
      <c r="H964" s="8">
        <v>9</v>
      </c>
      <c r="I964" s="8"/>
      <c r="J964" s="8"/>
      <c r="K964" s="8"/>
      <c r="L964" s="8"/>
      <c r="M964" s="7" t="s">
        <v>256</v>
      </c>
      <c r="N964" s="7" t="s">
        <v>1135</v>
      </c>
      <c r="O964" s="9">
        <v>41151</v>
      </c>
      <c r="P964" s="7" t="s">
        <v>27</v>
      </c>
      <c r="Q964" s="9" t="s">
        <v>28</v>
      </c>
      <c r="R964" s="7" t="s">
        <v>1108</v>
      </c>
      <c r="S964" s="8" t="s">
        <v>1109</v>
      </c>
      <c r="T964" s="9"/>
      <c r="U964" s="7"/>
      <c r="V964" s="7"/>
    </row>
    <row r="965" spans="1:22">
      <c r="A965" s="5" t="s">
        <v>1136</v>
      </c>
      <c r="B965" s="5" t="str">
        <f>GetAddress(A965)</f>
        <v>\\chno0276\Aseguranza de Calidad\Control de Documentos\Documentos controlados\CN-QAAS (Aseguranza de calidad)\FORMAS\F-QAAS-09-003 Rev. A REPORTE DE RECHAZO DE PRODUCCION.xlsx</v>
      </c>
      <c r="C965" s="5" t="str">
        <f>MID(B965,LEN(B965) - FIND(".",REVERSETEXT(B965))+2,1000)</f>
        <v>xlsx</v>
      </c>
      <c r="D965" s="6">
        <v>5</v>
      </c>
      <c r="E965" s="7" t="s">
        <v>42</v>
      </c>
      <c r="F965" s="7" t="s">
        <v>256</v>
      </c>
      <c r="G965" s="8" t="s">
        <v>266</v>
      </c>
      <c r="H965" s="8">
        <v>9</v>
      </c>
      <c r="I965" s="8"/>
      <c r="J965" s="8"/>
      <c r="K965" s="8"/>
      <c r="L965" s="8"/>
      <c r="M965" s="7" t="s">
        <v>256</v>
      </c>
      <c r="N965" s="7" t="s">
        <v>1137</v>
      </c>
      <c r="O965" s="9">
        <v>41204</v>
      </c>
      <c r="P965" s="7" t="s">
        <v>27</v>
      </c>
      <c r="Q965" s="9" t="s">
        <v>28</v>
      </c>
      <c r="R965" s="7" t="s">
        <v>1108</v>
      </c>
      <c r="S965" s="8" t="s">
        <v>1109</v>
      </c>
      <c r="T965" s="9"/>
      <c r="U965" s="7"/>
      <c r="V965" s="7"/>
    </row>
    <row r="966" spans="1:22">
      <c r="A966" s="5" t="s">
        <v>1138</v>
      </c>
      <c r="B966" s="5" t="str">
        <f>GetAddress(A966)</f>
        <v>\\chno0276\Aseguranza de Calidad\Control de Documentos\Doc. controlados PDF\Formas\CNWI-QAAS (aseguranza de calidad)\F-QAAS-09-004 Rev. A Liberacion de producto.docx</v>
      </c>
      <c r="C966" s="5" t="str">
        <f>MID(B966,LEN(B966) - FIND(".",REVERSETEXT(B966))+2,1000)</f>
        <v>docx</v>
      </c>
      <c r="D966" s="6">
        <v>5</v>
      </c>
      <c r="E966" s="7" t="s">
        <v>42</v>
      </c>
      <c r="F966" s="7" t="s">
        <v>256</v>
      </c>
      <c r="G966" s="8" t="s">
        <v>266</v>
      </c>
      <c r="H966" s="8">
        <v>9</v>
      </c>
      <c r="I966" s="8"/>
      <c r="J966" s="8"/>
      <c r="K966" s="8"/>
      <c r="L966" s="8"/>
      <c r="M966" s="7" t="s">
        <v>256</v>
      </c>
      <c r="N966" s="7" t="s">
        <v>1139</v>
      </c>
      <c r="O966" s="9">
        <v>41204</v>
      </c>
      <c r="P966" s="7" t="s">
        <v>27</v>
      </c>
      <c r="Q966" s="9" t="s">
        <v>28</v>
      </c>
      <c r="R966" s="7" t="s">
        <v>1108</v>
      </c>
      <c r="S966" s="8" t="s">
        <v>1109</v>
      </c>
      <c r="T966" s="7"/>
      <c r="U966" s="7"/>
      <c r="V966" s="7"/>
    </row>
    <row r="967" spans="1:22">
      <c r="A967" s="5" t="s">
        <v>1140</v>
      </c>
      <c r="B967" s="5" t="str">
        <f>GetAddress(A967)</f>
        <v>\\chno0276\Aseguranza de Calidad\Control de Documentos\Doc. controlados PDF\Formas\CNWI-QAAS (aseguranza de calidad)\F-QAAS-09-005 Rev. A Control de Etiquetas de Quimicos .xlsx</v>
      </c>
      <c r="C967" s="5" t="str">
        <f>MID(B967,LEN(B967) - FIND(".",REVERSETEXT(B967))+2,1000)</f>
        <v>xlsx</v>
      </c>
      <c r="D967" s="6">
        <v>5</v>
      </c>
      <c r="E967" s="7" t="s">
        <v>42</v>
      </c>
      <c r="F967" s="7" t="s">
        <v>256</v>
      </c>
      <c r="G967" s="8" t="s">
        <v>266</v>
      </c>
      <c r="H967" s="8">
        <v>9</v>
      </c>
      <c r="I967" s="8"/>
      <c r="J967" s="8"/>
      <c r="K967" s="8"/>
      <c r="L967" s="8"/>
      <c r="M967" s="7" t="s">
        <v>256</v>
      </c>
      <c r="N967" s="7" t="s">
        <v>1141</v>
      </c>
      <c r="O967" s="9">
        <v>41204</v>
      </c>
      <c r="P967" s="7" t="s">
        <v>27</v>
      </c>
      <c r="Q967" s="9" t="s">
        <v>28</v>
      </c>
      <c r="R967" s="7" t="s">
        <v>1108</v>
      </c>
      <c r="S967" s="8" t="s">
        <v>1109</v>
      </c>
      <c r="T967" s="9"/>
      <c r="U967" s="7"/>
      <c r="V967" s="7"/>
    </row>
    <row r="968" spans="1:22">
      <c r="A968" s="5" t="s">
        <v>1142</v>
      </c>
      <c r="B968" s="5" t="str">
        <f>GetAddress(A968)</f>
        <v>\\chno0276\Control de Documentos\Doc. controlados PDF\Formas\CNWI-QAAS (aseguranza de calidad)\F-QAAS-09-006 Rev. A AQL Format.xlsx</v>
      </c>
      <c r="C968" s="5" t="str">
        <f>MID(B968,LEN(B968) - FIND(".",REVERSETEXT(B968))+2,1000)</f>
        <v>xlsx</v>
      </c>
      <c r="D968" s="6">
        <v>5</v>
      </c>
      <c r="E968" s="7" t="s">
        <v>42</v>
      </c>
      <c r="F968" s="7" t="s">
        <v>256</v>
      </c>
      <c r="G968" s="8" t="s">
        <v>266</v>
      </c>
      <c r="H968" s="8">
        <v>9</v>
      </c>
      <c r="I968" s="8"/>
      <c r="J968" s="8"/>
      <c r="K968" s="8"/>
      <c r="L968" s="8"/>
      <c r="M968" s="7" t="s">
        <v>256</v>
      </c>
      <c r="N968" s="7" t="s">
        <v>1143</v>
      </c>
      <c r="O968" s="9">
        <v>41204</v>
      </c>
      <c r="P968" s="7" t="s">
        <v>27</v>
      </c>
      <c r="Q968" s="9" t="s">
        <v>28</v>
      </c>
      <c r="R968" s="7" t="s">
        <v>1108</v>
      </c>
      <c r="S968" s="8" t="s">
        <v>1109</v>
      </c>
      <c r="T968" s="7"/>
      <c r="U968" s="7"/>
      <c r="V968" s="7"/>
    </row>
    <row r="969" spans="1:22">
      <c r="A969" s="5" t="s">
        <v>1144</v>
      </c>
      <c r="B969" s="5" t="str">
        <f>GetAddress(A969)</f>
        <v>\\chno0276\Control de Documentos\Doc. controlados PDF\Formas\CNWI-QAAS (aseguranza de calidad)\F-QAAS-23-001 Rev. A .xlsx</v>
      </c>
      <c r="C969" s="5" t="str">
        <f>MID(B969,LEN(B969) - FIND(".",REVERSETEXT(B969))+2,1000)</f>
        <v>xlsx</v>
      </c>
      <c r="D969" s="6">
        <v>5</v>
      </c>
      <c r="E969" s="7" t="s">
        <v>42</v>
      </c>
      <c r="F969" s="7" t="s">
        <v>256</v>
      </c>
      <c r="G969" s="8" t="s">
        <v>266</v>
      </c>
      <c r="H969" s="8">
        <v>9</v>
      </c>
      <c r="I969" s="8"/>
      <c r="J969" s="8"/>
      <c r="K969" s="8"/>
      <c r="L969" s="8"/>
      <c r="M969" s="7" t="s">
        <v>256</v>
      </c>
      <c r="N969" s="7" t="s">
        <v>1145</v>
      </c>
      <c r="O969" s="9">
        <v>41207</v>
      </c>
      <c r="P969" s="7" t="s">
        <v>27</v>
      </c>
      <c r="Q969" s="9" t="s">
        <v>28</v>
      </c>
      <c r="R969" s="7" t="s">
        <v>1108</v>
      </c>
      <c r="S969" s="8" t="s">
        <v>1109</v>
      </c>
      <c r="T969" s="9"/>
      <c r="U969" s="7"/>
      <c r="V969" s="7"/>
    </row>
    <row r="970" spans="1:22">
      <c r="A970" s="5" t="s">
        <v>1146</v>
      </c>
      <c r="B970" s="5" t="str">
        <f>GetAddress(A970)</f>
        <v>\\chno0276\Aseguranza de Calidad\Control de Documentos\Documentos controlados\CN-QAAS (Aseguranza de calidad)\FORMAS\F-QAAS-25-001 Check list de componentes.xlsx</v>
      </c>
      <c r="C970" s="5" t="str">
        <f>MID(B970,LEN(B970) - FIND(".",REVERSETEXT(B970))+2,1000)</f>
        <v>xlsx</v>
      </c>
      <c r="D970" s="6">
        <v>5</v>
      </c>
      <c r="E970" s="7" t="s">
        <v>42</v>
      </c>
      <c r="F970" s="7" t="s">
        <v>256</v>
      </c>
      <c r="G970" s="8" t="s">
        <v>266</v>
      </c>
      <c r="H970" s="8">
        <v>9</v>
      </c>
      <c r="I970" s="8"/>
      <c r="J970" s="8"/>
      <c r="K970" s="8"/>
      <c r="L970" s="8"/>
      <c r="M970" s="7" t="s">
        <v>256</v>
      </c>
      <c r="N970" s="7" t="s">
        <v>1147</v>
      </c>
      <c r="O970" s="9">
        <v>41204</v>
      </c>
      <c r="P970" s="7" t="s">
        <v>27</v>
      </c>
      <c r="Q970" s="9" t="s">
        <v>28</v>
      </c>
      <c r="R970" s="7" t="s">
        <v>1108</v>
      </c>
      <c r="S970" s="8" t="s">
        <v>1109</v>
      </c>
      <c r="T970" s="9"/>
      <c r="U970" s="7"/>
      <c r="V970" s="7"/>
    </row>
    <row r="971" spans="1:22">
      <c r="A971" s="5" t="s">
        <v>1148</v>
      </c>
      <c r="B971" s="5" t="str">
        <f>GetAddress(A971)</f>
        <v>\\chno0276\Aseguranza de Calidad\Control de Documentos\Documentos controlados\CN-QAAS (Aseguranza de calidad)\FORMAS\F-QAAS-25-002  Rev. A LOG de FAI.xlsx</v>
      </c>
      <c r="C971" s="5" t="str">
        <f>MID(B971,LEN(B971) - FIND(".",REVERSETEXT(B971))+2,1000)</f>
        <v>xlsx</v>
      </c>
      <c r="D971" s="6">
        <v>5</v>
      </c>
      <c r="E971" s="7" t="s">
        <v>42</v>
      </c>
      <c r="F971" s="7" t="s">
        <v>256</v>
      </c>
      <c r="G971" s="8" t="s">
        <v>266</v>
      </c>
      <c r="H971" s="8">
        <v>9</v>
      </c>
      <c r="I971" s="8"/>
      <c r="J971" s="8"/>
      <c r="K971" s="8"/>
      <c r="L971" s="8"/>
      <c r="M971" s="7" t="s">
        <v>256</v>
      </c>
      <c r="N971" s="7" t="s">
        <v>1149</v>
      </c>
      <c r="O971" s="9">
        <v>41204</v>
      </c>
      <c r="P971" s="7" t="s">
        <v>27</v>
      </c>
      <c r="Q971" s="9" t="s">
        <v>28</v>
      </c>
      <c r="R971" s="7" t="s">
        <v>1108</v>
      </c>
      <c r="S971" s="8" t="s">
        <v>1109</v>
      </c>
      <c r="T971" s="9"/>
      <c r="U971" s="7"/>
      <c r="V971" s="7"/>
    </row>
    <row r="972" spans="1:22">
      <c r="A972" s="5" t="s">
        <v>1150</v>
      </c>
      <c r="B972" s="5" t="str">
        <f>GetAddress(A972)</f>
        <v>\\chno0276\Aseguranza de Calidad\Control de Documentos\Doc. controlados PDF\Formas\CNWI-QAAS (aseguranza de calidad)\F-QAAS-48-001  Rev.A Scar Log.xlsx</v>
      </c>
      <c r="C972" s="5" t="str">
        <f>MID(B972,LEN(B972) - FIND(".",REVERSETEXT(B972))+2,1000)</f>
        <v>xlsx</v>
      </c>
      <c r="D972" s="6">
        <v>5</v>
      </c>
      <c r="E972" s="7" t="s">
        <v>42</v>
      </c>
      <c r="F972" s="7" t="s">
        <v>256</v>
      </c>
      <c r="G972" s="8" t="s">
        <v>266</v>
      </c>
      <c r="H972" s="8">
        <v>9</v>
      </c>
      <c r="I972" s="8"/>
      <c r="J972" s="8"/>
      <c r="K972" s="8"/>
      <c r="L972" s="8"/>
      <c r="M972" s="7" t="s">
        <v>256</v>
      </c>
      <c r="N972" s="13" t="s">
        <v>1151</v>
      </c>
      <c r="O972" s="9">
        <v>41206</v>
      </c>
      <c r="P972" s="7" t="s">
        <v>27</v>
      </c>
      <c r="Q972" s="9" t="s">
        <v>28</v>
      </c>
      <c r="R972" s="7" t="s">
        <v>1108</v>
      </c>
      <c r="S972" s="8" t="s">
        <v>1109</v>
      </c>
      <c r="T972" s="9"/>
      <c r="U972" s="7"/>
      <c r="V972" s="7"/>
    </row>
    <row r="973" spans="1:22">
      <c r="A973" s="5" t="s">
        <v>1152</v>
      </c>
      <c r="B973" s="5" t="str">
        <f>GetAddress(A973)</f>
        <v>\\chno0276\Control de Documentos\Doc. controlados PDF\Formas\CNWI-QAAS (aseguranza de calidad)\F-QAAS-48-002    Rev. A supplier scorecard spreadsheet.xlsx</v>
      </c>
      <c r="C973" s="5" t="str">
        <f>MID(B973,LEN(B973) - FIND(".",REVERSETEXT(B973))+2,1000)</f>
        <v>xlsx</v>
      </c>
      <c r="D973" s="6">
        <v>5</v>
      </c>
      <c r="E973" s="7" t="s">
        <v>42</v>
      </c>
      <c r="F973" s="7" t="s">
        <v>256</v>
      </c>
      <c r="G973" s="8" t="s">
        <v>266</v>
      </c>
      <c r="H973" s="8">
        <v>9</v>
      </c>
      <c r="I973" s="8"/>
      <c r="J973" s="8"/>
      <c r="K973" s="8"/>
      <c r="L973" s="8"/>
      <c r="M973" s="7" t="s">
        <v>256</v>
      </c>
      <c r="N973" s="7" t="s">
        <v>1153</v>
      </c>
      <c r="O973" s="9">
        <v>41206</v>
      </c>
      <c r="P973" s="7" t="s">
        <v>27</v>
      </c>
      <c r="Q973" s="9" t="s">
        <v>28</v>
      </c>
      <c r="R973" s="7" t="s">
        <v>1108</v>
      </c>
      <c r="S973" s="8" t="s">
        <v>1109</v>
      </c>
      <c r="T973" s="9"/>
      <c r="U973" s="7"/>
      <c r="V973" s="7"/>
    </row>
    <row r="974" spans="1:22">
      <c r="A974" s="5" t="s">
        <v>128</v>
      </c>
      <c r="B974" s="5" t="str">
        <f>GetAddress(A974)</f>
        <v>\\chno0276\Aseguranza de Calidad\Control de Documentos\Doc. controlados PDF\Flow Chart\ITRON\BONDING\FC-BOND-003  BACC65- TODOS.pdf</v>
      </c>
      <c r="C974" s="5" t="str">
        <f>MID(B974,LEN(B974) - FIND(".",REVERSETEXT(B974))+2,1000)</f>
        <v>pdf</v>
      </c>
      <c r="D974" s="6">
        <v>12</v>
      </c>
      <c r="E974" s="7" t="s">
        <v>21</v>
      </c>
      <c r="F974" s="7" t="s">
        <v>22</v>
      </c>
      <c r="G974" s="8" t="s">
        <v>23</v>
      </c>
      <c r="H974" s="8">
        <v>5</v>
      </c>
      <c r="I974" s="8" t="s">
        <v>257</v>
      </c>
      <c r="J974" s="8">
        <v>9</v>
      </c>
      <c r="K974" s="8"/>
      <c r="L974" s="8"/>
      <c r="M974" s="7" t="s">
        <v>2784</v>
      </c>
      <c r="N974" s="5" t="s">
        <v>128</v>
      </c>
      <c r="O974" s="25">
        <v>41116</v>
      </c>
      <c r="P974" s="7" t="s">
        <v>27</v>
      </c>
      <c r="Q974" s="7" t="s">
        <v>28</v>
      </c>
      <c r="R974" s="7" t="s">
        <v>2783</v>
      </c>
      <c r="S974" s="8" t="s">
        <v>2427</v>
      </c>
      <c r="T974" s="27" t="s">
        <v>30</v>
      </c>
      <c r="U974" s="27" t="s">
        <v>2693</v>
      </c>
      <c r="V974" s="7"/>
    </row>
    <row r="975" spans="1:22">
      <c r="A975" s="5" t="s">
        <v>128</v>
      </c>
      <c r="B975" s="5" t="str">
        <f>GetAddress(A975)</f>
        <v>\\chno0276\Aseguranza de Calidad\Control de Documentos\Doc. controlados PDF\Flow Chart\ITRON\BONDING\FC-BOND-003  BACC65- TODOS.pdf</v>
      </c>
      <c r="C975" s="5" t="str">
        <f>MID(B975,LEN(B975) - FIND(".",REVERSETEXT(B975))+2,1000)</f>
        <v>pdf</v>
      </c>
      <c r="D975" s="6">
        <v>12</v>
      </c>
      <c r="E975" s="7" t="s">
        <v>21</v>
      </c>
      <c r="F975" s="7" t="s">
        <v>22</v>
      </c>
      <c r="G975" s="8" t="s">
        <v>23</v>
      </c>
      <c r="H975" s="8">
        <v>5</v>
      </c>
      <c r="I975" s="8" t="s">
        <v>24</v>
      </c>
      <c r="J975" s="8">
        <v>12</v>
      </c>
      <c r="K975" s="8" t="s">
        <v>663</v>
      </c>
      <c r="L975" s="8">
        <v>3</v>
      </c>
      <c r="M975" s="7" t="s">
        <v>664</v>
      </c>
      <c r="N975" s="5" t="s">
        <v>128</v>
      </c>
      <c r="O975" s="9">
        <v>41165</v>
      </c>
      <c r="P975" s="7" t="s">
        <v>1246</v>
      </c>
      <c r="Q975" s="7" t="s">
        <v>28</v>
      </c>
      <c r="R975" s="21" t="s">
        <v>1247</v>
      </c>
      <c r="S975" s="21"/>
      <c r="T975" s="7"/>
      <c r="U975" s="9"/>
      <c r="V975" s="7"/>
    </row>
    <row r="976" spans="1:22">
      <c r="A976" s="5" t="s">
        <v>128</v>
      </c>
      <c r="B976" s="5" t="str">
        <f>GetAddress(A976)</f>
        <v>\\chno0276\Aseguranza de Calidad\Control de Documentos\Doc. controlados PDF\Flow Chart\ITRON\BONDING\FC-BOND-003  BACC65- TODOS.pdf</v>
      </c>
      <c r="C976" s="5" t="str">
        <f>MID(B976,LEN(B976) - FIND(".",REVERSETEXT(B976))+2,1000)</f>
        <v>pdf</v>
      </c>
      <c r="D976" s="6">
        <v>12</v>
      </c>
      <c r="E976" s="7" t="s">
        <v>21</v>
      </c>
      <c r="F976" s="7" t="s">
        <v>22</v>
      </c>
      <c r="G976" s="8" t="s">
        <v>23</v>
      </c>
      <c r="H976" s="8">
        <v>5</v>
      </c>
      <c r="I976" s="8" t="s">
        <v>24</v>
      </c>
      <c r="J976" s="8">
        <v>12</v>
      </c>
      <c r="K976" s="8" t="s">
        <v>25</v>
      </c>
      <c r="L976" s="8">
        <v>4</v>
      </c>
      <c r="M976" s="7" t="s">
        <v>26</v>
      </c>
      <c r="N976" s="5" t="s">
        <v>128</v>
      </c>
      <c r="O976" s="9">
        <v>41194</v>
      </c>
      <c r="P976" s="7" t="s">
        <v>659</v>
      </c>
      <c r="Q976" s="7" t="s">
        <v>28</v>
      </c>
      <c r="R976" s="21" t="s">
        <v>1247</v>
      </c>
      <c r="S976" s="21"/>
      <c r="T976" s="7"/>
      <c r="U976" s="9"/>
      <c r="V976" s="7"/>
    </row>
    <row r="977" spans="1:22">
      <c r="A977" s="5" t="s">
        <v>128</v>
      </c>
      <c r="B977" s="5" t="str">
        <f>GetAddress(A977)</f>
        <v>\\chno0276\Aseguranza de Calidad\Control de Documentos\Doc. controlados PDF\Flow Chart\ITRON\BONDING\FC-BOND-003  BACC65- TODOS.pdf</v>
      </c>
      <c r="C977" s="5" t="str">
        <f>MID(B977,LEN(B977) - FIND(".",REVERSETEXT(B977))+2,1000)</f>
        <v>pdf</v>
      </c>
      <c r="D977" s="6">
        <v>12</v>
      </c>
      <c r="E977" s="7" t="s">
        <v>21</v>
      </c>
      <c r="F977" s="7" t="s">
        <v>22</v>
      </c>
      <c r="G977" s="8" t="s">
        <v>23</v>
      </c>
      <c r="H977" s="8">
        <v>5</v>
      </c>
      <c r="I977" s="8" t="s">
        <v>24</v>
      </c>
      <c r="J977" s="8">
        <v>12</v>
      </c>
      <c r="K977" s="8" t="s">
        <v>515</v>
      </c>
      <c r="L977" s="8">
        <v>16</v>
      </c>
      <c r="M977" s="7" t="s">
        <v>515</v>
      </c>
      <c r="N977" s="5" t="s">
        <v>128</v>
      </c>
      <c r="O977" s="9">
        <v>41200</v>
      </c>
      <c r="P977" s="7" t="s">
        <v>1248</v>
      </c>
      <c r="Q977" s="7" t="s">
        <v>28</v>
      </c>
      <c r="R977" s="21" t="s">
        <v>1247</v>
      </c>
      <c r="S977" s="21"/>
      <c r="T977" s="7"/>
      <c r="U977" s="9"/>
      <c r="V977" s="7"/>
    </row>
    <row r="978" spans="1:22">
      <c r="A978" s="5" t="s">
        <v>128</v>
      </c>
      <c r="B978" s="5" t="str">
        <f>GetAddress(A978)</f>
        <v>\\chno0276\Aseguranza de Calidad\Control de Documentos\Doc. controlados PDF\Flow Chart\ITRON\BONDING\FC-BOND-003  BACC65- TODOS.pdf</v>
      </c>
      <c r="C978" s="5" t="str">
        <f>MID(B978,LEN(B978) - FIND(".",REVERSETEXT(B978))+2,1000)</f>
        <v>pdf</v>
      </c>
      <c r="D978" s="6">
        <v>12</v>
      </c>
      <c r="E978" s="7" t="s">
        <v>21</v>
      </c>
      <c r="F978" s="7" t="s">
        <v>22</v>
      </c>
      <c r="G978" s="8" t="s">
        <v>23</v>
      </c>
      <c r="H978" s="8">
        <v>5</v>
      </c>
      <c r="I978" s="8" t="s">
        <v>24</v>
      </c>
      <c r="J978" s="8">
        <v>12</v>
      </c>
      <c r="K978" s="8" t="s">
        <v>599</v>
      </c>
      <c r="L978" s="8">
        <v>19</v>
      </c>
      <c r="M978" s="7" t="s">
        <v>600</v>
      </c>
      <c r="N978" s="5" t="s">
        <v>128</v>
      </c>
      <c r="O978" s="9">
        <v>41148</v>
      </c>
      <c r="P978" s="7" t="s">
        <v>38</v>
      </c>
      <c r="Q978" s="7" t="s">
        <v>28</v>
      </c>
      <c r="R978" s="7" t="s">
        <v>604</v>
      </c>
      <c r="S978" s="8" t="s">
        <v>605</v>
      </c>
      <c r="T978" s="7"/>
      <c r="U978" s="9"/>
      <c r="V978" s="7"/>
    </row>
    <row r="979" spans="1:22">
      <c r="A979" s="5" t="s">
        <v>128</v>
      </c>
      <c r="B979" s="5" t="str">
        <f>GetAddress(A979)</f>
        <v>\\chno0276\Aseguranza de Calidad\Control de Documentos\Doc. controlados PDF\Flow Chart\ITRON\BONDING\FC-BOND-003  BACC65- TODOS.pdf</v>
      </c>
      <c r="C979" s="5" t="str">
        <f>MID(B979,LEN(B979) - FIND(".",REVERSETEXT(B979))+2,1000)</f>
        <v>pdf</v>
      </c>
      <c r="D979" s="6">
        <v>12</v>
      </c>
      <c r="E979" s="7" t="s">
        <v>21</v>
      </c>
      <c r="F979" s="7" t="s">
        <v>22</v>
      </c>
      <c r="G979" s="8" t="s">
        <v>23</v>
      </c>
      <c r="H979" s="8">
        <v>5</v>
      </c>
      <c r="I979" s="8" t="s">
        <v>24</v>
      </c>
      <c r="J979" s="8">
        <v>12</v>
      </c>
      <c r="K979" s="8" t="s">
        <v>129</v>
      </c>
      <c r="L979" s="8">
        <v>18</v>
      </c>
      <c r="M979" s="7" t="s">
        <v>130</v>
      </c>
      <c r="N979" s="5" t="s">
        <v>128</v>
      </c>
      <c r="O979" s="9">
        <v>41103</v>
      </c>
      <c r="P979" s="7" t="s">
        <v>131</v>
      </c>
      <c r="Q979" s="7" t="s">
        <v>28</v>
      </c>
      <c r="R979" s="7" t="s">
        <v>132</v>
      </c>
      <c r="S979" s="8"/>
      <c r="T979" s="7"/>
      <c r="U979" s="9"/>
      <c r="V979" s="7"/>
    </row>
    <row r="980" spans="1:22">
      <c r="A980" s="42" t="s">
        <v>28</v>
      </c>
      <c r="B980" s="20" t="str">
        <f>GetAddress(A980)</f>
        <v>\\chno0276\Aseguranza de Calidad\Control de Documentos\Doc. controlados PDF\Flow Chart\ITRON\BONDING\FC-BOND-003  BACC65- TODOS.pdf</v>
      </c>
      <c r="C980" s="20" t="str">
        <f>MID(B980,LEN(B980) - FIND(".",REVERSETEXT(B980))+2,1000)</f>
        <v>pdf</v>
      </c>
      <c r="D980" s="6">
        <v>6</v>
      </c>
      <c r="E980" s="7" t="s">
        <v>83</v>
      </c>
      <c r="F980" s="7" t="s">
        <v>22</v>
      </c>
      <c r="G980" s="8" t="s">
        <v>23</v>
      </c>
      <c r="H980" s="8">
        <v>5</v>
      </c>
      <c r="I980" s="8" t="s">
        <v>257</v>
      </c>
      <c r="J980" s="8">
        <v>9</v>
      </c>
      <c r="K980" s="8" t="s">
        <v>258</v>
      </c>
      <c r="L980" s="8">
        <v>8</v>
      </c>
      <c r="M980" s="7" t="s">
        <v>259</v>
      </c>
      <c r="N980" s="7" t="s">
        <v>2719</v>
      </c>
      <c r="O980" s="9">
        <v>41170</v>
      </c>
      <c r="P980" s="7" t="s">
        <v>27</v>
      </c>
      <c r="Q980" s="7" t="s">
        <v>2720</v>
      </c>
      <c r="R980" s="7" t="s">
        <v>2426</v>
      </c>
      <c r="S980" s="8" t="s">
        <v>2427</v>
      </c>
      <c r="T980" s="7"/>
      <c r="U980" s="7"/>
      <c r="V980" s="7"/>
    </row>
    <row r="981" spans="1:22">
      <c r="A981" s="5" t="s">
        <v>1688</v>
      </c>
      <c r="B981" s="5" t="str">
        <f>GetAddress(A981)</f>
        <v>\\chno0276\Aseguranza de Calidad\Control de Documentos\Doc. controlados PDF\Flow Chart\ITRON\BONDING\FC-BOND-003  BACC65- TODOS.pdf</v>
      </c>
      <c r="C981" s="5" t="str">
        <f>MID(B981,LEN(B981) - FIND(".",REVERSETEXT(B981))+2,1000)</f>
        <v>pdf</v>
      </c>
      <c r="D981" s="6">
        <v>10</v>
      </c>
      <c r="E981" s="7" t="s">
        <v>1689</v>
      </c>
      <c r="F981" s="7" t="s">
        <v>256</v>
      </c>
      <c r="G981" s="8" t="s">
        <v>23</v>
      </c>
      <c r="H981" s="8">
        <v>5</v>
      </c>
      <c r="I981" s="8" t="s">
        <v>24</v>
      </c>
      <c r="J981" s="8">
        <v>12</v>
      </c>
      <c r="K981" s="8" t="s">
        <v>663</v>
      </c>
      <c r="L981" s="8">
        <v>3</v>
      </c>
      <c r="M981" s="7" t="s">
        <v>1690</v>
      </c>
      <c r="N981" s="7" t="s">
        <v>1691</v>
      </c>
      <c r="O981" s="9">
        <v>40920</v>
      </c>
      <c r="P981" s="7" t="s">
        <v>27</v>
      </c>
      <c r="Q981" s="31">
        <v>5000117394</v>
      </c>
      <c r="R981" s="13" t="s">
        <v>1583</v>
      </c>
      <c r="S981" s="8" t="s">
        <v>1584</v>
      </c>
      <c r="T981" s="7">
        <v>1</v>
      </c>
      <c r="U981" s="7" t="s">
        <v>611</v>
      </c>
      <c r="V981" s="7"/>
    </row>
    <row r="982" spans="1:22">
      <c r="A982" s="5" t="s">
        <v>1692</v>
      </c>
      <c r="B982" s="5" t="str">
        <f>GetAddress(A982)</f>
        <v>\\chno0276\Aseguranza de Calidad\Control de Documentos\Doc. controlados PDF\Flow Chart\ITRON\BONDING\FC-BOND-003  BACC65- TODOS.pdf</v>
      </c>
      <c r="C982" s="5" t="str">
        <f>MID(B982,LEN(B982) - FIND(".",REVERSETEXT(B982))+2,1000)</f>
        <v>pdf</v>
      </c>
      <c r="D982" s="6">
        <v>10</v>
      </c>
      <c r="E982" s="7" t="s">
        <v>1689</v>
      </c>
      <c r="F982" s="7" t="s">
        <v>256</v>
      </c>
      <c r="G982" s="8" t="s">
        <v>23</v>
      </c>
      <c r="H982" s="8">
        <v>5</v>
      </c>
      <c r="I982" s="8" t="s">
        <v>24</v>
      </c>
      <c r="J982" s="8">
        <v>12</v>
      </c>
      <c r="K982" s="8" t="s">
        <v>663</v>
      </c>
      <c r="L982" s="8">
        <v>3</v>
      </c>
      <c r="M982" s="7" t="s">
        <v>1690</v>
      </c>
      <c r="N982" s="7" t="s">
        <v>1693</v>
      </c>
      <c r="O982" s="9">
        <v>40954</v>
      </c>
      <c r="P982" s="7" t="s">
        <v>27</v>
      </c>
      <c r="Q982" s="7" t="s">
        <v>1694</v>
      </c>
      <c r="R982" s="13" t="s">
        <v>1583</v>
      </c>
      <c r="S982" s="8" t="s">
        <v>1584</v>
      </c>
      <c r="T982" s="7">
        <v>1</v>
      </c>
      <c r="U982" s="7" t="s">
        <v>611</v>
      </c>
      <c r="V982" s="7"/>
    </row>
    <row r="983" spans="1:22">
      <c r="A983" s="5" t="s">
        <v>1695</v>
      </c>
      <c r="B983" s="5" t="str">
        <f>GetAddress(A983)</f>
        <v>\\chno0276\Aseguranza de Calidad\Control de Documentos\Doc. controlados PDF\Flow Chart\ITRON\BONDING\FC-BOND-003  BACC65- TODOS.pdf</v>
      </c>
      <c r="C983" s="5" t="str">
        <f>MID(B983,LEN(B983) - FIND(".",REVERSETEXT(B983))+2,1000)</f>
        <v>pdf</v>
      </c>
      <c r="D983" s="6">
        <v>10</v>
      </c>
      <c r="E983" s="7" t="s">
        <v>1689</v>
      </c>
      <c r="F983" s="7" t="s">
        <v>256</v>
      </c>
      <c r="G983" s="8" t="s">
        <v>23</v>
      </c>
      <c r="H983" s="8">
        <v>5</v>
      </c>
      <c r="I983" s="8" t="s">
        <v>24</v>
      </c>
      <c r="J983" s="8">
        <v>12</v>
      </c>
      <c r="K983" s="8" t="s">
        <v>663</v>
      </c>
      <c r="L983" s="8">
        <v>3</v>
      </c>
      <c r="M983" s="7" t="s">
        <v>1690</v>
      </c>
      <c r="N983" s="7" t="s">
        <v>1696</v>
      </c>
      <c r="O983" s="9">
        <v>40968</v>
      </c>
      <c r="P983" s="7" t="s">
        <v>27</v>
      </c>
      <c r="Q983" s="31" t="s">
        <v>1697</v>
      </c>
      <c r="R983" s="13" t="s">
        <v>1583</v>
      </c>
      <c r="S983" s="8" t="s">
        <v>1584</v>
      </c>
      <c r="T983" s="7">
        <v>1</v>
      </c>
      <c r="U983" s="7" t="s">
        <v>611</v>
      </c>
      <c r="V983" s="7"/>
    </row>
    <row r="984" spans="1:22">
      <c r="A984" s="5" t="s">
        <v>1698</v>
      </c>
      <c r="B984" s="5" t="str">
        <f>GetAddress(A984)</f>
        <v>\\chno0276\Aseguranza de Calidad\Control de Documentos\Doc. controlados PDF\Flow Chart\ITRON\BONDING\FC-BOND-003  BACC65- TODOS.pdf</v>
      </c>
      <c r="C984" s="5" t="str">
        <f>MID(B984,LEN(B984) - FIND(".",REVERSETEXT(B984))+2,1000)</f>
        <v>pdf</v>
      </c>
      <c r="D984" s="6">
        <v>10</v>
      </c>
      <c r="E984" s="7" t="s">
        <v>1689</v>
      </c>
      <c r="F984" s="7" t="s">
        <v>256</v>
      </c>
      <c r="G984" s="8" t="s">
        <v>23</v>
      </c>
      <c r="H984" s="8">
        <v>5</v>
      </c>
      <c r="I984" s="8" t="s">
        <v>24</v>
      </c>
      <c r="J984" s="8">
        <v>12</v>
      </c>
      <c r="K984" s="8" t="s">
        <v>663</v>
      </c>
      <c r="L984" s="8">
        <v>3</v>
      </c>
      <c r="M984" s="7" t="s">
        <v>1690</v>
      </c>
      <c r="N984" s="7" t="s">
        <v>1699</v>
      </c>
      <c r="O984" s="9">
        <v>40991</v>
      </c>
      <c r="P984" s="7" t="s">
        <v>27</v>
      </c>
      <c r="Q984" s="31" t="s">
        <v>1700</v>
      </c>
      <c r="R984" s="13" t="s">
        <v>1583</v>
      </c>
      <c r="S984" s="8" t="s">
        <v>1584</v>
      </c>
      <c r="T984" s="7">
        <v>1</v>
      </c>
      <c r="U984" s="7" t="s">
        <v>611</v>
      </c>
      <c r="V984" s="7"/>
    </row>
    <row r="985" spans="1:22">
      <c r="A985" s="5" t="s">
        <v>1701</v>
      </c>
      <c r="B985" s="5" t="str">
        <f>GetAddress(A985)</f>
        <v>\\chno0276\Aseguranza de Calidad\Control de Documentos\Doc. controlados PDF\Flow Chart\ITRON\BONDING\FC-BOND-003  BACC65- TODOS.pdf</v>
      </c>
      <c r="C985" s="5" t="str">
        <f>MID(B985,LEN(B985) - FIND(".",REVERSETEXT(B985))+2,1000)</f>
        <v>pdf</v>
      </c>
      <c r="D985" s="6">
        <v>10</v>
      </c>
      <c r="E985" s="7" t="s">
        <v>1689</v>
      </c>
      <c r="F985" s="7" t="s">
        <v>256</v>
      </c>
      <c r="G985" s="8" t="s">
        <v>23</v>
      </c>
      <c r="H985" s="8">
        <v>5</v>
      </c>
      <c r="I985" s="8" t="s">
        <v>24</v>
      </c>
      <c r="J985" s="8">
        <v>12</v>
      </c>
      <c r="K985" s="8" t="s">
        <v>663</v>
      </c>
      <c r="L985" s="8">
        <v>3</v>
      </c>
      <c r="M985" s="7" t="s">
        <v>1690</v>
      </c>
      <c r="N985" s="7" t="s">
        <v>1702</v>
      </c>
      <c r="O985" s="9">
        <v>41045</v>
      </c>
      <c r="P985" s="7" t="s">
        <v>27</v>
      </c>
      <c r="Q985" s="31" t="s">
        <v>1703</v>
      </c>
      <c r="R985" s="13" t="s">
        <v>1583</v>
      </c>
      <c r="S985" s="8" t="s">
        <v>1584</v>
      </c>
      <c r="T985" s="7">
        <v>1</v>
      </c>
      <c r="U985" s="7" t="s">
        <v>611</v>
      </c>
      <c r="V985" s="7"/>
    </row>
    <row r="986" spans="1:22">
      <c r="A986" s="5" t="s">
        <v>2064</v>
      </c>
      <c r="B986" s="5" t="str">
        <f>GetAddress(A986)</f>
        <v>\\chno0276\Aseguranza de Calidad\Control de Documentos\Doc. controlados PDF\Flow Chart\ITRON\BONDING\FC-BOND-003  BACC65- TODOS.pdf</v>
      </c>
      <c r="C986" s="5" t="str">
        <f>MID(B986,LEN(B986) - FIND(".",REVERSETEXT(B986))+2,1000)</f>
        <v>pdf</v>
      </c>
      <c r="D986" s="6">
        <v>10</v>
      </c>
      <c r="E986" s="7" t="s">
        <v>1689</v>
      </c>
      <c r="F986" s="7" t="s">
        <v>256</v>
      </c>
      <c r="G986" s="8" t="s">
        <v>23</v>
      </c>
      <c r="H986" s="8">
        <v>5</v>
      </c>
      <c r="I986" s="8" t="s">
        <v>874</v>
      </c>
      <c r="J986" s="8">
        <v>10</v>
      </c>
      <c r="K986" s="8" t="s">
        <v>875</v>
      </c>
      <c r="L986" s="8">
        <v>7</v>
      </c>
      <c r="M986" s="7" t="s">
        <v>876</v>
      </c>
      <c r="N986" s="7" t="s">
        <v>2065</v>
      </c>
      <c r="O986" s="25">
        <v>41122</v>
      </c>
      <c r="P986" s="13" t="s">
        <v>27</v>
      </c>
      <c r="Q986" s="7" t="s">
        <v>1694</v>
      </c>
      <c r="R986" s="13" t="s">
        <v>2062</v>
      </c>
      <c r="S986" s="8" t="s">
        <v>2063</v>
      </c>
      <c r="T986" s="13">
        <v>1</v>
      </c>
      <c r="U986" s="13" t="s">
        <v>2066</v>
      </c>
      <c r="V986" s="7"/>
    </row>
    <row r="987" spans="1:22">
      <c r="A987" s="5" t="s">
        <v>2067</v>
      </c>
      <c r="B987" s="5" t="str">
        <f>GetAddress(A987)</f>
        <v>\\chno0276\Aseguranza de Calidad\Control de Documentos\Doc. controlados PDF\Flow Chart\ITRON\BONDING\FC-BOND-003  BACC65- TODOS.pdf</v>
      </c>
      <c r="C987" s="5" t="str">
        <f>MID(B987,LEN(B987) - FIND(".",REVERSETEXT(B987))+2,1000)</f>
        <v>pdf</v>
      </c>
      <c r="D987" s="6">
        <v>10</v>
      </c>
      <c r="E987" s="7" t="s">
        <v>1689</v>
      </c>
      <c r="F987" s="7" t="s">
        <v>256</v>
      </c>
      <c r="G987" s="8" t="s">
        <v>23</v>
      </c>
      <c r="H987" s="8">
        <v>5</v>
      </c>
      <c r="I987" s="8" t="s">
        <v>874</v>
      </c>
      <c r="J987" s="8">
        <v>10</v>
      </c>
      <c r="K987" s="8" t="s">
        <v>875</v>
      </c>
      <c r="L987" s="8">
        <v>7</v>
      </c>
      <c r="M987" s="7" t="s">
        <v>876</v>
      </c>
      <c r="N987" s="7" t="s">
        <v>2068</v>
      </c>
      <c r="O987" s="25">
        <v>41172</v>
      </c>
      <c r="P987" s="13" t="s">
        <v>27</v>
      </c>
      <c r="Q987" s="7" t="s">
        <v>2069</v>
      </c>
      <c r="R987" s="13" t="s">
        <v>2062</v>
      </c>
      <c r="S987" s="8" t="s">
        <v>2063</v>
      </c>
      <c r="T987" s="13">
        <v>1</v>
      </c>
      <c r="U987" s="13" t="s">
        <v>2066</v>
      </c>
      <c r="V987" s="7"/>
    </row>
    <row r="988" spans="1:22">
      <c r="A988" s="5" t="s">
        <v>2070</v>
      </c>
      <c r="B988" s="5" t="str">
        <f>GetAddress(A988)</f>
        <v>\\chno0276\Aseguranza de Calidad\Control de Documentos\Doc. controlados PDF\Flow Chart\ITRON\BONDING\FC-BOND-003  BACC65- TODOS.pdf</v>
      </c>
      <c r="C988" s="5" t="str">
        <f>MID(B988,LEN(B988) - FIND(".",REVERSETEXT(B988))+2,1000)</f>
        <v>pdf</v>
      </c>
      <c r="D988" s="6">
        <v>10</v>
      </c>
      <c r="E988" s="7" t="s">
        <v>1689</v>
      </c>
      <c r="F988" s="7" t="s">
        <v>256</v>
      </c>
      <c r="G988" s="8" t="s">
        <v>23</v>
      </c>
      <c r="H988" s="8">
        <v>5</v>
      </c>
      <c r="I988" s="8" t="s">
        <v>874</v>
      </c>
      <c r="J988" s="8">
        <v>10</v>
      </c>
      <c r="K988" s="8" t="s">
        <v>875</v>
      </c>
      <c r="L988" s="8">
        <v>7</v>
      </c>
      <c r="M988" s="7" t="s">
        <v>876</v>
      </c>
      <c r="N988" s="7" t="s">
        <v>2071</v>
      </c>
      <c r="O988" s="25">
        <v>41184</v>
      </c>
      <c r="P988" s="13" t="s">
        <v>27</v>
      </c>
      <c r="Q988" s="7" t="s">
        <v>2072</v>
      </c>
      <c r="R988" s="13" t="s">
        <v>2062</v>
      </c>
      <c r="S988" s="8" t="s">
        <v>2063</v>
      </c>
      <c r="T988" s="13">
        <v>1</v>
      </c>
      <c r="U988" s="13" t="s">
        <v>2066</v>
      </c>
      <c r="V988" s="7"/>
    </row>
    <row r="989" spans="1:22">
      <c r="A989" s="5" t="s">
        <v>2073</v>
      </c>
      <c r="B989" s="5" t="str">
        <f>GetAddress(A989)</f>
        <v>\\chno0276\Aseguranza de Calidad\Control de Documentos\Doc. controlados PDF\Flow Chart\ITRON\BONDING\FC-BOND-003  BACC65- TODOS.pdf</v>
      </c>
      <c r="C989" s="5" t="str">
        <f>MID(B989,LEN(B989) - FIND(".",REVERSETEXT(B989))+2,1000)</f>
        <v>pdf</v>
      </c>
      <c r="D989" s="6">
        <v>10</v>
      </c>
      <c r="E989" s="7" t="s">
        <v>1689</v>
      </c>
      <c r="F989" s="7" t="s">
        <v>256</v>
      </c>
      <c r="G989" s="8" t="s">
        <v>23</v>
      </c>
      <c r="H989" s="8">
        <v>5</v>
      </c>
      <c r="I989" s="8" t="s">
        <v>874</v>
      </c>
      <c r="J989" s="8">
        <v>10</v>
      </c>
      <c r="K989" s="8" t="s">
        <v>875</v>
      </c>
      <c r="L989" s="8">
        <v>7</v>
      </c>
      <c r="M989" s="7" t="s">
        <v>876</v>
      </c>
      <c r="N989" s="7" t="s">
        <v>2074</v>
      </c>
      <c r="O989" s="25">
        <v>41185</v>
      </c>
      <c r="P989" s="13" t="s">
        <v>27</v>
      </c>
      <c r="Q989" s="7" t="s">
        <v>2075</v>
      </c>
      <c r="R989" s="13" t="s">
        <v>2062</v>
      </c>
      <c r="S989" s="8" t="s">
        <v>2063</v>
      </c>
      <c r="T989" s="13">
        <v>1</v>
      </c>
      <c r="U989" s="13" t="s">
        <v>2066</v>
      </c>
      <c r="V989" s="7"/>
    </row>
    <row r="990" spans="1:22">
      <c r="A990" s="5" t="s">
        <v>2076</v>
      </c>
      <c r="B990" s="5" t="str">
        <f>GetAddress(A990)</f>
        <v>\\chno0276\Aseguranza de Calidad\Control de Documentos\Doc. controlados PDF\Flow Chart\ITRON\BONDING\FC-BOND-003  BACC65- TODOS.pdf</v>
      </c>
      <c r="C990" s="5" t="str">
        <f>MID(B990,LEN(B990) - FIND(".",REVERSETEXT(B990))+2,1000)</f>
        <v>pdf</v>
      </c>
      <c r="D990" s="6">
        <v>10</v>
      </c>
      <c r="E990" s="7" t="s">
        <v>1689</v>
      </c>
      <c r="F990" s="7" t="s">
        <v>256</v>
      </c>
      <c r="G990" s="8" t="s">
        <v>23</v>
      </c>
      <c r="H990" s="8">
        <v>5</v>
      </c>
      <c r="I990" s="8" t="s">
        <v>874</v>
      </c>
      <c r="J990" s="8">
        <v>10</v>
      </c>
      <c r="K990" s="8" t="s">
        <v>875</v>
      </c>
      <c r="L990" s="8">
        <v>7</v>
      </c>
      <c r="M990" s="7" t="s">
        <v>876</v>
      </c>
      <c r="N990" s="7" t="s">
        <v>2077</v>
      </c>
      <c r="O990" s="25">
        <v>41190</v>
      </c>
      <c r="P990" s="13" t="s">
        <v>27</v>
      </c>
      <c r="Q990" s="7" t="s">
        <v>2078</v>
      </c>
      <c r="R990" s="13" t="s">
        <v>2062</v>
      </c>
      <c r="S990" s="8" t="s">
        <v>2063</v>
      </c>
      <c r="T990" s="13">
        <v>1</v>
      </c>
      <c r="U990" s="13" t="s">
        <v>2066</v>
      </c>
      <c r="V990" s="7"/>
    </row>
    <row r="991" spans="1:22" ht="51">
      <c r="A991" s="5" t="s">
        <v>2079</v>
      </c>
      <c r="B991" s="5" t="str">
        <f>GetAddress(A991)</f>
        <v>\\chno0276\Aseguranza de Calidad\Control de Documentos\Doc. controlados PDF\Flow Chart\ITRON\BONDING\FC-BOND-003  BACC65- TODOS.pdf</v>
      </c>
      <c r="C991" s="5" t="str">
        <f>MID(B991,LEN(B991) - FIND(".",REVERSETEXT(B991))+2,1000)</f>
        <v>pdf</v>
      </c>
      <c r="D991" s="6">
        <v>10</v>
      </c>
      <c r="E991" s="7" t="s">
        <v>1689</v>
      </c>
      <c r="F991" s="7" t="s">
        <v>256</v>
      </c>
      <c r="G991" s="8" t="s">
        <v>23</v>
      </c>
      <c r="H991" s="8">
        <v>5</v>
      </c>
      <c r="I991" s="8" t="s">
        <v>874</v>
      </c>
      <c r="J991" s="8">
        <v>10</v>
      </c>
      <c r="K991" s="8" t="s">
        <v>967</v>
      </c>
      <c r="L991" s="8">
        <v>10</v>
      </c>
      <c r="M991" s="7" t="s">
        <v>968</v>
      </c>
      <c r="N991" s="7" t="s">
        <v>2080</v>
      </c>
      <c r="O991" s="25">
        <v>41109</v>
      </c>
      <c r="P991" s="13" t="s">
        <v>27</v>
      </c>
      <c r="Q991" s="13" t="s">
        <v>2081</v>
      </c>
      <c r="R991" s="13" t="s">
        <v>2062</v>
      </c>
      <c r="S991" s="8" t="s">
        <v>2063</v>
      </c>
      <c r="T991" s="13">
        <v>1</v>
      </c>
      <c r="U991" s="13" t="s">
        <v>2066</v>
      </c>
      <c r="V991" s="7"/>
    </row>
    <row r="992" spans="1:22">
      <c r="A992" s="5" t="s">
        <v>2079</v>
      </c>
      <c r="B992" s="5" t="str">
        <f>GetAddress(A992)</f>
        <v>\\chno0276\Aseguranza de Calidad\Control de Documentos\Doc. controlados PDF\Flow Chart\ITRON\BONDING\FC-BOND-003  BACC65- TODOS.pdf</v>
      </c>
      <c r="C992" s="5" t="str">
        <f>MID(B992,LEN(B992) - FIND(".",REVERSETEXT(B992))+2,1000)</f>
        <v>pdf</v>
      </c>
      <c r="D992" s="6">
        <v>10</v>
      </c>
      <c r="E992" s="7" t="s">
        <v>1689</v>
      </c>
      <c r="F992" s="7" t="s">
        <v>256</v>
      </c>
      <c r="G992" s="8" t="s">
        <v>23</v>
      </c>
      <c r="H992" s="8">
        <v>5</v>
      </c>
      <c r="I992" s="8" t="s">
        <v>874</v>
      </c>
      <c r="J992" s="8">
        <v>10</v>
      </c>
      <c r="K992" s="8" t="s">
        <v>967</v>
      </c>
      <c r="L992" s="8">
        <v>10</v>
      </c>
      <c r="M992" s="7" t="s">
        <v>968</v>
      </c>
      <c r="N992" s="7" t="s">
        <v>2082</v>
      </c>
      <c r="O992" s="25">
        <v>40931</v>
      </c>
      <c r="P992" s="13" t="s">
        <v>27</v>
      </c>
      <c r="Q992" s="7" t="s">
        <v>2083</v>
      </c>
      <c r="R992" s="13" t="s">
        <v>2062</v>
      </c>
      <c r="S992" s="8" t="s">
        <v>2063</v>
      </c>
      <c r="T992" s="13">
        <v>1</v>
      </c>
      <c r="U992" s="13" t="s">
        <v>2066</v>
      </c>
      <c r="V992" s="7"/>
    </row>
    <row r="993" spans="1:22">
      <c r="A993" s="5" t="s">
        <v>2084</v>
      </c>
      <c r="B993" s="5" t="str">
        <f>GetAddress(A993)</f>
        <v>\\chno0276\Aseguranza de Calidad\Control de Documentos\Doc. controlados PDF\Flow Chart\ITRON\BONDING\FC-BOND-003  BACC65- TODOS.pdf</v>
      </c>
      <c r="C993" s="5" t="str">
        <f>MID(B993,LEN(B993) - FIND(".",REVERSETEXT(B993))+2,1000)</f>
        <v>pdf</v>
      </c>
      <c r="D993" s="6">
        <v>10</v>
      </c>
      <c r="E993" s="7" t="s">
        <v>1689</v>
      </c>
      <c r="F993" s="7" t="s">
        <v>256</v>
      </c>
      <c r="G993" s="8" t="s">
        <v>23</v>
      </c>
      <c r="H993" s="8">
        <v>5</v>
      </c>
      <c r="I993" s="8" t="s">
        <v>874</v>
      </c>
      <c r="J993" s="8">
        <v>10</v>
      </c>
      <c r="K993" s="8" t="s">
        <v>967</v>
      </c>
      <c r="L993" s="8">
        <v>10</v>
      </c>
      <c r="M993" s="7" t="s">
        <v>968</v>
      </c>
      <c r="N993" s="7" t="s">
        <v>2085</v>
      </c>
      <c r="O993" s="25">
        <v>41109</v>
      </c>
      <c r="P993" s="13" t="s">
        <v>27</v>
      </c>
      <c r="Q993" s="7" t="s">
        <v>2086</v>
      </c>
      <c r="R993" s="13" t="s">
        <v>2062</v>
      </c>
      <c r="S993" s="8" t="s">
        <v>2063</v>
      </c>
      <c r="T993" s="13">
        <v>1</v>
      </c>
      <c r="U993" s="13" t="s">
        <v>2066</v>
      </c>
      <c r="V993" s="7"/>
    </row>
    <row r="994" spans="1:22">
      <c r="A994" s="5" t="s">
        <v>2084</v>
      </c>
      <c r="B994" s="5" t="str">
        <f>GetAddress(A994)</f>
        <v>\\chno0276\Aseguranza de Calidad\Control de Documentos\Doc. controlados PDF\Flow Chart\ITRON\BONDING\FC-BOND-003  BACC65- TODOS.pdf</v>
      </c>
      <c r="C994" s="5" t="str">
        <f>MID(B994,LEN(B994) - FIND(".",REVERSETEXT(B994))+2,1000)</f>
        <v>pdf</v>
      </c>
      <c r="D994" s="6">
        <v>10</v>
      </c>
      <c r="E994" s="7" t="s">
        <v>1689</v>
      </c>
      <c r="F994" s="7" t="s">
        <v>256</v>
      </c>
      <c r="G994" s="8" t="s">
        <v>23</v>
      </c>
      <c r="H994" s="8">
        <v>5</v>
      </c>
      <c r="I994" s="8" t="s">
        <v>874</v>
      </c>
      <c r="J994" s="8">
        <v>10</v>
      </c>
      <c r="K994" s="8" t="s">
        <v>967</v>
      </c>
      <c r="L994" s="8">
        <v>10</v>
      </c>
      <c r="M994" s="7" t="s">
        <v>968</v>
      </c>
      <c r="N994" s="7" t="s">
        <v>2087</v>
      </c>
      <c r="O994" s="25">
        <v>40940</v>
      </c>
      <c r="P994" s="13" t="s">
        <v>27</v>
      </c>
      <c r="Q994" s="7" t="s">
        <v>2088</v>
      </c>
      <c r="R994" s="13" t="s">
        <v>2062</v>
      </c>
      <c r="S994" s="8" t="s">
        <v>2063</v>
      </c>
      <c r="T994" s="13">
        <v>1</v>
      </c>
      <c r="U994" s="13" t="s">
        <v>2066</v>
      </c>
      <c r="V994" s="7"/>
    </row>
    <row r="995" spans="1:22">
      <c r="A995" s="5" t="s">
        <v>2089</v>
      </c>
      <c r="B995" s="5" t="str">
        <f>GetAddress(A995)</f>
        <v>\\chno0276\Aseguranza de Calidad\Control de Documentos\Doc. controlados PDF\Flow Chart\ITRON\BONDING\FC-BOND-003  BACC65- TODOS.pdf</v>
      </c>
      <c r="C995" s="5" t="str">
        <f>MID(B995,LEN(B995) - FIND(".",REVERSETEXT(B995))+2,1000)</f>
        <v>pdf</v>
      </c>
      <c r="D995" s="6">
        <v>10</v>
      </c>
      <c r="E995" s="7" t="s">
        <v>1689</v>
      </c>
      <c r="F995" s="7" t="s">
        <v>256</v>
      </c>
      <c r="G995" s="8" t="s">
        <v>23</v>
      </c>
      <c r="H995" s="8">
        <v>5</v>
      </c>
      <c r="I995" s="8" t="s">
        <v>874</v>
      </c>
      <c r="J995" s="8">
        <v>10</v>
      </c>
      <c r="K995" s="8" t="s">
        <v>967</v>
      </c>
      <c r="L995" s="8">
        <v>10</v>
      </c>
      <c r="M995" s="7" t="s">
        <v>968</v>
      </c>
      <c r="N995" s="7" t="s">
        <v>2090</v>
      </c>
      <c r="O995" s="25">
        <v>40954</v>
      </c>
      <c r="P995" s="13" t="s">
        <v>27</v>
      </c>
      <c r="Q995" s="7" t="s">
        <v>2088</v>
      </c>
      <c r="R995" s="13" t="s">
        <v>2062</v>
      </c>
      <c r="S995" s="8" t="s">
        <v>2063</v>
      </c>
      <c r="T995" s="13">
        <v>1</v>
      </c>
      <c r="U995" s="13" t="s">
        <v>2066</v>
      </c>
      <c r="V995" s="7"/>
    </row>
    <row r="996" spans="1:22">
      <c r="A996" s="5" t="s">
        <v>2091</v>
      </c>
      <c r="B996" s="5" t="str">
        <f>GetAddress(A996)</f>
        <v>\\chno0276\Aseguranza de Calidad\Control de Documentos\Doc. controlados PDF\Quality Alerts\ITRON\BONDING\QA-BOND-004 027-0252-221 Grommet con pellizcos.pdf</v>
      </c>
      <c r="C996" s="5" t="str">
        <f>MID(B996,LEN(B996) - FIND(".",REVERSETEXT(B996))+2,1000)</f>
        <v>pdf</v>
      </c>
      <c r="D996" s="6">
        <v>10</v>
      </c>
      <c r="E996" s="7" t="s">
        <v>1689</v>
      </c>
      <c r="F996" s="7" t="s">
        <v>256</v>
      </c>
      <c r="G996" s="8" t="s">
        <v>23</v>
      </c>
      <c r="H996" s="8">
        <v>5</v>
      </c>
      <c r="I996" s="8" t="s">
        <v>874</v>
      </c>
      <c r="J996" s="8">
        <v>10</v>
      </c>
      <c r="K996" s="8" t="s">
        <v>967</v>
      </c>
      <c r="L996" s="8">
        <v>10</v>
      </c>
      <c r="M996" s="7" t="s">
        <v>968</v>
      </c>
      <c r="N996" s="7" t="s">
        <v>2092</v>
      </c>
      <c r="O996" s="25">
        <v>40974</v>
      </c>
      <c r="P996" s="13" t="s">
        <v>27</v>
      </c>
      <c r="Q996" s="7" t="s">
        <v>2093</v>
      </c>
      <c r="R996" s="13" t="s">
        <v>2062</v>
      </c>
      <c r="S996" s="8" t="s">
        <v>2063</v>
      </c>
      <c r="T996" s="13">
        <v>1</v>
      </c>
      <c r="U996" s="13" t="s">
        <v>2066</v>
      </c>
      <c r="V996" s="7"/>
    </row>
    <row r="997" spans="1:22">
      <c r="A997" s="5" t="s">
        <v>2094</v>
      </c>
      <c r="B997" s="5" t="str">
        <f>GetAddress(A997)</f>
        <v>\\chno0276\Aseguranza de Calidad\Control de Documentos\Doc. controlados PDF\Flow Chart\ITRON\AMSAFE\FC-AMSA-001  004080-0001 al 0012.pdf</v>
      </c>
      <c r="C997" s="5" t="str">
        <f>MID(B997,LEN(B997) - FIND(".",REVERSETEXT(B997))+2,1000)</f>
        <v>pdf</v>
      </c>
      <c r="D997" s="6">
        <v>10</v>
      </c>
      <c r="E997" s="7" t="s">
        <v>1689</v>
      </c>
      <c r="F997" s="7" t="s">
        <v>256</v>
      </c>
      <c r="G997" s="8" t="s">
        <v>23</v>
      </c>
      <c r="H997" s="8">
        <v>5</v>
      </c>
      <c r="I997" s="8" t="s">
        <v>874</v>
      </c>
      <c r="J997" s="8">
        <v>10</v>
      </c>
      <c r="K997" s="8" t="s">
        <v>967</v>
      </c>
      <c r="L997" s="8">
        <v>10</v>
      </c>
      <c r="M997" s="7" t="s">
        <v>968</v>
      </c>
      <c r="N997" s="7" t="s">
        <v>2092</v>
      </c>
      <c r="O997" s="25">
        <v>41061</v>
      </c>
      <c r="P997" s="13" t="s">
        <v>27</v>
      </c>
      <c r="Q997" s="7" t="s">
        <v>2095</v>
      </c>
      <c r="R997" s="13" t="s">
        <v>2062</v>
      </c>
      <c r="S997" s="8" t="s">
        <v>2063</v>
      </c>
      <c r="T997" s="13">
        <v>1</v>
      </c>
      <c r="U997" s="13" t="s">
        <v>2066</v>
      </c>
      <c r="V997" s="7"/>
    </row>
    <row r="998" spans="1:22">
      <c r="A998" s="5" t="s">
        <v>2096</v>
      </c>
      <c r="B998" s="5" t="str">
        <f>GetAddress(A998)</f>
        <v>\\chno0276\Aseguranza de Calidad\Control de Documentos\Doc. controlados PDF\Flow Chart\ITRON\AMSAFE\FC-AMSA-001  004080-0001 al 0012.pdf</v>
      </c>
      <c r="C998" s="5" t="str">
        <f>MID(B998,LEN(B998) - FIND(".",REVERSETEXT(B998))+2,1000)</f>
        <v>pdf</v>
      </c>
      <c r="D998" s="6">
        <v>10</v>
      </c>
      <c r="E998" s="7" t="s">
        <v>1689</v>
      </c>
      <c r="F998" s="7" t="s">
        <v>256</v>
      </c>
      <c r="G998" s="8" t="s">
        <v>23</v>
      </c>
      <c r="H998" s="8">
        <v>5</v>
      </c>
      <c r="I998" s="8" t="s">
        <v>874</v>
      </c>
      <c r="J998" s="8">
        <v>10</v>
      </c>
      <c r="K998" s="8" t="s">
        <v>967</v>
      </c>
      <c r="L998" s="8">
        <v>10</v>
      </c>
      <c r="M998" s="7" t="s">
        <v>968</v>
      </c>
      <c r="N998" s="7" t="s">
        <v>2097</v>
      </c>
      <c r="O998" s="25">
        <v>40983</v>
      </c>
      <c r="P998" s="13" t="s">
        <v>27</v>
      </c>
      <c r="Q998" s="7" t="s">
        <v>2088</v>
      </c>
      <c r="R998" s="13" t="s">
        <v>2062</v>
      </c>
      <c r="S998" s="8" t="s">
        <v>2063</v>
      </c>
      <c r="T998" s="13">
        <v>1</v>
      </c>
      <c r="U998" s="13" t="s">
        <v>2066</v>
      </c>
      <c r="V998" s="7"/>
    </row>
    <row r="999" spans="1:22">
      <c r="A999" s="5" t="s">
        <v>2098</v>
      </c>
      <c r="B999" s="5" t="str">
        <f>GetAddress(A999)</f>
        <v>\\chno0276\Aseguranza de Calidad\Control de Documentos\Doc. controlados PDF\Flow Chart\ITRON\AMSAFE\FC-AMSA -003 0044071-0001.pdf</v>
      </c>
      <c r="C999" s="5" t="str">
        <f>MID(B999,LEN(B999) - FIND(".",REVERSETEXT(B999))+2,1000)</f>
        <v>pdf</v>
      </c>
      <c r="D999" s="6">
        <v>10</v>
      </c>
      <c r="E999" s="7" t="s">
        <v>1689</v>
      </c>
      <c r="F999" s="7" t="s">
        <v>256</v>
      </c>
      <c r="G999" s="8" t="s">
        <v>23</v>
      </c>
      <c r="H999" s="8">
        <v>5</v>
      </c>
      <c r="I999" s="8" t="s">
        <v>874</v>
      </c>
      <c r="J999" s="8">
        <v>10</v>
      </c>
      <c r="K999" s="8" t="s">
        <v>967</v>
      </c>
      <c r="L999" s="8">
        <v>10</v>
      </c>
      <c r="M999" s="7" t="s">
        <v>968</v>
      </c>
      <c r="N999" s="7" t="s">
        <v>2099</v>
      </c>
      <c r="O999" s="25">
        <v>40988</v>
      </c>
      <c r="P999" s="13" t="s">
        <v>27</v>
      </c>
      <c r="Q999" s="7" t="s">
        <v>2100</v>
      </c>
      <c r="R999" s="13" t="s">
        <v>2062</v>
      </c>
      <c r="S999" s="8" t="s">
        <v>2063</v>
      </c>
      <c r="T999" s="13">
        <v>1</v>
      </c>
      <c r="U999" s="13" t="s">
        <v>2066</v>
      </c>
      <c r="V999" s="7"/>
    </row>
    <row r="1000" spans="1:22">
      <c r="A1000" s="5" t="s">
        <v>2101</v>
      </c>
      <c r="B1000" s="5" t="str">
        <f>GetAddress(A1000)</f>
        <v>\\chno0276\Aseguranza de Calidad\Control de Documentos\Doc. controlados PDF\Flow Chart\ITRON\AMSAFE\FC-AMSA -003 0044071-0001.pdf</v>
      </c>
      <c r="C1000" s="5" t="str">
        <f>MID(B1000,LEN(B1000) - FIND(".",REVERSETEXT(B1000))+2,1000)</f>
        <v>pdf</v>
      </c>
      <c r="D1000" s="6">
        <v>10</v>
      </c>
      <c r="E1000" s="7" t="s">
        <v>1689</v>
      </c>
      <c r="F1000" s="7" t="s">
        <v>256</v>
      </c>
      <c r="G1000" s="8" t="s">
        <v>23</v>
      </c>
      <c r="H1000" s="8">
        <v>5</v>
      </c>
      <c r="I1000" s="8" t="s">
        <v>874</v>
      </c>
      <c r="J1000" s="8">
        <v>10</v>
      </c>
      <c r="K1000" s="8" t="s">
        <v>967</v>
      </c>
      <c r="L1000" s="8">
        <v>10</v>
      </c>
      <c r="M1000" s="7" t="s">
        <v>968</v>
      </c>
      <c r="N1000" s="7" t="s">
        <v>2102</v>
      </c>
      <c r="O1000" s="25">
        <v>41012</v>
      </c>
      <c r="P1000" s="13" t="s">
        <v>27</v>
      </c>
      <c r="Q1000" s="7" t="s">
        <v>2103</v>
      </c>
      <c r="R1000" s="13" t="s">
        <v>2062</v>
      </c>
      <c r="S1000" s="8" t="s">
        <v>2063</v>
      </c>
      <c r="T1000" s="13">
        <v>1</v>
      </c>
      <c r="U1000" s="13" t="s">
        <v>2066</v>
      </c>
      <c r="V1000" s="7"/>
    </row>
    <row r="1001" spans="1:22">
      <c r="A1001" s="5" t="s">
        <v>2104</v>
      </c>
      <c r="B1001" s="5" t="str">
        <f>GetAddress(A1001)</f>
        <v>\\chno0276\Aseguranza de Calidad\Control de Documentos\Doc. controlados PDF\Flow Chart\ITRON\AMSAFE\FC-AMSA -003 0044071-0001.pdf</v>
      </c>
      <c r="C1001" s="5" t="str">
        <f>MID(B1001,LEN(B1001) - FIND(".",REVERSETEXT(B1001))+2,1000)</f>
        <v>pdf</v>
      </c>
      <c r="D1001" s="6">
        <v>10</v>
      </c>
      <c r="E1001" s="7" t="s">
        <v>1689</v>
      </c>
      <c r="F1001" s="7" t="s">
        <v>256</v>
      </c>
      <c r="G1001" s="8" t="s">
        <v>23</v>
      </c>
      <c r="H1001" s="8">
        <v>5</v>
      </c>
      <c r="I1001" s="8" t="s">
        <v>874</v>
      </c>
      <c r="J1001" s="8">
        <v>10</v>
      </c>
      <c r="K1001" s="8" t="s">
        <v>967</v>
      </c>
      <c r="L1001" s="8">
        <v>10</v>
      </c>
      <c r="M1001" s="7" t="s">
        <v>968</v>
      </c>
      <c r="N1001" s="7" t="s">
        <v>2105</v>
      </c>
      <c r="O1001" s="25">
        <v>41032</v>
      </c>
      <c r="P1001" s="13" t="s">
        <v>27</v>
      </c>
      <c r="Q1001" s="7" t="s">
        <v>2106</v>
      </c>
      <c r="R1001" s="13" t="s">
        <v>2062</v>
      </c>
      <c r="S1001" s="8" t="s">
        <v>2063</v>
      </c>
      <c r="T1001" s="13">
        <v>1</v>
      </c>
      <c r="U1001" s="13" t="s">
        <v>2066</v>
      </c>
      <c r="V1001" s="7"/>
    </row>
    <row r="1002" spans="1:22">
      <c r="A1002" s="5" t="s">
        <v>2107</v>
      </c>
      <c r="B1002" s="5" t="str">
        <f>GetAddress(A1002)</f>
        <v>\\chno0276\Aseguranza de Calidad\Control de Documentos\Doc. controlados PDF\Flow Chart\ITRON\AMSAFE\FC-AMSA -003 0044071-0001.pdf</v>
      </c>
      <c r="C1002" s="5" t="str">
        <f>MID(B1002,LEN(B1002) - FIND(".",REVERSETEXT(B1002))+2,1000)</f>
        <v>pdf</v>
      </c>
      <c r="D1002" s="6">
        <v>10</v>
      </c>
      <c r="E1002" s="7" t="s">
        <v>1689</v>
      </c>
      <c r="F1002" s="7" t="s">
        <v>256</v>
      </c>
      <c r="G1002" s="8" t="s">
        <v>23</v>
      </c>
      <c r="H1002" s="8">
        <v>5</v>
      </c>
      <c r="I1002" s="8" t="s">
        <v>874</v>
      </c>
      <c r="J1002" s="8">
        <v>10</v>
      </c>
      <c r="K1002" s="8" t="s">
        <v>967</v>
      </c>
      <c r="L1002" s="8">
        <v>10</v>
      </c>
      <c r="M1002" s="7" t="s">
        <v>968</v>
      </c>
      <c r="N1002" s="36" t="s">
        <v>2108</v>
      </c>
      <c r="O1002" s="25">
        <v>41089</v>
      </c>
      <c r="P1002" s="13" t="s">
        <v>27</v>
      </c>
      <c r="Q1002" s="7" t="s">
        <v>2109</v>
      </c>
      <c r="R1002" s="13" t="s">
        <v>2062</v>
      </c>
      <c r="S1002" s="8" t="s">
        <v>2063</v>
      </c>
      <c r="T1002" s="13">
        <v>1</v>
      </c>
      <c r="U1002" s="13" t="s">
        <v>2066</v>
      </c>
      <c r="V1002" s="7"/>
    </row>
    <row r="1003" spans="1:22">
      <c r="A1003" s="5" t="s">
        <v>2110</v>
      </c>
      <c r="B1003" s="5" t="str">
        <f>GetAddress(A1003)</f>
        <v>\\chno0276\Aseguranza de Calidad\Control de Documentos\Doc. controlados PDF\Flow Chart\ITRON\AMSAFE\FC-AMSA -003 0044071-0001.pdf</v>
      </c>
      <c r="C1003" s="5" t="str">
        <f>MID(B1003,LEN(B1003) - FIND(".",REVERSETEXT(B1003))+2,1000)</f>
        <v>pdf</v>
      </c>
      <c r="D1003" s="6">
        <v>10</v>
      </c>
      <c r="E1003" s="7" t="s">
        <v>1689</v>
      </c>
      <c r="F1003" s="7" t="s">
        <v>256</v>
      </c>
      <c r="G1003" s="8" t="s">
        <v>23</v>
      </c>
      <c r="H1003" s="8">
        <v>5</v>
      </c>
      <c r="I1003" s="8" t="s">
        <v>874</v>
      </c>
      <c r="J1003" s="8">
        <v>10</v>
      </c>
      <c r="K1003" s="8" t="s">
        <v>967</v>
      </c>
      <c r="L1003" s="8">
        <v>10</v>
      </c>
      <c r="M1003" s="7" t="s">
        <v>968</v>
      </c>
      <c r="N1003" s="7" t="s">
        <v>2111</v>
      </c>
      <c r="O1003" s="25">
        <v>41101</v>
      </c>
      <c r="P1003" s="13" t="s">
        <v>27</v>
      </c>
      <c r="Q1003" s="7" t="s">
        <v>2112</v>
      </c>
      <c r="R1003" s="13" t="s">
        <v>2062</v>
      </c>
      <c r="S1003" s="8" t="s">
        <v>2063</v>
      </c>
      <c r="T1003" s="13">
        <v>1</v>
      </c>
      <c r="U1003" s="13" t="s">
        <v>2066</v>
      </c>
      <c r="V1003" s="7"/>
    </row>
    <row r="1004" spans="1:22">
      <c r="A1004" s="5" t="s">
        <v>2113</v>
      </c>
      <c r="B1004" s="5" t="str">
        <f>GetAddress(A1004)</f>
        <v>\\chno0276\Aseguranza de Calidad\Control de Documentos\Doc. controlados PDF\Flow Chart\ITRON\AMSAFE\FC-AMSA -003 0044071-0001.pdf</v>
      </c>
      <c r="C1004" s="5" t="str">
        <f>MID(B1004,LEN(B1004) - FIND(".",REVERSETEXT(B1004))+2,1000)</f>
        <v>pdf</v>
      </c>
      <c r="D1004" s="6">
        <v>10</v>
      </c>
      <c r="E1004" s="7" t="s">
        <v>1689</v>
      </c>
      <c r="F1004" s="7" t="s">
        <v>256</v>
      </c>
      <c r="G1004" s="8" t="s">
        <v>23</v>
      </c>
      <c r="H1004" s="8">
        <v>5</v>
      </c>
      <c r="I1004" s="8" t="s">
        <v>874</v>
      </c>
      <c r="J1004" s="8">
        <v>10</v>
      </c>
      <c r="K1004" s="8" t="s">
        <v>967</v>
      </c>
      <c r="L1004" s="8">
        <v>10</v>
      </c>
      <c r="M1004" s="7" t="s">
        <v>968</v>
      </c>
      <c r="N1004" s="7" t="s">
        <v>2114</v>
      </c>
      <c r="O1004" s="25">
        <v>41136</v>
      </c>
      <c r="P1004" s="13" t="s">
        <v>27</v>
      </c>
      <c r="Q1004" s="7" t="s">
        <v>2115</v>
      </c>
      <c r="R1004" s="13" t="s">
        <v>2062</v>
      </c>
      <c r="S1004" s="8" t="s">
        <v>2063</v>
      </c>
      <c r="T1004" s="13">
        <v>1</v>
      </c>
      <c r="U1004" s="13" t="s">
        <v>2066</v>
      </c>
      <c r="V1004" s="7"/>
    </row>
    <row r="1005" spans="1:22">
      <c r="A1005" s="5" t="s">
        <v>2116</v>
      </c>
      <c r="B1005" s="5" t="str">
        <f>GetAddress(A1005)</f>
        <v>\\chno0276\Aseguranza de Calidad\Control de Documentos\Doc. controlados PDF\Flow Chart\ITRON\AMSAFE\FC-AMSA -003 0044071-0001.pdf</v>
      </c>
      <c r="C1005" s="5" t="str">
        <f>MID(B1005,LEN(B1005) - FIND(".",REVERSETEXT(B1005))+2,1000)</f>
        <v>pdf</v>
      </c>
      <c r="D1005" s="6">
        <v>10</v>
      </c>
      <c r="E1005" s="7" t="s">
        <v>1689</v>
      </c>
      <c r="F1005" s="7" t="s">
        <v>256</v>
      </c>
      <c r="G1005" s="8" t="s">
        <v>23</v>
      </c>
      <c r="H1005" s="8">
        <v>5</v>
      </c>
      <c r="I1005" s="8" t="s">
        <v>874</v>
      </c>
      <c r="J1005" s="8">
        <v>10</v>
      </c>
      <c r="K1005" s="8" t="s">
        <v>967</v>
      </c>
      <c r="L1005" s="8">
        <v>10</v>
      </c>
      <c r="M1005" s="7" t="s">
        <v>968</v>
      </c>
      <c r="N1005" s="7" t="s">
        <v>2117</v>
      </c>
      <c r="O1005" s="25">
        <v>41136</v>
      </c>
      <c r="P1005" s="13" t="s">
        <v>27</v>
      </c>
      <c r="Q1005" s="7" t="s">
        <v>2118</v>
      </c>
      <c r="R1005" s="13" t="s">
        <v>2062</v>
      </c>
      <c r="S1005" s="8" t="s">
        <v>2063</v>
      </c>
      <c r="T1005" s="13">
        <v>1</v>
      </c>
      <c r="U1005" s="13" t="s">
        <v>2066</v>
      </c>
      <c r="V1005" s="7"/>
    </row>
    <row r="1006" spans="1:22">
      <c r="A1006" s="5" t="s">
        <v>2119</v>
      </c>
      <c r="B1006" s="5" t="str">
        <f>GetAddress(A1006)</f>
        <v>\\chno0276\Aseguranza de Calidad\Control de Documentos\Doc. controlados PDF\Flow Chart\ITRON\AMSAFE\FC-AMSA -003 0044071-0001.pdf</v>
      </c>
      <c r="C1006" s="5" t="str">
        <f>MID(B1006,LEN(B1006) - FIND(".",REVERSETEXT(B1006))+2,1000)</f>
        <v>pdf</v>
      </c>
      <c r="D1006" s="6">
        <v>10</v>
      </c>
      <c r="E1006" s="7" t="s">
        <v>1689</v>
      </c>
      <c r="F1006" s="7" t="s">
        <v>256</v>
      </c>
      <c r="G1006" s="8" t="s">
        <v>23</v>
      </c>
      <c r="H1006" s="8">
        <v>5</v>
      </c>
      <c r="I1006" s="8" t="s">
        <v>874</v>
      </c>
      <c r="J1006" s="8">
        <v>10</v>
      </c>
      <c r="K1006" s="8" t="s">
        <v>967</v>
      </c>
      <c r="L1006" s="8">
        <v>10</v>
      </c>
      <c r="M1006" s="7" t="s">
        <v>968</v>
      </c>
      <c r="N1006" s="7" t="s">
        <v>2120</v>
      </c>
      <c r="O1006" s="25">
        <v>41138</v>
      </c>
      <c r="P1006" s="13" t="s">
        <v>27</v>
      </c>
      <c r="Q1006" s="7" t="s">
        <v>2121</v>
      </c>
      <c r="R1006" s="13" t="s">
        <v>2062</v>
      </c>
      <c r="S1006" s="8" t="s">
        <v>2063</v>
      </c>
      <c r="T1006" s="13">
        <v>1</v>
      </c>
      <c r="U1006" s="13" t="s">
        <v>2066</v>
      </c>
      <c r="V1006" s="7"/>
    </row>
    <row r="1007" spans="1:22">
      <c r="A1007" s="5" t="s">
        <v>2122</v>
      </c>
      <c r="B1007" s="5" t="str">
        <f>GetAddress(A1007)</f>
        <v>\\chno0276\Aseguranza de Calidad\Control de Documentos\Doc. controlados PDF\Flow Chart\ITRON\AMSAFE\FC-AMSA -003 0044071-0001.pdf</v>
      </c>
      <c r="C1007" s="5" t="str">
        <f>MID(B1007,LEN(B1007) - FIND(".",REVERSETEXT(B1007))+2,1000)</f>
        <v>pdf</v>
      </c>
      <c r="D1007" s="6">
        <v>10</v>
      </c>
      <c r="E1007" s="7" t="s">
        <v>1689</v>
      </c>
      <c r="F1007" s="7" t="s">
        <v>256</v>
      </c>
      <c r="G1007" s="8" t="s">
        <v>23</v>
      </c>
      <c r="H1007" s="8">
        <v>5</v>
      </c>
      <c r="I1007" s="8" t="s">
        <v>874</v>
      </c>
      <c r="J1007" s="8">
        <v>10</v>
      </c>
      <c r="K1007" s="8" t="s">
        <v>967</v>
      </c>
      <c r="L1007" s="8">
        <v>10</v>
      </c>
      <c r="M1007" s="7" t="s">
        <v>968</v>
      </c>
      <c r="N1007" s="7" t="s">
        <v>2123</v>
      </c>
      <c r="O1007" s="25">
        <v>41163</v>
      </c>
      <c r="P1007" s="13" t="s">
        <v>27</v>
      </c>
      <c r="Q1007" s="13" t="s">
        <v>2124</v>
      </c>
      <c r="R1007" s="13" t="s">
        <v>2062</v>
      </c>
      <c r="S1007" s="8" t="s">
        <v>2063</v>
      </c>
      <c r="T1007" s="13">
        <v>1</v>
      </c>
      <c r="U1007" s="13" t="s">
        <v>2066</v>
      </c>
      <c r="V1007" s="7"/>
    </row>
    <row r="1008" spans="1:22">
      <c r="A1008" s="5" t="s">
        <v>1715</v>
      </c>
      <c r="B1008" s="5" t="str">
        <f>GetAddress(A1008)</f>
        <v>\\chno0276\Aseguranza de Calidad\Control de Documentos\Doc. controlados PDF\Flow Chart\ITRON\AMSAFE\FC-AMSA -003 0044071-0001.pdf</v>
      </c>
      <c r="C1008" s="5" t="str">
        <f>MID(B1008,LEN(B1008) - FIND(".",REVERSETEXT(B1008))+2,1000)</f>
        <v>pdf</v>
      </c>
      <c r="D1008" s="6">
        <v>10</v>
      </c>
      <c r="E1008" s="7" t="s">
        <v>1689</v>
      </c>
      <c r="F1008" s="7" t="s">
        <v>256</v>
      </c>
      <c r="G1008" s="8" t="s">
        <v>23</v>
      </c>
      <c r="H1008" s="8">
        <v>5</v>
      </c>
      <c r="I1008" s="8" t="s">
        <v>24</v>
      </c>
      <c r="J1008" s="8">
        <v>12</v>
      </c>
      <c r="K1008" s="8" t="s">
        <v>25</v>
      </c>
      <c r="L1008" s="8">
        <v>4</v>
      </c>
      <c r="M1008" s="7" t="s">
        <v>26</v>
      </c>
      <c r="N1008" s="7" t="s">
        <v>1716</v>
      </c>
      <c r="O1008" s="9">
        <v>40969</v>
      </c>
      <c r="P1008" s="7" t="s">
        <v>27</v>
      </c>
      <c r="Q1008" s="31" t="s">
        <v>1717</v>
      </c>
      <c r="R1008" s="13" t="s">
        <v>1583</v>
      </c>
      <c r="S1008" s="8" t="s">
        <v>1584</v>
      </c>
      <c r="T1008" s="7">
        <v>1</v>
      </c>
      <c r="U1008" s="7" t="s">
        <v>611</v>
      </c>
      <c r="V1008" s="7"/>
    </row>
    <row r="1009" spans="1:22">
      <c r="A1009" s="5" t="s">
        <v>2125</v>
      </c>
      <c r="B1009" s="5" t="str">
        <f>GetAddress(A1009)</f>
        <v>\\chno0276\Aseguranza de Calidad\Control de Documentos\Doc. controlados PDF\Flow Chart\ITRON\AMSAFE\FC-AMSA -003 0044071-0001.pdf</v>
      </c>
      <c r="C1009" s="5" t="str">
        <f>MID(B1009,LEN(B1009) - FIND(".",REVERSETEXT(B1009))+2,1000)</f>
        <v>pdf</v>
      </c>
      <c r="D1009" s="6">
        <v>10</v>
      </c>
      <c r="E1009" s="7" t="s">
        <v>1689</v>
      </c>
      <c r="F1009" s="7" t="s">
        <v>256</v>
      </c>
      <c r="G1009" s="8" t="s">
        <v>23</v>
      </c>
      <c r="H1009" s="8">
        <v>5</v>
      </c>
      <c r="I1009" s="8" t="s">
        <v>2126</v>
      </c>
      <c r="J1009" s="8">
        <v>36</v>
      </c>
      <c r="K1009" s="8" t="s">
        <v>2126</v>
      </c>
      <c r="L1009" s="8">
        <v>26</v>
      </c>
      <c r="M1009" s="7" t="s">
        <v>2127</v>
      </c>
      <c r="N1009" s="7" t="s">
        <v>2128</v>
      </c>
      <c r="O1009" s="9">
        <v>40927</v>
      </c>
      <c r="P1009" s="7" t="s">
        <v>27</v>
      </c>
      <c r="Q1009" s="7" t="s">
        <v>2129</v>
      </c>
      <c r="R1009" s="13" t="s">
        <v>2062</v>
      </c>
      <c r="S1009" s="8" t="s">
        <v>2063</v>
      </c>
      <c r="T1009" s="7">
        <v>1</v>
      </c>
      <c r="U1009" s="13" t="s">
        <v>2066</v>
      </c>
      <c r="V1009" s="7"/>
    </row>
    <row r="1010" spans="1:22">
      <c r="A1010" s="5" t="s">
        <v>2130</v>
      </c>
      <c r="B1010" s="5" t="str">
        <f>GetAddress(A1010)</f>
        <v>\\chno0276\Aseguranza de Calidad\Control de Documentos\Doc. controlados PDF\Flow Chart\ITRON\AMSAFE\FC-AMSA -003 0044071-0001.pdf</v>
      </c>
      <c r="C1010" s="5" t="str">
        <f>MID(B1010,LEN(B1010) - FIND(".",REVERSETEXT(B1010))+2,1000)</f>
        <v>pdf</v>
      </c>
      <c r="D1010" s="6">
        <v>10</v>
      </c>
      <c r="E1010" s="7" t="s">
        <v>1689</v>
      </c>
      <c r="F1010" s="7" t="s">
        <v>256</v>
      </c>
      <c r="G1010" s="8" t="s">
        <v>23</v>
      </c>
      <c r="H1010" s="8">
        <v>5</v>
      </c>
      <c r="I1010" s="8" t="s">
        <v>2126</v>
      </c>
      <c r="J1010" s="8">
        <v>36</v>
      </c>
      <c r="K1010" s="8" t="s">
        <v>2126</v>
      </c>
      <c r="L1010" s="8">
        <v>26</v>
      </c>
      <c r="M1010" s="7" t="s">
        <v>2127</v>
      </c>
      <c r="N1010" s="7" t="s">
        <v>2131</v>
      </c>
      <c r="O1010" s="9">
        <v>40961</v>
      </c>
      <c r="P1010" s="7" t="s">
        <v>27</v>
      </c>
      <c r="Q1010" s="7" t="s">
        <v>2132</v>
      </c>
      <c r="R1010" s="13" t="s">
        <v>2062</v>
      </c>
      <c r="S1010" s="8" t="s">
        <v>2063</v>
      </c>
      <c r="T1010" s="7">
        <v>1</v>
      </c>
      <c r="U1010" s="13" t="s">
        <v>2066</v>
      </c>
      <c r="V1010" s="7"/>
    </row>
    <row r="1011" spans="1:22">
      <c r="A1011" s="5" t="s">
        <v>2133</v>
      </c>
      <c r="B1011" s="5" t="str">
        <f>GetAddress(A1011)</f>
        <v>\\chno0276\Aseguranza de Calidad\Control de Documentos\Doc. controlados PDF\Flow Chart\ITRON\AMSAFE\FC-AMSA -003 0044071-0001.pdf</v>
      </c>
      <c r="C1011" s="5" t="str">
        <f>MID(B1011,LEN(B1011) - FIND(".",REVERSETEXT(B1011))+2,1000)</f>
        <v>pdf</v>
      </c>
      <c r="D1011" s="6">
        <v>10</v>
      </c>
      <c r="E1011" s="7" t="s">
        <v>1689</v>
      </c>
      <c r="F1011" s="7" t="s">
        <v>256</v>
      </c>
      <c r="G1011" s="8" t="s">
        <v>23</v>
      </c>
      <c r="H1011" s="8">
        <v>5</v>
      </c>
      <c r="I1011" s="8" t="s">
        <v>2126</v>
      </c>
      <c r="J1011" s="8">
        <v>36</v>
      </c>
      <c r="K1011" s="8" t="s">
        <v>2126</v>
      </c>
      <c r="L1011" s="8">
        <v>26</v>
      </c>
      <c r="M1011" s="7" t="s">
        <v>2127</v>
      </c>
      <c r="N1011" s="7" t="s">
        <v>2134</v>
      </c>
      <c r="O1011" s="9">
        <v>40970</v>
      </c>
      <c r="P1011" s="7" t="s">
        <v>27</v>
      </c>
      <c r="Q1011" s="7" t="s">
        <v>2135</v>
      </c>
      <c r="R1011" s="13" t="s">
        <v>2062</v>
      </c>
      <c r="S1011" s="8" t="s">
        <v>2063</v>
      </c>
      <c r="T1011" s="7">
        <v>1</v>
      </c>
      <c r="U1011" s="13" t="s">
        <v>2066</v>
      </c>
      <c r="V1011" s="7"/>
    </row>
    <row r="1012" spans="1:22">
      <c r="A1012" s="5" t="s">
        <v>2136</v>
      </c>
      <c r="B1012" s="5" t="str">
        <f>GetAddress(A1012)</f>
        <v>\\chno0276\Aseguranza de Calidad\Control de Documentos\Doc. controlados PDF\Flow Chart\ITRON\AMSAFE\FC-AMSA -003 0044071-0001.pdf</v>
      </c>
      <c r="C1012" s="5" t="str">
        <f>MID(B1012,LEN(B1012) - FIND(".",REVERSETEXT(B1012))+2,1000)</f>
        <v>pdf</v>
      </c>
      <c r="D1012" s="6">
        <v>10</v>
      </c>
      <c r="E1012" s="7" t="s">
        <v>1689</v>
      </c>
      <c r="F1012" s="7" t="s">
        <v>256</v>
      </c>
      <c r="G1012" s="8" t="s">
        <v>23</v>
      </c>
      <c r="H1012" s="8">
        <v>5</v>
      </c>
      <c r="I1012" s="8" t="s">
        <v>2126</v>
      </c>
      <c r="J1012" s="8">
        <v>36</v>
      </c>
      <c r="K1012" s="8" t="s">
        <v>2126</v>
      </c>
      <c r="L1012" s="8">
        <v>26</v>
      </c>
      <c r="M1012" s="7" t="s">
        <v>2127</v>
      </c>
      <c r="N1012" s="7" t="s">
        <v>2137</v>
      </c>
      <c r="O1012" s="9">
        <v>41020</v>
      </c>
      <c r="P1012" s="7" t="s">
        <v>27</v>
      </c>
      <c r="Q1012" s="7" t="s">
        <v>2138</v>
      </c>
      <c r="R1012" s="13" t="s">
        <v>2062</v>
      </c>
      <c r="S1012" s="8" t="s">
        <v>2063</v>
      </c>
      <c r="T1012" s="7">
        <v>1</v>
      </c>
      <c r="U1012" s="13" t="s">
        <v>2066</v>
      </c>
      <c r="V1012" s="7"/>
    </row>
    <row r="1013" spans="1:22">
      <c r="A1013" s="5" t="s">
        <v>2139</v>
      </c>
      <c r="B1013" s="5" t="str">
        <f>GetAddress(A1013)</f>
        <v>\\CHNO0276\Aseguranza de Calidad\Control de Documentos\Doc. controlados PDF\Quality Alerts\ITRON\MULTICELL A&amp;B\QA-IMA-001 Rev. A CBA &amp; CON Pines mal sentados.pdf</v>
      </c>
      <c r="C1013" s="5" t="str">
        <f>MID(B1013,LEN(B1013) - FIND(".",REVERSETEXT(B1013))+2,1000)</f>
        <v>pdf</v>
      </c>
      <c r="D1013" s="6">
        <v>10</v>
      </c>
      <c r="E1013" s="7" t="s">
        <v>1689</v>
      </c>
      <c r="F1013" s="7" t="s">
        <v>256</v>
      </c>
      <c r="G1013" s="8" t="s">
        <v>23</v>
      </c>
      <c r="H1013" s="8">
        <v>5</v>
      </c>
      <c r="I1013" s="8" t="s">
        <v>257</v>
      </c>
      <c r="J1013" s="8">
        <v>9</v>
      </c>
      <c r="K1013" s="8" t="s">
        <v>258</v>
      </c>
      <c r="L1013" s="8">
        <v>8</v>
      </c>
      <c r="M1013" s="7" t="s">
        <v>259</v>
      </c>
      <c r="N1013" s="7" t="s">
        <v>2140</v>
      </c>
      <c r="O1013" s="9">
        <v>41001</v>
      </c>
      <c r="P1013" s="7" t="s">
        <v>27</v>
      </c>
      <c r="Q1013" s="7" t="s">
        <v>2141</v>
      </c>
      <c r="R1013" s="13" t="s">
        <v>2062</v>
      </c>
      <c r="S1013" s="8" t="s">
        <v>2063</v>
      </c>
      <c r="T1013" s="7">
        <v>1</v>
      </c>
      <c r="U1013" s="13" t="s">
        <v>2066</v>
      </c>
      <c r="V1013" s="7"/>
    </row>
    <row r="1014" spans="1:22">
      <c r="A1014" s="5" t="s">
        <v>2142</v>
      </c>
      <c r="B1014" s="5" t="str">
        <f>GetAddress(A1014)</f>
        <v>\\CHNO0276\Aseguranza de Calidad\Control de Documentos\Doc. controlados PDF\Quality Alerts\ITRON\MULTICELL A&amp;B\QA-IMA-002 Rev. A  CON- contacto dañado_).pdf</v>
      </c>
      <c r="C1014" s="5" t="str">
        <f>MID(B1014,LEN(B1014) - FIND(".",REVERSETEXT(B1014))+2,1000)</f>
        <v>pdf</v>
      </c>
      <c r="D1014" s="6">
        <v>10</v>
      </c>
      <c r="E1014" s="7" t="s">
        <v>1689</v>
      </c>
      <c r="F1014" s="7" t="s">
        <v>256</v>
      </c>
      <c r="G1014" s="8" t="s">
        <v>23</v>
      </c>
      <c r="H1014" s="8">
        <v>5</v>
      </c>
      <c r="I1014" s="8" t="s">
        <v>257</v>
      </c>
      <c r="J1014" s="8">
        <v>9</v>
      </c>
      <c r="K1014" s="8" t="s">
        <v>258</v>
      </c>
      <c r="L1014" s="8">
        <v>8</v>
      </c>
      <c r="M1014" s="7" t="s">
        <v>259</v>
      </c>
      <c r="N1014" s="7" t="s">
        <v>2143</v>
      </c>
      <c r="O1014" s="9">
        <v>41015</v>
      </c>
      <c r="P1014" s="7" t="s">
        <v>27</v>
      </c>
      <c r="Q1014" s="7" t="s">
        <v>2144</v>
      </c>
      <c r="R1014" s="13" t="s">
        <v>2062</v>
      </c>
      <c r="S1014" s="8" t="s">
        <v>2063</v>
      </c>
      <c r="T1014" s="7">
        <v>1</v>
      </c>
      <c r="U1014" s="13" t="s">
        <v>2066</v>
      </c>
      <c r="V1014" s="7"/>
    </row>
    <row r="1015" spans="1:22">
      <c r="A1015" s="5" t="s">
        <v>2145</v>
      </c>
      <c r="B1015" s="5" t="str">
        <f>GetAddress(A1015)</f>
        <v>\\CHNO0276\Aseguranza de Calidad\Control de Documentos\Doc. controlados PDF\Quality Alerts\ITRON\MULTICELL A&amp;B\QA-IMA-004 Rev. A CBA-1300- Contactos doblados.pdf</v>
      </c>
      <c r="C1015" s="5" t="str">
        <f>MID(B1015,LEN(B1015) - FIND(".",REVERSETEXT(B1015))+2,1000)</f>
        <v>pdf</v>
      </c>
      <c r="D1015" s="6">
        <v>10</v>
      </c>
      <c r="E1015" s="7" t="s">
        <v>1689</v>
      </c>
      <c r="F1015" s="7" t="s">
        <v>256</v>
      </c>
      <c r="G1015" s="8" t="s">
        <v>23</v>
      </c>
      <c r="H1015" s="8">
        <v>5</v>
      </c>
      <c r="I1015" s="8" t="s">
        <v>257</v>
      </c>
      <c r="J1015" s="8">
        <v>9</v>
      </c>
      <c r="K1015" s="8" t="s">
        <v>258</v>
      </c>
      <c r="L1015" s="8">
        <v>8</v>
      </c>
      <c r="M1015" s="7" t="s">
        <v>259</v>
      </c>
      <c r="N1015" s="7" t="s">
        <v>1763</v>
      </c>
      <c r="O1015" s="9">
        <v>40934</v>
      </c>
      <c r="P1015" s="7" t="s">
        <v>27</v>
      </c>
      <c r="Q1015" s="7" t="s">
        <v>2146</v>
      </c>
      <c r="R1015" s="13" t="s">
        <v>2062</v>
      </c>
      <c r="S1015" s="8" t="s">
        <v>2063</v>
      </c>
      <c r="T1015" s="7">
        <v>1</v>
      </c>
      <c r="U1015" s="13" t="s">
        <v>2066</v>
      </c>
      <c r="V1015" s="7"/>
    </row>
    <row r="1016" spans="1:22">
      <c r="A1016" s="5" t="s">
        <v>2147</v>
      </c>
      <c r="B1016" s="5" t="str">
        <f>GetAddress(A1016)</f>
        <v>\\CHNO0276\Aseguranza de Calidad\Control de Documentos\Doc. controlados PDF\Quality Alerts\ITRON\MULTICELL A&amp;B\QA-IMA-004 Rev. A CBA-1300- Contactos doblados.pdf</v>
      </c>
      <c r="C1016" s="5" t="str">
        <f>MID(B1016,LEN(B1016) - FIND(".",REVERSETEXT(B1016))+2,1000)</f>
        <v>pdf</v>
      </c>
      <c r="D1016" s="6">
        <v>10</v>
      </c>
      <c r="E1016" s="7" t="s">
        <v>1689</v>
      </c>
      <c r="F1016" s="7" t="s">
        <v>256</v>
      </c>
      <c r="G1016" s="8" t="s">
        <v>23</v>
      </c>
      <c r="H1016" s="8">
        <v>5</v>
      </c>
      <c r="I1016" s="8" t="s">
        <v>257</v>
      </c>
      <c r="J1016" s="8">
        <v>9</v>
      </c>
      <c r="K1016" s="8" t="s">
        <v>258</v>
      </c>
      <c r="L1016" s="8">
        <v>8</v>
      </c>
      <c r="M1016" s="7" t="s">
        <v>259</v>
      </c>
      <c r="N1016" s="7" t="s">
        <v>2148</v>
      </c>
      <c r="O1016" s="9">
        <v>40968</v>
      </c>
      <c r="P1016" s="7" t="s">
        <v>27</v>
      </c>
      <c r="Q1016" s="7" t="s">
        <v>2149</v>
      </c>
      <c r="R1016" s="13" t="s">
        <v>2062</v>
      </c>
      <c r="S1016" s="8" t="s">
        <v>2063</v>
      </c>
      <c r="T1016" s="7">
        <v>1</v>
      </c>
      <c r="U1016" s="13" t="s">
        <v>2066</v>
      </c>
      <c r="V1016" s="7"/>
    </row>
    <row r="1017" spans="1:22">
      <c r="A1017" s="5" t="s">
        <v>2150</v>
      </c>
      <c r="B1017" s="5" t="str">
        <f>GetAddress(A1017)</f>
        <v>\\chno0276\Aseguranza de Calidad\Control de Documentos\Doc. controlados PDF\Quality Alerts\ITRON\MULTICELL A&amp;B\QA-IMA-005 Rev. A CBA Contactos dañados.pdf</v>
      </c>
      <c r="C1017" s="5" t="str">
        <f>MID(B1017,LEN(B1017) - FIND(".",REVERSETEXT(B1017))+2,1000)</f>
        <v>pdf</v>
      </c>
      <c r="D1017" s="6">
        <v>10</v>
      </c>
      <c r="E1017" s="7" t="s">
        <v>1689</v>
      </c>
      <c r="F1017" s="7" t="s">
        <v>256</v>
      </c>
      <c r="G1017" s="8" t="s">
        <v>23</v>
      </c>
      <c r="H1017" s="8">
        <v>5</v>
      </c>
      <c r="I1017" s="8" t="s">
        <v>257</v>
      </c>
      <c r="J1017" s="8">
        <v>9</v>
      </c>
      <c r="K1017" s="8" t="s">
        <v>258</v>
      </c>
      <c r="L1017" s="8">
        <v>8</v>
      </c>
      <c r="M1017" s="7" t="s">
        <v>259</v>
      </c>
      <c r="N1017" s="7" t="s">
        <v>2151</v>
      </c>
      <c r="O1017" s="9">
        <v>40961</v>
      </c>
      <c r="P1017" s="7" t="s">
        <v>27</v>
      </c>
      <c r="Q1017" s="7" t="s">
        <v>2152</v>
      </c>
      <c r="R1017" s="13" t="s">
        <v>2062</v>
      </c>
      <c r="S1017" s="8" t="s">
        <v>2063</v>
      </c>
      <c r="T1017" s="7">
        <v>1</v>
      </c>
      <c r="U1017" s="13" t="s">
        <v>2066</v>
      </c>
      <c r="V1017" s="7"/>
    </row>
    <row r="1018" spans="1:22">
      <c r="A1018" s="5" t="s">
        <v>2153</v>
      </c>
      <c r="B1018" s="5" t="str">
        <f>GetAddress(A1018)</f>
        <v>\\chno0276\Aseguranza de Calidad\Control de Documentos\Doc. controlados PDF\Flow Chart\MICROMINI\CHANGE-OUT\FC-CHGO-002  CX8653312P.pdf</v>
      </c>
      <c r="C1018" s="5" t="str">
        <f>MID(B1018,LEN(B1018) - FIND(".",REVERSETEXT(B1018))+2,1000)</f>
        <v>pdf</v>
      </c>
      <c r="D1018" s="6">
        <v>10</v>
      </c>
      <c r="E1018" s="7" t="s">
        <v>1689</v>
      </c>
      <c r="F1018" s="7" t="s">
        <v>256</v>
      </c>
      <c r="G1018" s="8" t="s">
        <v>23</v>
      </c>
      <c r="H1018" s="8">
        <v>5</v>
      </c>
      <c r="I1018" s="8" t="s">
        <v>257</v>
      </c>
      <c r="J1018" s="8">
        <v>9</v>
      </c>
      <c r="K1018" s="8" t="s">
        <v>258</v>
      </c>
      <c r="L1018" s="8">
        <v>8</v>
      </c>
      <c r="M1018" s="7" t="s">
        <v>259</v>
      </c>
      <c r="N1018" s="7" t="s">
        <v>2154</v>
      </c>
      <c r="O1018" s="9">
        <v>40959</v>
      </c>
      <c r="P1018" s="7" t="s">
        <v>27</v>
      </c>
      <c r="Q1018" s="7" t="s">
        <v>2144</v>
      </c>
      <c r="R1018" s="13" t="s">
        <v>2062</v>
      </c>
      <c r="S1018" s="8" t="s">
        <v>2063</v>
      </c>
      <c r="T1018" s="7">
        <v>1</v>
      </c>
      <c r="U1018" s="13" t="s">
        <v>2066</v>
      </c>
      <c r="V1018" s="7"/>
    </row>
    <row r="1019" spans="1:22">
      <c r="A1019" s="5" t="s">
        <v>2155</v>
      </c>
      <c r="B1019" s="5" t="str">
        <f>GetAddress(A1019)</f>
        <v>\\chno0276\Aseguranza de Calidad\Control de Documentos\Doc. controlados PDF\Flow Chart\MICROMINI\CHANGE-OUT\FC-CHGO-002  CX8653312P.pdf</v>
      </c>
      <c r="C1019" s="5" t="str">
        <f>MID(B1019,LEN(B1019) - FIND(".",REVERSETEXT(B1019))+2,1000)</f>
        <v>pdf</v>
      </c>
      <c r="D1019" s="6">
        <v>10</v>
      </c>
      <c r="E1019" s="7" t="s">
        <v>1689</v>
      </c>
      <c r="F1019" s="7" t="s">
        <v>256</v>
      </c>
      <c r="G1019" s="8" t="s">
        <v>23</v>
      </c>
      <c r="H1019" s="8">
        <v>5</v>
      </c>
      <c r="I1019" s="8" t="s">
        <v>257</v>
      </c>
      <c r="J1019" s="8">
        <v>9</v>
      </c>
      <c r="K1019" s="8" t="s">
        <v>258</v>
      </c>
      <c r="L1019" s="8">
        <v>8</v>
      </c>
      <c r="M1019" s="7" t="s">
        <v>259</v>
      </c>
      <c r="N1019" s="7" t="s">
        <v>2156</v>
      </c>
      <c r="O1019" s="9">
        <v>41010</v>
      </c>
      <c r="P1019" s="7" t="s">
        <v>27</v>
      </c>
      <c r="Q1019" s="7" t="s">
        <v>2141</v>
      </c>
      <c r="R1019" s="13" t="s">
        <v>2062</v>
      </c>
      <c r="S1019" s="8" t="s">
        <v>2063</v>
      </c>
      <c r="T1019" s="7">
        <v>1</v>
      </c>
      <c r="U1019" s="13" t="s">
        <v>2066</v>
      </c>
      <c r="V1019" s="7"/>
    </row>
    <row r="1020" spans="1:22">
      <c r="A1020" s="5" t="s">
        <v>2157</v>
      </c>
      <c r="B1020" s="5" t="str">
        <f>GetAddress(A1020)</f>
        <v>\\chno0276\Aseguranza de Calidad\Control de Documentos\Doc. controlados PDF\Flow Chart\MICROMINI\CHANGE-OUT\FC-CHGO-002  CX8653312P.pdf</v>
      </c>
      <c r="C1020" s="5" t="str">
        <f>MID(B1020,LEN(B1020) - FIND(".",REVERSETEXT(B1020))+2,1000)</f>
        <v>pdf</v>
      </c>
      <c r="D1020" s="6">
        <v>10</v>
      </c>
      <c r="E1020" s="7" t="s">
        <v>1689</v>
      </c>
      <c r="F1020" s="7" t="s">
        <v>256</v>
      </c>
      <c r="G1020" s="8" t="s">
        <v>23</v>
      </c>
      <c r="H1020" s="8">
        <v>5</v>
      </c>
      <c r="I1020" s="8" t="s">
        <v>257</v>
      </c>
      <c r="J1020" s="8">
        <v>9</v>
      </c>
      <c r="K1020" s="8" t="s">
        <v>1090</v>
      </c>
      <c r="L1020" s="8">
        <v>9</v>
      </c>
      <c r="M1020" s="7" t="s">
        <v>1091</v>
      </c>
      <c r="N1020" s="7" t="s">
        <v>2158</v>
      </c>
      <c r="O1020" s="9">
        <v>40919</v>
      </c>
      <c r="P1020" s="7" t="s">
        <v>27</v>
      </c>
      <c r="Q1020" s="7"/>
      <c r="R1020" s="13" t="s">
        <v>2062</v>
      </c>
      <c r="S1020" s="8" t="s">
        <v>2063</v>
      </c>
      <c r="T1020" s="7">
        <v>1</v>
      </c>
      <c r="U1020" s="13" t="s">
        <v>2066</v>
      </c>
      <c r="V1020" s="7"/>
    </row>
    <row r="1021" spans="1:22">
      <c r="A1021" s="5" t="s">
        <v>2159</v>
      </c>
      <c r="B1021" s="5" t="str">
        <f>GetAddress(A1021)</f>
        <v>\\CHNO0276\Aseguranza de Calidad\Control de Documentos\Doc. controlados PDF\Quality Alerts\ITRON\MULTICELL A&amp;B\QA-IMB-002 Rev. A 28-2266-0001 Pieza incorrecta  longitud total  corta.pdf</v>
      </c>
      <c r="C1021" s="5" t="str">
        <f>MID(B1021,LEN(B1021) - FIND(".",REVERSETEXT(B1021))+2,1000)</f>
        <v>pdf</v>
      </c>
      <c r="D1021" s="6">
        <v>10</v>
      </c>
      <c r="E1021" s="7" t="s">
        <v>1689</v>
      </c>
      <c r="F1021" s="7" t="s">
        <v>256</v>
      </c>
      <c r="G1021" s="8" t="s">
        <v>23</v>
      </c>
      <c r="H1021" s="8">
        <v>5</v>
      </c>
      <c r="I1021" s="8" t="s">
        <v>257</v>
      </c>
      <c r="J1021" s="8">
        <v>9</v>
      </c>
      <c r="K1021" s="8" t="s">
        <v>1090</v>
      </c>
      <c r="L1021" s="8">
        <v>9</v>
      </c>
      <c r="M1021" s="7" t="s">
        <v>1091</v>
      </c>
      <c r="N1021" s="7" t="s">
        <v>2160</v>
      </c>
      <c r="O1021" s="9">
        <v>40976</v>
      </c>
      <c r="P1021" s="7" t="s">
        <v>27</v>
      </c>
      <c r="Q1021" s="7" t="s">
        <v>2161</v>
      </c>
      <c r="R1021" s="13" t="s">
        <v>2062</v>
      </c>
      <c r="S1021" s="8" t="s">
        <v>2063</v>
      </c>
      <c r="T1021" s="7">
        <v>1</v>
      </c>
      <c r="U1021" s="13" t="s">
        <v>2066</v>
      </c>
      <c r="V1021" s="7"/>
    </row>
    <row r="1022" spans="1:22">
      <c r="A1022" s="5" t="s">
        <v>2162</v>
      </c>
      <c r="B1022" s="5" t="str">
        <f>GetAddress(A1022)</f>
        <v>\\chno0276\Aseguranza de Calidad\Control de Documentos\Doc. controlados PDF\Flow Chart\MICROMINI\CHANGE-OUT\FC-CHGO-002  CX8653312P.pdf</v>
      </c>
      <c r="C1022" s="5" t="str">
        <f>MID(B1022,LEN(B1022) - FIND(".",REVERSETEXT(B1022))+2,1000)</f>
        <v>pdf</v>
      </c>
      <c r="D1022" s="6">
        <v>10</v>
      </c>
      <c r="E1022" s="7" t="s">
        <v>1689</v>
      </c>
      <c r="F1022" s="7" t="s">
        <v>256</v>
      </c>
      <c r="G1022" s="8" t="s">
        <v>23</v>
      </c>
      <c r="H1022" s="8">
        <v>5</v>
      </c>
      <c r="I1022" s="8" t="s">
        <v>257</v>
      </c>
      <c r="J1022" s="8">
        <v>9</v>
      </c>
      <c r="K1022" s="8" t="s">
        <v>1090</v>
      </c>
      <c r="L1022" s="8">
        <v>9</v>
      </c>
      <c r="M1022" s="7" t="s">
        <v>1091</v>
      </c>
      <c r="N1022" s="7" t="s">
        <v>2163</v>
      </c>
      <c r="O1022" s="9">
        <v>40996</v>
      </c>
      <c r="P1022" s="7" t="s">
        <v>27</v>
      </c>
      <c r="Q1022" s="7" t="s">
        <v>2164</v>
      </c>
      <c r="R1022" s="13" t="s">
        <v>2062</v>
      </c>
      <c r="S1022" s="8" t="s">
        <v>2063</v>
      </c>
      <c r="T1022" s="7">
        <v>1</v>
      </c>
      <c r="U1022" s="13" t="s">
        <v>2066</v>
      </c>
      <c r="V1022" s="7"/>
    </row>
    <row r="1023" spans="1:22">
      <c r="A1023" s="5" t="s">
        <v>2165</v>
      </c>
      <c r="B1023" s="5" t="str">
        <f>GetAddress(A1023)</f>
        <v>\\chno0276\Aseguranza de Calidad\Control de Documentos\Doc. controlados PDF\Flow Chart\MICROMINI\CHANGE-OUT\FC-CHGO-002  CX8653312P.pdf</v>
      </c>
      <c r="C1023" s="5" t="str">
        <f>MID(B1023,LEN(B1023) - FIND(".",REVERSETEXT(B1023))+2,1000)</f>
        <v>pdf</v>
      </c>
      <c r="D1023" s="6">
        <v>10</v>
      </c>
      <c r="E1023" s="7" t="s">
        <v>1689</v>
      </c>
      <c r="F1023" s="7" t="s">
        <v>256</v>
      </c>
      <c r="G1023" s="8" t="s">
        <v>23</v>
      </c>
      <c r="H1023" s="8">
        <v>5</v>
      </c>
      <c r="I1023" s="8" t="s">
        <v>257</v>
      </c>
      <c r="J1023" s="8">
        <v>9</v>
      </c>
      <c r="K1023" s="8" t="s">
        <v>1090</v>
      </c>
      <c r="L1023" s="8">
        <v>9</v>
      </c>
      <c r="M1023" s="7" t="s">
        <v>1091</v>
      </c>
      <c r="N1023" s="7" t="s">
        <v>2166</v>
      </c>
      <c r="O1023" s="9">
        <v>41078</v>
      </c>
      <c r="P1023" s="7" t="s">
        <v>27</v>
      </c>
      <c r="Q1023" s="7" t="s">
        <v>2167</v>
      </c>
      <c r="R1023" s="13" t="s">
        <v>2062</v>
      </c>
      <c r="S1023" s="8" t="s">
        <v>2063</v>
      </c>
      <c r="T1023" s="7">
        <v>1</v>
      </c>
      <c r="U1023" s="13" t="s">
        <v>2066</v>
      </c>
      <c r="V1023" s="7"/>
    </row>
    <row r="1024" spans="1:22">
      <c r="A1024" s="5" t="s">
        <v>2168</v>
      </c>
      <c r="B1024" s="20" t="str">
        <f>GetAddress(A1024)</f>
        <v>\\chno0276\Aseguranza de Calidad\Control de Documentos\Doc. controlados PDF\Flow Chart\MICROMINI\CHANGE-OUT\FC-CHGO-002  CX8653312P.pdf</v>
      </c>
      <c r="C1024" s="20" t="str">
        <f>MID(B1024,LEN(B1024) - FIND(".",REVERSETEXT(B1024))+2,1000)</f>
        <v>pdf</v>
      </c>
      <c r="D1024" s="6">
        <v>10</v>
      </c>
      <c r="E1024" s="7" t="s">
        <v>1689</v>
      </c>
      <c r="F1024" s="7" t="s">
        <v>256</v>
      </c>
      <c r="G1024" s="8" t="s">
        <v>23</v>
      </c>
      <c r="H1024" s="8">
        <v>5</v>
      </c>
      <c r="I1024" s="8" t="s">
        <v>257</v>
      </c>
      <c r="J1024" s="8">
        <v>9</v>
      </c>
      <c r="K1024" s="8" t="s">
        <v>1090</v>
      </c>
      <c r="L1024" s="8">
        <v>9</v>
      </c>
      <c r="M1024" s="7" t="s">
        <v>1091</v>
      </c>
      <c r="N1024" s="7" t="s">
        <v>2169</v>
      </c>
      <c r="O1024" s="7"/>
      <c r="P1024" s="7" t="s">
        <v>27</v>
      </c>
      <c r="Q1024" s="7" t="s">
        <v>2170</v>
      </c>
      <c r="R1024" s="13" t="s">
        <v>2062</v>
      </c>
      <c r="S1024" s="8" t="s">
        <v>2063</v>
      </c>
      <c r="T1024" s="7">
        <v>1</v>
      </c>
      <c r="U1024" s="13" t="s">
        <v>2066</v>
      </c>
      <c r="V1024" s="7"/>
    </row>
    <row r="1025" spans="1:22">
      <c r="A1025" s="5" t="s">
        <v>2171</v>
      </c>
      <c r="B1025" s="20" t="str">
        <f>GetAddress(A1025)</f>
        <v>\\chno0276\Aseguranza de Calidad\Control de Documentos\Doc. controlados PDF\Flow Chart\MICROMINI\CHANGE-OUT\FC-CHGO-002  CX8653312P.pdf</v>
      </c>
      <c r="C1025" s="20" t="str">
        <f>MID(B1025,LEN(B1025) - FIND(".",REVERSETEXT(B1025))+2,1000)</f>
        <v>pdf</v>
      </c>
      <c r="D1025" s="6">
        <v>10</v>
      </c>
      <c r="E1025" s="7" t="s">
        <v>1689</v>
      </c>
      <c r="F1025" s="7" t="s">
        <v>256</v>
      </c>
      <c r="G1025" s="8" t="s">
        <v>23</v>
      </c>
      <c r="H1025" s="8">
        <v>5</v>
      </c>
      <c r="I1025" s="8" t="s">
        <v>257</v>
      </c>
      <c r="J1025" s="8">
        <v>9</v>
      </c>
      <c r="K1025" s="8" t="s">
        <v>1090</v>
      </c>
      <c r="L1025" s="8">
        <v>9</v>
      </c>
      <c r="M1025" s="7" t="s">
        <v>1091</v>
      </c>
      <c r="N1025" s="7" t="s">
        <v>2172</v>
      </c>
      <c r="O1025" s="7"/>
      <c r="P1025" s="7" t="s">
        <v>27</v>
      </c>
      <c r="Q1025" s="7" t="s">
        <v>2173</v>
      </c>
      <c r="R1025" s="13" t="s">
        <v>2062</v>
      </c>
      <c r="S1025" s="8" t="s">
        <v>2063</v>
      </c>
      <c r="T1025" s="7">
        <v>1</v>
      </c>
      <c r="U1025" s="13" t="s">
        <v>2066</v>
      </c>
      <c r="V1025" s="7"/>
    </row>
    <row r="1026" spans="1:22">
      <c r="A1026" s="5" t="s">
        <v>2174</v>
      </c>
      <c r="B1026" s="5" t="str">
        <f>GetAddress(A1026)</f>
        <v>\\chno0276\Aseguranza de Calidad\Control de Documentos\Doc. controlados PDF\Flow Chart\MICROMINI\CHANGE-OUT\FC-CHGO-002  CX8653312P.pdf</v>
      </c>
      <c r="C1026" s="5" t="str">
        <f>MID(B1026,LEN(B1026) - FIND(".",REVERSETEXT(B1026))+2,1000)</f>
        <v>pdf</v>
      </c>
      <c r="D1026" s="6">
        <v>10</v>
      </c>
      <c r="E1026" s="7" t="s">
        <v>1689</v>
      </c>
      <c r="F1026" s="7" t="s">
        <v>256</v>
      </c>
      <c r="G1026" s="8" t="s">
        <v>23</v>
      </c>
      <c r="H1026" s="8">
        <v>5</v>
      </c>
      <c r="I1026" s="8" t="s">
        <v>257</v>
      </c>
      <c r="J1026" s="8">
        <v>9</v>
      </c>
      <c r="K1026" s="8" t="s">
        <v>1095</v>
      </c>
      <c r="L1026" s="8">
        <v>1</v>
      </c>
      <c r="M1026" s="7" t="s">
        <v>1096</v>
      </c>
      <c r="N1026" s="7" t="s">
        <v>2175</v>
      </c>
      <c r="O1026" s="9">
        <v>41026</v>
      </c>
      <c r="P1026" s="7" t="s">
        <v>27</v>
      </c>
      <c r="Q1026" s="7" t="s">
        <v>2176</v>
      </c>
      <c r="R1026" s="13" t="s">
        <v>2062</v>
      </c>
      <c r="S1026" s="8" t="s">
        <v>2063</v>
      </c>
      <c r="T1026" s="7">
        <v>1</v>
      </c>
      <c r="U1026" s="13" t="s">
        <v>2066</v>
      </c>
      <c r="V1026" s="7"/>
    </row>
    <row r="1027" spans="1:22">
      <c r="A1027" s="5" t="s">
        <v>2177</v>
      </c>
      <c r="B1027" s="5" t="str">
        <f>GetAddress(A1027)</f>
        <v>\\chno0276\Aseguranza de Calidad\Control de Documentos\Doc. controlados PDF\Flow Chart\MICROMINI\CHANGE-OUT\FC-CHGO-002  CX8653312P.pdf</v>
      </c>
      <c r="C1027" s="5" t="str">
        <f>MID(B1027,LEN(B1027) - FIND(".",REVERSETEXT(B1027))+2,1000)</f>
        <v>pdf</v>
      </c>
      <c r="D1027" s="6">
        <v>10</v>
      </c>
      <c r="E1027" s="7" t="s">
        <v>1689</v>
      </c>
      <c r="F1027" s="7" t="s">
        <v>256</v>
      </c>
      <c r="G1027" s="8" t="s">
        <v>23</v>
      </c>
      <c r="H1027" s="8">
        <v>5</v>
      </c>
      <c r="I1027" s="8" t="s">
        <v>257</v>
      </c>
      <c r="J1027" s="8">
        <v>9</v>
      </c>
      <c r="K1027" s="8" t="s">
        <v>1095</v>
      </c>
      <c r="L1027" s="8">
        <v>1</v>
      </c>
      <c r="M1027" s="7" t="s">
        <v>1096</v>
      </c>
      <c r="N1027" s="7" t="s">
        <v>2178</v>
      </c>
      <c r="O1027" s="9">
        <v>41029</v>
      </c>
      <c r="P1027" s="7" t="s">
        <v>27</v>
      </c>
      <c r="Q1027" s="7" t="s">
        <v>2179</v>
      </c>
      <c r="R1027" s="13" t="s">
        <v>2062</v>
      </c>
      <c r="S1027" s="8" t="s">
        <v>2063</v>
      </c>
      <c r="T1027" s="7">
        <v>1</v>
      </c>
      <c r="U1027" s="13" t="s">
        <v>2066</v>
      </c>
      <c r="V1027" s="7"/>
    </row>
    <row r="1028" spans="1:22">
      <c r="A1028" s="5" t="s">
        <v>2180</v>
      </c>
      <c r="B1028" s="5" t="str">
        <f>GetAddress(A1028)</f>
        <v>\\chno0276\Aseguranza de Calidad\Control de Documentos\Doc. controlados PDF\Flow Chart\MICROMINI\CHANGE-OUT\FC-CHGO-002  CX8653312P.pdf</v>
      </c>
      <c r="C1028" s="5" t="str">
        <f>MID(B1028,LEN(B1028) - FIND(".",REVERSETEXT(B1028))+2,1000)</f>
        <v>pdf</v>
      </c>
      <c r="D1028" s="6">
        <v>10</v>
      </c>
      <c r="E1028" s="7" t="s">
        <v>1689</v>
      </c>
      <c r="F1028" s="7" t="s">
        <v>256</v>
      </c>
      <c r="G1028" s="8" t="s">
        <v>23</v>
      </c>
      <c r="H1028" s="8">
        <v>5</v>
      </c>
      <c r="I1028" s="8" t="s">
        <v>257</v>
      </c>
      <c r="J1028" s="8">
        <v>9</v>
      </c>
      <c r="K1028" s="8" t="s">
        <v>1095</v>
      </c>
      <c r="L1028" s="8">
        <v>1</v>
      </c>
      <c r="M1028" s="7" t="s">
        <v>1096</v>
      </c>
      <c r="N1028" s="7" t="s">
        <v>2181</v>
      </c>
      <c r="O1028" s="9">
        <v>41162</v>
      </c>
      <c r="P1028" s="7" t="s">
        <v>27</v>
      </c>
      <c r="Q1028" s="7" t="s">
        <v>1098</v>
      </c>
      <c r="R1028" s="13" t="s">
        <v>2062</v>
      </c>
      <c r="S1028" s="8" t="s">
        <v>2063</v>
      </c>
      <c r="T1028" s="7">
        <v>1</v>
      </c>
      <c r="U1028" s="13" t="s">
        <v>2066</v>
      </c>
      <c r="V1028" s="7"/>
    </row>
    <row r="1029" spans="1:22">
      <c r="A1029" s="5" t="s">
        <v>2182</v>
      </c>
      <c r="B1029" s="5" t="str">
        <f>GetAddress(A1029)</f>
        <v>\\chno0276\Aseguranza de Calidad\Control de Documentos\Doc. controlados PDF\Flow Chart\MICROMINI\CHANGE-OUT\FC-CHGO-002  CX8653312P.pdf</v>
      </c>
      <c r="C1029" s="5" t="str">
        <f>MID(B1029,LEN(B1029) - FIND(".",REVERSETEXT(B1029))+2,1000)</f>
        <v>pdf</v>
      </c>
      <c r="D1029" s="6">
        <v>10</v>
      </c>
      <c r="E1029" s="7" t="s">
        <v>1689</v>
      </c>
      <c r="F1029" s="7" t="s">
        <v>256</v>
      </c>
      <c r="G1029" s="8" t="s">
        <v>23</v>
      </c>
      <c r="H1029" s="8">
        <v>5</v>
      </c>
      <c r="I1029" s="8" t="s">
        <v>257</v>
      </c>
      <c r="J1029" s="8">
        <v>9</v>
      </c>
      <c r="K1029" s="8" t="s">
        <v>2183</v>
      </c>
      <c r="L1029" s="8">
        <v>13</v>
      </c>
      <c r="M1029" s="7" t="s">
        <v>2184</v>
      </c>
      <c r="N1029" s="7" t="s">
        <v>2185</v>
      </c>
      <c r="O1029" s="9">
        <v>41009</v>
      </c>
      <c r="P1029" s="7" t="s">
        <v>27</v>
      </c>
      <c r="Q1029" s="7"/>
      <c r="R1029" s="13" t="s">
        <v>2062</v>
      </c>
      <c r="S1029" s="8" t="s">
        <v>2063</v>
      </c>
      <c r="T1029" s="7">
        <v>1</v>
      </c>
      <c r="U1029" s="13" t="s">
        <v>2066</v>
      </c>
      <c r="V1029" s="7"/>
    </row>
    <row r="1030" spans="1:22">
      <c r="A1030" s="5" t="s">
        <v>2186</v>
      </c>
      <c r="B1030" s="5" t="str">
        <f>GetAddress(A1030)</f>
        <v>\\chno0276\Aseguranza de Calidad\Control de Documentos\Doc. controlados PDF\Flow Chart\MICROMINI\CHANGE-OUT\FC-CHGO-002  CX8653312P.pdf</v>
      </c>
      <c r="C1030" s="5" t="str">
        <f>MID(B1030,LEN(B1030) - FIND(".",REVERSETEXT(B1030))+2,1000)</f>
        <v>pdf</v>
      </c>
      <c r="D1030" s="6">
        <v>10</v>
      </c>
      <c r="E1030" s="7" t="s">
        <v>1689</v>
      </c>
      <c r="F1030" s="7" t="s">
        <v>256</v>
      </c>
      <c r="G1030" s="8" t="s">
        <v>23</v>
      </c>
      <c r="H1030" s="8">
        <v>5</v>
      </c>
      <c r="I1030" s="8" t="s">
        <v>469</v>
      </c>
      <c r="J1030" s="8">
        <v>13</v>
      </c>
      <c r="K1030" s="8" t="s">
        <v>470</v>
      </c>
      <c r="L1030" s="8">
        <v>15</v>
      </c>
      <c r="M1030" s="7" t="s">
        <v>471</v>
      </c>
      <c r="N1030" s="7" t="s">
        <v>2187</v>
      </c>
      <c r="O1030" s="9">
        <v>40924</v>
      </c>
      <c r="P1030" s="7" t="s">
        <v>27</v>
      </c>
      <c r="Q1030" s="7" t="s">
        <v>2188</v>
      </c>
      <c r="R1030" s="13" t="s">
        <v>2062</v>
      </c>
      <c r="S1030" s="8" t="s">
        <v>2063</v>
      </c>
      <c r="T1030" s="7">
        <v>1</v>
      </c>
      <c r="U1030" s="7" t="s">
        <v>2189</v>
      </c>
      <c r="V1030" s="7"/>
    </row>
    <row r="1031" spans="1:22">
      <c r="A1031" s="5" t="s">
        <v>2190</v>
      </c>
      <c r="B1031" s="5" t="str">
        <f>GetAddress(A1031)</f>
        <v>\\chno0276\Aseguranza de Calidad\Control de Documentos\Doc. controlados PDF\Flow Chart\MICROMINI\CHANGE-OUT\FC-CHGO-002  CX8653312P.pdf</v>
      </c>
      <c r="C1031" s="5" t="str">
        <f>MID(B1031,LEN(B1031) - FIND(".",REVERSETEXT(B1031))+2,1000)</f>
        <v>pdf</v>
      </c>
      <c r="D1031" s="6">
        <v>10</v>
      </c>
      <c r="E1031" s="7" t="s">
        <v>1689</v>
      </c>
      <c r="F1031" s="7" t="s">
        <v>256</v>
      </c>
      <c r="G1031" s="8" t="s">
        <v>23</v>
      </c>
      <c r="H1031" s="8">
        <v>5</v>
      </c>
      <c r="I1031" s="8" t="s">
        <v>469</v>
      </c>
      <c r="J1031" s="8">
        <v>13</v>
      </c>
      <c r="K1031" s="8" t="s">
        <v>470</v>
      </c>
      <c r="L1031" s="8">
        <v>15</v>
      </c>
      <c r="M1031" s="7" t="s">
        <v>471</v>
      </c>
      <c r="N1031" s="7" t="s">
        <v>2191</v>
      </c>
      <c r="O1031" s="9">
        <v>41031</v>
      </c>
      <c r="P1031" s="7" t="s">
        <v>27</v>
      </c>
      <c r="Q1031" s="7" t="s">
        <v>2192</v>
      </c>
      <c r="R1031" s="13" t="s">
        <v>2062</v>
      </c>
      <c r="S1031" s="8" t="s">
        <v>2063</v>
      </c>
      <c r="T1031" s="7">
        <v>1</v>
      </c>
      <c r="U1031" s="7" t="s">
        <v>2189</v>
      </c>
      <c r="V1031" s="7"/>
    </row>
    <row r="1032" spans="1:22">
      <c r="A1032" s="5" t="s">
        <v>2193</v>
      </c>
      <c r="B1032" s="5" t="str">
        <f>GetAddress(A1032)</f>
        <v>\\chno0276\Aseguranza de Calidad\Control de Documentos\Doc. controlados PDF\Flow Chart\MICROMINI\CHANGE-OUT\FC-CHGO-002  CX8653312P.pdf</v>
      </c>
      <c r="C1032" s="5" t="str">
        <f>MID(B1032,LEN(B1032) - FIND(".",REVERSETEXT(B1032))+2,1000)</f>
        <v>pdf</v>
      </c>
      <c r="D1032" s="6">
        <v>10</v>
      </c>
      <c r="E1032" s="7" t="s">
        <v>1689</v>
      </c>
      <c r="F1032" s="7" t="s">
        <v>256</v>
      </c>
      <c r="G1032" s="8" t="s">
        <v>23</v>
      </c>
      <c r="H1032" s="8">
        <v>5</v>
      </c>
      <c r="I1032" s="8" t="s">
        <v>469</v>
      </c>
      <c r="J1032" s="8">
        <v>13</v>
      </c>
      <c r="K1032" s="8" t="s">
        <v>470</v>
      </c>
      <c r="L1032" s="8">
        <v>15</v>
      </c>
      <c r="M1032" s="7" t="s">
        <v>471</v>
      </c>
      <c r="N1032" s="7" t="s">
        <v>2194</v>
      </c>
      <c r="O1032" s="9">
        <v>41045</v>
      </c>
      <c r="P1032" s="7" t="s">
        <v>27</v>
      </c>
      <c r="Q1032" s="7" t="s">
        <v>2195</v>
      </c>
      <c r="R1032" s="13" t="s">
        <v>2062</v>
      </c>
      <c r="S1032" s="8" t="s">
        <v>2063</v>
      </c>
      <c r="T1032" s="7">
        <v>1</v>
      </c>
      <c r="U1032" s="7" t="s">
        <v>2189</v>
      </c>
      <c r="V1032" s="7"/>
    </row>
    <row r="1033" spans="1:22">
      <c r="A1033" s="5" t="s">
        <v>2196</v>
      </c>
      <c r="B1033" s="5" t="str">
        <f>GetAddress(A1033)</f>
        <v>\\CHNO0276\Aseguranza de Calidad\Control de Documentos\Doc. controlados PDF\Quality Alerts\MOLDEO\Moldeo Moorpark\QA-MRPK-004 Rev. A Pieza mal moldeada-Hundimientos.pdf</v>
      </c>
      <c r="C1033" s="5" t="str">
        <f>MID(B1033,LEN(B1033) - FIND(".",REVERSETEXT(B1033))+2,1000)</f>
        <v>pdf</v>
      </c>
      <c r="D1033" s="6">
        <v>10</v>
      </c>
      <c r="E1033" s="7" t="s">
        <v>1689</v>
      </c>
      <c r="F1033" s="7" t="s">
        <v>256</v>
      </c>
      <c r="G1033" s="8" t="s">
        <v>23</v>
      </c>
      <c r="H1033" s="8">
        <v>5</v>
      </c>
      <c r="I1033" s="8" t="s">
        <v>469</v>
      </c>
      <c r="J1033" s="8">
        <v>13</v>
      </c>
      <c r="K1033" s="8" t="s">
        <v>470</v>
      </c>
      <c r="L1033" s="8">
        <v>15</v>
      </c>
      <c r="M1033" s="7" t="s">
        <v>471</v>
      </c>
      <c r="N1033" s="7" t="s">
        <v>2197</v>
      </c>
      <c r="O1033" s="9">
        <v>40932</v>
      </c>
      <c r="P1033" s="7" t="s">
        <v>27</v>
      </c>
      <c r="Q1033" s="7" t="s">
        <v>2124</v>
      </c>
      <c r="R1033" s="13" t="s">
        <v>2062</v>
      </c>
      <c r="S1033" s="8" t="s">
        <v>2063</v>
      </c>
      <c r="T1033" s="7">
        <v>1</v>
      </c>
      <c r="U1033" s="7" t="s">
        <v>2189</v>
      </c>
      <c r="V1033" s="7"/>
    </row>
    <row r="1034" spans="1:22">
      <c r="A1034" s="5" t="s">
        <v>2198</v>
      </c>
      <c r="B1034" s="5" t="str">
        <f>GetAddress(A1034)</f>
        <v>\\chno0276\Aseguranza de Calidad\Control de Documentos\Doc. controlados PDF\Quality Alerts\MOLDEO\Moldeo Moorpark\QA-MRPK-005  Moldeo Orificios sin perforar.pdf</v>
      </c>
      <c r="C1034" s="5" t="str">
        <f>MID(B1034,LEN(B1034) - FIND(".",REVERSETEXT(B1034))+2,1000)</f>
        <v>pdf</v>
      </c>
      <c r="D1034" s="6">
        <v>10</v>
      </c>
      <c r="E1034" s="7" t="s">
        <v>1689</v>
      </c>
      <c r="F1034" s="7" t="s">
        <v>256</v>
      </c>
      <c r="G1034" s="8" t="s">
        <v>23</v>
      </c>
      <c r="H1034" s="8">
        <v>5</v>
      </c>
      <c r="I1034" s="8" t="s">
        <v>469</v>
      </c>
      <c r="J1034" s="8">
        <v>13</v>
      </c>
      <c r="K1034" s="8" t="s">
        <v>470</v>
      </c>
      <c r="L1034" s="8">
        <v>15</v>
      </c>
      <c r="M1034" s="7" t="s">
        <v>471</v>
      </c>
      <c r="N1034" s="7" t="s">
        <v>2199</v>
      </c>
      <c r="O1034" s="9">
        <v>41162</v>
      </c>
      <c r="P1034" s="7" t="s">
        <v>27</v>
      </c>
      <c r="Q1034" s="7" t="s">
        <v>2200</v>
      </c>
      <c r="R1034" s="13" t="s">
        <v>2062</v>
      </c>
      <c r="S1034" s="8" t="s">
        <v>2063</v>
      </c>
      <c r="T1034" s="7">
        <v>1</v>
      </c>
      <c r="U1034" s="7" t="s">
        <v>2189</v>
      </c>
      <c r="V1034" s="7"/>
    </row>
    <row r="1035" spans="1:22">
      <c r="A1035" s="5" t="s">
        <v>2201</v>
      </c>
      <c r="B1035" s="5" t="str">
        <f>GetAddress(A1035)</f>
        <v>\\chno0276\Aseguranza de Calidad\Control de Documentos\Doc. controlados PDF\Quality Alerts\MOLDEO\Moldeo Moorpark\QA-MRPK-005  Moldeo Orificios sin perforar.pdf</v>
      </c>
      <c r="C1035" s="5" t="str">
        <f>MID(B1035,LEN(B1035) - FIND(".",REVERSETEXT(B1035))+2,1000)</f>
        <v>pdf</v>
      </c>
      <c r="D1035" s="6">
        <v>10</v>
      </c>
      <c r="E1035" s="7" t="s">
        <v>1689</v>
      </c>
      <c r="F1035" s="7" t="s">
        <v>256</v>
      </c>
      <c r="G1035" s="8" t="s">
        <v>23</v>
      </c>
      <c r="H1035" s="8">
        <v>5</v>
      </c>
      <c r="I1035" s="8" t="s">
        <v>469</v>
      </c>
      <c r="J1035" s="8">
        <v>13</v>
      </c>
      <c r="K1035" s="8" t="s">
        <v>470</v>
      </c>
      <c r="L1035" s="8">
        <v>15</v>
      </c>
      <c r="M1035" s="7" t="s">
        <v>471</v>
      </c>
      <c r="N1035" s="7" t="s">
        <v>2202</v>
      </c>
      <c r="O1035" s="9">
        <v>41162</v>
      </c>
      <c r="P1035" s="7" t="s">
        <v>27</v>
      </c>
      <c r="Q1035" s="7" t="s">
        <v>2203</v>
      </c>
      <c r="R1035" s="13" t="s">
        <v>2062</v>
      </c>
      <c r="S1035" s="8" t="s">
        <v>2063</v>
      </c>
      <c r="T1035" s="7">
        <v>1</v>
      </c>
      <c r="U1035" s="7" t="s">
        <v>2189</v>
      </c>
      <c r="V1035" s="7"/>
    </row>
    <row r="1036" spans="1:22">
      <c r="A1036" s="5" t="s">
        <v>1747</v>
      </c>
      <c r="B1036" s="5" t="str">
        <f>GetAddress(A1036)</f>
        <v>\\chno0276\Aseguranza de Calidad\Control de Documentos\Doc. controlados PDF\Quality Alerts\MICROMINI\MS\QA-MS-001 MEA0092025 Contactos desalineados -Deformados.pdf</v>
      </c>
      <c r="C1036" s="5" t="str">
        <f>MID(B1036,LEN(B1036) - FIND(".",REVERSETEXT(B1036))+2,1000)</f>
        <v>pdf</v>
      </c>
      <c r="D1036" s="6">
        <v>10</v>
      </c>
      <c r="E1036" s="7" t="s">
        <v>1689</v>
      </c>
      <c r="F1036" s="7" t="s">
        <v>256</v>
      </c>
      <c r="G1036" s="8" t="s">
        <v>23</v>
      </c>
      <c r="H1036" s="8">
        <v>5</v>
      </c>
      <c r="I1036" s="8" t="s">
        <v>24</v>
      </c>
      <c r="J1036" s="8">
        <v>12</v>
      </c>
      <c r="K1036" s="8" t="s">
        <v>515</v>
      </c>
      <c r="L1036" s="8">
        <v>16</v>
      </c>
      <c r="M1036" s="7" t="s">
        <v>515</v>
      </c>
      <c r="N1036" s="7" t="s">
        <v>1748</v>
      </c>
      <c r="O1036" s="9">
        <v>40928</v>
      </c>
      <c r="P1036" s="7" t="s">
        <v>27</v>
      </c>
      <c r="Q1036" s="7" t="s">
        <v>1749</v>
      </c>
      <c r="R1036" s="13" t="s">
        <v>1583</v>
      </c>
      <c r="S1036" s="8" t="s">
        <v>1584</v>
      </c>
      <c r="T1036" s="7">
        <v>1</v>
      </c>
      <c r="U1036" s="7" t="s">
        <v>611</v>
      </c>
      <c r="V1036" s="7"/>
    </row>
    <row r="1037" spans="1:22">
      <c r="A1037" s="5" t="s">
        <v>1750</v>
      </c>
      <c r="B1037" s="5" t="str">
        <f>GetAddress(A1037)</f>
        <v>\\chno0276\Aseguranza de Calidad\Control de Documentos\Doc. controlados PDF\Flow Chart\MICROMINI\MS\FC-MS-004  11547793.pdf</v>
      </c>
      <c r="C1037" s="5" t="str">
        <f>MID(B1037,LEN(B1037) - FIND(".",REVERSETEXT(B1037))+2,1000)</f>
        <v>pdf</v>
      </c>
      <c r="D1037" s="6">
        <v>10</v>
      </c>
      <c r="E1037" s="7" t="s">
        <v>1689</v>
      </c>
      <c r="F1037" s="7" t="s">
        <v>256</v>
      </c>
      <c r="G1037" s="8" t="s">
        <v>23</v>
      </c>
      <c r="H1037" s="8">
        <v>5</v>
      </c>
      <c r="I1037" s="8" t="s">
        <v>24</v>
      </c>
      <c r="J1037" s="8">
        <v>12</v>
      </c>
      <c r="K1037" s="8" t="s">
        <v>515</v>
      </c>
      <c r="L1037" s="8">
        <v>16</v>
      </c>
      <c r="M1037" s="7" t="s">
        <v>515</v>
      </c>
      <c r="N1037" s="7" t="s">
        <v>1751</v>
      </c>
      <c r="O1037" s="9">
        <v>40947</v>
      </c>
      <c r="P1037" s="7" t="s">
        <v>27</v>
      </c>
      <c r="Q1037" s="7" t="s">
        <v>1752</v>
      </c>
      <c r="R1037" s="13" t="s">
        <v>1583</v>
      </c>
      <c r="S1037" s="8" t="s">
        <v>1584</v>
      </c>
      <c r="T1037" s="7">
        <v>1</v>
      </c>
      <c r="U1037" s="7" t="s">
        <v>611</v>
      </c>
      <c r="V1037" s="7"/>
    </row>
    <row r="1038" spans="1:22">
      <c r="A1038" s="5" t="s">
        <v>1753</v>
      </c>
      <c r="B1038" s="5" t="str">
        <f>GetAddress(A1038)</f>
        <v>\\chno0276\Aseguranza de Calidad\Control de Documentos\Doc. controlados PDF\Flow Chart\MICROMINI\MS\FC-MS-004  11547793.pdf</v>
      </c>
      <c r="C1038" s="5" t="str">
        <f>MID(B1038,LEN(B1038) - FIND(".",REVERSETEXT(B1038))+2,1000)</f>
        <v>pdf</v>
      </c>
      <c r="D1038" s="6">
        <v>10</v>
      </c>
      <c r="E1038" s="7" t="s">
        <v>1689</v>
      </c>
      <c r="F1038" s="7" t="s">
        <v>256</v>
      </c>
      <c r="G1038" s="8" t="s">
        <v>23</v>
      </c>
      <c r="H1038" s="8">
        <v>5</v>
      </c>
      <c r="I1038" s="8" t="s">
        <v>24</v>
      </c>
      <c r="J1038" s="8">
        <v>12</v>
      </c>
      <c r="K1038" s="8" t="s">
        <v>515</v>
      </c>
      <c r="L1038" s="8">
        <v>16</v>
      </c>
      <c r="M1038" s="7" t="s">
        <v>515</v>
      </c>
      <c r="N1038" s="7" t="s">
        <v>1754</v>
      </c>
      <c r="O1038" s="9">
        <v>40962</v>
      </c>
      <c r="P1038" s="7" t="s">
        <v>27</v>
      </c>
      <c r="Q1038" s="7" t="s">
        <v>1752</v>
      </c>
      <c r="R1038" s="13" t="s">
        <v>1583</v>
      </c>
      <c r="S1038" s="8" t="s">
        <v>1584</v>
      </c>
      <c r="T1038" s="7">
        <v>1</v>
      </c>
      <c r="U1038" s="7" t="s">
        <v>611</v>
      </c>
      <c r="V1038" s="7"/>
    </row>
    <row r="1039" spans="1:22">
      <c r="A1039" s="5" t="s">
        <v>1755</v>
      </c>
      <c r="B1039" s="5" t="str">
        <f>GetAddress(A1039)</f>
        <v>\\chno0276\Aseguranza de Calidad\Control de Documentos\Doc. controlados PDF\Flow Chart\MICROMINI\MS\FC-MS-004  11547793.pdf</v>
      </c>
      <c r="C1039" s="5" t="str">
        <f>MID(B1039,LEN(B1039) - FIND(".",REVERSETEXT(B1039))+2,1000)</f>
        <v>pdf</v>
      </c>
      <c r="D1039" s="6">
        <v>10</v>
      </c>
      <c r="E1039" s="7" t="s">
        <v>1689</v>
      </c>
      <c r="F1039" s="7" t="s">
        <v>256</v>
      </c>
      <c r="G1039" s="8" t="s">
        <v>23</v>
      </c>
      <c r="H1039" s="8">
        <v>5</v>
      </c>
      <c r="I1039" s="8" t="s">
        <v>24</v>
      </c>
      <c r="J1039" s="8">
        <v>12</v>
      </c>
      <c r="K1039" s="8" t="s">
        <v>515</v>
      </c>
      <c r="L1039" s="8">
        <v>16</v>
      </c>
      <c r="M1039" s="7" t="s">
        <v>515</v>
      </c>
      <c r="N1039" s="7" t="s">
        <v>1756</v>
      </c>
      <c r="O1039" s="9">
        <v>40962</v>
      </c>
      <c r="P1039" s="7" t="s">
        <v>27</v>
      </c>
      <c r="Q1039" s="7" t="s">
        <v>1694</v>
      </c>
      <c r="R1039" s="13" t="s">
        <v>1583</v>
      </c>
      <c r="S1039" s="8" t="s">
        <v>1584</v>
      </c>
      <c r="T1039" s="7">
        <v>1</v>
      </c>
      <c r="U1039" s="7" t="s">
        <v>611</v>
      </c>
      <c r="V1039" s="7"/>
    </row>
    <row r="1040" spans="1:22">
      <c r="A1040" s="5" t="s">
        <v>1757</v>
      </c>
      <c r="B1040" s="5" t="str">
        <f>GetAddress(A1040)</f>
        <v>\\chno0276\Aseguranza de Calidad\Control de Documentos\Doc. controlados PDF\Flow Chart\MICROMINI\MS\FC-MS-004  11547793.pdf</v>
      </c>
      <c r="C1040" s="5" t="str">
        <f>MID(B1040,LEN(B1040) - FIND(".",REVERSETEXT(B1040))+2,1000)</f>
        <v>pdf</v>
      </c>
      <c r="D1040" s="6">
        <v>10</v>
      </c>
      <c r="E1040" s="7" t="s">
        <v>1689</v>
      </c>
      <c r="F1040" s="7" t="s">
        <v>256</v>
      </c>
      <c r="G1040" s="8" t="s">
        <v>23</v>
      </c>
      <c r="H1040" s="8">
        <v>5</v>
      </c>
      <c r="I1040" s="8" t="s">
        <v>24</v>
      </c>
      <c r="J1040" s="8">
        <v>12</v>
      </c>
      <c r="K1040" s="8" t="s">
        <v>515</v>
      </c>
      <c r="L1040" s="8">
        <v>16</v>
      </c>
      <c r="M1040" s="7" t="s">
        <v>515</v>
      </c>
      <c r="N1040" s="7" t="s">
        <v>1758</v>
      </c>
      <c r="O1040" s="9">
        <v>40964</v>
      </c>
      <c r="P1040" s="7" t="s">
        <v>27</v>
      </c>
      <c r="Q1040" s="7" t="s">
        <v>1694</v>
      </c>
      <c r="R1040" s="13" t="s">
        <v>1583</v>
      </c>
      <c r="S1040" s="8" t="s">
        <v>1584</v>
      </c>
      <c r="T1040" s="7">
        <v>1</v>
      </c>
      <c r="U1040" s="7" t="s">
        <v>611</v>
      </c>
      <c r="V1040" s="7"/>
    </row>
    <row r="1041" spans="1:22">
      <c r="A1041" s="5" t="s">
        <v>1759</v>
      </c>
      <c r="B1041" s="5" t="str">
        <f>GetAddress(A1041)</f>
        <v>\\chno0276\Aseguranza de Calidad\Control de Documentos\Doc. controlados PDF\Flow Chart\MICROMINI\MS\FC-MS-004  11547793.pdf</v>
      </c>
      <c r="C1041" s="5" t="str">
        <f>MID(B1041,LEN(B1041) - FIND(".",REVERSETEXT(B1041))+2,1000)</f>
        <v>pdf</v>
      </c>
      <c r="D1041" s="6">
        <v>10</v>
      </c>
      <c r="E1041" s="7" t="s">
        <v>1689</v>
      </c>
      <c r="F1041" s="7" t="s">
        <v>256</v>
      </c>
      <c r="G1041" s="8" t="s">
        <v>23</v>
      </c>
      <c r="H1041" s="8">
        <v>5</v>
      </c>
      <c r="I1041" s="8" t="s">
        <v>24</v>
      </c>
      <c r="J1041" s="8">
        <v>12</v>
      </c>
      <c r="K1041" s="8" t="s">
        <v>515</v>
      </c>
      <c r="L1041" s="8">
        <v>16</v>
      </c>
      <c r="M1041" s="7" t="s">
        <v>515</v>
      </c>
      <c r="N1041" s="7" t="s">
        <v>1760</v>
      </c>
      <c r="O1041" s="9">
        <v>40974</v>
      </c>
      <c r="P1041" s="7" t="s">
        <v>27</v>
      </c>
      <c r="Q1041" s="7" t="s">
        <v>1761</v>
      </c>
      <c r="R1041" s="13" t="s">
        <v>1583</v>
      </c>
      <c r="S1041" s="8" t="s">
        <v>1584</v>
      </c>
      <c r="T1041" s="7">
        <v>1</v>
      </c>
      <c r="U1041" s="7" t="s">
        <v>611</v>
      </c>
      <c r="V1041" s="7"/>
    </row>
    <row r="1042" spans="1:22">
      <c r="A1042" s="5" t="s">
        <v>1762</v>
      </c>
      <c r="B1042" s="5" t="str">
        <f>GetAddress(A1042)</f>
        <v>\\chno0276\Aseguranza de Calidad\Control de Documentos\Doc. controlados PDF\Flow Chart\MICROMINI\MS\FC-MS-004  11547793.pdf</v>
      </c>
      <c r="C1042" s="5" t="str">
        <f>MID(B1042,LEN(B1042) - FIND(".",REVERSETEXT(B1042))+2,1000)</f>
        <v>pdf</v>
      </c>
      <c r="D1042" s="6">
        <v>10</v>
      </c>
      <c r="E1042" s="7" t="s">
        <v>1689</v>
      </c>
      <c r="F1042" s="7" t="s">
        <v>256</v>
      </c>
      <c r="G1042" s="8" t="s">
        <v>23</v>
      </c>
      <c r="H1042" s="8">
        <v>5</v>
      </c>
      <c r="I1042" s="8" t="s">
        <v>24</v>
      </c>
      <c r="J1042" s="8">
        <v>12</v>
      </c>
      <c r="K1042" s="8" t="s">
        <v>515</v>
      </c>
      <c r="L1042" s="8">
        <v>16</v>
      </c>
      <c r="M1042" s="7" t="s">
        <v>515</v>
      </c>
      <c r="N1042" s="7" t="s">
        <v>1763</v>
      </c>
      <c r="O1042" s="9">
        <v>40974</v>
      </c>
      <c r="P1042" s="7" t="s">
        <v>27</v>
      </c>
      <c r="Q1042" s="7" t="s">
        <v>1764</v>
      </c>
      <c r="R1042" s="13" t="s">
        <v>1583</v>
      </c>
      <c r="S1042" s="8" t="s">
        <v>1584</v>
      </c>
      <c r="T1042" s="7">
        <v>1</v>
      </c>
      <c r="U1042" s="7" t="s">
        <v>611</v>
      </c>
      <c r="V1042" s="7"/>
    </row>
    <row r="1043" spans="1:22">
      <c r="A1043" s="5" t="s">
        <v>1765</v>
      </c>
      <c r="B1043" s="5" t="str">
        <f>GetAddress(A1043)</f>
        <v>\\chno0276\Aseguranza de Calidad\Control de Documentos\Doc. controlados PDF\Flow Chart\MICROMINI\MS\FC-MS-004  11547793.pdf</v>
      </c>
      <c r="C1043" s="5" t="str">
        <f>MID(B1043,LEN(B1043) - FIND(".",REVERSETEXT(B1043))+2,1000)</f>
        <v>pdf</v>
      </c>
      <c r="D1043" s="6">
        <v>10</v>
      </c>
      <c r="E1043" s="7" t="s">
        <v>1689</v>
      </c>
      <c r="F1043" s="7" t="s">
        <v>256</v>
      </c>
      <c r="G1043" s="8" t="s">
        <v>23</v>
      </c>
      <c r="H1043" s="8">
        <v>5</v>
      </c>
      <c r="I1043" s="8" t="s">
        <v>24</v>
      </c>
      <c r="J1043" s="8">
        <v>12</v>
      </c>
      <c r="K1043" s="8" t="s">
        <v>515</v>
      </c>
      <c r="L1043" s="8">
        <v>16</v>
      </c>
      <c r="M1043" s="7" t="s">
        <v>515</v>
      </c>
      <c r="N1043" s="7" t="s">
        <v>1766</v>
      </c>
      <c r="O1043" s="9">
        <v>40974</v>
      </c>
      <c r="P1043" s="7" t="s">
        <v>27</v>
      </c>
      <c r="Q1043" s="7">
        <v>11667277</v>
      </c>
      <c r="R1043" s="13" t="s">
        <v>1583</v>
      </c>
      <c r="S1043" s="8" t="s">
        <v>1584</v>
      </c>
      <c r="T1043" s="7">
        <v>1</v>
      </c>
      <c r="U1043" s="7" t="s">
        <v>611</v>
      </c>
      <c r="V1043" s="7"/>
    </row>
    <row r="1044" spans="1:22">
      <c r="A1044" s="5" t="s">
        <v>1767</v>
      </c>
      <c r="B1044" s="5" t="str">
        <f>GetAddress(A1044)</f>
        <v>\\chno0276\Aseguranza de Calidad\Control de Documentos\Doc. controlados PDF\Flow Chart\MICROMINI\MS\FC-MS-004  11547793.pdf</v>
      </c>
      <c r="C1044" s="5" t="str">
        <f>MID(B1044,LEN(B1044) - FIND(".",REVERSETEXT(B1044))+2,1000)</f>
        <v>pdf</v>
      </c>
      <c r="D1044" s="6">
        <v>10</v>
      </c>
      <c r="E1044" s="7" t="s">
        <v>1689</v>
      </c>
      <c r="F1044" s="7" t="s">
        <v>256</v>
      </c>
      <c r="G1044" s="8" t="s">
        <v>23</v>
      </c>
      <c r="H1044" s="8">
        <v>5</v>
      </c>
      <c r="I1044" s="8" t="s">
        <v>24</v>
      </c>
      <c r="J1044" s="8">
        <v>12</v>
      </c>
      <c r="K1044" s="8" t="s">
        <v>515</v>
      </c>
      <c r="L1044" s="8">
        <v>16</v>
      </c>
      <c r="M1044" s="7" t="s">
        <v>515</v>
      </c>
      <c r="N1044" s="7" t="s">
        <v>1768</v>
      </c>
      <c r="O1044" s="9">
        <v>40974</v>
      </c>
      <c r="P1044" s="7" t="s">
        <v>27</v>
      </c>
      <c r="Q1044" s="7" t="s">
        <v>1764</v>
      </c>
      <c r="R1044" s="13" t="s">
        <v>1583</v>
      </c>
      <c r="S1044" s="8" t="s">
        <v>1584</v>
      </c>
      <c r="T1044" s="7">
        <v>1</v>
      </c>
      <c r="U1044" s="7" t="s">
        <v>611</v>
      </c>
      <c r="V1044" s="7"/>
    </row>
    <row r="1045" spans="1:22">
      <c r="A1045" s="5" t="s">
        <v>1769</v>
      </c>
      <c r="B1045" s="5" t="str">
        <f>GetAddress(A1045)</f>
        <v>\\chno0276\Aseguranza de Calidad\Control de Documentos\Doc. controlados PDF\Flow Chart\MICROMINI\MS\FC-MS-004  11547793.pdf</v>
      </c>
      <c r="C1045" s="5" t="str">
        <f>MID(B1045,LEN(B1045) - FIND(".",REVERSETEXT(B1045))+2,1000)</f>
        <v>pdf</v>
      </c>
      <c r="D1045" s="6">
        <v>10</v>
      </c>
      <c r="E1045" s="7" t="s">
        <v>1689</v>
      </c>
      <c r="F1045" s="7" t="s">
        <v>256</v>
      </c>
      <c r="G1045" s="8" t="s">
        <v>23</v>
      </c>
      <c r="H1045" s="8">
        <v>5</v>
      </c>
      <c r="I1045" s="8" t="s">
        <v>24</v>
      </c>
      <c r="J1045" s="8">
        <v>12</v>
      </c>
      <c r="K1045" s="8" t="s">
        <v>515</v>
      </c>
      <c r="L1045" s="8">
        <v>16</v>
      </c>
      <c r="M1045" s="7" t="s">
        <v>515</v>
      </c>
      <c r="N1045" s="7" t="s">
        <v>1770</v>
      </c>
      <c r="O1045" s="9">
        <v>40987</v>
      </c>
      <c r="P1045" s="7" t="s">
        <v>27</v>
      </c>
      <c r="Q1045" s="7" t="s">
        <v>1771</v>
      </c>
      <c r="R1045" s="13" t="s">
        <v>1583</v>
      </c>
      <c r="S1045" s="8" t="s">
        <v>1584</v>
      </c>
      <c r="T1045" s="7">
        <v>1</v>
      </c>
      <c r="U1045" s="7" t="s">
        <v>611</v>
      </c>
      <c r="V1045" s="7"/>
    </row>
    <row r="1046" spans="1:22">
      <c r="A1046" s="5" t="s">
        <v>1772</v>
      </c>
      <c r="B1046" s="5" t="str">
        <f>GetAddress(A1046)</f>
        <v>\\chno0276\Aseguranza de Calidad\Control de Documentos\Doc. controlados PDF\Quality Alerts\MICROMINI\MS\QA-MS-011 Varios Identificar etiqueta-Punto verde.pdf</v>
      </c>
      <c r="C1046" s="5" t="str">
        <f>MID(B1046,LEN(B1046) - FIND(".",REVERSETEXT(B1046))+2,1000)</f>
        <v>pdf</v>
      </c>
      <c r="D1046" s="6">
        <v>10</v>
      </c>
      <c r="E1046" s="7" t="s">
        <v>1689</v>
      </c>
      <c r="F1046" s="7" t="s">
        <v>256</v>
      </c>
      <c r="G1046" s="8" t="s">
        <v>23</v>
      </c>
      <c r="H1046" s="8">
        <v>5</v>
      </c>
      <c r="I1046" s="8" t="s">
        <v>24</v>
      </c>
      <c r="J1046" s="8">
        <v>12</v>
      </c>
      <c r="K1046" s="8" t="s">
        <v>515</v>
      </c>
      <c r="L1046" s="8">
        <v>16</v>
      </c>
      <c r="M1046" s="7" t="s">
        <v>515</v>
      </c>
      <c r="N1046" s="7" t="s">
        <v>1773</v>
      </c>
      <c r="O1046" s="9">
        <v>40988</v>
      </c>
      <c r="P1046" s="7" t="s">
        <v>27</v>
      </c>
      <c r="Q1046" s="7" t="s">
        <v>1694</v>
      </c>
      <c r="R1046" s="13" t="s">
        <v>1583</v>
      </c>
      <c r="S1046" s="8" t="s">
        <v>1584</v>
      </c>
      <c r="T1046" s="7">
        <v>1</v>
      </c>
      <c r="U1046" s="7" t="s">
        <v>611</v>
      </c>
      <c r="V1046" s="7"/>
    </row>
    <row r="1047" spans="1:22">
      <c r="A1047" s="5" t="s">
        <v>1774</v>
      </c>
      <c r="B1047" s="5" t="str">
        <f>GetAddress(A1047)</f>
        <v>\\chno0276\Aseguranza de Calidad\Control de Documentos\Doc. controlados PDF\Quality Alerts\MICROMINI\MS\QA-MS-012 Compound  3460500-xx.pdf</v>
      </c>
      <c r="C1047" s="5" t="str">
        <f>MID(B1047,LEN(B1047) - FIND(".",REVERSETEXT(B1047))+2,1000)</f>
        <v>pdf</v>
      </c>
      <c r="D1047" s="6">
        <v>10</v>
      </c>
      <c r="E1047" s="7" t="s">
        <v>1689</v>
      </c>
      <c r="F1047" s="7" t="s">
        <v>256</v>
      </c>
      <c r="G1047" s="8" t="s">
        <v>23</v>
      </c>
      <c r="H1047" s="8">
        <v>5</v>
      </c>
      <c r="I1047" s="8" t="s">
        <v>24</v>
      </c>
      <c r="J1047" s="8">
        <v>12</v>
      </c>
      <c r="K1047" s="8" t="s">
        <v>515</v>
      </c>
      <c r="L1047" s="8">
        <v>16</v>
      </c>
      <c r="M1047" s="7" t="s">
        <v>515</v>
      </c>
      <c r="N1047" s="7" t="s">
        <v>1775</v>
      </c>
      <c r="O1047" s="9">
        <v>41191</v>
      </c>
      <c r="P1047" s="7" t="s">
        <v>27</v>
      </c>
      <c r="Q1047" s="7" t="s">
        <v>1776</v>
      </c>
      <c r="R1047" s="13" t="s">
        <v>1583</v>
      </c>
      <c r="S1047" s="8" t="s">
        <v>1584</v>
      </c>
      <c r="T1047" s="7">
        <v>1</v>
      </c>
      <c r="U1047" s="7" t="s">
        <v>611</v>
      </c>
      <c r="V1047" s="7"/>
    </row>
    <row r="1048" spans="1:22">
      <c r="A1048" s="5" t="s">
        <v>1777</v>
      </c>
      <c r="B1048" s="5" t="str">
        <f>GetAddress(A1048)</f>
        <v>\\CHNO0276\Aseguranza de Calidad\Control de Documentos\Doc. controlados PDF\Quality Alerts\MICROMINI\Potted- Plex\QA-PLEX-001 REV. A 14633392 Coupler -falta anodizado [Compatibility Mode].pdf</v>
      </c>
      <c r="C1048" s="5" t="str">
        <f>MID(B1048,LEN(B1048) - FIND(".",REVERSETEXT(B1048))+2,1000)</f>
        <v>pdf</v>
      </c>
      <c r="D1048" s="6">
        <v>10</v>
      </c>
      <c r="E1048" s="7" t="s">
        <v>1689</v>
      </c>
      <c r="F1048" s="7" t="s">
        <v>256</v>
      </c>
      <c r="G1048" s="8" t="s">
        <v>23</v>
      </c>
      <c r="H1048" s="8">
        <v>5</v>
      </c>
      <c r="I1048" s="8" t="s">
        <v>24</v>
      </c>
      <c r="J1048" s="8">
        <v>12</v>
      </c>
      <c r="K1048" s="8" t="s">
        <v>599</v>
      </c>
      <c r="L1048" s="8">
        <v>19</v>
      </c>
      <c r="M1048" s="7" t="s">
        <v>600</v>
      </c>
      <c r="N1048" s="7" t="s">
        <v>1778</v>
      </c>
      <c r="O1048" s="9">
        <v>40924</v>
      </c>
      <c r="P1048" s="7" t="s">
        <v>27</v>
      </c>
      <c r="Q1048" s="7">
        <v>14633392</v>
      </c>
      <c r="R1048" s="7" t="s">
        <v>1583</v>
      </c>
      <c r="S1048" s="8" t="s">
        <v>1584</v>
      </c>
      <c r="T1048" s="7">
        <v>1</v>
      </c>
      <c r="U1048" s="7" t="s">
        <v>611</v>
      </c>
      <c r="V1048" s="7"/>
    </row>
    <row r="1049" spans="1:22">
      <c r="A1049" s="5" t="s">
        <v>1779</v>
      </c>
      <c r="B1049" s="5" t="str">
        <f>GetAddress(A1049)</f>
        <v>\\CHNO0276\Aseguranza de Calidad\Control de Documentos\Doc. controlados PDF\Quality Alerts\MICROMINI\Potted- Plex\QA-PLEX-002 Rev. A ABPP4R5D5 Coupler Rayado [Compatibility Mode].pdf</v>
      </c>
      <c r="C1049" s="5" t="str">
        <f>MID(B1049,LEN(B1049) - FIND(".",REVERSETEXT(B1049))+2,1000)</f>
        <v>pdf</v>
      </c>
      <c r="D1049" s="6">
        <v>10</v>
      </c>
      <c r="E1049" s="7" t="s">
        <v>1689</v>
      </c>
      <c r="F1049" s="7" t="s">
        <v>256</v>
      </c>
      <c r="G1049" s="8" t="s">
        <v>23</v>
      </c>
      <c r="H1049" s="8">
        <v>5</v>
      </c>
      <c r="I1049" s="8" t="s">
        <v>24</v>
      </c>
      <c r="J1049" s="8">
        <v>12</v>
      </c>
      <c r="K1049" s="8" t="s">
        <v>599</v>
      </c>
      <c r="L1049" s="8">
        <v>19</v>
      </c>
      <c r="M1049" s="7" t="s">
        <v>600</v>
      </c>
      <c r="N1049" s="7" t="s">
        <v>1780</v>
      </c>
      <c r="O1049" s="9">
        <v>40924</v>
      </c>
      <c r="P1049" s="7" t="s">
        <v>27</v>
      </c>
      <c r="Q1049" s="7" t="s">
        <v>1781</v>
      </c>
      <c r="R1049" s="7" t="s">
        <v>1583</v>
      </c>
      <c r="S1049" s="8" t="s">
        <v>1584</v>
      </c>
      <c r="T1049" s="7">
        <v>1</v>
      </c>
      <c r="U1049" s="7" t="s">
        <v>611</v>
      </c>
      <c r="V1049" s="7"/>
    </row>
    <row r="1050" spans="1:22">
      <c r="A1050" s="5" t="s">
        <v>1782</v>
      </c>
      <c r="B1050" s="5" t="str">
        <f>GetAddress(A1050)</f>
        <v>\\CHNO0276\Aseguranza de Calidad\Control de Documentos\Doc. controlados PDF\Quality Alerts\MICROMINI\Potted- Plex\QA-PLEX-003 Rev. A A98DP56PTA5 Falta de Oring- Exceso de Epoxy.pdf</v>
      </c>
      <c r="C1050" s="5" t="str">
        <f>MID(B1050,LEN(B1050) - FIND(".",REVERSETEXT(B1050))+2,1000)</f>
        <v>pdf</v>
      </c>
      <c r="D1050" s="6">
        <v>10</v>
      </c>
      <c r="E1050" s="7" t="s">
        <v>1689</v>
      </c>
      <c r="F1050" s="7" t="s">
        <v>256</v>
      </c>
      <c r="G1050" s="8" t="s">
        <v>23</v>
      </c>
      <c r="H1050" s="8">
        <v>5</v>
      </c>
      <c r="I1050" s="8" t="s">
        <v>24</v>
      </c>
      <c r="J1050" s="8">
        <v>12</v>
      </c>
      <c r="K1050" s="8" t="s">
        <v>599</v>
      </c>
      <c r="L1050" s="8">
        <v>19</v>
      </c>
      <c r="M1050" s="7" t="s">
        <v>600</v>
      </c>
      <c r="N1050" s="7" t="s">
        <v>1783</v>
      </c>
      <c r="O1050" s="9">
        <v>40997</v>
      </c>
      <c r="P1050" s="7" t="s">
        <v>27</v>
      </c>
      <c r="Q1050" s="7" t="s">
        <v>1784</v>
      </c>
      <c r="R1050" s="7" t="s">
        <v>1583</v>
      </c>
      <c r="S1050" s="8" t="s">
        <v>1584</v>
      </c>
      <c r="T1050" s="7">
        <v>1</v>
      </c>
      <c r="U1050" s="7" t="s">
        <v>611</v>
      </c>
      <c r="V1050" s="7"/>
    </row>
    <row r="1051" spans="1:22">
      <c r="A1051" s="5" t="s">
        <v>1785</v>
      </c>
      <c r="B1051" s="5" t="str">
        <f>GetAddress(A1051)</f>
        <v>\\CHNO0276\Aseguranza de Calidad\Control de Documentos\Doc. controlados PDF\Quality Alerts\MICROMINI\Potted- Plex\QA-PLEX-004 Rev. A Utilizacion de etiquetas.pdf</v>
      </c>
      <c r="C1051" s="5" t="str">
        <f>MID(B1051,LEN(B1051) - FIND(".",REVERSETEXT(B1051))+2,1000)</f>
        <v>pdf</v>
      </c>
      <c r="D1051" s="6">
        <v>10</v>
      </c>
      <c r="E1051" s="7" t="s">
        <v>1689</v>
      </c>
      <c r="F1051" s="7" t="s">
        <v>256</v>
      </c>
      <c r="G1051" s="8" t="s">
        <v>23</v>
      </c>
      <c r="H1051" s="8">
        <v>5</v>
      </c>
      <c r="I1051" s="8" t="s">
        <v>24</v>
      </c>
      <c r="J1051" s="8">
        <v>12</v>
      </c>
      <c r="K1051" s="8" t="s">
        <v>599</v>
      </c>
      <c r="L1051" s="8">
        <v>19</v>
      </c>
      <c r="M1051" s="7" t="s">
        <v>600</v>
      </c>
      <c r="N1051" s="7" t="s">
        <v>1786</v>
      </c>
      <c r="O1051" s="9">
        <v>41026</v>
      </c>
      <c r="P1051" s="7" t="s">
        <v>27</v>
      </c>
      <c r="Q1051" s="7" t="s">
        <v>1694</v>
      </c>
      <c r="R1051" s="7" t="s">
        <v>1583</v>
      </c>
      <c r="S1051" s="8" t="s">
        <v>1584</v>
      </c>
      <c r="T1051" s="7">
        <v>1</v>
      </c>
      <c r="U1051" s="7" t="s">
        <v>611</v>
      </c>
      <c r="V1051" s="7"/>
    </row>
    <row r="1052" spans="1:22">
      <c r="A1052" s="5" t="s">
        <v>1806</v>
      </c>
      <c r="B1052" s="5" t="str">
        <f>GetAddress(A1052)</f>
        <v>\\CHNO0276\Aseguranza de Calidad\Control de Documentos\Doc. controlados PDF\Quality Alerts\MICROMINI\Potted- Plex\QA-POTT-001 Rev. A 11695251 Pieza- Faltante.pdf</v>
      </c>
      <c r="C1052" s="5" t="str">
        <f>MID(B1052,LEN(B1052) - FIND(".",REVERSETEXT(B1052))+2,1000)</f>
        <v>pdf</v>
      </c>
      <c r="D1052" s="6">
        <v>10</v>
      </c>
      <c r="E1052" s="7" t="s">
        <v>1689</v>
      </c>
      <c r="F1052" s="7" t="s">
        <v>256</v>
      </c>
      <c r="G1052" s="8" t="s">
        <v>23</v>
      </c>
      <c r="H1052" s="8">
        <v>5</v>
      </c>
      <c r="I1052" s="8" t="s">
        <v>24</v>
      </c>
      <c r="J1052" s="8">
        <v>12</v>
      </c>
      <c r="K1052" s="8" t="s">
        <v>129</v>
      </c>
      <c r="L1052" s="8">
        <v>18</v>
      </c>
      <c r="M1052" s="7" t="s">
        <v>130</v>
      </c>
      <c r="N1052" s="7" t="s">
        <v>1807</v>
      </c>
      <c r="O1052" s="9">
        <v>40946</v>
      </c>
      <c r="P1052" s="7" t="s">
        <v>27</v>
      </c>
      <c r="Q1052" s="7">
        <v>11695251</v>
      </c>
      <c r="R1052" s="7" t="s">
        <v>1583</v>
      </c>
      <c r="S1052" s="8" t="s">
        <v>1584</v>
      </c>
      <c r="T1052" s="7">
        <v>1</v>
      </c>
      <c r="U1052" s="7" t="s">
        <v>611</v>
      </c>
      <c r="V1052" s="7"/>
    </row>
    <row r="1053" spans="1:22">
      <c r="A1053" s="5" t="s">
        <v>1808</v>
      </c>
      <c r="B1053" s="5" t="str">
        <f>GetAddress(A1053)</f>
        <v>\\CHNO0276\Aseguranza de Calidad\Control de Documentos\Doc. controlados PDF\Quality Alerts\MICROMINI\Potted- Plex\QA-POTT-002 Rev. A . 1463659 Inspeccion de Entrada.pdf</v>
      </c>
      <c r="C1053" s="5" t="str">
        <f>MID(B1053,LEN(B1053) - FIND(".",REVERSETEXT(B1053))+2,1000)</f>
        <v>pdf</v>
      </c>
      <c r="D1053" s="6">
        <v>10</v>
      </c>
      <c r="E1053" s="7" t="s">
        <v>1689</v>
      </c>
      <c r="F1053" s="7" t="s">
        <v>256</v>
      </c>
      <c r="G1053" s="8" t="s">
        <v>23</v>
      </c>
      <c r="H1053" s="8">
        <v>5</v>
      </c>
      <c r="I1053" s="8" t="s">
        <v>24</v>
      </c>
      <c r="J1053" s="8">
        <v>12</v>
      </c>
      <c r="K1053" s="8" t="s">
        <v>129</v>
      </c>
      <c r="L1053" s="8">
        <v>18</v>
      </c>
      <c r="M1053" s="7" t="s">
        <v>130</v>
      </c>
      <c r="N1053" s="7" t="s">
        <v>1809</v>
      </c>
      <c r="O1053" s="9">
        <v>41145</v>
      </c>
      <c r="P1053" s="7" t="s">
        <v>27</v>
      </c>
      <c r="Q1053" s="7">
        <v>1463659</v>
      </c>
      <c r="R1053" s="7" t="s">
        <v>1583</v>
      </c>
      <c r="S1053" s="8" t="s">
        <v>1584</v>
      </c>
      <c r="T1053" s="7">
        <v>1</v>
      </c>
      <c r="U1053" s="7" t="s">
        <v>611</v>
      </c>
      <c r="V1053" s="7"/>
    </row>
    <row r="1054" spans="1:22">
      <c r="A1054" s="5" t="s">
        <v>1810</v>
      </c>
      <c r="B1054" s="5" t="str">
        <f>GetAddress(A1054)</f>
        <v>\\chno0276\Aseguranza de Calidad\Control de Documentos\Documentos controlados\CN-QAAS (Aseguranza de calidad)\Quality Alerts\MICROMINI\Potted- Plex\QA-POTT 003 Rev. A MP1819D60050F doble coupler.pptx</v>
      </c>
      <c r="C1054" s="5" t="str">
        <f>MID(B1054,LEN(B1054) - FIND(".",REVERSETEXT(B1054))+2,1000)</f>
        <v>pptx</v>
      </c>
      <c r="D1054" s="6">
        <v>10</v>
      </c>
      <c r="E1054" s="7" t="s">
        <v>1689</v>
      </c>
      <c r="F1054" s="7" t="s">
        <v>256</v>
      </c>
      <c r="G1054" s="8" t="s">
        <v>23</v>
      </c>
      <c r="H1054" s="8">
        <v>5</v>
      </c>
      <c r="I1054" s="8" t="s">
        <v>24</v>
      </c>
      <c r="J1054" s="8">
        <v>12</v>
      </c>
      <c r="K1054" s="8" t="s">
        <v>129</v>
      </c>
      <c r="L1054" s="8">
        <v>18</v>
      </c>
      <c r="M1054" s="7" t="s">
        <v>130</v>
      </c>
      <c r="N1054" s="7" t="s">
        <v>1811</v>
      </c>
      <c r="O1054" s="9">
        <v>41206</v>
      </c>
      <c r="P1054" s="7" t="s">
        <v>27</v>
      </c>
      <c r="Q1054" s="7" t="s">
        <v>1812</v>
      </c>
      <c r="R1054" s="7" t="s">
        <v>1583</v>
      </c>
      <c r="S1054" s="8" t="s">
        <v>1584</v>
      </c>
      <c r="T1054" s="7">
        <v>1</v>
      </c>
      <c r="U1054" s="7" t="s">
        <v>611</v>
      </c>
      <c r="V1054" s="7"/>
    </row>
    <row r="1055" spans="1:22">
      <c r="A1055" s="5" t="s">
        <v>2204</v>
      </c>
      <c r="B1055" s="5" t="str">
        <f>GetAddress(A1055)</f>
        <v>\\CHNO0276\Aseguranza de Calidad\Control de Documentos\Documentos controlados\CN-QAAS (Aseguranza de calidad)\Quality Alerts\ITRON\SALEM\QA-SALE-001 Rev. A AL-329-0000-080 Alambre expuesto - Exceso de epoxy.pptx</v>
      </c>
      <c r="C1055" s="5" t="str">
        <f>MID(B1055,LEN(B1055) - FIND(".",REVERSETEXT(B1055))+2,1000)</f>
        <v>pptx</v>
      </c>
      <c r="D1055" s="6">
        <v>10</v>
      </c>
      <c r="E1055" s="7" t="s">
        <v>1689</v>
      </c>
      <c r="F1055" s="7" t="s">
        <v>256</v>
      </c>
      <c r="G1055" s="8" t="s">
        <v>23</v>
      </c>
      <c r="H1055" s="8">
        <v>5</v>
      </c>
      <c r="I1055" s="8" t="s">
        <v>2205</v>
      </c>
      <c r="J1055" s="8">
        <v>34</v>
      </c>
      <c r="K1055" s="8" t="s">
        <v>2205</v>
      </c>
      <c r="L1055" s="8">
        <v>25</v>
      </c>
      <c r="M1055" s="7" t="s">
        <v>2206</v>
      </c>
      <c r="N1055" s="7" t="s">
        <v>2207</v>
      </c>
      <c r="O1055" s="25">
        <v>41052</v>
      </c>
      <c r="P1055" s="13" t="s">
        <v>27</v>
      </c>
      <c r="Q1055" s="7" t="s">
        <v>2208</v>
      </c>
      <c r="R1055" s="13" t="s">
        <v>2062</v>
      </c>
      <c r="S1055" s="8" t="s">
        <v>2063</v>
      </c>
      <c r="T1055" s="13">
        <v>1</v>
      </c>
      <c r="U1055" s="13" t="s">
        <v>2066</v>
      </c>
      <c r="V1055" s="7"/>
    </row>
    <row r="1056" spans="1:22">
      <c r="A1056" s="5" t="s">
        <v>2209</v>
      </c>
      <c r="B1056" s="5" t="str">
        <f>GetAddress(A1056)</f>
        <v>\\chno0276\Aseguranza de Calidad\Control de Documentos\Doc. controlados PDF\Quality Alerts\ITRON\SALEM\QA-SALM-002 Al-329-000-080 Cont. hembra sin acomplamiento - Exceso de epoxy.pdf</v>
      </c>
      <c r="C1056" s="5" t="str">
        <f>MID(B1056,LEN(B1056) - FIND(".",REVERSETEXT(B1056))+2,1000)</f>
        <v>pdf</v>
      </c>
      <c r="D1056" s="6">
        <v>10</v>
      </c>
      <c r="E1056" s="7" t="s">
        <v>1689</v>
      </c>
      <c r="F1056" s="7" t="s">
        <v>256</v>
      </c>
      <c r="G1056" s="8" t="s">
        <v>23</v>
      </c>
      <c r="H1056" s="8">
        <v>5</v>
      </c>
      <c r="I1056" s="8" t="s">
        <v>2205</v>
      </c>
      <c r="J1056" s="8">
        <v>34</v>
      </c>
      <c r="K1056" s="8" t="s">
        <v>2205</v>
      </c>
      <c r="L1056" s="8">
        <v>25</v>
      </c>
      <c r="M1056" s="7" t="s">
        <v>2206</v>
      </c>
      <c r="N1056" s="7" t="s">
        <v>2210</v>
      </c>
      <c r="O1056" s="7" t="s">
        <v>2211</v>
      </c>
      <c r="P1056" s="7" t="s">
        <v>27</v>
      </c>
      <c r="Q1056" s="7" t="s">
        <v>2212</v>
      </c>
      <c r="R1056" s="13" t="s">
        <v>2062</v>
      </c>
      <c r="S1056" s="8" t="s">
        <v>2063</v>
      </c>
      <c r="T1056" s="13">
        <v>1</v>
      </c>
      <c r="U1056" s="13" t="s">
        <v>2066</v>
      </c>
      <c r="V1056" s="7"/>
    </row>
    <row r="1057" spans="1:22">
      <c r="A1057" s="5" t="s">
        <v>1829</v>
      </c>
      <c r="B1057" s="5" t="str">
        <f>GetAddress(A1057)</f>
        <v>\\CHNO0276\Aseguranza de Calidad\Control de Documentos\Doc. controlados PDF\Quality Alerts\SOLAR\QA-SOL-001 Nedco.pdf</v>
      </c>
      <c r="C1057" s="5" t="str">
        <f>MID(B1057,LEN(B1057) - FIND(".",REVERSETEXT(B1057))+2,1000)</f>
        <v>pdf</v>
      </c>
      <c r="D1057" s="6">
        <v>10</v>
      </c>
      <c r="E1057" s="7" t="s">
        <v>1689</v>
      </c>
      <c r="F1057" s="7" t="s">
        <v>256</v>
      </c>
      <c r="G1057" s="8" t="s">
        <v>23</v>
      </c>
      <c r="H1057" s="8">
        <v>5</v>
      </c>
      <c r="I1057" s="8" t="s">
        <v>92</v>
      </c>
      <c r="J1057" s="8">
        <v>6</v>
      </c>
      <c r="K1057" s="8" t="s">
        <v>93</v>
      </c>
      <c r="L1057" s="8">
        <v>14</v>
      </c>
      <c r="M1057" s="7" t="s">
        <v>94</v>
      </c>
      <c r="N1057" s="7" t="s">
        <v>1830</v>
      </c>
      <c r="O1057" s="9">
        <v>41129</v>
      </c>
      <c r="P1057" s="7" t="s">
        <v>27</v>
      </c>
      <c r="Q1057" s="7" t="s">
        <v>1831</v>
      </c>
      <c r="R1057" s="7" t="s">
        <v>1583</v>
      </c>
      <c r="S1057" s="8" t="s">
        <v>1584</v>
      </c>
      <c r="T1057" s="7">
        <v>1</v>
      </c>
      <c r="U1057" s="7" t="s">
        <v>1832</v>
      </c>
      <c r="V1057" s="7"/>
    </row>
    <row r="1058" spans="1:22">
      <c r="A1058" s="5" t="s">
        <v>1833</v>
      </c>
      <c r="B1058" s="5" t="str">
        <f>GetAddress(A1058)</f>
        <v>\\CHNO0276\Aseguranza de Calidad\Control de Documentos\Doc. controlados PDF\Quality Alerts\SOLAR\QA-SOL-001 Nedco.pdf</v>
      </c>
      <c r="C1058" s="5" t="str">
        <f>MID(B1058,LEN(B1058) - FIND(".",REVERSETEXT(B1058))+2,1000)</f>
        <v>pdf</v>
      </c>
      <c r="D1058" s="6">
        <v>10</v>
      </c>
      <c r="E1058" s="7" t="s">
        <v>1689</v>
      </c>
      <c r="F1058" s="7" t="s">
        <v>256</v>
      </c>
      <c r="G1058" s="8" t="s">
        <v>23</v>
      </c>
      <c r="H1058" s="8">
        <v>5</v>
      </c>
      <c r="I1058" s="8" t="s">
        <v>92</v>
      </c>
      <c r="J1058" s="8">
        <v>6</v>
      </c>
      <c r="K1058" s="8" t="s">
        <v>93</v>
      </c>
      <c r="L1058" s="8">
        <v>14</v>
      </c>
      <c r="M1058" s="7" t="s">
        <v>94</v>
      </c>
      <c r="N1058" s="13" t="s">
        <v>1834</v>
      </c>
      <c r="O1058" s="9">
        <v>41165</v>
      </c>
      <c r="P1058" s="7" t="s">
        <v>27</v>
      </c>
      <c r="Q1058" s="7" t="s">
        <v>1831</v>
      </c>
      <c r="R1058" s="7" t="s">
        <v>1583</v>
      </c>
      <c r="S1058" s="8" t="s">
        <v>1584</v>
      </c>
      <c r="T1058" s="7">
        <v>1</v>
      </c>
      <c r="U1058" s="7" t="s">
        <v>1832</v>
      </c>
      <c r="V1058" s="7"/>
    </row>
    <row r="1059" spans="1:22">
      <c r="A1059" s="5" t="s">
        <v>1835</v>
      </c>
      <c r="B1059" s="5" t="str">
        <f>GetAddress(A1059)</f>
        <v>\\chno0276\Aseguranza de Calidad\Control de Documentos\Doc. controlados PDF\Quality Alerts\SOLAR\QA-SOL-003 Orientacion del tubing.pdf</v>
      </c>
      <c r="C1059" s="5" t="str">
        <f>MID(B1059,LEN(B1059) - FIND(".",REVERSETEXT(B1059))+2,1000)</f>
        <v>pdf</v>
      </c>
      <c r="D1059" s="6">
        <v>10</v>
      </c>
      <c r="E1059" s="7" t="s">
        <v>1689</v>
      </c>
      <c r="F1059" s="7" t="s">
        <v>256</v>
      </c>
      <c r="G1059" s="8" t="s">
        <v>23</v>
      </c>
      <c r="H1059" s="8">
        <v>5</v>
      </c>
      <c r="I1059" s="8" t="s">
        <v>92</v>
      </c>
      <c r="J1059" s="8">
        <v>6</v>
      </c>
      <c r="K1059" s="8" t="s">
        <v>93</v>
      </c>
      <c r="L1059" s="8">
        <v>14</v>
      </c>
      <c r="M1059" s="7" t="s">
        <v>94</v>
      </c>
      <c r="N1059" s="13" t="s">
        <v>1836</v>
      </c>
      <c r="O1059" s="9">
        <v>41179</v>
      </c>
      <c r="P1059" s="7" t="s">
        <v>27</v>
      </c>
      <c r="Q1059" s="7" t="s">
        <v>1831</v>
      </c>
      <c r="R1059" s="7" t="s">
        <v>1583</v>
      </c>
      <c r="S1059" s="8" t="s">
        <v>1584</v>
      </c>
      <c r="T1059" s="7">
        <v>1</v>
      </c>
      <c r="U1059" s="7" t="s">
        <v>1832</v>
      </c>
      <c r="V1059" s="7"/>
    </row>
    <row r="1060" spans="1:22">
      <c r="A1060" s="5" t="s">
        <v>1837</v>
      </c>
      <c r="B1060" s="5" t="str">
        <f>GetAddress(A1060)</f>
        <v>\\chno0276\Aseguranza de Calidad\Control de Documentos\Doc. controlados PDF\Quality Alerts\SOLAR\QA-SOL-004  Carretes Solar.pdf</v>
      </c>
      <c r="C1060" s="5" t="str">
        <f>MID(B1060,LEN(B1060) - FIND(".",REVERSETEXT(B1060))+2,1000)</f>
        <v>pdf</v>
      </c>
      <c r="D1060" s="6">
        <v>10</v>
      </c>
      <c r="E1060" s="7" t="s">
        <v>1689</v>
      </c>
      <c r="F1060" s="7" t="s">
        <v>256</v>
      </c>
      <c r="G1060" s="8" t="s">
        <v>23</v>
      </c>
      <c r="H1060" s="8">
        <v>5</v>
      </c>
      <c r="I1060" s="8" t="s">
        <v>92</v>
      </c>
      <c r="J1060" s="8">
        <v>6</v>
      </c>
      <c r="K1060" s="8" t="s">
        <v>93</v>
      </c>
      <c r="L1060" s="8">
        <v>14</v>
      </c>
      <c r="M1060" s="7" t="s">
        <v>94</v>
      </c>
      <c r="N1060" s="7" t="s">
        <v>1838</v>
      </c>
      <c r="O1060" s="9">
        <v>41208</v>
      </c>
      <c r="P1060" s="7" t="s">
        <v>27</v>
      </c>
      <c r="Q1060" s="7" t="s">
        <v>1831</v>
      </c>
      <c r="R1060" s="7" t="s">
        <v>1583</v>
      </c>
      <c r="S1060" s="8" t="s">
        <v>1584</v>
      </c>
      <c r="T1060" s="7">
        <v>1</v>
      </c>
      <c r="U1060" s="7" t="s">
        <v>1832</v>
      </c>
      <c r="V1060" s="7"/>
    </row>
    <row r="1061" spans="1:22">
      <c r="A1061" s="5" t="s">
        <v>254</v>
      </c>
      <c r="B1061" s="5" t="str">
        <f>GetAddress(A1061)</f>
        <v>\\chno0276\Aseguranza de Calidad\Control de Documentos\Doc. controlados PDF\Manual de Calidad\QM-01 Quality Manual.pdf</v>
      </c>
      <c r="C1061" s="5" t="str">
        <f>MID(B1061,LEN(B1061) - FIND(".",REVERSETEXT(B1061))+2,1000)</f>
        <v>pdf</v>
      </c>
      <c r="D1061" s="6">
        <v>1</v>
      </c>
      <c r="E1061" s="7" t="s">
        <v>255</v>
      </c>
      <c r="F1061" s="7" t="s">
        <v>256</v>
      </c>
      <c r="G1061" s="8" t="s">
        <v>23</v>
      </c>
      <c r="H1061" s="8">
        <v>5</v>
      </c>
      <c r="I1061" s="8" t="s">
        <v>257</v>
      </c>
      <c r="J1061" s="8">
        <v>9</v>
      </c>
      <c r="K1061" s="8" t="s">
        <v>258</v>
      </c>
      <c r="L1061" s="8">
        <v>8</v>
      </c>
      <c r="M1061" s="7" t="s">
        <v>259</v>
      </c>
      <c r="N1061" s="7" t="s">
        <v>260</v>
      </c>
      <c r="O1061" s="9">
        <v>40994</v>
      </c>
      <c r="P1061" s="7" t="s">
        <v>261</v>
      </c>
      <c r="Q1061" s="9" t="s">
        <v>28</v>
      </c>
      <c r="R1061" s="9" t="s">
        <v>221</v>
      </c>
      <c r="S1061" s="8" t="s">
        <v>222</v>
      </c>
      <c r="T1061" s="7"/>
      <c r="U1061" s="13"/>
      <c r="V1061" s="13"/>
    </row>
    <row r="1062" spans="1:22">
      <c r="A1062" s="5" t="s">
        <v>262</v>
      </c>
      <c r="B1062" s="5" t="str">
        <f>GetAddress(A1062)</f>
        <v>\\CHNO0276\Aseguranza de Calidad\Control de Documentos\Doc. controlados PDF\Estandares\Estandar AS9100\QM-03 Estandard AS9100 Rev, C pdf.pdf</v>
      </c>
      <c r="C1062" s="5" t="str">
        <f>MID(B1062,LEN(B1062) - FIND(".",REVERSETEXT(B1062))+2,1000)</f>
        <v>pdf</v>
      </c>
      <c r="D1062" s="6">
        <v>1</v>
      </c>
      <c r="E1062" s="7" t="s">
        <v>255</v>
      </c>
      <c r="F1062" s="7" t="s">
        <v>256</v>
      </c>
      <c r="G1062" s="8" t="s">
        <v>23</v>
      </c>
      <c r="H1062" s="8">
        <v>5</v>
      </c>
      <c r="I1062" s="8" t="s">
        <v>257</v>
      </c>
      <c r="J1062" s="8">
        <v>9</v>
      </c>
      <c r="K1062" s="8" t="s">
        <v>258</v>
      </c>
      <c r="L1062" s="8">
        <v>8</v>
      </c>
      <c r="M1062" s="7" t="s">
        <v>259</v>
      </c>
      <c r="N1062" s="7" t="s">
        <v>263</v>
      </c>
      <c r="O1062" s="9">
        <v>41244</v>
      </c>
      <c r="P1062" s="7" t="s">
        <v>159</v>
      </c>
      <c r="Q1062" s="9" t="s">
        <v>28</v>
      </c>
      <c r="R1062" s="9" t="s">
        <v>221</v>
      </c>
      <c r="S1062" s="8" t="s">
        <v>222</v>
      </c>
      <c r="T1062" s="7"/>
      <c r="U1062" s="13"/>
      <c r="V1062" s="17"/>
    </row>
    <row r="1063" spans="1:22">
      <c r="A1063" s="5" t="s">
        <v>20</v>
      </c>
      <c r="B1063" s="5" t="str">
        <f>GetAddress(A1063)</f>
        <v>\\CHNO0276\Aseguranza de Calidad\Control de Documentos\Doc. controlados PDF\Especificaciones genericas\Micromini\A Y B\CNWI-ENGI-F019 Rev  F Especificaciones remachado Celda A y B Rev  B.xlsx</v>
      </c>
      <c r="C1063" s="5" t="str">
        <f>MID(B1063,LEN(B1063) - FIND(".",REVERSETEXT(B1063))+2,1000)</f>
        <v>xlsx</v>
      </c>
      <c r="D1063" s="6">
        <v>12</v>
      </c>
      <c r="E1063" s="7" t="s">
        <v>21</v>
      </c>
      <c r="F1063" s="7" t="s">
        <v>22</v>
      </c>
      <c r="G1063" s="8" t="s">
        <v>23</v>
      </c>
      <c r="H1063" s="8">
        <v>5</v>
      </c>
      <c r="I1063" s="8" t="s">
        <v>24</v>
      </c>
      <c r="J1063" s="8">
        <v>12</v>
      </c>
      <c r="K1063" s="8" t="s">
        <v>663</v>
      </c>
      <c r="L1063" s="8">
        <v>3</v>
      </c>
      <c r="M1063" s="7" t="s">
        <v>664</v>
      </c>
      <c r="N1063" s="5" t="s">
        <v>20</v>
      </c>
      <c r="O1063" s="9">
        <v>41037</v>
      </c>
      <c r="P1063" s="7" t="s">
        <v>742</v>
      </c>
      <c r="Q1063" s="7" t="s">
        <v>28</v>
      </c>
      <c r="R1063" s="7" t="s">
        <v>604</v>
      </c>
      <c r="S1063" s="8" t="s">
        <v>605</v>
      </c>
      <c r="T1063" s="7" t="s">
        <v>30</v>
      </c>
      <c r="U1063" s="9" t="s">
        <v>31</v>
      </c>
      <c r="V1063" s="7"/>
    </row>
    <row r="1064" spans="1:22">
      <c r="A1064" s="5" t="s">
        <v>20</v>
      </c>
      <c r="B1064" s="5" t="str">
        <f>GetAddress(A1064)</f>
        <v>\\CHNO0276\Aseguranza de Calidad\Control de Documentos\Doc. controlados PDF\Especificaciones genericas\Micromini\CHANGE OUT\CNWI-ENGI-F019 Rev. A Especificaciones remachado area Change out Rev. A.xlsx</v>
      </c>
      <c r="C1064" s="5" t="str">
        <f>MID(B1064,LEN(B1064) - FIND(".",REVERSETEXT(B1064))+2,1000)</f>
        <v>xlsx</v>
      </c>
      <c r="D1064" s="6">
        <v>12</v>
      </c>
      <c r="E1064" s="7" t="s">
        <v>21</v>
      </c>
      <c r="F1064" s="7" t="s">
        <v>22</v>
      </c>
      <c r="G1064" s="8" t="s">
        <v>23</v>
      </c>
      <c r="H1064" s="8">
        <v>5</v>
      </c>
      <c r="I1064" s="8" t="s">
        <v>24</v>
      </c>
      <c r="J1064" s="8">
        <v>12</v>
      </c>
      <c r="K1064" s="8" t="s">
        <v>25</v>
      </c>
      <c r="L1064" s="8">
        <v>4</v>
      </c>
      <c r="M1064" s="7" t="s">
        <v>26</v>
      </c>
      <c r="N1064" s="5" t="s">
        <v>20</v>
      </c>
      <c r="O1064" s="9">
        <v>41026</v>
      </c>
      <c r="P1064" s="7" t="s">
        <v>27</v>
      </c>
      <c r="Q1064" s="7" t="s">
        <v>28</v>
      </c>
      <c r="R1064" s="7" t="s">
        <v>29</v>
      </c>
      <c r="S1064" s="8"/>
      <c r="T1064" s="7" t="s">
        <v>30</v>
      </c>
      <c r="U1064" s="9" t="s">
        <v>31</v>
      </c>
      <c r="V1064" s="7"/>
    </row>
    <row r="1065" spans="1:22">
      <c r="A1065" s="5" t="s">
        <v>20</v>
      </c>
      <c r="B1065" s="5" t="str">
        <f>GetAddress(A1065)</f>
        <v>\\CHNO0276\Aseguranza de Calidad\Control de Documentos\Doc. controlados PDF\Especificaciones genericas\Micromini\MS\CNWI-ENGI-F019 Rev. E Especificaciones remachado area MS.xlsx</v>
      </c>
      <c r="C1065" s="5" t="str">
        <f>MID(B1065,LEN(B1065) - FIND(".",REVERSETEXT(B1065))+2,1000)</f>
        <v>xlsx</v>
      </c>
      <c r="D1065" s="6">
        <v>12</v>
      </c>
      <c r="E1065" s="7" t="s">
        <v>21</v>
      </c>
      <c r="F1065" s="7" t="s">
        <v>22</v>
      </c>
      <c r="G1065" s="8" t="s">
        <v>23</v>
      </c>
      <c r="H1065" s="8">
        <v>5</v>
      </c>
      <c r="I1065" s="8" t="s">
        <v>24</v>
      </c>
      <c r="J1065" s="8">
        <v>12</v>
      </c>
      <c r="K1065" s="8" t="s">
        <v>515</v>
      </c>
      <c r="L1065" s="8">
        <v>16</v>
      </c>
      <c r="M1065" s="7" t="s">
        <v>515</v>
      </c>
      <c r="N1065" s="5" t="s">
        <v>20</v>
      </c>
      <c r="O1065" s="9">
        <v>41020</v>
      </c>
      <c r="P1065" s="7" t="s">
        <v>261</v>
      </c>
      <c r="Q1065" s="7" t="s">
        <v>28</v>
      </c>
      <c r="R1065" s="7" t="s">
        <v>604</v>
      </c>
      <c r="S1065" s="8" t="s">
        <v>605</v>
      </c>
      <c r="T1065" s="7" t="s">
        <v>30</v>
      </c>
      <c r="U1065" s="9" t="s">
        <v>601</v>
      </c>
      <c r="V1065" s="7"/>
    </row>
    <row r="1066" spans="1:22">
      <c r="A1066" s="5" t="s">
        <v>20</v>
      </c>
      <c r="B1066" s="5" t="str">
        <f>GetAddress(A1066)</f>
        <v>\\CHNO0276\Aseguranza de Calidad\Control de Documentos\Doc. controlados PDF\Especificaciones genericas\Micromini\PLEX\CNWI-ENGI-F019 Rev. A Especificaciones remachado area Plex.xlsx</v>
      </c>
      <c r="C1066" s="5" t="str">
        <f>MID(B1066,LEN(B1066) - FIND(".",REVERSETEXT(B1066))+2,1000)</f>
        <v>xlsx</v>
      </c>
      <c r="D1066" s="6">
        <v>12</v>
      </c>
      <c r="E1066" s="7" t="s">
        <v>21</v>
      </c>
      <c r="F1066" s="7" t="s">
        <v>22</v>
      </c>
      <c r="G1066" s="8" t="s">
        <v>23</v>
      </c>
      <c r="H1066" s="8">
        <v>5</v>
      </c>
      <c r="I1066" s="8" t="s">
        <v>24</v>
      </c>
      <c r="J1066" s="8">
        <v>12</v>
      </c>
      <c r="K1066" s="8" t="s">
        <v>599</v>
      </c>
      <c r="L1066" s="8">
        <v>19</v>
      </c>
      <c r="M1066" s="7" t="s">
        <v>600</v>
      </c>
      <c r="N1066" s="5" t="s">
        <v>20</v>
      </c>
      <c r="O1066" s="9">
        <v>40896</v>
      </c>
      <c r="P1066" s="7" t="s">
        <v>46</v>
      </c>
      <c r="Q1066" s="7" t="s">
        <v>28</v>
      </c>
      <c r="R1066" s="7" t="s">
        <v>604</v>
      </c>
      <c r="S1066" s="8" t="s">
        <v>605</v>
      </c>
      <c r="T1066" s="7" t="s">
        <v>30</v>
      </c>
      <c r="U1066" s="9" t="s">
        <v>601</v>
      </c>
      <c r="V1066" s="7"/>
    </row>
    <row r="1067" spans="1:22">
      <c r="A1067" s="5" t="s">
        <v>20</v>
      </c>
      <c r="B1067" s="5" t="str">
        <f>GetAddress(A1067)</f>
        <v>\\CHNO0276\Aseguranza de Calidad\Control de Documentos\Doc. controlados PDF\Especificaciones genericas\Micromini\POTTED\CNWI-ENGI-F019 Rev  F Especificaciones remachado area Potted.xlsx</v>
      </c>
      <c r="C1067" s="5" t="str">
        <f>MID(B1067,LEN(B1067) - FIND(".",REVERSETEXT(B1067))+2,1000)</f>
        <v>xlsx</v>
      </c>
      <c r="D1067" s="6">
        <v>12</v>
      </c>
      <c r="E1067" s="7" t="s">
        <v>21</v>
      </c>
      <c r="F1067" s="7" t="s">
        <v>22</v>
      </c>
      <c r="G1067" s="8" t="s">
        <v>23</v>
      </c>
      <c r="H1067" s="8">
        <v>5</v>
      </c>
      <c r="I1067" s="8" t="s">
        <v>24</v>
      </c>
      <c r="J1067" s="8">
        <v>12</v>
      </c>
      <c r="K1067" s="8" t="s">
        <v>129</v>
      </c>
      <c r="L1067" s="8">
        <v>18</v>
      </c>
      <c r="M1067" s="7" t="s">
        <v>130</v>
      </c>
      <c r="N1067" s="5" t="s">
        <v>20</v>
      </c>
      <c r="O1067" s="9">
        <v>40893</v>
      </c>
      <c r="P1067" s="7" t="s">
        <v>742</v>
      </c>
      <c r="Q1067" s="7" t="s">
        <v>28</v>
      </c>
      <c r="R1067" s="7" t="s">
        <v>604</v>
      </c>
      <c r="S1067" s="8" t="s">
        <v>605</v>
      </c>
      <c r="T1067" s="7" t="s">
        <v>30</v>
      </c>
      <c r="U1067" s="9" t="s">
        <v>601</v>
      </c>
      <c r="V1067" s="7"/>
    </row>
    <row r="1068" spans="1:22">
      <c r="A1068" s="5" t="s">
        <v>1531</v>
      </c>
      <c r="B1068" s="5" t="str">
        <f>GetAddress(A1068)</f>
        <v>\\CHNO0276\Aseguranza de Calidad\Control de Documentos\Doc. controlados PDF\TPMs\Moorpark\TPM-MRPK-002 Rev. A TP-18 Tecn. de Mantto.xlsx</v>
      </c>
      <c r="C1068" s="5" t="str">
        <f>MID(B1068,LEN(B1068) - FIND(".",REVERSETEXT(B1068))+2,1000)</f>
        <v>xlsx</v>
      </c>
      <c r="D1068" s="6">
        <v>15</v>
      </c>
      <c r="E1068" s="7" t="s">
        <v>1532</v>
      </c>
      <c r="F1068" s="7" t="s">
        <v>1222</v>
      </c>
      <c r="G1068" s="8" t="s">
        <v>23</v>
      </c>
      <c r="H1068" s="8">
        <v>5</v>
      </c>
      <c r="I1068" s="8" t="s">
        <v>257</v>
      </c>
      <c r="J1068" s="8">
        <v>9</v>
      </c>
      <c r="K1068" s="8" t="s">
        <v>258</v>
      </c>
      <c r="L1068" s="8">
        <v>8</v>
      </c>
      <c r="M1068" s="7" t="s">
        <v>259</v>
      </c>
      <c r="N1068" s="7" t="s">
        <v>1533</v>
      </c>
      <c r="O1068" s="9">
        <v>41079</v>
      </c>
      <c r="P1068" s="7" t="s">
        <v>27</v>
      </c>
      <c r="Q1068" s="9" t="s">
        <v>28</v>
      </c>
      <c r="R1068" s="9" t="s">
        <v>1519</v>
      </c>
      <c r="S1068" s="8" t="s">
        <v>1520</v>
      </c>
      <c r="T1068" s="7"/>
      <c r="U1068" s="13"/>
      <c r="V1068" s="17"/>
    </row>
    <row r="1069" spans="1:22">
      <c r="A1069" s="5" t="s">
        <v>1534</v>
      </c>
      <c r="B1069" s="5" t="str">
        <f>GetAddress(A1069)</f>
        <v>\\CHNO0276\Aseguranza de Calidad\Control de Documentos\Doc. controlados PDF\TPMs\Moorpark\TPM-MRPK-002 Rev. A TP-18 Tecn. de Mantto.xlsx</v>
      </c>
      <c r="C1069" s="5" t="str">
        <f>MID(B1069,LEN(B1069) - FIND(".",REVERSETEXT(B1069))+2,1000)</f>
        <v>xlsx</v>
      </c>
      <c r="D1069" s="6">
        <v>15</v>
      </c>
      <c r="E1069" s="7" t="s">
        <v>1532</v>
      </c>
      <c r="F1069" s="7" t="s">
        <v>1222</v>
      </c>
      <c r="G1069" s="8" t="s">
        <v>23</v>
      </c>
      <c r="H1069" s="8">
        <v>5</v>
      </c>
      <c r="I1069" s="8" t="s">
        <v>257</v>
      </c>
      <c r="J1069" s="8">
        <v>9</v>
      </c>
      <c r="K1069" s="8" t="s">
        <v>258</v>
      </c>
      <c r="L1069" s="8">
        <v>8</v>
      </c>
      <c r="M1069" s="7" t="s">
        <v>259</v>
      </c>
      <c r="N1069" s="7" t="s">
        <v>1535</v>
      </c>
      <c r="O1069" s="9">
        <v>41079</v>
      </c>
      <c r="P1069" s="7" t="s">
        <v>27</v>
      </c>
      <c r="Q1069" s="9" t="s">
        <v>28</v>
      </c>
      <c r="R1069" s="9" t="s">
        <v>1519</v>
      </c>
      <c r="S1069" s="8" t="s">
        <v>1520</v>
      </c>
      <c r="T1069" s="7"/>
      <c r="U1069" s="13"/>
      <c r="V1069" s="13"/>
    </row>
    <row r="1070" spans="1:22">
      <c r="A1070" s="5" t="s">
        <v>2442</v>
      </c>
      <c r="B1070" s="5" t="str">
        <f>GetAddress(A1070)</f>
        <v>\\chno0276\Control de Documentos\Doc. controlados PDF\Ayudas visuales\Camarillo\Amsafe\VA-AMSA-001 Rev Doc E  Rev Draw N ASSEMBLY  CABLE  INTERFACE  508418  pag 1.ppt</v>
      </c>
      <c r="C1070" s="5" t="str">
        <f>MID(B1070,LEN(B1070) - FIND(".",REVERSETEXT(B1070))+2,1000)</f>
        <v>ppt</v>
      </c>
      <c r="D1070" s="6">
        <v>6</v>
      </c>
      <c r="E1070" s="7" t="s">
        <v>83</v>
      </c>
      <c r="F1070" s="7" t="s">
        <v>22</v>
      </c>
      <c r="G1070" s="8" t="s">
        <v>23</v>
      </c>
      <c r="H1070" s="8">
        <v>5</v>
      </c>
      <c r="I1070" s="8" t="s">
        <v>874</v>
      </c>
      <c r="J1070" s="8">
        <v>10</v>
      </c>
      <c r="K1070" s="8" t="s">
        <v>875</v>
      </c>
      <c r="L1070" s="8">
        <v>7</v>
      </c>
      <c r="M1070" s="7" t="s">
        <v>876</v>
      </c>
      <c r="N1070" s="7" t="s">
        <v>2443</v>
      </c>
      <c r="O1070" s="25">
        <v>41212</v>
      </c>
      <c r="P1070" s="7" t="s">
        <v>2444</v>
      </c>
      <c r="Q1070" s="7">
        <v>508418</v>
      </c>
      <c r="R1070" s="7" t="s">
        <v>2426</v>
      </c>
      <c r="S1070" s="8" t="s">
        <v>2427</v>
      </c>
      <c r="T1070" s="7" t="s">
        <v>30</v>
      </c>
      <c r="U1070" s="13" t="s">
        <v>479</v>
      </c>
      <c r="V1070" s="7"/>
    </row>
    <row r="1071" spans="1:22">
      <c r="A1071" s="5" t="s">
        <v>2445</v>
      </c>
      <c r="B1071" s="5" t="str">
        <f>GetAddress(A1071)</f>
        <v>\\CHNO0276\Aseguranza de Calidad\Control de Documentos\Doc. controlados PDF\Ayudas visuales\Camarillo\Amsafe\VA-AMSA-002 Rev A  CABLE ASSEMPLY EXTENTION  DRAWING 509800  PART   004038-0001.ppt</v>
      </c>
      <c r="C1071" s="5" t="str">
        <f>MID(B1071,LEN(B1071) - FIND(".",REVERSETEXT(B1071))+2,1000)</f>
        <v>ppt</v>
      </c>
      <c r="D1071" s="6">
        <v>6</v>
      </c>
      <c r="E1071" s="7" t="s">
        <v>83</v>
      </c>
      <c r="F1071" s="7" t="s">
        <v>22</v>
      </c>
      <c r="G1071" s="8" t="s">
        <v>23</v>
      </c>
      <c r="H1071" s="8">
        <v>5</v>
      </c>
      <c r="I1071" s="8" t="s">
        <v>874</v>
      </c>
      <c r="J1071" s="8">
        <v>10</v>
      </c>
      <c r="K1071" s="8" t="s">
        <v>875</v>
      </c>
      <c r="L1071" s="8">
        <v>7</v>
      </c>
      <c r="M1071" s="7" t="s">
        <v>876</v>
      </c>
      <c r="N1071" s="7" t="s">
        <v>2446</v>
      </c>
      <c r="O1071" s="25">
        <v>41082</v>
      </c>
      <c r="P1071" s="13" t="s">
        <v>27</v>
      </c>
      <c r="Q1071" s="7">
        <v>509800</v>
      </c>
      <c r="R1071" s="7" t="s">
        <v>2426</v>
      </c>
      <c r="S1071" s="8" t="s">
        <v>2427</v>
      </c>
      <c r="T1071" s="7" t="s">
        <v>30</v>
      </c>
      <c r="U1071" s="13" t="s">
        <v>479</v>
      </c>
      <c r="V1071" s="7"/>
    </row>
    <row r="1072" spans="1:22" ht="63.75">
      <c r="A1072" s="5" t="s">
        <v>2447</v>
      </c>
      <c r="B1072" s="5" t="str">
        <f>GetAddress(A1072)</f>
        <v>\\chno0276\Control de Documentos\Doc. controlados PDF\Ayudas visuales\Camarillo\Amsafe\VA-AMSA-003 Rev Doc G - Drawing  BM CABLE ASSEMBLY INTERFACE 509976 Pag 5.ppt</v>
      </c>
      <c r="C1072" s="5" t="str">
        <f>MID(B1072,LEN(B1072) - FIND(".",REVERSETEXT(B1072))+2,1000)</f>
        <v>ppt</v>
      </c>
      <c r="D1072" s="6">
        <v>6</v>
      </c>
      <c r="E1072" s="7" t="s">
        <v>83</v>
      </c>
      <c r="F1072" s="7" t="s">
        <v>22</v>
      </c>
      <c r="G1072" s="8" t="s">
        <v>23</v>
      </c>
      <c r="H1072" s="8">
        <v>5</v>
      </c>
      <c r="I1072" s="8" t="s">
        <v>874</v>
      </c>
      <c r="J1072" s="8">
        <v>10</v>
      </c>
      <c r="K1072" s="8" t="s">
        <v>875</v>
      </c>
      <c r="L1072" s="8">
        <v>7</v>
      </c>
      <c r="M1072" s="7" t="s">
        <v>876</v>
      </c>
      <c r="N1072" s="13" t="s">
        <v>2448</v>
      </c>
      <c r="O1072" s="12">
        <v>41192</v>
      </c>
      <c r="P1072" s="7" t="s">
        <v>2449</v>
      </c>
      <c r="Q1072" s="7">
        <v>509976</v>
      </c>
      <c r="R1072" s="7" t="s">
        <v>2426</v>
      </c>
      <c r="S1072" s="8" t="s">
        <v>2427</v>
      </c>
      <c r="T1072" s="7" t="s">
        <v>30</v>
      </c>
      <c r="U1072" s="7" t="s">
        <v>479</v>
      </c>
      <c r="V1072" s="7"/>
    </row>
    <row r="1073" spans="1:22" ht="76.5">
      <c r="A1073" s="5" t="s">
        <v>2450</v>
      </c>
      <c r="B1073" s="5" t="str">
        <f>GetAddress(A1073)</f>
        <v>\\chno0276\Control de Documentos\Doc. controlados PDF\Ayudas visuales\Camarillo\Amsafe\VA-AMSA-004  Rev Doc E  Drawin BM CABLE ASSEMPLY INTERFACE 509976 Pag 4.ppt</v>
      </c>
      <c r="C1073" s="5" t="str">
        <f>MID(B1073,LEN(B1073) - FIND(".",REVERSETEXT(B1073))+2,1000)</f>
        <v>ppt</v>
      </c>
      <c r="D1073" s="6">
        <v>6</v>
      </c>
      <c r="E1073" s="7" t="s">
        <v>83</v>
      </c>
      <c r="F1073" s="7" t="s">
        <v>22</v>
      </c>
      <c r="G1073" s="8" t="s">
        <v>23</v>
      </c>
      <c r="H1073" s="8">
        <v>5</v>
      </c>
      <c r="I1073" s="8" t="s">
        <v>874</v>
      </c>
      <c r="J1073" s="8">
        <v>10</v>
      </c>
      <c r="K1073" s="8" t="s">
        <v>875</v>
      </c>
      <c r="L1073" s="8">
        <v>7</v>
      </c>
      <c r="M1073" s="7" t="s">
        <v>876</v>
      </c>
      <c r="N1073" s="13" t="s">
        <v>2451</v>
      </c>
      <c r="O1073" s="25">
        <v>41192</v>
      </c>
      <c r="P1073" s="7" t="s">
        <v>2452</v>
      </c>
      <c r="Q1073" s="7">
        <v>509976</v>
      </c>
      <c r="R1073" s="7" t="s">
        <v>2426</v>
      </c>
      <c r="S1073" s="8" t="s">
        <v>2427</v>
      </c>
      <c r="T1073" s="7" t="s">
        <v>30</v>
      </c>
      <c r="U1073" s="7" t="s">
        <v>479</v>
      </c>
      <c r="V1073" s="7"/>
    </row>
    <row r="1074" spans="1:22">
      <c r="A1074" s="5" t="s">
        <v>2453</v>
      </c>
      <c r="B1074" s="5" t="str">
        <f>GetAddress(A1074)</f>
        <v>\\chno0276\Control de Documentos\Doc. controlados PDF\Ayudas visuales\Camarillo\Amsafe\VA-AMSA-005 Rev Doc D- Drawing  BM CABLE ASSEMBLY INTERFACE 509976 pag 12.ppt</v>
      </c>
      <c r="C1074" s="5" t="str">
        <f>MID(B1074,LEN(B1074) - FIND(".",REVERSETEXT(B1074))+2,1000)</f>
        <v>ppt</v>
      </c>
      <c r="D1074" s="6">
        <v>6</v>
      </c>
      <c r="E1074" s="7" t="s">
        <v>83</v>
      </c>
      <c r="F1074" s="7" t="s">
        <v>22</v>
      </c>
      <c r="G1074" s="8" t="s">
        <v>23</v>
      </c>
      <c r="H1074" s="8">
        <v>5</v>
      </c>
      <c r="I1074" s="8" t="s">
        <v>874</v>
      </c>
      <c r="J1074" s="8">
        <v>10</v>
      </c>
      <c r="K1074" s="8" t="s">
        <v>875</v>
      </c>
      <c r="L1074" s="8">
        <v>7</v>
      </c>
      <c r="M1074" s="7" t="s">
        <v>876</v>
      </c>
      <c r="N1074" s="13" t="s">
        <v>2454</v>
      </c>
      <c r="O1074" s="25">
        <v>41192</v>
      </c>
      <c r="P1074" s="13" t="s">
        <v>2455</v>
      </c>
      <c r="Q1074" s="7">
        <v>509976</v>
      </c>
      <c r="R1074" s="7" t="s">
        <v>2426</v>
      </c>
      <c r="S1074" s="8" t="s">
        <v>2427</v>
      </c>
      <c r="T1074" s="7" t="s">
        <v>30</v>
      </c>
      <c r="U1074" s="7" t="s">
        <v>479</v>
      </c>
      <c r="V1074" s="7"/>
    </row>
    <row r="1075" spans="1:22">
      <c r="A1075" s="5" t="s">
        <v>2456</v>
      </c>
      <c r="B1075" s="5" t="str">
        <f>GetAddress(A1075)</f>
        <v>\\chno0276\Control de Documentos\Doc. controlados PDF\Ayudas visuales\Camarillo\Amsafe\VA-AMSA-006 Rev Doc C - Rev Drawing L  CABLE  ASSEMBLY 508328 PART 003076-0001.ppt</v>
      </c>
      <c r="C1075" s="5" t="str">
        <f>MID(B1075,LEN(B1075) - FIND(".",REVERSETEXT(B1075))+2,1000)</f>
        <v>ppt</v>
      </c>
      <c r="D1075" s="6">
        <v>6</v>
      </c>
      <c r="E1075" s="7" t="s">
        <v>83</v>
      </c>
      <c r="F1075" s="7" t="s">
        <v>22</v>
      </c>
      <c r="G1075" s="8" t="s">
        <v>23</v>
      </c>
      <c r="H1075" s="8">
        <v>5</v>
      </c>
      <c r="I1075" s="8" t="s">
        <v>874</v>
      </c>
      <c r="J1075" s="8">
        <v>10</v>
      </c>
      <c r="K1075" s="8" t="s">
        <v>875</v>
      </c>
      <c r="L1075" s="8">
        <v>7</v>
      </c>
      <c r="M1075" s="7" t="s">
        <v>876</v>
      </c>
      <c r="N1075" s="7" t="s">
        <v>2457</v>
      </c>
      <c r="O1075" s="25">
        <v>41143</v>
      </c>
      <c r="P1075" s="13" t="s">
        <v>2458</v>
      </c>
      <c r="Q1075" s="7">
        <v>508328</v>
      </c>
      <c r="R1075" s="7" t="s">
        <v>2426</v>
      </c>
      <c r="S1075" s="8" t="s">
        <v>2427</v>
      </c>
      <c r="T1075" s="7" t="s">
        <v>30</v>
      </c>
      <c r="U1075" s="7" t="s">
        <v>479</v>
      </c>
      <c r="V1075" s="7"/>
    </row>
    <row r="1076" spans="1:22">
      <c r="A1076" s="5" t="s">
        <v>2459</v>
      </c>
      <c r="B1076" s="5" t="str">
        <f>GetAddress(A1076)</f>
        <v>\\chno0276\Control de Documentos\Doc. controlados PDF\Ayudas visuales\Camarillo\Amsafe\VA-AMSA-007  Rev Doc C - Rev Drawing AN CABLE ASSEMBLY INTERFACE 508976 Pag 2.ppt</v>
      </c>
      <c r="C1076" s="5" t="str">
        <f>MID(B1076,LEN(B1076) - FIND(".",REVERSETEXT(B1076))+2,1000)</f>
        <v>ppt</v>
      </c>
      <c r="D1076" s="6">
        <v>6</v>
      </c>
      <c r="E1076" s="7" t="s">
        <v>83</v>
      </c>
      <c r="F1076" s="7" t="s">
        <v>22</v>
      </c>
      <c r="G1076" s="8" t="s">
        <v>23</v>
      </c>
      <c r="H1076" s="8">
        <v>5</v>
      </c>
      <c r="I1076" s="8" t="s">
        <v>874</v>
      </c>
      <c r="J1076" s="8">
        <v>10</v>
      </c>
      <c r="K1076" s="8" t="s">
        <v>875</v>
      </c>
      <c r="L1076" s="8">
        <v>7</v>
      </c>
      <c r="M1076" s="7" t="s">
        <v>876</v>
      </c>
      <c r="N1076" s="7" t="s">
        <v>2460</v>
      </c>
      <c r="O1076" s="12">
        <v>41137</v>
      </c>
      <c r="P1076" s="7" t="s">
        <v>2461</v>
      </c>
      <c r="Q1076" s="7">
        <v>508976</v>
      </c>
      <c r="R1076" s="7" t="s">
        <v>2426</v>
      </c>
      <c r="S1076" s="8" t="s">
        <v>2427</v>
      </c>
      <c r="T1076" s="7" t="s">
        <v>30</v>
      </c>
      <c r="U1076" s="13" t="s">
        <v>479</v>
      </c>
      <c r="V1076" s="7"/>
    </row>
    <row r="1077" spans="1:22">
      <c r="A1077" s="5" t="s">
        <v>2462</v>
      </c>
      <c r="B1077" s="5" t="str">
        <f>GetAddress(A1077)</f>
        <v>\\chno0276\Aseguranza de Calidad\Control de Documentos\Doc. controlados PDF\Ayudas visuales\Camarillo\Amsafe\VA-AMSA-008 Rev. A  508976 APLICA 003086-0001 003088-0001 003095-0001 004000-0001.ppt</v>
      </c>
      <c r="C1077" s="5" t="str">
        <f>MID(B1077,LEN(B1077) - FIND(".",REVERSETEXT(B1077))+2,1000)</f>
        <v>ppt</v>
      </c>
      <c r="D1077" s="6">
        <v>6</v>
      </c>
      <c r="E1077" s="7" t="s">
        <v>83</v>
      </c>
      <c r="F1077" s="7" t="s">
        <v>22</v>
      </c>
      <c r="G1077" s="8" t="s">
        <v>23</v>
      </c>
      <c r="H1077" s="8">
        <v>5</v>
      </c>
      <c r="I1077" s="8" t="s">
        <v>874</v>
      </c>
      <c r="J1077" s="8">
        <v>10</v>
      </c>
      <c r="K1077" s="8" t="s">
        <v>875</v>
      </c>
      <c r="L1077" s="8">
        <v>7</v>
      </c>
      <c r="M1077" s="7" t="s">
        <v>876</v>
      </c>
      <c r="N1077" s="7" t="s">
        <v>2463</v>
      </c>
      <c r="O1077" s="12">
        <v>41092</v>
      </c>
      <c r="P1077" s="7" t="s">
        <v>27</v>
      </c>
      <c r="Q1077" s="7">
        <v>508976</v>
      </c>
      <c r="R1077" s="7" t="s">
        <v>2426</v>
      </c>
      <c r="S1077" s="8" t="s">
        <v>2427</v>
      </c>
      <c r="T1077" s="7" t="s">
        <v>30</v>
      </c>
      <c r="U1077" s="13" t="s">
        <v>479</v>
      </c>
      <c r="V1077" s="7"/>
    </row>
    <row r="1078" spans="1:22">
      <c r="A1078" s="5" t="s">
        <v>2464</v>
      </c>
      <c r="B1078" s="5" t="str">
        <f>GetAddress(A1078)</f>
        <v>\\chno0276\Aseguranza de Calidad\Control de Documentos\Doc. controlados PDF\Ayudas visuales\Camarillo\Amsafe\VA-AMSA-009 Rev D CABLE INTERFACE 511324.ppt</v>
      </c>
      <c r="C1078" s="5" t="str">
        <f>MID(B1078,LEN(B1078) - FIND(".",REVERSETEXT(B1078))+2,1000)</f>
        <v>ppt</v>
      </c>
      <c r="D1078" s="6">
        <v>6</v>
      </c>
      <c r="E1078" s="7" t="s">
        <v>83</v>
      </c>
      <c r="F1078" s="7" t="s">
        <v>22</v>
      </c>
      <c r="G1078" s="8" t="s">
        <v>23</v>
      </c>
      <c r="H1078" s="8">
        <v>5</v>
      </c>
      <c r="I1078" s="8" t="s">
        <v>874</v>
      </c>
      <c r="J1078" s="8">
        <v>10</v>
      </c>
      <c r="K1078" s="8" t="s">
        <v>875</v>
      </c>
      <c r="L1078" s="8">
        <v>7</v>
      </c>
      <c r="M1078" s="7" t="s">
        <v>876</v>
      </c>
      <c r="N1078" s="13" t="s">
        <v>2465</v>
      </c>
      <c r="O1078" s="12">
        <v>41095</v>
      </c>
      <c r="P1078" s="7" t="s">
        <v>38</v>
      </c>
      <c r="Q1078" s="7">
        <v>511324</v>
      </c>
      <c r="R1078" s="7" t="s">
        <v>2426</v>
      </c>
      <c r="S1078" s="8" t="s">
        <v>2427</v>
      </c>
      <c r="T1078" s="13" t="s">
        <v>2466</v>
      </c>
      <c r="U1078" s="13" t="s">
        <v>479</v>
      </c>
      <c r="V1078" s="7"/>
    </row>
    <row r="1079" spans="1:22">
      <c r="A1079" s="5" t="s">
        <v>2467</v>
      </c>
      <c r="B1079" s="5" t="str">
        <f>GetAddress(A1079)</f>
        <v>\\chno0276\Control de Documentos\Doc. controlados PDF\Ayudas visuales\Camarillo\Amsafe\VA-AMSA-010 Rev Doc C - Rev Draw  G  CABLE  ASSEMBLY DRAW 510256 PART 004049-0001.pptx</v>
      </c>
      <c r="C1079" s="5" t="str">
        <f>MID(B1079,LEN(B1079) - FIND(".",REVERSETEXT(B1079))+2,1000)</f>
        <v>pptx</v>
      </c>
      <c r="D1079" s="6">
        <v>6</v>
      </c>
      <c r="E1079" s="7" t="s">
        <v>83</v>
      </c>
      <c r="F1079" s="7" t="s">
        <v>22</v>
      </c>
      <c r="G1079" s="8" t="s">
        <v>23</v>
      </c>
      <c r="H1079" s="8">
        <v>5</v>
      </c>
      <c r="I1079" s="8" t="s">
        <v>874</v>
      </c>
      <c r="J1079" s="8">
        <v>10</v>
      </c>
      <c r="K1079" s="8" t="s">
        <v>875</v>
      </c>
      <c r="L1079" s="8">
        <v>7</v>
      </c>
      <c r="M1079" s="7" t="s">
        <v>876</v>
      </c>
      <c r="N1079" s="7" t="s">
        <v>2468</v>
      </c>
      <c r="O1079" s="12">
        <v>41177</v>
      </c>
      <c r="P1079" s="7" t="s">
        <v>2469</v>
      </c>
      <c r="Q1079" s="7">
        <v>510256</v>
      </c>
      <c r="R1079" s="7" t="s">
        <v>2426</v>
      </c>
      <c r="S1079" s="8" t="s">
        <v>2427</v>
      </c>
      <c r="T1079" s="7" t="s">
        <v>30</v>
      </c>
      <c r="U1079" s="13" t="s">
        <v>479</v>
      </c>
      <c r="V1079" s="7"/>
    </row>
    <row r="1080" spans="1:22">
      <c r="A1080" s="5" t="s">
        <v>2470</v>
      </c>
      <c r="B1080" s="5" t="str">
        <f>GetAddress(A1080)</f>
        <v>\\chno0276\Aseguranza de Calidad\Control de Documentos\Doc. controlados PDF\Ayudas visuales\Camarillo\Amsafe\VA-AMSA-011  REV T  004046-0006 (Rev T).ppt</v>
      </c>
      <c r="C1080" s="5" t="str">
        <f>MID(B1080,LEN(B1080) - FIND(".",REVERSETEXT(B1080))+2,1000)</f>
        <v>ppt</v>
      </c>
      <c r="D1080" s="6">
        <v>6</v>
      </c>
      <c r="E1080" s="7" t="s">
        <v>83</v>
      </c>
      <c r="F1080" s="7" t="s">
        <v>22</v>
      </c>
      <c r="G1080" s="8" t="s">
        <v>23</v>
      </c>
      <c r="H1080" s="8">
        <v>5</v>
      </c>
      <c r="I1080" s="8" t="s">
        <v>874</v>
      </c>
      <c r="J1080" s="8">
        <v>10</v>
      </c>
      <c r="K1080" s="8" t="s">
        <v>875</v>
      </c>
      <c r="L1080" s="8">
        <v>7</v>
      </c>
      <c r="M1080" s="7" t="s">
        <v>876</v>
      </c>
      <c r="N1080" s="7" t="s">
        <v>2471</v>
      </c>
      <c r="O1080" s="12">
        <v>41114</v>
      </c>
      <c r="P1080" s="7" t="s">
        <v>2472</v>
      </c>
      <c r="Q1080" s="7">
        <v>509701</v>
      </c>
      <c r="R1080" s="7" t="s">
        <v>2426</v>
      </c>
      <c r="S1080" s="8" t="s">
        <v>2427</v>
      </c>
      <c r="T1080" s="13" t="s">
        <v>30</v>
      </c>
      <c r="U1080" s="13" t="s">
        <v>479</v>
      </c>
      <c r="V1080" s="7"/>
    </row>
    <row r="1081" spans="1:22">
      <c r="A1081" s="5" t="s">
        <v>2473</v>
      </c>
      <c r="B1081" s="5" t="str">
        <f>GetAddress(A1081)</f>
        <v>\\chno0276\Aseguranza de Calidad\Control de Documentos\Doc. controlados PDF\Ayudas visuales\Camarillo\Amsafe\VA-AMSA-012  REV T  004042-0001, 004042-0002, 004042-0003, 004046-0004 (Rev T).pptx</v>
      </c>
      <c r="C1081" s="5" t="str">
        <f>MID(B1081,LEN(B1081) - FIND(".",REVERSETEXT(B1081))+2,1000)</f>
        <v>pptx</v>
      </c>
      <c r="D1081" s="6">
        <v>6</v>
      </c>
      <c r="E1081" s="7" t="s">
        <v>83</v>
      </c>
      <c r="F1081" s="7" t="s">
        <v>22</v>
      </c>
      <c r="G1081" s="8" t="s">
        <v>23</v>
      </c>
      <c r="H1081" s="8">
        <v>5</v>
      </c>
      <c r="I1081" s="8" t="s">
        <v>874</v>
      </c>
      <c r="J1081" s="8">
        <v>10</v>
      </c>
      <c r="K1081" s="8" t="s">
        <v>875</v>
      </c>
      <c r="L1081" s="8">
        <v>7</v>
      </c>
      <c r="M1081" s="7" t="s">
        <v>876</v>
      </c>
      <c r="N1081" s="7" t="s">
        <v>2474</v>
      </c>
      <c r="O1081" s="12">
        <v>41114</v>
      </c>
      <c r="P1081" s="7" t="s">
        <v>2472</v>
      </c>
      <c r="Q1081" s="7">
        <v>509701</v>
      </c>
      <c r="R1081" s="7" t="s">
        <v>2426</v>
      </c>
      <c r="S1081" s="8" t="s">
        <v>2427</v>
      </c>
      <c r="T1081" s="13" t="s">
        <v>30</v>
      </c>
      <c r="U1081" s="13" t="s">
        <v>479</v>
      </c>
      <c r="V1081" s="7"/>
    </row>
    <row r="1082" spans="1:22" ht="38.25">
      <c r="A1082" s="5" t="s">
        <v>2475</v>
      </c>
      <c r="B1082" s="5" t="str">
        <f>GetAddress(A1082)</f>
        <v>\\chno0276\Control de Documentos\Doc. controlados PDF\Ayudas visuales\Camarillo\Amsafe\VA-AMSA-013 Rev Doc AI - Rev Draw AG   CABLE INTERFACE 508978  pag 2 PART 003089-XXXX Y 004035-XXXX.ppt</v>
      </c>
      <c r="C1082" s="5" t="str">
        <f>MID(B1082,LEN(B1082) - FIND(".",REVERSETEXT(B1082))+2,1000)</f>
        <v>ppt</v>
      </c>
      <c r="D1082" s="6">
        <v>6</v>
      </c>
      <c r="E1082" s="7" t="s">
        <v>83</v>
      </c>
      <c r="F1082" s="7" t="s">
        <v>22</v>
      </c>
      <c r="G1082" s="8" t="s">
        <v>23</v>
      </c>
      <c r="H1082" s="8">
        <v>5</v>
      </c>
      <c r="I1082" s="8" t="s">
        <v>874</v>
      </c>
      <c r="J1082" s="8">
        <v>10</v>
      </c>
      <c r="K1082" s="8" t="s">
        <v>875</v>
      </c>
      <c r="L1082" s="8">
        <v>7</v>
      </c>
      <c r="M1082" s="7" t="s">
        <v>876</v>
      </c>
      <c r="N1082" s="13" t="s">
        <v>2476</v>
      </c>
      <c r="O1082" s="9">
        <v>41192</v>
      </c>
      <c r="P1082" s="7" t="s">
        <v>2477</v>
      </c>
      <c r="Q1082" s="7">
        <v>508978</v>
      </c>
      <c r="R1082" s="7" t="s">
        <v>2426</v>
      </c>
      <c r="S1082" s="8" t="s">
        <v>2427</v>
      </c>
      <c r="T1082" s="13" t="s">
        <v>2478</v>
      </c>
      <c r="U1082" s="13" t="s">
        <v>479</v>
      </c>
      <c r="V1082" s="7"/>
    </row>
    <row r="1083" spans="1:22">
      <c r="A1083" s="5" t="s">
        <v>2479</v>
      </c>
      <c r="B1083" s="5" t="str">
        <f>GetAddress(A1083)</f>
        <v>\\chno0276\Aseguranza de Calidad\Control de Documentos\Doc. controlados PDF\Ayudas visuales\Camarillo\Amsafe\VA-AMSA-014  REV --  (Es revision A error tipografico --)  511434 (004070-0001).ppt</v>
      </c>
      <c r="C1083" s="5" t="str">
        <f>MID(B1083,LEN(B1083) - FIND(".",REVERSETEXT(B1083))+2,1000)</f>
        <v>ppt</v>
      </c>
      <c r="D1083" s="6">
        <v>6</v>
      </c>
      <c r="E1083" s="7" t="s">
        <v>83</v>
      </c>
      <c r="F1083" s="7" t="s">
        <v>22</v>
      </c>
      <c r="G1083" s="8" t="s">
        <v>23</v>
      </c>
      <c r="H1083" s="8">
        <v>5</v>
      </c>
      <c r="I1083" s="8" t="s">
        <v>874</v>
      </c>
      <c r="J1083" s="8">
        <v>10</v>
      </c>
      <c r="K1083" s="8" t="s">
        <v>875</v>
      </c>
      <c r="L1083" s="8">
        <v>7</v>
      </c>
      <c r="M1083" s="7" t="s">
        <v>876</v>
      </c>
      <c r="N1083" s="7" t="s">
        <v>2480</v>
      </c>
      <c r="O1083" s="9">
        <v>41117</v>
      </c>
      <c r="P1083" s="7" t="s">
        <v>27</v>
      </c>
      <c r="Q1083" s="7">
        <v>511434</v>
      </c>
      <c r="R1083" s="7" t="s">
        <v>2426</v>
      </c>
      <c r="S1083" s="8" t="s">
        <v>2427</v>
      </c>
      <c r="T1083" s="13" t="s">
        <v>30</v>
      </c>
      <c r="U1083" s="13" t="s">
        <v>479</v>
      </c>
      <c r="V1083" s="7"/>
    </row>
    <row r="1084" spans="1:22">
      <c r="A1084" s="5" t="s">
        <v>2481</v>
      </c>
      <c r="B1084" s="5" t="str">
        <f>GetAddress(A1084)</f>
        <v>\\chno0276\Aseguranza de Calidad\Control de Documentos\Doc. controlados PDF\Ayudas visuales\Camarillo\Amsafe\VA-AMSA-015  REV DOC A- DRAWING REV L    508348  PART   003075-0001.ppt</v>
      </c>
      <c r="C1084" s="5" t="str">
        <f>MID(B1084,LEN(B1084) - FIND(".",REVERSETEXT(B1084))+2,1000)</f>
        <v>ppt</v>
      </c>
      <c r="D1084" s="6">
        <v>6</v>
      </c>
      <c r="E1084" s="7" t="s">
        <v>83</v>
      </c>
      <c r="F1084" s="7" t="s">
        <v>22</v>
      </c>
      <c r="G1084" s="8" t="s">
        <v>23</v>
      </c>
      <c r="H1084" s="8">
        <v>5</v>
      </c>
      <c r="I1084" s="8" t="s">
        <v>874</v>
      </c>
      <c r="J1084" s="8">
        <v>10</v>
      </c>
      <c r="K1084" s="8" t="s">
        <v>875</v>
      </c>
      <c r="L1084" s="8">
        <v>7</v>
      </c>
      <c r="M1084" s="7" t="s">
        <v>876</v>
      </c>
      <c r="N1084" s="7" t="s">
        <v>2482</v>
      </c>
      <c r="O1084" s="9">
        <v>41117</v>
      </c>
      <c r="P1084" s="7" t="s">
        <v>2483</v>
      </c>
      <c r="Q1084" s="7">
        <v>508348</v>
      </c>
      <c r="R1084" s="7" t="s">
        <v>2426</v>
      </c>
      <c r="S1084" s="8" t="s">
        <v>2427</v>
      </c>
      <c r="T1084" s="13" t="s">
        <v>30</v>
      </c>
      <c r="U1084" s="13" t="s">
        <v>479</v>
      </c>
      <c r="V1084" s="7"/>
    </row>
    <row r="1085" spans="1:22" ht="38.25">
      <c r="A1085" s="5" t="s">
        <v>2484</v>
      </c>
      <c r="B1085" s="5" t="str">
        <f>GetAddress(A1085)</f>
        <v>\\chno0276\Control de Documentos\Doc. controlados PDF\Ayudas visuales\Camarillo\Amsafe\VA-AMSA-016  Rev Doc H - Drawing  BN Cable assembly interface 509976 Pag 7.ppt</v>
      </c>
      <c r="C1085" s="5" t="str">
        <f>MID(B1085,LEN(B1085) - FIND(".",REVERSETEXT(B1085))+2,1000)</f>
        <v>ppt</v>
      </c>
      <c r="D1085" s="6">
        <v>6</v>
      </c>
      <c r="E1085" s="7" t="s">
        <v>83</v>
      </c>
      <c r="F1085" s="7" t="s">
        <v>22</v>
      </c>
      <c r="G1085" s="8" t="s">
        <v>23</v>
      </c>
      <c r="H1085" s="8">
        <v>5</v>
      </c>
      <c r="I1085" s="8" t="s">
        <v>874</v>
      </c>
      <c r="J1085" s="8">
        <v>10</v>
      </c>
      <c r="K1085" s="8" t="s">
        <v>875</v>
      </c>
      <c r="L1085" s="8">
        <v>7</v>
      </c>
      <c r="M1085" s="7" t="s">
        <v>876</v>
      </c>
      <c r="N1085" s="13" t="s">
        <v>2485</v>
      </c>
      <c r="O1085" s="9">
        <v>41192</v>
      </c>
      <c r="P1085" s="7" t="s">
        <v>2486</v>
      </c>
      <c r="Q1085" s="7">
        <v>509976</v>
      </c>
      <c r="R1085" s="7" t="s">
        <v>2426</v>
      </c>
      <c r="S1085" s="8" t="s">
        <v>2427</v>
      </c>
      <c r="T1085" s="13" t="s">
        <v>2487</v>
      </c>
      <c r="U1085" s="13" t="s">
        <v>479</v>
      </c>
      <c r="V1085" s="7"/>
    </row>
    <row r="1086" spans="1:22">
      <c r="A1086" s="5" t="s">
        <v>2488</v>
      </c>
      <c r="B1086" s="5" t="str">
        <f>GetAddress(A1086)</f>
        <v>\\chno0276\Aseguranza de Calidad\Control de Documentos\Doc. controlados PDF\Ayudas visuales\Camarillo\Amsafe\VA-AMSA-017 Rev Doc B- Drawing AN CABLE ASSEMBLY INTERFACE 508976 pag 4.ppt</v>
      </c>
      <c r="C1086" s="5" t="str">
        <f>MID(B1086,LEN(B1086) - FIND(".",REVERSETEXT(B1086))+2,1000)</f>
        <v>ppt</v>
      </c>
      <c r="D1086" s="6">
        <v>6</v>
      </c>
      <c r="E1086" s="7" t="s">
        <v>83</v>
      </c>
      <c r="F1086" s="7" t="s">
        <v>22</v>
      </c>
      <c r="G1086" s="8" t="s">
        <v>23</v>
      </c>
      <c r="H1086" s="8">
        <v>5</v>
      </c>
      <c r="I1086" s="8" t="s">
        <v>874</v>
      </c>
      <c r="J1086" s="8">
        <v>10</v>
      </c>
      <c r="K1086" s="8" t="s">
        <v>875</v>
      </c>
      <c r="L1086" s="8">
        <v>7</v>
      </c>
      <c r="M1086" s="7" t="s">
        <v>876</v>
      </c>
      <c r="N1086" s="13" t="s">
        <v>2489</v>
      </c>
      <c r="O1086" s="12">
        <v>41054</v>
      </c>
      <c r="P1086" s="7" t="s">
        <v>2490</v>
      </c>
      <c r="Q1086" s="7">
        <v>508976</v>
      </c>
      <c r="R1086" s="7" t="s">
        <v>2426</v>
      </c>
      <c r="S1086" s="8" t="s">
        <v>2427</v>
      </c>
      <c r="T1086" s="13" t="s">
        <v>30</v>
      </c>
      <c r="U1086" s="13" t="s">
        <v>479</v>
      </c>
      <c r="V1086" s="7"/>
    </row>
    <row r="1087" spans="1:22">
      <c r="A1087" s="5" t="s">
        <v>2491</v>
      </c>
      <c r="B1087" s="5" t="str">
        <f>GetAddress(A1087)</f>
        <v>\\chno0276\Aseguranza de Calidad\Control de Documentos\Doc. controlados PDF\Ayudas visuales\Camarillo\Amsafe\VA-AMSA-018 Rev Doc B- Drawing AN CABLE ASSEMBLY INTERFACE  508976 pag 7.ppt</v>
      </c>
      <c r="C1087" s="5" t="str">
        <f>MID(B1087,LEN(B1087) - FIND(".",REVERSETEXT(B1087))+2,1000)</f>
        <v>ppt</v>
      </c>
      <c r="D1087" s="6">
        <v>6</v>
      </c>
      <c r="E1087" s="7" t="s">
        <v>83</v>
      </c>
      <c r="F1087" s="7" t="s">
        <v>22</v>
      </c>
      <c r="G1087" s="8" t="s">
        <v>23</v>
      </c>
      <c r="H1087" s="8">
        <v>5</v>
      </c>
      <c r="I1087" s="8" t="s">
        <v>874</v>
      </c>
      <c r="J1087" s="8">
        <v>10</v>
      </c>
      <c r="K1087" s="8" t="s">
        <v>875</v>
      </c>
      <c r="L1087" s="8">
        <v>7</v>
      </c>
      <c r="M1087" s="7" t="s">
        <v>876</v>
      </c>
      <c r="N1087" s="13" t="s">
        <v>2492</v>
      </c>
      <c r="O1087" s="12">
        <v>41054</v>
      </c>
      <c r="P1087" s="7" t="s">
        <v>2493</v>
      </c>
      <c r="Q1087" s="7">
        <v>508976</v>
      </c>
      <c r="R1087" s="7" t="s">
        <v>2426</v>
      </c>
      <c r="S1087" s="8" t="s">
        <v>2427</v>
      </c>
      <c r="T1087" s="13" t="s">
        <v>30</v>
      </c>
      <c r="U1087" s="13" t="s">
        <v>479</v>
      </c>
      <c r="V1087" s="7"/>
    </row>
    <row r="1088" spans="1:22">
      <c r="A1088" s="5" t="s">
        <v>2494</v>
      </c>
      <c r="B1088" s="5" t="str">
        <f>GetAddress(A1088)</f>
        <v>\\chno0276\Aseguranza de Calidad\Control de Documentos\Doc. controlados PDF\Ayudas visuales\Camarillo\Amsafe\VA-AMSA-019  Rev Doc D- Drawing  AG CABLE INTERFACE 508978 Pag 3.ppt</v>
      </c>
      <c r="C1088" s="5" t="str">
        <f>MID(B1088,LEN(B1088) - FIND(".",REVERSETEXT(B1088))+2,1000)</f>
        <v>ppt</v>
      </c>
      <c r="D1088" s="6">
        <v>6</v>
      </c>
      <c r="E1088" s="7" t="s">
        <v>83</v>
      </c>
      <c r="F1088" s="7" t="s">
        <v>22</v>
      </c>
      <c r="G1088" s="8" t="s">
        <v>23</v>
      </c>
      <c r="H1088" s="8">
        <v>5</v>
      </c>
      <c r="I1088" s="8" t="s">
        <v>874</v>
      </c>
      <c r="J1088" s="8">
        <v>10</v>
      </c>
      <c r="K1088" s="8" t="s">
        <v>875</v>
      </c>
      <c r="L1088" s="8">
        <v>7</v>
      </c>
      <c r="M1088" s="7" t="s">
        <v>876</v>
      </c>
      <c r="N1088" s="13" t="s">
        <v>2495</v>
      </c>
      <c r="O1088" s="12">
        <v>41120</v>
      </c>
      <c r="P1088" s="7" t="s">
        <v>2496</v>
      </c>
      <c r="Q1088" s="7">
        <v>508978</v>
      </c>
      <c r="R1088" s="7" t="s">
        <v>2426</v>
      </c>
      <c r="S1088" s="8" t="s">
        <v>2427</v>
      </c>
      <c r="T1088" s="13" t="s">
        <v>30</v>
      </c>
      <c r="U1088" s="13" t="s">
        <v>479</v>
      </c>
      <c r="V1088" s="7"/>
    </row>
    <row r="1089" spans="1:22" ht="25.5">
      <c r="A1089" s="5" t="s">
        <v>2497</v>
      </c>
      <c r="B1089" s="5" t="str">
        <f>GetAddress(A1089)</f>
        <v>\\chno0276\Control de Documentos\Doc. controlados PDF\Ayudas visuales\Camarillo\Amsafe\VA-AMSA-020 Rev Doc D-  Drawing T  CABLE ASSEMBLY INTERFACE  509701 Pag 4.ppt</v>
      </c>
      <c r="C1089" s="5" t="str">
        <f>MID(B1089,LEN(B1089) - FIND(".",REVERSETEXT(B1089))+2,1000)</f>
        <v>ppt</v>
      </c>
      <c r="D1089" s="6">
        <v>6</v>
      </c>
      <c r="E1089" s="7" t="s">
        <v>83</v>
      </c>
      <c r="F1089" s="7" t="s">
        <v>22</v>
      </c>
      <c r="G1089" s="8" t="s">
        <v>23</v>
      </c>
      <c r="H1089" s="8">
        <v>5</v>
      </c>
      <c r="I1089" s="8" t="s">
        <v>874</v>
      </c>
      <c r="J1089" s="8">
        <v>10</v>
      </c>
      <c r="K1089" s="8" t="s">
        <v>875</v>
      </c>
      <c r="L1089" s="8">
        <v>7</v>
      </c>
      <c r="M1089" s="7" t="s">
        <v>876</v>
      </c>
      <c r="N1089" s="13" t="s">
        <v>2498</v>
      </c>
      <c r="O1089" s="9">
        <v>41143</v>
      </c>
      <c r="P1089" s="7" t="s">
        <v>2499</v>
      </c>
      <c r="Q1089" s="7">
        <v>509701</v>
      </c>
      <c r="R1089" s="7" t="s">
        <v>2426</v>
      </c>
      <c r="S1089" s="8" t="s">
        <v>2427</v>
      </c>
      <c r="T1089" s="13" t="s">
        <v>2500</v>
      </c>
      <c r="U1089" s="13" t="s">
        <v>479</v>
      </c>
      <c r="V1089" s="7"/>
    </row>
    <row r="1090" spans="1:22">
      <c r="A1090" s="5" t="s">
        <v>2501</v>
      </c>
      <c r="B1090" s="5" t="str">
        <f>GetAddress(A1090)</f>
        <v>\\chno0276\Control de Documentos\Doc. controlados PDF\Ayudas visuales\Camarillo\Amsafe\VA-AMSA-021 Rev Doc B- Drawing  E   CABLE ASSEMBLY 509828-201  pag 1 PART 004041-0001.ppt</v>
      </c>
      <c r="C1090" s="5" t="str">
        <f>MID(B1090,LEN(B1090) - FIND(".",REVERSETEXT(B1090))+2,1000)</f>
        <v>ppt</v>
      </c>
      <c r="D1090" s="6">
        <v>6</v>
      </c>
      <c r="E1090" s="7" t="s">
        <v>83</v>
      </c>
      <c r="F1090" s="7" t="s">
        <v>22</v>
      </c>
      <c r="G1090" s="8" t="s">
        <v>23</v>
      </c>
      <c r="H1090" s="8">
        <v>5</v>
      </c>
      <c r="I1090" s="8" t="s">
        <v>874</v>
      </c>
      <c r="J1090" s="8">
        <v>10</v>
      </c>
      <c r="K1090" s="8" t="s">
        <v>875</v>
      </c>
      <c r="L1090" s="8">
        <v>7</v>
      </c>
      <c r="M1090" s="7" t="s">
        <v>876</v>
      </c>
      <c r="N1090" s="7" t="s">
        <v>2502</v>
      </c>
      <c r="O1090" s="9">
        <v>41121</v>
      </c>
      <c r="P1090" s="7" t="s">
        <v>2503</v>
      </c>
      <c r="Q1090" s="7">
        <v>509828</v>
      </c>
      <c r="R1090" s="7" t="s">
        <v>2426</v>
      </c>
      <c r="S1090" s="8" t="s">
        <v>2427</v>
      </c>
      <c r="T1090" s="13" t="s">
        <v>30</v>
      </c>
      <c r="U1090" s="13" t="s">
        <v>479</v>
      </c>
      <c r="V1090" s="7"/>
    </row>
    <row r="1091" spans="1:22">
      <c r="A1091" s="5" t="s">
        <v>2504</v>
      </c>
      <c r="B1091" s="5" t="str">
        <f>GetAddress(A1091)</f>
        <v>\\chno0276\Control de Documentos\Doc. controlados PDF\Ayudas visuales\Camarillo\Amsafe\VA-AMSA-022 Rev Doc B -  Drawing BM CABLE ASSEMBLY INTERFACE  509976 Pag 13.ppt</v>
      </c>
      <c r="C1091" s="5" t="str">
        <f>MID(B1091,LEN(B1091) - FIND(".",REVERSETEXT(B1091))+2,1000)</f>
        <v>ppt</v>
      </c>
      <c r="D1091" s="6">
        <v>6</v>
      </c>
      <c r="E1091" s="7" t="s">
        <v>83</v>
      </c>
      <c r="F1091" s="7" t="s">
        <v>22</v>
      </c>
      <c r="G1091" s="8" t="s">
        <v>23</v>
      </c>
      <c r="H1091" s="8">
        <v>5</v>
      </c>
      <c r="I1091" s="8" t="s">
        <v>874</v>
      </c>
      <c r="J1091" s="8">
        <v>10</v>
      </c>
      <c r="K1091" s="8" t="s">
        <v>875</v>
      </c>
      <c r="L1091" s="8">
        <v>7</v>
      </c>
      <c r="M1091" s="7" t="s">
        <v>876</v>
      </c>
      <c r="N1091" s="7" t="s">
        <v>2505</v>
      </c>
      <c r="O1091" s="9">
        <v>41197</v>
      </c>
      <c r="P1091" s="7" t="s">
        <v>2506</v>
      </c>
      <c r="Q1091" s="7">
        <v>509976</v>
      </c>
      <c r="R1091" s="7" t="s">
        <v>2426</v>
      </c>
      <c r="S1091" s="8" t="s">
        <v>2427</v>
      </c>
      <c r="T1091" s="13" t="s">
        <v>30</v>
      </c>
      <c r="U1091" s="13" t="s">
        <v>479</v>
      </c>
      <c r="V1091" s="7"/>
    </row>
    <row r="1092" spans="1:22">
      <c r="A1092" s="37" t="s">
        <v>2507</v>
      </c>
      <c r="B1092" s="5" t="str">
        <f>GetAddress(A1092)</f>
        <v>\\chno0276\Control de Documentos\Doc. controlados PDF\Ayudas visuales\Camarillo\Amsafe\VA-AMSA-023  Rev Doc E - Drawing Rev BN CABLE ASSEMBLY INTERFACE 509976 Pag 10.ppt</v>
      </c>
      <c r="C1092" s="5" t="str">
        <f>MID(B1092,LEN(B1092) - FIND(".",REVERSETEXT(B1092))+2,1000)</f>
        <v>ppt</v>
      </c>
      <c r="D1092" s="6">
        <v>6</v>
      </c>
      <c r="E1092" s="7" t="s">
        <v>83</v>
      </c>
      <c r="F1092" s="7" t="s">
        <v>22</v>
      </c>
      <c r="G1092" s="8" t="s">
        <v>23</v>
      </c>
      <c r="H1092" s="8">
        <v>5</v>
      </c>
      <c r="I1092" s="8" t="s">
        <v>874</v>
      </c>
      <c r="J1092" s="8">
        <v>10</v>
      </c>
      <c r="K1092" s="8" t="s">
        <v>875</v>
      </c>
      <c r="L1092" s="8">
        <v>7</v>
      </c>
      <c r="M1092" s="7" t="s">
        <v>876</v>
      </c>
      <c r="N1092" s="38" t="s">
        <v>2508</v>
      </c>
      <c r="O1092" s="39">
        <v>41212</v>
      </c>
      <c r="P1092" s="40" t="s">
        <v>2509</v>
      </c>
      <c r="Q1092" s="40">
        <v>509976</v>
      </c>
      <c r="R1092" s="40" t="s">
        <v>2426</v>
      </c>
      <c r="S1092" s="8" t="s">
        <v>2427</v>
      </c>
      <c r="T1092" s="13" t="s">
        <v>30</v>
      </c>
      <c r="U1092" s="13" t="s">
        <v>479</v>
      </c>
      <c r="V1092" s="7"/>
    </row>
    <row r="1093" spans="1:22">
      <c r="A1093" s="37" t="s">
        <v>2510</v>
      </c>
      <c r="B1093" s="5" t="str">
        <f>GetAddress(A1093)</f>
        <v>\\chno0276\Control de Documentos\Doc. controlados PDF\Ayudas visuales\Camarillo\Amsafe\VA-AMSA-024  Rev Doc  AN - Drawing Rev BN    CABLE ASSEMBLY 509976 Pag. 6.ppt</v>
      </c>
      <c r="C1093" s="5" t="str">
        <f>MID(B1093,LEN(B1093) - FIND(".",REVERSETEXT(B1093))+2,1000)</f>
        <v>ppt</v>
      </c>
      <c r="D1093" s="6">
        <v>6</v>
      </c>
      <c r="E1093" s="7" t="s">
        <v>83</v>
      </c>
      <c r="F1093" s="7" t="s">
        <v>22</v>
      </c>
      <c r="G1093" s="8" t="s">
        <v>23</v>
      </c>
      <c r="H1093" s="8">
        <v>5</v>
      </c>
      <c r="I1093" s="8" t="s">
        <v>874</v>
      </c>
      <c r="J1093" s="8">
        <v>10</v>
      </c>
      <c r="K1093" s="8" t="s">
        <v>875</v>
      </c>
      <c r="L1093" s="8">
        <v>7</v>
      </c>
      <c r="M1093" s="7" t="s">
        <v>876</v>
      </c>
      <c r="N1093" s="38" t="s">
        <v>2511</v>
      </c>
      <c r="O1093" s="41">
        <v>41212</v>
      </c>
      <c r="P1093" s="40" t="s">
        <v>2512</v>
      </c>
      <c r="Q1093" s="40">
        <v>509976</v>
      </c>
      <c r="R1093" s="40" t="s">
        <v>2426</v>
      </c>
      <c r="S1093" s="8" t="s">
        <v>2427</v>
      </c>
      <c r="T1093" s="13" t="s">
        <v>30</v>
      </c>
      <c r="U1093" s="13" t="s">
        <v>479</v>
      </c>
      <c r="V1093" s="7"/>
    </row>
    <row r="1094" spans="1:22">
      <c r="A1094" s="5" t="s">
        <v>2513</v>
      </c>
      <c r="B1094" s="5" t="str">
        <f>GetAddress(A1094)</f>
        <v>\\chno0276\Control de Documentos\Doc. controlados PDF\Ayudas visuales\Camarillo\Amsafe\VA-AMSA-025  Rev Doc C - Rev Drawing K  DRAWNG 509320  PART 004002-0001 Pag 1.ppt</v>
      </c>
      <c r="C1094" s="5" t="str">
        <f>MID(B1094,LEN(B1094) - FIND(".",REVERSETEXT(B1094))+2,1000)</f>
        <v>ppt</v>
      </c>
      <c r="D1094" s="6">
        <v>6</v>
      </c>
      <c r="E1094" s="7" t="s">
        <v>83</v>
      </c>
      <c r="F1094" s="7" t="s">
        <v>22</v>
      </c>
      <c r="G1094" s="8" t="s">
        <v>23</v>
      </c>
      <c r="H1094" s="8">
        <v>5</v>
      </c>
      <c r="I1094" s="8" t="s">
        <v>874</v>
      </c>
      <c r="J1094" s="8">
        <v>10</v>
      </c>
      <c r="K1094" s="8" t="s">
        <v>875</v>
      </c>
      <c r="L1094" s="8">
        <v>7</v>
      </c>
      <c r="M1094" s="7" t="s">
        <v>876</v>
      </c>
      <c r="N1094" s="7" t="s">
        <v>2514</v>
      </c>
      <c r="O1094" s="9">
        <v>41143</v>
      </c>
      <c r="P1094" s="7" t="s">
        <v>2515</v>
      </c>
      <c r="Q1094" s="7">
        <v>509320</v>
      </c>
      <c r="R1094" s="7" t="s">
        <v>2426</v>
      </c>
      <c r="S1094" s="8" t="s">
        <v>2427</v>
      </c>
      <c r="T1094" s="13" t="s">
        <v>30</v>
      </c>
      <c r="U1094" s="13" t="s">
        <v>479</v>
      </c>
      <c r="V1094" s="7"/>
    </row>
    <row r="1095" spans="1:22">
      <c r="A1095" s="5" t="s">
        <v>2516</v>
      </c>
      <c r="B1095" s="5" t="str">
        <f>GetAddress(A1095)</f>
        <v>\\chno0276\Control de Documentos\Doc. controlados PDF\Ayudas visuales\Camarillo\Amsafe\VA-AMSA-026 Rev Doc B - Rev Drawing AN   ESTAMPADO PARA EL  508976.ppt</v>
      </c>
      <c r="C1095" s="5" t="str">
        <f>MID(B1095,LEN(B1095) - FIND(".",REVERSETEXT(B1095))+2,1000)</f>
        <v>ppt</v>
      </c>
      <c r="D1095" s="6">
        <v>6</v>
      </c>
      <c r="E1095" s="7" t="s">
        <v>83</v>
      </c>
      <c r="F1095" s="7" t="s">
        <v>22</v>
      </c>
      <c r="G1095" s="8" t="s">
        <v>23</v>
      </c>
      <c r="H1095" s="8">
        <v>5</v>
      </c>
      <c r="I1095" s="8" t="s">
        <v>874</v>
      </c>
      <c r="J1095" s="8">
        <v>10</v>
      </c>
      <c r="K1095" s="8" t="s">
        <v>875</v>
      </c>
      <c r="L1095" s="8">
        <v>7</v>
      </c>
      <c r="M1095" s="7" t="s">
        <v>876</v>
      </c>
      <c r="N1095" s="7" t="s">
        <v>2517</v>
      </c>
      <c r="O1095" s="9">
        <v>41177</v>
      </c>
      <c r="P1095" s="7" t="s">
        <v>2518</v>
      </c>
      <c r="Q1095" s="7">
        <v>508976</v>
      </c>
      <c r="R1095" s="7" t="s">
        <v>2426</v>
      </c>
      <c r="S1095" s="8" t="s">
        <v>2427</v>
      </c>
      <c r="T1095" s="13" t="s">
        <v>30</v>
      </c>
      <c r="U1095" s="13" t="s">
        <v>479</v>
      </c>
      <c r="V1095" s="7"/>
    </row>
    <row r="1096" spans="1:22">
      <c r="A1096" s="5" t="s">
        <v>2519</v>
      </c>
      <c r="B1096" s="5" t="str">
        <f>GetAddress(A1096)</f>
        <v>\\chno0276\Control de Documentos\Doc. controlados PDF\Ayudas visuales\Camarillo\Amsafe\VA-AMSA-027 Rev Doc D - Rev Drawing H  CABLE ASSEMBLY PIGTAIL 508340  003077-001.ppt</v>
      </c>
      <c r="C1096" s="5" t="str">
        <f>MID(B1096,LEN(B1096) - FIND(".",REVERSETEXT(B1096))+2,1000)</f>
        <v>ppt</v>
      </c>
      <c r="D1096" s="6">
        <v>6</v>
      </c>
      <c r="E1096" s="7" t="s">
        <v>83</v>
      </c>
      <c r="F1096" s="7" t="s">
        <v>22</v>
      </c>
      <c r="G1096" s="8" t="s">
        <v>23</v>
      </c>
      <c r="H1096" s="8">
        <v>5</v>
      </c>
      <c r="I1096" s="8" t="s">
        <v>874</v>
      </c>
      <c r="J1096" s="8">
        <v>10</v>
      </c>
      <c r="K1096" s="8" t="s">
        <v>875</v>
      </c>
      <c r="L1096" s="8">
        <v>7</v>
      </c>
      <c r="M1096" s="7" t="s">
        <v>876</v>
      </c>
      <c r="N1096" s="7" t="s">
        <v>2520</v>
      </c>
      <c r="O1096" s="9">
        <v>41143</v>
      </c>
      <c r="P1096" s="7" t="s">
        <v>2521</v>
      </c>
      <c r="Q1096" s="7">
        <v>508340</v>
      </c>
      <c r="R1096" s="7" t="s">
        <v>2426</v>
      </c>
      <c r="S1096" s="8" t="s">
        <v>2427</v>
      </c>
      <c r="T1096" s="13" t="s">
        <v>30</v>
      </c>
      <c r="U1096" s="13" t="s">
        <v>479</v>
      </c>
      <c r="V1096" s="7"/>
    </row>
    <row r="1097" spans="1:22">
      <c r="A1097" s="5" t="s">
        <v>2522</v>
      </c>
      <c r="B1097" s="5" t="str">
        <f>GetAddress(A1097)</f>
        <v>\\chno0276\Control de Documentos\Doc. controlados PDF\Ayudas visuales\Camarillo\Amsafe\VA-AMSA-028  Rev Doc C - Rev Drawing  C  T511890 part 004080-0001.ppt</v>
      </c>
      <c r="C1097" s="5" t="str">
        <f>MID(B1097,LEN(B1097) - FIND(".",REVERSETEXT(B1097))+2,1000)</f>
        <v>ppt</v>
      </c>
      <c r="D1097" s="6">
        <v>6</v>
      </c>
      <c r="E1097" s="7" t="s">
        <v>83</v>
      </c>
      <c r="F1097" s="7" t="s">
        <v>22</v>
      </c>
      <c r="G1097" s="8" t="s">
        <v>23</v>
      </c>
      <c r="H1097" s="8">
        <v>5</v>
      </c>
      <c r="I1097" s="8" t="s">
        <v>874</v>
      </c>
      <c r="J1097" s="8">
        <v>10</v>
      </c>
      <c r="K1097" s="8" t="s">
        <v>875</v>
      </c>
      <c r="L1097" s="8">
        <v>7</v>
      </c>
      <c r="M1097" s="7" t="s">
        <v>876</v>
      </c>
      <c r="N1097" s="7" t="s">
        <v>2523</v>
      </c>
      <c r="O1097" s="9">
        <v>41177</v>
      </c>
      <c r="P1097" s="7" t="s">
        <v>2524</v>
      </c>
      <c r="Q1097" s="7" t="s">
        <v>2525</v>
      </c>
      <c r="R1097" s="7" t="s">
        <v>2426</v>
      </c>
      <c r="S1097" s="8" t="s">
        <v>2427</v>
      </c>
      <c r="T1097" s="13" t="s">
        <v>30</v>
      </c>
      <c r="U1097" s="13" t="s">
        <v>479</v>
      </c>
      <c r="V1097" s="7"/>
    </row>
    <row r="1098" spans="1:22">
      <c r="A1098" s="5" t="s">
        <v>2526</v>
      </c>
      <c r="B1098" s="5" t="str">
        <f>GetAddress(A1098)</f>
        <v>\\chno0276\Control de Documentos\Doc. controlados PDF\Ayudas visuales\Camarillo\Amsafe\VA-AMSA-029 Rev Doc A- Rev Draw AG  508978 ESTAMPADO.ppt</v>
      </c>
      <c r="C1098" s="5" t="str">
        <f>MID(B1098,LEN(B1098) - FIND(".",REVERSETEXT(B1098))+2,1000)</f>
        <v>ppt</v>
      </c>
      <c r="D1098" s="6">
        <v>6</v>
      </c>
      <c r="E1098" s="7" t="s">
        <v>83</v>
      </c>
      <c r="F1098" s="7" t="s">
        <v>22</v>
      </c>
      <c r="G1098" s="8" t="s">
        <v>23</v>
      </c>
      <c r="H1098" s="8">
        <v>5</v>
      </c>
      <c r="I1098" s="8" t="s">
        <v>874</v>
      </c>
      <c r="J1098" s="8">
        <v>10</v>
      </c>
      <c r="K1098" s="8" t="s">
        <v>875</v>
      </c>
      <c r="L1098" s="8">
        <v>7</v>
      </c>
      <c r="M1098" s="7" t="s">
        <v>876</v>
      </c>
      <c r="N1098" s="7" t="s">
        <v>2527</v>
      </c>
      <c r="O1098" s="9">
        <v>41177</v>
      </c>
      <c r="P1098" s="7" t="s">
        <v>2528</v>
      </c>
      <c r="Q1098" s="7">
        <v>508978</v>
      </c>
      <c r="R1098" s="7" t="s">
        <v>2426</v>
      </c>
      <c r="S1098" s="8" t="s">
        <v>2427</v>
      </c>
      <c r="T1098" s="13" t="s">
        <v>30</v>
      </c>
      <c r="U1098" s="13" t="s">
        <v>479</v>
      </c>
      <c r="V1098" s="7"/>
    </row>
    <row r="1099" spans="1:22">
      <c r="A1099" s="5" t="s">
        <v>2529</v>
      </c>
      <c r="B1099" s="5" t="str">
        <f>GetAddress(A1099)</f>
        <v>\\chno0276\Control de Documentos\Doc. controlados PDF\Ayudas visuales\Camarillo\Amsafe\VA-AMSA-030 Rev Doc B - Rev Draw BM   509976 ESTAMPADO.ppt</v>
      </c>
      <c r="C1099" s="5" t="str">
        <f>MID(B1099,LEN(B1099) - FIND(".",REVERSETEXT(B1099))+2,1000)</f>
        <v>ppt</v>
      </c>
      <c r="D1099" s="6">
        <v>6</v>
      </c>
      <c r="E1099" s="7" t="s">
        <v>83</v>
      </c>
      <c r="F1099" s="7" t="s">
        <v>22</v>
      </c>
      <c r="G1099" s="8" t="s">
        <v>23</v>
      </c>
      <c r="H1099" s="8">
        <v>5</v>
      </c>
      <c r="I1099" s="8" t="s">
        <v>874</v>
      </c>
      <c r="J1099" s="8">
        <v>10</v>
      </c>
      <c r="K1099" s="8" t="s">
        <v>875</v>
      </c>
      <c r="L1099" s="8">
        <v>7</v>
      </c>
      <c r="M1099" s="7" t="s">
        <v>876</v>
      </c>
      <c r="N1099" s="7" t="s">
        <v>2530</v>
      </c>
      <c r="O1099" s="9">
        <v>41197</v>
      </c>
      <c r="P1099" s="7" t="s">
        <v>2506</v>
      </c>
      <c r="Q1099" s="7">
        <v>509976</v>
      </c>
      <c r="R1099" s="7" t="s">
        <v>2426</v>
      </c>
      <c r="S1099" s="8" t="s">
        <v>2427</v>
      </c>
      <c r="T1099" s="13" t="s">
        <v>30</v>
      </c>
      <c r="U1099" s="13" t="s">
        <v>479</v>
      </c>
      <c r="V1099" s="7"/>
    </row>
    <row r="1100" spans="1:22">
      <c r="A1100" s="5" t="s">
        <v>2531</v>
      </c>
      <c r="B1100" s="5" t="str">
        <f>GetAddress(A1100)</f>
        <v>\\chno0276\Control de Documentos\Doc. controlados PDF\Ayudas visuales\Camarillo\Amsafe\VA-AMSA-031 Rev Doc A - Rev Draw C   ESTAMPADO DE T511890.ppt</v>
      </c>
      <c r="C1100" s="5" t="str">
        <f>MID(B1100,LEN(B1100) - FIND(".",REVERSETEXT(B1100))+2,1000)</f>
        <v>ppt</v>
      </c>
      <c r="D1100" s="6">
        <v>6</v>
      </c>
      <c r="E1100" s="7" t="s">
        <v>83</v>
      </c>
      <c r="F1100" s="7" t="s">
        <v>22</v>
      </c>
      <c r="G1100" s="8" t="s">
        <v>23</v>
      </c>
      <c r="H1100" s="8">
        <v>5</v>
      </c>
      <c r="I1100" s="8" t="s">
        <v>874</v>
      </c>
      <c r="J1100" s="8">
        <v>10</v>
      </c>
      <c r="K1100" s="8" t="s">
        <v>875</v>
      </c>
      <c r="L1100" s="8">
        <v>7</v>
      </c>
      <c r="M1100" s="7" t="s">
        <v>876</v>
      </c>
      <c r="N1100" s="7" t="s">
        <v>2532</v>
      </c>
      <c r="O1100" s="9">
        <v>41177</v>
      </c>
      <c r="P1100" s="7" t="s">
        <v>2533</v>
      </c>
      <c r="Q1100" s="7" t="s">
        <v>2525</v>
      </c>
      <c r="R1100" s="7" t="s">
        <v>2426</v>
      </c>
      <c r="S1100" s="8" t="s">
        <v>2427</v>
      </c>
      <c r="T1100" s="13" t="s">
        <v>30</v>
      </c>
      <c r="U1100" s="13" t="s">
        <v>479</v>
      </c>
      <c r="V1100" s="7"/>
    </row>
    <row r="1101" spans="1:22" ht="38.25">
      <c r="A1101" s="5" t="s">
        <v>2534</v>
      </c>
      <c r="B1101" s="5" t="str">
        <f>GetAddress(A1101)</f>
        <v>\\chno0276\Control de Documentos\Doc. controlados PDF\Ayudas visuales\Camarillo\Amsafe\VA-AMSA-032  REV Doc D Draw AG 508978 pag 1 003082-XXXX 004014-XXXX 004034-XXXX 004035-XXXX.ppt</v>
      </c>
      <c r="C1101" s="5" t="str">
        <f>MID(B1101,LEN(B1101) - FIND(".",REVERSETEXT(B1101))+2,1000)</f>
        <v>ppt</v>
      </c>
      <c r="D1101" s="6">
        <v>6</v>
      </c>
      <c r="E1101" s="7" t="s">
        <v>83</v>
      </c>
      <c r="F1101" s="7" t="s">
        <v>22</v>
      </c>
      <c r="G1101" s="8" t="s">
        <v>23</v>
      </c>
      <c r="H1101" s="8">
        <v>5</v>
      </c>
      <c r="I1101" s="8" t="s">
        <v>874</v>
      </c>
      <c r="J1101" s="8">
        <v>10</v>
      </c>
      <c r="K1101" s="8" t="s">
        <v>875</v>
      </c>
      <c r="L1101" s="8">
        <v>7</v>
      </c>
      <c r="M1101" s="7" t="s">
        <v>876</v>
      </c>
      <c r="N1101" s="13" t="s">
        <v>2429</v>
      </c>
      <c r="O1101" s="9">
        <v>41177</v>
      </c>
      <c r="P1101" s="7" t="s">
        <v>2535</v>
      </c>
      <c r="Q1101" s="7">
        <v>508978</v>
      </c>
      <c r="R1101" s="7" t="s">
        <v>2426</v>
      </c>
      <c r="S1101" s="8" t="s">
        <v>2427</v>
      </c>
      <c r="T1101" s="13" t="s">
        <v>2430</v>
      </c>
      <c r="U1101" s="13" t="s">
        <v>479</v>
      </c>
      <c r="V1101" s="7"/>
    </row>
    <row r="1102" spans="1:22">
      <c r="A1102" s="5" t="s">
        <v>2536</v>
      </c>
      <c r="B1102" s="5" t="str">
        <f>GetAddress(A1102)</f>
        <v>\\chno0276\Control de Documentos\Doc. controlados PDF\Ayudas visuales\Camarillo\Amsafe\VA-AMSA-033 Rev Doc  B- Drawing D  CABLE ASSEMBLY INTERFACE 511125 Pag 1.ppt</v>
      </c>
      <c r="C1102" s="5" t="str">
        <f>MID(B1102,LEN(B1102) - FIND(".",REVERSETEXT(B1102))+2,1000)</f>
        <v>ppt</v>
      </c>
      <c r="D1102" s="6">
        <v>6</v>
      </c>
      <c r="E1102" s="7" t="s">
        <v>83</v>
      </c>
      <c r="F1102" s="7" t="s">
        <v>22</v>
      </c>
      <c r="G1102" s="8" t="s">
        <v>23</v>
      </c>
      <c r="H1102" s="8">
        <v>5</v>
      </c>
      <c r="I1102" s="8" t="s">
        <v>874</v>
      </c>
      <c r="J1102" s="8">
        <v>10</v>
      </c>
      <c r="K1102" s="8" t="s">
        <v>875</v>
      </c>
      <c r="L1102" s="8">
        <v>7</v>
      </c>
      <c r="M1102" s="7" t="s">
        <v>876</v>
      </c>
      <c r="N1102" s="7" t="s">
        <v>2537</v>
      </c>
      <c r="O1102" s="9">
        <v>41212</v>
      </c>
      <c r="P1102" s="7" t="s">
        <v>2538</v>
      </c>
      <c r="Q1102" s="7">
        <v>511125</v>
      </c>
      <c r="R1102" s="7" t="s">
        <v>2426</v>
      </c>
      <c r="S1102" s="8" t="s">
        <v>2427</v>
      </c>
      <c r="T1102" s="13" t="s">
        <v>30</v>
      </c>
      <c r="U1102" s="13" t="s">
        <v>479</v>
      </c>
      <c r="V1102" s="7"/>
    </row>
    <row r="1103" spans="1:22" s="19" customFormat="1">
      <c r="A1103" s="5" t="s">
        <v>2539</v>
      </c>
      <c r="B1103" s="5" t="str">
        <f>GetAddress(A1103)</f>
        <v>\\chno0276\Control de Documentos\Doc. controlados PDF\Ayudas visuales\Camarillo\Amsafe\VA-AMSA-034 Rev A  EMPAQUE GENERAL DE AMSAFE.ppt</v>
      </c>
      <c r="C1103" s="5" t="str">
        <f>MID(B1103,LEN(B1103) - FIND(".",REVERSETEXT(B1103))+2,1000)</f>
        <v>ppt</v>
      </c>
      <c r="D1103" s="6">
        <v>6</v>
      </c>
      <c r="E1103" s="7" t="s">
        <v>83</v>
      </c>
      <c r="F1103" s="7" t="s">
        <v>22</v>
      </c>
      <c r="G1103" s="8" t="s">
        <v>23</v>
      </c>
      <c r="H1103" s="8">
        <v>5</v>
      </c>
      <c r="I1103" s="8" t="s">
        <v>874</v>
      </c>
      <c r="J1103" s="8">
        <v>10</v>
      </c>
      <c r="K1103" s="8" t="s">
        <v>875</v>
      </c>
      <c r="L1103" s="8">
        <v>7</v>
      </c>
      <c r="M1103" s="7" t="s">
        <v>876</v>
      </c>
      <c r="N1103" s="7" t="s">
        <v>2540</v>
      </c>
      <c r="O1103" s="9">
        <v>41177</v>
      </c>
      <c r="P1103" s="7" t="s">
        <v>27</v>
      </c>
      <c r="Q1103" s="7" t="s">
        <v>28</v>
      </c>
      <c r="R1103" s="7" t="s">
        <v>2426</v>
      </c>
      <c r="S1103" s="8" t="s">
        <v>2427</v>
      </c>
      <c r="T1103" s="13" t="s">
        <v>30</v>
      </c>
      <c r="U1103" s="13" t="s">
        <v>479</v>
      </c>
      <c r="V1103" s="7"/>
    </row>
    <row r="1104" spans="1:22" s="19" customFormat="1">
      <c r="A1104" s="5" t="s">
        <v>743</v>
      </c>
      <c r="B1104" s="5" t="str">
        <f>GetAddress(A1104)</f>
        <v>\\CHNO0276\Aseguranza de Calidad\Control de Documentos\Doc. controlados PDF\Ayudas visuales\Micromini\A y B\VA-AYB-001 Rev B ALTURA DE CONTACTOS PARA DIBUJOS A89N-F7AF-2, A89N-F7AF5- A89N-F8AF2, A89B-F8AF-5.pptx</v>
      </c>
      <c r="C1104" s="5" t="str">
        <f>MID(B1104,LEN(B1104) - FIND(".",REVERSETEXT(B1104))+2,1000)</f>
        <v>pptx</v>
      </c>
      <c r="D1104" s="6">
        <v>6</v>
      </c>
      <c r="E1104" s="7" t="s">
        <v>83</v>
      </c>
      <c r="F1104" s="7" t="s">
        <v>22</v>
      </c>
      <c r="G1104" s="8" t="s">
        <v>23</v>
      </c>
      <c r="H1104" s="8">
        <v>5</v>
      </c>
      <c r="I1104" s="8" t="s">
        <v>24</v>
      </c>
      <c r="J1104" s="8">
        <v>12</v>
      </c>
      <c r="K1104" s="8" t="s">
        <v>663</v>
      </c>
      <c r="L1104" s="8">
        <v>3</v>
      </c>
      <c r="M1104" s="7" t="s">
        <v>664</v>
      </c>
      <c r="N1104" s="7" t="s">
        <v>744</v>
      </c>
      <c r="O1104" s="9">
        <v>41085</v>
      </c>
      <c r="P1104" s="7" t="s">
        <v>27</v>
      </c>
      <c r="Q1104" s="7" t="s">
        <v>745</v>
      </c>
      <c r="R1104" s="7" t="s">
        <v>604</v>
      </c>
      <c r="S1104" s="8" t="s">
        <v>605</v>
      </c>
      <c r="T1104" s="7" t="s">
        <v>30</v>
      </c>
      <c r="U1104" s="7" t="s">
        <v>90</v>
      </c>
      <c r="V1104" s="7"/>
    </row>
    <row r="1105" spans="1:22">
      <c r="A1105" s="5" t="s">
        <v>746</v>
      </c>
      <c r="B1105" s="5" t="str">
        <f>GetAddress(A1105)</f>
        <v>\\CHNO0276\Aseguranza de Calidad\Control de Documentos\Doc. controlados PDF\Ayudas visuales\Micromini\A y B\VA-AYB-002 Rev B  ALTURA DE CONTACTOS TEE DIBUJO CHDN-TAER Y  CHDN-TAER-N Y A98N-43PB-N4.pptx</v>
      </c>
      <c r="C1105" s="5" t="str">
        <f>MID(B1105,LEN(B1105) - FIND(".",REVERSETEXT(B1105))+2,1000)</f>
        <v>pptx</v>
      </c>
      <c r="D1105" s="6">
        <v>6</v>
      </c>
      <c r="E1105" s="7" t="s">
        <v>83</v>
      </c>
      <c r="F1105" s="7" t="s">
        <v>22</v>
      </c>
      <c r="G1105" s="8" t="s">
        <v>23</v>
      </c>
      <c r="H1105" s="8">
        <v>5</v>
      </c>
      <c r="I1105" s="8" t="s">
        <v>24</v>
      </c>
      <c r="J1105" s="8">
        <v>12</v>
      </c>
      <c r="K1105" s="8" t="s">
        <v>663</v>
      </c>
      <c r="L1105" s="8">
        <v>3</v>
      </c>
      <c r="M1105" s="7" t="s">
        <v>664</v>
      </c>
      <c r="N1105" s="7" t="s">
        <v>747</v>
      </c>
      <c r="O1105" s="9">
        <v>41085</v>
      </c>
      <c r="P1105" s="7" t="s">
        <v>46</v>
      </c>
      <c r="Q1105" s="7" t="s">
        <v>748</v>
      </c>
      <c r="R1105" s="7" t="s">
        <v>604</v>
      </c>
      <c r="S1105" s="8" t="s">
        <v>605</v>
      </c>
      <c r="T1105" s="7" t="s">
        <v>30</v>
      </c>
      <c r="U1105" s="7" t="s">
        <v>90</v>
      </c>
      <c r="V1105" s="7"/>
    </row>
    <row r="1106" spans="1:22">
      <c r="A1106" s="5" t="s">
        <v>749</v>
      </c>
      <c r="B1106" s="5" t="str">
        <f>GetAddress(A1106)</f>
        <v>\\CHNO0276\Aseguranza de Calidad\Control de Documentos\Doc. controlados PDF\Ayudas visuales\Micromini\A y B\VA-AYB-003 Rev A DM4Q2M24E-A (Dominico).pptx</v>
      </c>
      <c r="C1106" s="5" t="str">
        <f>MID(B1106,LEN(B1106) - FIND(".",REVERSETEXT(B1106))+2,1000)</f>
        <v>pptx</v>
      </c>
      <c r="D1106" s="6">
        <v>6</v>
      </c>
      <c r="E1106" s="7" t="s">
        <v>83</v>
      </c>
      <c r="F1106" s="7" t="s">
        <v>22</v>
      </c>
      <c r="G1106" s="8" t="s">
        <v>23</v>
      </c>
      <c r="H1106" s="8">
        <v>5</v>
      </c>
      <c r="I1106" s="8" t="s">
        <v>24</v>
      </c>
      <c r="J1106" s="8">
        <v>12</v>
      </c>
      <c r="K1106" s="8" t="s">
        <v>663</v>
      </c>
      <c r="L1106" s="8">
        <v>3</v>
      </c>
      <c r="M1106" s="7" t="s">
        <v>664</v>
      </c>
      <c r="N1106" s="7" t="s">
        <v>750</v>
      </c>
      <c r="O1106" s="9">
        <v>41102</v>
      </c>
      <c r="P1106" s="7" t="s">
        <v>27</v>
      </c>
      <c r="Q1106" s="7" t="s">
        <v>751</v>
      </c>
      <c r="R1106" s="7" t="s">
        <v>604</v>
      </c>
      <c r="S1106" s="8" t="s">
        <v>605</v>
      </c>
      <c r="T1106" s="7" t="s">
        <v>30</v>
      </c>
      <c r="U1106" s="7" t="s">
        <v>90</v>
      </c>
      <c r="V1106" s="7"/>
    </row>
    <row r="1107" spans="1:22">
      <c r="A1107" s="5" t="s">
        <v>2606</v>
      </c>
      <c r="B1107" s="5" t="str">
        <f>GetAddress(A1107)</f>
        <v>\\CHNO0276\Aseguranza de Calidad\Control de Documentos\Doc. controlados PDF\Ayudas visuales\Camarillo\Bonding\VA-BOND-002 Rev G 002359-0000 (AMC02PA03R- AMC02PS03W- AMC02PA03B).ppt</v>
      </c>
      <c r="C1107" s="5" t="str">
        <f>MID(B1107,LEN(B1107) - FIND(".",REVERSETEXT(B1107))+2,1000)</f>
        <v>ppt</v>
      </c>
      <c r="D1107" s="6">
        <v>6</v>
      </c>
      <c r="E1107" s="7" t="s">
        <v>83</v>
      </c>
      <c r="F1107" s="7" t="s">
        <v>22</v>
      </c>
      <c r="G1107" s="8" t="s">
        <v>23</v>
      </c>
      <c r="H1107" s="8">
        <v>5</v>
      </c>
      <c r="I1107" s="8" t="s">
        <v>874</v>
      </c>
      <c r="J1107" s="8">
        <v>10</v>
      </c>
      <c r="K1107" s="8" t="s">
        <v>967</v>
      </c>
      <c r="L1107" s="8">
        <v>10</v>
      </c>
      <c r="M1107" s="7" t="s">
        <v>968</v>
      </c>
      <c r="N1107" s="7" t="s">
        <v>2607</v>
      </c>
      <c r="O1107" s="25">
        <v>41114</v>
      </c>
      <c r="P1107" s="13" t="s">
        <v>741</v>
      </c>
      <c r="Q1107" s="7" t="s">
        <v>2608</v>
      </c>
      <c r="R1107" s="7" t="s">
        <v>2426</v>
      </c>
      <c r="S1107" s="8" t="s">
        <v>2427</v>
      </c>
      <c r="T1107" s="7" t="s">
        <v>2609</v>
      </c>
      <c r="U1107" s="13" t="s">
        <v>1473</v>
      </c>
      <c r="V1107" s="7"/>
    </row>
    <row r="1108" spans="1:22">
      <c r="A1108" s="5" t="s">
        <v>2610</v>
      </c>
      <c r="B1108" s="5" t="str">
        <f>GetAddress(A1108)</f>
        <v>\\CHNO0276\Aseguranza de Calidad\Control de Documentos\Doc. controlados PDF\Ayudas visuales\Camarillo\Bonding\VA-BOND-003 Rev F   BACC65AKXXXP.ppt</v>
      </c>
      <c r="C1108" s="5" t="str">
        <f>MID(B1108,LEN(B1108) - FIND(".",REVERSETEXT(B1108))+2,1000)</f>
        <v>ppt</v>
      </c>
      <c r="D1108" s="6">
        <v>6</v>
      </c>
      <c r="E1108" s="7" t="s">
        <v>83</v>
      </c>
      <c r="F1108" s="7" t="s">
        <v>22</v>
      </c>
      <c r="G1108" s="8" t="s">
        <v>23</v>
      </c>
      <c r="H1108" s="8">
        <v>5</v>
      </c>
      <c r="I1108" s="8" t="s">
        <v>874</v>
      </c>
      <c r="J1108" s="8">
        <v>10</v>
      </c>
      <c r="K1108" s="8" t="s">
        <v>967</v>
      </c>
      <c r="L1108" s="8">
        <v>10</v>
      </c>
      <c r="M1108" s="7" t="s">
        <v>968</v>
      </c>
      <c r="N1108" s="7" t="s">
        <v>2611</v>
      </c>
      <c r="O1108" s="9">
        <v>41101</v>
      </c>
      <c r="P1108" s="7" t="s">
        <v>742</v>
      </c>
      <c r="Q1108" s="7" t="s">
        <v>1034</v>
      </c>
      <c r="R1108" s="7" t="s">
        <v>2426</v>
      </c>
      <c r="S1108" s="8" t="s">
        <v>2427</v>
      </c>
      <c r="T1108" s="7" t="s">
        <v>2609</v>
      </c>
      <c r="U1108" s="13" t="s">
        <v>1473</v>
      </c>
      <c r="V1108" s="7"/>
    </row>
    <row r="1109" spans="1:22">
      <c r="A1109" s="5" t="s">
        <v>2612</v>
      </c>
      <c r="B1109" s="5" t="str">
        <f>GetAddress(A1109)</f>
        <v>\\chno0276\Control de Documentos\Doc. controlados PDF\Ayudas visuales\Camarillo\Bonding\VA-BOND-004  Rev E  empaque bacc.ppt</v>
      </c>
      <c r="C1109" s="5" t="str">
        <f>MID(B1109,LEN(B1109) - FIND(".",REVERSETEXT(B1109))+2,1000)</f>
        <v>ppt</v>
      </c>
      <c r="D1109" s="6">
        <v>6</v>
      </c>
      <c r="E1109" s="7" t="s">
        <v>83</v>
      </c>
      <c r="F1109" s="7" t="s">
        <v>22</v>
      </c>
      <c r="G1109" s="8" t="s">
        <v>23</v>
      </c>
      <c r="H1109" s="8">
        <v>5</v>
      </c>
      <c r="I1109" s="8" t="s">
        <v>874</v>
      </c>
      <c r="J1109" s="8">
        <v>10</v>
      </c>
      <c r="K1109" s="8" t="s">
        <v>967</v>
      </c>
      <c r="L1109" s="8">
        <v>10</v>
      </c>
      <c r="M1109" s="7" t="s">
        <v>968</v>
      </c>
      <c r="N1109" s="13" t="s">
        <v>2613</v>
      </c>
      <c r="O1109" s="9">
        <v>41172</v>
      </c>
      <c r="P1109" s="7" t="s">
        <v>261</v>
      </c>
      <c r="Q1109" s="7" t="s">
        <v>28</v>
      </c>
      <c r="R1109" s="7" t="s">
        <v>2426</v>
      </c>
      <c r="S1109" s="8" t="s">
        <v>2427</v>
      </c>
      <c r="T1109" s="7" t="s">
        <v>624</v>
      </c>
      <c r="U1109" s="13" t="s">
        <v>1473</v>
      </c>
      <c r="V1109" s="7"/>
    </row>
    <row r="1110" spans="1:22">
      <c r="A1110" s="5" t="s">
        <v>2614</v>
      </c>
      <c r="B1110" s="5" t="str">
        <f>GetAddress(A1110)</f>
        <v>\\CHNO0276\Aseguranza de Calidad\Control de Documentos\Doc. controlados PDF\Ayudas visuales\Camarillo\Bonding\VA-BOND-005 Rev C  002359-0000 EMPAQUE  PLUG AIRBORNEMINIATURE CIRCULAR COLORS RED WHAITE &amp; BLUE.ppt</v>
      </c>
      <c r="C1110" s="5" t="str">
        <f>MID(B1110,LEN(B1110) - FIND(".",REVERSETEXT(B1110))+2,1000)</f>
        <v>ppt</v>
      </c>
      <c r="D1110" s="6">
        <v>6</v>
      </c>
      <c r="E1110" s="7" t="s">
        <v>83</v>
      </c>
      <c r="F1110" s="7" t="s">
        <v>22</v>
      </c>
      <c r="G1110" s="8" t="s">
        <v>23</v>
      </c>
      <c r="H1110" s="8">
        <v>5</v>
      </c>
      <c r="I1110" s="8" t="s">
        <v>874</v>
      </c>
      <c r="J1110" s="8">
        <v>10</v>
      </c>
      <c r="K1110" s="8" t="s">
        <v>967</v>
      </c>
      <c r="L1110" s="8">
        <v>10</v>
      </c>
      <c r="M1110" s="7" t="s">
        <v>968</v>
      </c>
      <c r="N1110" s="7" t="s">
        <v>2615</v>
      </c>
      <c r="O1110" s="9">
        <v>41143</v>
      </c>
      <c r="P1110" s="7" t="s">
        <v>159</v>
      </c>
      <c r="Q1110" s="7" t="s">
        <v>2616</v>
      </c>
      <c r="R1110" s="7" t="s">
        <v>2426</v>
      </c>
      <c r="S1110" s="8" t="s">
        <v>2427</v>
      </c>
      <c r="T1110" s="7" t="s">
        <v>30</v>
      </c>
      <c r="U1110" s="13" t="s">
        <v>1473</v>
      </c>
      <c r="V1110" s="7"/>
    </row>
    <row r="1111" spans="1:22">
      <c r="A1111" s="5" t="s">
        <v>2617</v>
      </c>
      <c r="B1111" s="5" t="str">
        <f>GetAddress(A1111)</f>
        <v>\\CHNO0276\Aseguranza de Calidad\Control de Documentos\Doc. controlados PDF\Ayudas visuales\Camarillo\Bonding\VA-BOND-006 Rev B CONECTOR  000100-0113M.ppt</v>
      </c>
      <c r="C1111" s="5" t="str">
        <f>MID(B1111,LEN(B1111) - FIND(".",REVERSETEXT(B1111))+2,1000)</f>
        <v>ppt</v>
      </c>
      <c r="D1111" s="6">
        <v>6</v>
      </c>
      <c r="E1111" s="7" t="s">
        <v>83</v>
      </c>
      <c r="F1111" s="7" t="s">
        <v>22</v>
      </c>
      <c r="G1111" s="8" t="s">
        <v>23</v>
      </c>
      <c r="H1111" s="8">
        <v>5</v>
      </c>
      <c r="I1111" s="8" t="s">
        <v>874</v>
      </c>
      <c r="J1111" s="8">
        <v>10</v>
      </c>
      <c r="K1111" s="8" t="s">
        <v>967</v>
      </c>
      <c r="L1111" s="8">
        <v>10</v>
      </c>
      <c r="M1111" s="7" t="s">
        <v>968</v>
      </c>
      <c r="N1111" s="7" t="s">
        <v>2618</v>
      </c>
      <c r="O1111" s="9">
        <v>41148</v>
      </c>
      <c r="P1111" s="7" t="s">
        <v>46</v>
      </c>
      <c r="Q1111" s="7" t="s">
        <v>2619</v>
      </c>
      <c r="R1111" s="7" t="s">
        <v>2426</v>
      </c>
      <c r="S1111" s="8" t="s">
        <v>2427</v>
      </c>
      <c r="T1111" s="7" t="s">
        <v>30</v>
      </c>
      <c r="U1111" s="13" t="s">
        <v>1473</v>
      </c>
      <c r="V1111" s="7"/>
    </row>
    <row r="1112" spans="1:22">
      <c r="A1112" s="5" t="s">
        <v>2620</v>
      </c>
      <c r="B1112" s="5" t="str">
        <f>GetAddress(A1112)</f>
        <v>\\chno0276\Aseguranza de Calidad\Control de Documentos\Doc. controlados PDF\Ayudas visuales\Camarillo\Bonding\VA-BOND-007 Rev A  002359-0000  002360-0000  002361-0000.ppt</v>
      </c>
      <c r="C1112" s="5" t="str">
        <f>MID(B1112,LEN(B1112) - FIND(".",REVERSETEXT(B1112))+2,1000)</f>
        <v>ppt</v>
      </c>
      <c r="D1112" s="6">
        <v>6</v>
      </c>
      <c r="E1112" s="7" t="s">
        <v>83</v>
      </c>
      <c r="F1112" s="7" t="s">
        <v>22</v>
      </c>
      <c r="G1112" s="8" t="s">
        <v>23</v>
      </c>
      <c r="H1112" s="8">
        <v>5</v>
      </c>
      <c r="I1112" s="8" t="s">
        <v>874</v>
      </c>
      <c r="J1112" s="8">
        <v>10</v>
      </c>
      <c r="K1112" s="8" t="s">
        <v>967</v>
      </c>
      <c r="L1112" s="8">
        <v>10</v>
      </c>
      <c r="M1112" s="7" t="s">
        <v>968</v>
      </c>
      <c r="N1112" s="7" t="s">
        <v>2621</v>
      </c>
      <c r="O1112" s="9">
        <v>41170</v>
      </c>
      <c r="P1112" s="7" t="s">
        <v>27</v>
      </c>
      <c r="Q1112" s="7" t="s">
        <v>2622</v>
      </c>
      <c r="R1112" s="7" t="s">
        <v>2426</v>
      </c>
      <c r="S1112" s="8" t="s">
        <v>2427</v>
      </c>
      <c r="T1112" s="7" t="s">
        <v>30</v>
      </c>
      <c r="U1112" s="13" t="s">
        <v>1473</v>
      </c>
      <c r="V1112" s="7"/>
    </row>
    <row r="1113" spans="1:22">
      <c r="A1113" s="5" t="s">
        <v>2623</v>
      </c>
      <c r="B1113" s="5" t="str">
        <f>GetAddress(A1113)</f>
        <v>\\chno0276\Control de Documentos\Doc. controlados PDF\Ayudas visuales\Camarillo\Bonding\VA-BOND-008 Rev G ASSEMBLY PLUG BACC65AJXXXS.ppt</v>
      </c>
      <c r="C1113" s="5" t="str">
        <f>MID(B1113,LEN(B1113) - FIND(".",REVERSETEXT(B1113))+2,1000)</f>
        <v>ppt</v>
      </c>
      <c r="D1113" s="6">
        <v>6</v>
      </c>
      <c r="E1113" s="7" t="s">
        <v>83</v>
      </c>
      <c r="F1113" s="7" t="s">
        <v>22</v>
      </c>
      <c r="G1113" s="8" t="s">
        <v>23</v>
      </c>
      <c r="H1113" s="8">
        <v>5</v>
      </c>
      <c r="I1113" s="8" t="s">
        <v>874</v>
      </c>
      <c r="J1113" s="8">
        <v>10</v>
      </c>
      <c r="K1113" s="8" t="s">
        <v>967</v>
      </c>
      <c r="L1113" s="8">
        <v>10</v>
      </c>
      <c r="M1113" s="7" t="s">
        <v>968</v>
      </c>
      <c r="N1113" s="7" t="s">
        <v>2624</v>
      </c>
      <c r="O1113" s="9">
        <v>41204</v>
      </c>
      <c r="P1113" s="7" t="s">
        <v>741</v>
      </c>
      <c r="Q1113" s="7" t="s">
        <v>2625</v>
      </c>
      <c r="R1113" s="7" t="s">
        <v>2426</v>
      </c>
      <c r="S1113" s="8" t="s">
        <v>2427</v>
      </c>
      <c r="T1113" s="7" t="s">
        <v>30</v>
      </c>
      <c r="U1113" s="13" t="s">
        <v>1473</v>
      </c>
      <c r="V1113" s="7"/>
    </row>
    <row r="1114" spans="1:22">
      <c r="A1114" s="5" t="s">
        <v>2626</v>
      </c>
      <c r="B1114" s="5" t="str">
        <f>GetAddress(A1114)</f>
        <v>\\chno0276\Control de Documentos\Doc. controlados PDF\Ayudas visuales\Camarillo\Bonding\VA-BOND-009 Rev A LAVADO MEK.ppt</v>
      </c>
      <c r="C1114" s="5" t="str">
        <f>MID(B1114,LEN(B1114) - FIND(".",REVERSETEXT(B1114))+2,1000)</f>
        <v>ppt</v>
      </c>
      <c r="D1114" s="6">
        <v>6</v>
      </c>
      <c r="E1114" s="7" t="s">
        <v>83</v>
      </c>
      <c r="F1114" s="7" t="s">
        <v>22</v>
      </c>
      <c r="G1114" s="8" t="s">
        <v>23</v>
      </c>
      <c r="H1114" s="8">
        <v>5</v>
      </c>
      <c r="I1114" s="8" t="s">
        <v>874</v>
      </c>
      <c r="J1114" s="8">
        <v>10</v>
      </c>
      <c r="K1114" s="8" t="s">
        <v>967</v>
      </c>
      <c r="L1114" s="8">
        <v>10</v>
      </c>
      <c r="M1114" s="7" t="s">
        <v>968</v>
      </c>
      <c r="N1114" s="7" t="s">
        <v>2627</v>
      </c>
      <c r="O1114" s="9">
        <v>41178</v>
      </c>
      <c r="P1114" s="7" t="s">
        <v>27</v>
      </c>
      <c r="Q1114" s="7" t="s">
        <v>28</v>
      </c>
      <c r="R1114" s="7" t="s">
        <v>2426</v>
      </c>
      <c r="S1114" s="8" t="s">
        <v>2427</v>
      </c>
      <c r="T1114" s="7" t="s">
        <v>30</v>
      </c>
      <c r="U1114" s="13" t="s">
        <v>1473</v>
      </c>
      <c r="V1114" s="7"/>
    </row>
    <row r="1115" spans="1:22">
      <c r="A1115" s="5" t="s">
        <v>2628</v>
      </c>
      <c r="B1115" s="5" t="str">
        <f>GetAddress(A1115)</f>
        <v>\\chno0276\Control de Documentos\Doc. controlados PDF\Ayudas visuales\Camarillo\Bonding\VA-BOND-010 Rev A  INSULATOR ASSY 000300-059X.ppt</v>
      </c>
      <c r="C1115" s="5" t="str">
        <f>MID(B1115,LEN(B1115) - FIND(".",REVERSETEXT(B1115))+2,1000)</f>
        <v>ppt</v>
      </c>
      <c r="D1115" s="6">
        <v>6</v>
      </c>
      <c r="E1115" s="7" t="s">
        <v>83</v>
      </c>
      <c r="F1115" s="7" t="s">
        <v>22</v>
      </c>
      <c r="G1115" s="8" t="s">
        <v>23</v>
      </c>
      <c r="H1115" s="8">
        <v>5</v>
      </c>
      <c r="I1115" s="8" t="s">
        <v>874</v>
      </c>
      <c r="J1115" s="8">
        <v>10</v>
      </c>
      <c r="K1115" s="8" t="s">
        <v>967</v>
      </c>
      <c r="L1115" s="8">
        <v>10</v>
      </c>
      <c r="M1115" s="7" t="s">
        <v>968</v>
      </c>
      <c r="N1115" s="7" t="s">
        <v>2629</v>
      </c>
      <c r="O1115" s="9">
        <v>41184</v>
      </c>
      <c r="P1115" s="7" t="s">
        <v>27</v>
      </c>
      <c r="Q1115" s="7" t="s">
        <v>2630</v>
      </c>
      <c r="R1115" s="7" t="s">
        <v>2426</v>
      </c>
      <c r="S1115" s="8" t="s">
        <v>2427</v>
      </c>
      <c r="T1115" s="7" t="s">
        <v>30</v>
      </c>
      <c r="U1115" s="13" t="s">
        <v>1473</v>
      </c>
      <c r="V1115" s="7"/>
    </row>
    <row r="1116" spans="1:22">
      <c r="A1116" s="5" t="s">
        <v>2631</v>
      </c>
      <c r="B1116" s="5" t="str">
        <f>GetAddress(A1116)</f>
        <v>\\chno0276\Control de Documentos\Doc. controlados PDF\Ayudas visuales\Camarillo\Bonding\VA-BOND-011Rev A PLUG ASSEMBLY 000102-0381.ppt</v>
      </c>
      <c r="C1116" s="5" t="str">
        <f>MID(B1116,LEN(B1116) - FIND(".",REVERSETEXT(B1116))+2,1000)</f>
        <v>ppt</v>
      </c>
      <c r="D1116" s="6">
        <v>6</v>
      </c>
      <c r="E1116" s="7" t="s">
        <v>83</v>
      </c>
      <c r="F1116" s="7" t="s">
        <v>22</v>
      </c>
      <c r="G1116" s="8" t="s">
        <v>23</v>
      </c>
      <c r="H1116" s="8">
        <v>5</v>
      </c>
      <c r="I1116" s="8" t="s">
        <v>874</v>
      </c>
      <c r="J1116" s="8">
        <v>10</v>
      </c>
      <c r="K1116" s="8" t="s">
        <v>967</v>
      </c>
      <c r="L1116" s="8">
        <v>10</v>
      </c>
      <c r="M1116" s="7" t="s">
        <v>968</v>
      </c>
      <c r="N1116" s="7" t="s">
        <v>2632</v>
      </c>
      <c r="O1116" s="9">
        <v>41192</v>
      </c>
      <c r="P1116" s="7" t="s">
        <v>27</v>
      </c>
      <c r="Q1116" s="7" t="s">
        <v>2633</v>
      </c>
      <c r="R1116" s="7" t="s">
        <v>2426</v>
      </c>
      <c r="S1116" s="8" t="s">
        <v>2427</v>
      </c>
      <c r="T1116" s="7" t="s">
        <v>30</v>
      </c>
      <c r="U1116" s="13" t="s">
        <v>1473</v>
      </c>
      <c r="V1116" s="7"/>
    </row>
    <row r="1117" spans="1:22">
      <c r="A1117" s="5" t="s">
        <v>1466</v>
      </c>
      <c r="B1117" s="5" t="str">
        <f>GetAddress(A1117)</f>
        <v>\\CHNO0276\Aseguranza de Calidad\Control de Documentos\Doc. controlados PDF\Ayudas visuales\Camarillo\General\VA-CGRAL-001 Rev C prueba de o-ring.ppt</v>
      </c>
      <c r="C1117" s="5" t="str">
        <f>MID(B1117,LEN(B1117) - FIND(".",REVERSETEXT(B1117))+2,1000)</f>
        <v>ppt</v>
      </c>
      <c r="D1117" s="6">
        <v>6</v>
      </c>
      <c r="E1117" s="7" t="s">
        <v>83</v>
      </c>
      <c r="F1117" s="7" t="s">
        <v>22</v>
      </c>
      <c r="G1117" s="8" t="s">
        <v>23</v>
      </c>
      <c r="H1117" s="8">
        <v>5</v>
      </c>
      <c r="I1117" s="8" t="s">
        <v>84</v>
      </c>
      <c r="J1117" s="8">
        <v>33</v>
      </c>
      <c r="K1117" s="8" t="s">
        <v>1467</v>
      </c>
      <c r="L1117" s="8">
        <v>21</v>
      </c>
      <c r="M1117" s="7" t="s">
        <v>1468</v>
      </c>
      <c r="N1117" s="7" t="s">
        <v>1469</v>
      </c>
      <c r="O1117" s="27">
        <v>41137</v>
      </c>
      <c r="P1117" s="13" t="s">
        <v>159</v>
      </c>
      <c r="Q1117" s="7" t="s">
        <v>28</v>
      </c>
      <c r="R1117" s="13" t="s">
        <v>1460</v>
      </c>
      <c r="S1117" s="8" t="s">
        <v>1461</v>
      </c>
      <c r="T1117" s="7" t="s">
        <v>646</v>
      </c>
      <c r="U1117" s="7" t="s">
        <v>479</v>
      </c>
      <c r="V1117" s="7"/>
    </row>
    <row r="1118" spans="1:22">
      <c r="A1118" s="5" t="s">
        <v>2697</v>
      </c>
      <c r="B1118" s="5" t="str">
        <f>GetAddress(A1118)</f>
        <v>\\chno0276\Control de Documentos\Doc. controlados PDF\Ayudas visuales\Camarillo\General\VA-CGRAL-002  REV H ESPECIFICACIONES DE CORTE Y PREPARACION ITRON.ppt</v>
      </c>
      <c r="C1118" s="5" t="str">
        <f>MID(B1118,LEN(B1118) - FIND(".",REVERSETEXT(B1118))+2,1000)</f>
        <v>ppt</v>
      </c>
      <c r="D1118" s="6">
        <v>6</v>
      </c>
      <c r="E1118" s="7" t="s">
        <v>83</v>
      </c>
      <c r="F1118" s="7" t="s">
        <v>22</v>
      </c>
      <c r="G1118" s="8" t="s">
        <v>23</v>
      </c>
      <c r="H1118" s="8">
        <v>5</v>
      </c>
      <c r="I1118" s="8" t="s">
        <v>84</v>
      </c>
      <c r="J1118" s="8">
        <v>33</v>
      </c>
      <c r="K1118" s="8" t="s">
        <v>1467</v>
      </c>
      <c r="L1118" s="8">
        <v>21</v>
      </c>
      <c r="M1118" s="7" t="s">
        <v>1468</v>
      </c>
      <c r="N1118" s="7" t="s">
        <v>2698</v>
      </c>
      <c r="O1118" s="9">
        <v>41199</v>
      </c>
      <c r="P1118" s="7" t="s">
        <v>782</v>
      </c>
      <c r="Q1118" s="7" t="s">
        <v>28</v>
      </c>
      <c r="R1118" s="7" t="s">
        <v>2426</v>
      </c>
      <c r="S1118" s="8" t="s">
        <v>2427</v>
      </c>
      <c r="T1118" s="7" t="s">
        <v>624</v>
      </c>
      <c r="U1118" s="13" t="s">
        <v>1473</v>
      </c>
      <c r="V1118" s="7"/>
    </row>
    <row r="1119" spans="1:22">
      <c r="A1119" s="5" t="s">
        <v>2699</v>
      </c>
      <c r="B1119" s="5" t="str">
        <f>GetAddress(A1119)</f>
        <v>\\chno0276\Control de Documentos\Doc. controlados PDF\Ayudas visuales\Camarillo\General\VA-CGRAL-003 Rev A lavado de tubo para llenado de epoxy.ppt</v>
      </c>
      <c r="C1119" s="5" t="str">
        <f>MID(B1119,LEN(B1119) - FIND(".",REVERSETEXT(B1119))+2,1000)</f>
        <v>ppt</v>
      </c>
      <c r="D1119" s="6">
        <v>6</v>
      </c>
      <c r="E1119" s="7" t="s">
        <v>83</v>
      </c>
      <c r="F1119" s="7" t="s">
        <v>22</v>
      </c>
      <c r="G1119" s="8" t="s">
        <v>23</v>
      </c>
      <c r="H1119" s="8">
        <v>5</v>
      </c>
      <c r="I1119" s="8" t="s">
        <v>84</v>
      </c>
      <c r="J1119" s="8">
        <v>33</v>
      </c>
      <c r="K1119" s="8" t="s">
        <v>1467</v>
      </c>
      <c r="L1119" s="8">
        <v>21</v>
      </c>
      <c r="M1119" s="7" t="s">
        <v>1468</v>
      </c>
      <c r="N1119" s="7" t="s">
        <v>2700</v>
      </c>
      <c r="O1119" s="9">
        <v>41197</v>
      </c>
      <c r="P1119" s="7" t="s">
        <v>27</v>
      </c>
      <c r="Q1119" s="9" t="s">
        <v>28</v>
      </c>
      <c r="R1119" s="7" t="s">
        <v>2426</v>
      </c>
      <c r="S1119" s="8" t="s">
        <v>2427</v>
      </c>
      <c r="T1119" s="7" t="s">
        <v>30</v>
      </c>
      <c r="U1119" s="13" t="s">
        <v>1473</v>
      </c>
      <c r="V1119" s="7"/>
    </row>
    <row r="1120" spans="1:22">
      <c r="A1120" s="5" t="s">
        <v>767</v>
      </c>
      <c r="B1120" s="5" t="str">
        <f>GetAddress(A1120)</f>
        <v>\\CHNO0276\Aseguranza de Calidad\Control de Documentos\Doc. controlados PDF\Ayudas visuales\Micromini\Change Out\VA-CHGO-001 Rev B  X8652-CS Y REFERENCIA 1326304.pptx</v>
      </c>
      <c r="C1120" s="5" t="str">
        <f>MID(B1120,LEN(B1120) - FIND(".",REVERSETEXT(B1120))+2,1000)</f>
        <v>pptx</v>
      </c>
      <c r="D1120" s="6">
        <v>6</v>
      </c>
      <c r="E1120" s="7" t="s">
        <v>83</v>
      </c>
      <c r="F1120" s="7" t="s">
        <v>22</v>
      </c>
      <c r="G1120" s="8" t="s">
        <v>23</v>
      </c>
      <c r="H1120" s="8">
        <v>5</v>
      </c>
      <c r="I1120" s="8" t="s">
        <v>24</v>
      </c>
      <c r="J1120" s="8">
        <v>12</v>
      </c>
      <c r="K1120" s="8" t="s">
        <v>25</v>
      </c>
      <c r="L1120" s="8">
        <v>4</v>
      </c>
      <c r="M1120" s="7" t="s">
        <v>558</v>
      </c>
      <c r="N1120" s="7" t="s">
        <v>768</v>
      </c>
      <c r="O1120" s="9">
        <v>41101</v>
      </c>
      <c r="P1120" s="7" t="s">
        <v>46</v>
      </c>
      <c r="Q1120" s="7" t="s">
        <v>769</v>
      </c>
      <c r="R1120" s="7" t="s">
        <v>604</v>
      </c>
      <c r="S1120" s="8" t="s">
        <v>605</v>
      </c>
      <c r="T1120" s="7" t="s">
        <v>30</v>
      </c>
      <c r="U1120" s="7" t="s">
        <v>90</v>
      </c>
      <c r="V1120" s="7"/>
    </row>
    <row r="1121" spans="1:22">
      <c r="A1121" s="5" t="s">
        <v>2694</v>
      </c>
      <c r="B1121" s="5" t="str">
        <f>GetAddress(A1121)</f>
        <v>\\chno0276\Aseguranza de Calidad\Control de Documentos\Doc. controlados PDF\Ayudas visuales\Camarillo\Ensamble general\VA-EGRAL-001 Rev B  000294-0000.pptx</v>
      </c>
      <c r="C1121" s="5" t="str">
        <f>MID(B1121,LEN(B1121) - FIND(".",REVERSETEXT(B1121))+2,1000)</f>
        <v>pptx</v>
      </c>
      <c r="D1121" s="6">
        <v>6</v>
      </c>
      <c r="E1121" s="7" t="s">
        <v>83</v>
      </c>
      <c r="F1121" s="7" t="s">
        <v>22</v>
      </c>
      <c r="G1121" s="8" t="s">
        <v>23</v>
      </c>
      <c r="H1121" s="8">
        <v>5</v>
      </c>
      <c r="I1121" s="8" t="s">
        <v>2126</v>
      </c>
      <c r="J1121" s="8">
        <v>36</v>
      </c>
      <c r="K1121" s="8" t="s">
        <v>2126</v>
      </c>
      <c r="L1121" s="8">
        <v>26</v>
      </c>
      <c r="M1121" s="7" t="s">
        <v>2127</v>
      </c>
      <c r="N1121" s="13" t="s">
        <v>2695</v>
      </c>
      <c r="O1121" s="9">
        <v>41107</v>
      </c>
      <c r="P1121" s="7" t="s">
        <v>46</v>
      </c>
      <c r="Q1121" s="7" t="s">
        <v>2696</v>
      </c>
      <c r="R1121" s="7" t="s">
        <v>2426</v>
      </c>
      <c r="S1121" s="8" t="s">
        <v>2427</v>
      </c>
      <c r="T1121" s="7" t="s">
        <v>30</v>
      </c>
      <c r="U1121" s="7" t="s">
        <v>479</v>
      </c>
      <c r="V1121" s="7"/>
    </row>
    <row r="1122" spans="1:22">
      <c r="A1122" s="5" t="s">
        <v>2732</v>
      </c>
      <c r="B1122" s="5" t="str">
        <f>GetAddress(A1122)</f>
        <v>\\CHNO0276\Aseguranza de Calidad\Control de Documentos\Doc. controlados PDF\Ayudas visuales\Camarillo\Itron\MULTICELDA B\VA-IMB-001 Rev E  100G REMOTE MERCURY CORRECTOR 5 CBA-5000-002 (28-3278-0001) - Copy.ppt</v>
      </c>
      <c r="C1122" s="5" t="str">
        <f>MID(B1122,LEN(B1122) - FIND(".",REVERSETEXT(B1122))+2,1000)</f>
        <v>ppt</v>
      </c>
      <c r="D1122" s="6">
        <v>6</v>
      </c>
      <c r="E1122" s="7" t="s">
        <v>83</v>
      </c>
      <c r="F1122" s="7" t="s">
        <v>22</v>
      </c>
      <c r="G1122" s="8" t="s">
        <v>23</v>
      </c>
      <c r="H1122" s="8">
        <v>5</v>
      </c>
      <c r="I1122" s="8" t="s">
        <v>257</v>
      </c>
      <c r="J1122" s="8">
        <v>9</v>
      </c>
      <c r="K1122" s="8" t="s">
        <v>1090</v>
      </c>
      <c r="L1122" s="8">
        <v>9</v>
      </c>
      <c r="M1122" s="7" t="s">
        <v>1091</v>
      </c>
      <c r="N1122" s="7" t="s">
        <v>2733</v>
      </c>
      <c r="O1122" s="27">
        <v>41081</v>
      </c>
      <c r="P1122" s="13" t="s">
        <v>261</v>
      </c>
      <c r="Q1122" s="7" t="s">
        <v>2734</v>
      </c>
      <c r="R1122" s="7" t="s">
        <v>2426</v>
      </c>
      <c r="S1122" s="8" t="s">
        <v>2427</v>
      </c>
      <c r="T1122" s="7" t="s">
        <v>30</v>
      </c>
      <c r="U1122" s="13" t="s">
        <v>479</v>
      </c>
      <c r="V1122" s="7"/>
    </row>
    <row r="1123" spans="1:22">
      <c r="A1123" s="5" t="s">
        <v>2735</v>
      </c>
      <c r="B1123" s="5" t="str">
        <f>GetAddress(A1123)</f>
        <v>\\CHNO0276\Aseguranza de Calidad\Control de Documentos\Doc. controlados PDF\Ayudas visuales\Camarillo\Itron\MULTICELDA B\VA-IMB-002 Rev B CBA-1300-002  CBA-1300-003 CBA-1300-004 CBA-1300-001.ppt</v>
      </c>
      <c r="C1123" s="5" t="str">
        <f>MID(B1123,LEN(B1123) - FIND(".",REVERSETEXT(B1123))+2,1000)</f>
        <v>ppt</v>
      </c>
      <c r="D1123" s="6">
        <v>6</v>
      </c>
      <c r="E1123" s="7" t="s">
        <v>83</v>
      </c>
      <c r="F1123" s="7" t="s">
        <v>22</v>
      </c>
      <c r="G1123" s="8" t="s">
        <v>23</v>
      </c>
      <c r="H1123" s="8">
        <v>5</v>
      </c>
      <c r="I1123" s="8" t="s">
        <v>257</v>
      </c>
      <c r="J1123" s="8">
        <v>9</v>
      </c>
      <c r="K1123" s="8" t="s">
        <v>1090</v>
      </c>
      <c r="L1123" s="8">
        <v>9</v>
      </c>
      <c r="M1123" s="7" t="s">
        <v>1091</v>
      </c>
      <c r="N1123" s="7" t="s">
        <v>2736</v>
      </c>
      <c r="O1123" s="9">
        <v>41092</v>
      </c>
      <c r="P1123" s="7" t="s">
        <v>46</v>
      </c>
      <c r="Q1123" s="7" t="s">
        <v>2737</v>
      </c>
      <c r="R1123" s="7" t="s">
        <v>2426</v>
      </c>
      <c r="S1123" s="8" t="s">
        <v>2427</v>
      </c>
      <c r="T1123" s="7" t="s">
        <v>30</v>
      </c>
      <c r="U1123" s="13" t="s">
        <v>479</v>
      </c>
      <c r="V1123" s="7"/>
    </row>
    <row r="1124" spans="1:22">
      <c r="A1124" s="5" t="s">
        <v>2738</v>
      </c>
      <c r="B1124" s="5" t="str">
        <f>GetAddress(A1124)</f>
        <v>\\chno0276\Control de Documentos\Doc. controlados PDF\Ayudas visuales\Camarillo\Itron\MULTICELDA B\VA-IMB-003 Rev B  MSC ENVIRONMENTAL CAP UNIV  MSC-0019-008 PARTE  010-0121-001 .ppt</v>
      </c>
      <c r="C1124" s="5" t="str">
        <f>MID(B1124,LEN(B1124) - FIND(".",REVERSETEXT(B1124))+2,1000)</f>
        <v>ppt</v>
      </c>
      <c r="D1124" s="6">
        <v>6</v>
      </c>
      <c r="E1124" s="7" t="s">
        <v>83</v>
      </c>
      <c r="F1124" s="7" t="s">
        <v>22</v>
      </c>
      <c r="G1124" s="8" t="s">
        <v>23</v>
      </c>
      <c r="H1124" s="8">
        <v>5</v>
      </c>
      <c r="I1124" s="8" t="s">
        <v>257</v>
      </c>
      <c r="J1124" s="8">
        <v>9</v>
      </c>
      <c r="K1124" s="8" t="s">
        <v>1090</v>
      </c>
      <c r="L1124" s="8">
        <v>9</v>
      </c>
      <c r="M1124" s="7" t="s">
        <v>1091</v>
      </c>
      <c r="N1124" s="7" t="s">
        <v>2739</v>
      </c>
      <c r="O1124" s="27">
        <v>41199</v>
      </c>
      <c r="P1124" s="13" t="s">
        <v>46</v>
      </c>
      <c r="Q1124" s="7" t="s">
        <v>2164</v>
      </c>
      <c r="R1124" s="7" t="s">
        <v>2426</v>
      </c>
      <c r="S1124" s="8" t="s">
        <v>2427</v>
      </c>
      <c r="T1124" s="7" t="s">
        <v>30</v>
      </c>
      <c r="U1124" s="13" t="s">
        <v>479</v>
      </c>
      <c r="V1124" s="7"/>
    </row>
    <row r="1125" spans="1:22">
      <c r="A1125" s="5" t="s">
        <v>2740</v>
      </c>
      <c r="B1125" s="5" t="str">
        <f>GetAddress(A1125)</f>
        <v>\\CHNO0276\Aseguranza de Calidad\Control de Documentos\Doc. controlados PDF\Ayudas visuales\Camarillo\Itron\MULTICELDA B\VA-IMB-004 Rev A  Ensamble de 28-2304-005 28-2305-0001  pptx - Copy.pptx</v>
      </c>
      <c r="C1125" s="5" t="str">
        <f>MID(B1125,LEN(B1125) - FIND(".",REVERSETEXT(B1125))+2,1000)</f>
        <v>pptx</v>
      </c>
      <c r="D1125" s="6">
        <v>6</v>
      </c>
      <c r="E1125" s="7" t="s">
        <v>83</v>
      </c>
      <c r="F1125" s="7" t="s">
        <v>22</v>
      </c>
      <c r="G1125" s="8" t="s">
        <v>23</v>
      </c>
      <c r="H1125" s="8">
        <v>5</v>
      </c>
      <c r="I1125" s="8" t="s">
        <v>257</v>
      </c>
      <c r="J1125" s="8">
        <v>9</v>
      </c>
      <c r="K1125" s="8" t="s">
        <v>1090</v>
      </c>
      <c r="L1125" s="8">
        <v>9</v>
      </c>
      <c r="M1125" s="7" t="s">
        <v>1091</v>
      </c>
      <c r="N1125" s="7" t="s">
        <v>2741</v>
      </c>
      <c r="O1125" s="27">
        <v>41101</v>
      </c>
      <c r="P1125" s="13" t="s">
        <v>27</v>
      </c>
      <c r="Q1125" s="7" t="s">
        <v>2742</v>
      </c>
      <c r="R1125" s="7" t="s">
        <v>2426</v>
      </c>
      <c r="S1125" s="8" t="s">
        <v>2427</v>
      </c>
      <c r="T1125" s="7" t="s">
        <v>30</v>
      </c>
      <c r="U1125" s="13" t="s">
        <v>479</v>
      </c>
      <c r="V1125" s="7"/>
    </row>
    <row r="1126" spans="1:22">
      <c r="A1126" s="5" t="s">
        <v>2743</v>
      </c>
      <c r="B1126" s="5" t="str">
        <f>GetAddress(A1126)</f>
        <v>\\CHNO0276\Aseguranza de Calidad\Control de Documentos\Doc. controlados PDF\Ayudas visuales\Camarillo\Itron\MULTICELDA B\VA-IMB-005  Rev B  28-2266-0000 28-2266-000X.ppt</v>
      </c>
      <c r="C1126" s="5" t="str">
        <f>MID(B1126,LEN(B1126) - FIND(".",REVERSETEXT(B1126))+2,1000)</f>
        <v>ppt</v>
      </c>
      <c r="D1126" s="6">
        <v>6</v>
      </c>
      <c r="E1126" s="7" t="s">
        <v>83</v>
      </c>
      <c r="F1126" s="7" t="s">
        <v>22</v>
      </c>
      <c r="G1126" s="8" t="s">
        <v>23</v>
      </c>
      <c r="H1126" s="8">
        <v>5</v>
      </c>
      <c r="I1126" s="8" t="s">
        <v>257</v>
      </c>
      <c r="J1126" s="8">
        <v>9</v>
      </c>
      <c r="K1126" s="8" t="s">
        <v>1090</v>
      </c>
      <c r="L1126" s="8">
        <v>9</v>
      </c>
      <c r="M1126" s="7" t="s">
        <v>1091</v>
      </c>
      <c r="N1126" s="7" t="s">
        <v>2744</v>
      </c>
      <c r="O1126" s="27">
        <v>41134</v>
      </c>
      <c r="P1126" s="13" t="s">
        <v>46</v>
      </c>
      <c r="Q1126" s="7" t="s">
        <v>2745</v>
      </c>
      <c r="R1126" s="7" t="s">
        <v>2426</v>
      </c>
      <c r="S1126" s="8" t="s">
        <v>2427</v>
      </c>
      <c r="T1126" s="7" t="s">
        <v>30</v>
      </c>
      <c r="U1126" s="13" t="s">
        <v>479</v>
      </c>
      <c r="V1126" s="7"/>
    </row>
    <row r="1127" spans="1:22">
      <c r="A1127" s="37" t="s">
        <v>2746</v>
      </c>
      <c r="B1127" s="5" t="str">
        <f>GetAddress(A1127)</f>
        <v>\\chno0276\Control de Documentos\Doc. controlados PDF\Ayudas visuales\Camarillo\Itron\MULTICELDA B\VA-IMB-006 Rev C  Ensamble manual de 28-2304-005 y  28-2305-0001.ppt</v>
      </c>
      <c r="C1127" s="5" t="str">
        <f>MID(B1127,LEN(B1127) - FIND(".",REVERSETEXT(B1127))+2,1000)</f>
        <v>ppt</v>
      </c>
      <c r="D1127" s="6">
        <v>6</v>
      </c>
      <c r="E1127" s="7" t="s">
        <v>83</v>
      </c>
      <c r="F1127" s="7" t="s">
        <v>22</v>
      </c>
      <c r="G1127" s="8" t="s">
        <v>23</v>
      </c>
      <c r="H1127" s="8">
        <v>5</v>
      </c>
      <c r="I1127" s="8" t="s">
        <v>257</v>
      </c>
      <c r="J1127" s="8">
        <v>9</v>
      </c>
      <c r="K1127" s="8" t="s">
        <v>1090</v>
      </c>
      <c r="L1127" s="8">
        <v>9</v>
      </c>
      <c r="M1127" s="7" t="s">
        <v>1091</v>
      </c>
      <c r="N1127" s="38" t="s">
        <v>2741</v>
      </c>
      <c r="O1127" s="43">
        <v>41212</v>
      </c>
      <c r="P1127" s="44" t="s">
        <v>159</v>
      </c>
      <c r="Q1127" s="45" t="s">
        <v>2747</v>
      </c>
      <c r="R1127" s="40" t="s">
        <v>2426</v>
      </c>
      <c r="S1127" s="8" t="s">
        <v>2427</v>
      </c>
      <c r="T1127" s="7" t="s">
        <v>30</v>
      </c>
      <c r="U1127" s="13" t="s">
        <v>1473</v>
      </c>
      <c r="V1127" s="7"/>
    </row>
    <row r="1128" spans="1:22">
      <c r="A1128" s="5" t="s">
        <v>2748</v>
      </c>
      <c r="B1128" s="5" t="str">
        <f>GetAddress(A1128)</f>
        <v>\\chno0276\Control de Documentos\Doc. controlados PDF\Ayudas visuales\Camarillo\Itron\MULTICELDA B\VA-IMB-007 Rev D  CABLE ASSY 28-3273-0000.ppt</v>
      </c>
      <c r="C1128" s="5" t="str">
        <f>MID(B1128,LEN(B1128) - FIND(".",REVERSETEXT(B1128))+2,1000)</f>
        <v>ppt</v>
      </c>
      <c r="D1128" s="6">
        <v>6</v>
      </c>
      <c r="E1128" s="7" t="s">
        <v>83</v>
      </c>
      <c r="F1128" s="7" t="s">
        <v>22</v>
      </c>
      <c r="G1128" s="8" t="s">
        <v>23</v>
      </c>
      <c r="H1128" s="8">
        <v>5</v>
      </c>
      <c r="I1128" s="8" t="s">
        <v>257</v>
      </c>
      <c r="J1128" s="8">
        <v>9</v>
      </c>
      <c r="K1128" s="8" t="s">
        <v>1090</v>
      </c>
      <c r="L1128" s="8">
        <v>9</v>
      </c>
      <c r="M1128" s="7" t="s">
        <v>1091</v>
      </c>
      <c r="N1128" s="13" t="s">
        <v>2749</v>
      </c>
      <c r="O1128" s="9">
        <v>41135</v>
      </c>
      <c r="P1128" s="7" t="s">
        <v>38</v>
      </c>
      <c r="Q1128" s="7" t="s">
        <v>2750</v>
      </c>
      <c r="R1128" s="7" t="s">
        <v>2426</v>
      </c>
      <c r="S1128" s="8" t="s">
        <v>2427</v>
      </c>
      <c r="T1128" s="7" t="s">
        <v>30</v>
      </c>
      <c r="U1128" s="13" t="s">
        <v>1473</v>
      </c>
      <c r="V1128" s="7"/>
    </row>
    <row r="1129" spans="1:22">
      <c r="A1129" s="5" t="s">
        <v>2751</v>
      </c>
      <c r="B1129" s="5" t="str">
        <f>GetAddress(A1129)</f>
        <v>\\chno0276\Control de Documentos\Doc. controlados PDF\Ayudas visuales\Camarillo\Itron\MULTICELDA B\VA-IMB-008 Rev B  ENSAMBLE DE 28-2306-0001 (CBA-1300-903).ppt</v>
      </c>
      <c r="C1129" s="5" t="str">
        <f>MID(B1129,LEN(B1129) - FIND(".",REVERSETEXT(B1129))+2,1000)</f>
        <v>ppt</v>
      </c>
      <c r="D1129" s="6">
        <v>6</v>
      </c>
      <c r="E1129" s="7" t="s">
        <v>83</v>
      </c>
      <c r="F1129" s="7" t="s">
        <v>22</v>
      </c>
      <c r="G1129" s="8" t="s">
        <v>23</v>
      </c>
      <c r="H1129" s="8">
        <v>5</v>
      </c>
      <c r="I1129" s="8" t="s">
        <v>257</v>
      </c>
      <c r="J1129" s="8">
        <v>9</v>
      </c>
      <c r="K1129" s="8" t="s">
        <v>1090</v>
      </c>
      <c r="L1129" s="8">
        <v>9</v>
      </c>
      <c r="M1129" s="7" t="s">
        <v>1091</v>
      </c>
      <c r="N1129" s="13" t="s">
        <v>2752</v>
      </c>
      <c r="O1129" s="9">
        <v>41198</v>
      </c>
      <c r="P1129" s="7" t="s">
        <v>46</v>
      </c>
      <c r="Q1129" s="7" t="s">
        <v>2753</v>
      </c>
      <c r="R1129" s="7" t="s">
        <v>2426</v>
      </c>
      <c r="S1129" s="8" t="s">
        <v>2427</v>
      </c>
      <c r="T1129" s="7" t="s">
        <v>30</v>
      </c>
      <c r="U1129" s="13" t="s">
        <v>1473</v>
      </c>
      <c r="V1129" s="7"/>
    </row>
    <row r="1130" spans="1:22">
      <c r="A1130" s="5" t="s">
        <v>1470</v>
      </c>
      <c r="B1130" s="5" t="str">
        <f>GetAddress(A1130)</f>
        <v>\\chno0276\Control de Documentos\Doc. controlados PDF\Ayudas visuales\Camarillo\Itron\MULTICELDA B\VA-IMB-009  Rev A  ENSAMBLE DE 28-2290-000128-2290-0002.ppt</v>
      </c>
      <c r="C1130" s="5" t="str">
        <f>MID(B1130,LEN(B1130) - FIND(".",REVERSETEXT(B1130))+2,1000)</f>
        <v>ppt</v>
      </c>
      <c r="D1130" s="6">
        <v>6</v>
      </c>
      <c r="E1130" s="7" t="s">
        <v>83</v>
      </c>
      <c r="F1130" s="7" t="s">
        <v>22</v>
      </c>
      <c r="G1130" s="8" t="s">
        <v>23</v>
      </c>
      <c r="H1130" s="8">
        <v>5</v>
      </c>
      <c r="I1130" s="8" t="s">
        <v>257</v>
      </c>
      <c r="J1130" s="8">
        <v>9</v>
      </c>
      <c r="K1130" s="8" t="s">
        <v>1090</v>
      </c>
      <c r="L1130" s="8">
        <v>9</v>
      </c>
      <c r="M1130" s="7" t="s">
        <v>1091</v>
      </c>
      <c r="N1130" s="7" t="s">
        <v>1471</v>
      </c>
      <c r="O1130" s="25">
        <v>41205</v>
      </c>
      <c r="P1130" s="13" t="s">
        <v>27</v>
      </c>
      <c r="Q1130" s="13" t="s">
        <v>1472</v>
      </c>
      <c r="R1130" s="13" t="s">
        <v>1460</v>
      </c>
      <c r="S1130" s="8" t="s">
        <v>1461</v>
      </c>
      <c r="T1130" s="7" t="s">
        <v>30</v>
      </c>
      <c r="U1130" s="13" t="s">
        <v>1473</v>
      </c>
      <c r="V1130" s="7"/>
    </row>
    <row r="1131" spans="1:22">
      <c r="A1131" s="5" t="s">
        <v>2757</v>
      </c>
      <c r="B1131" s="5" t="str">
        <f>GetAddress(A1131)</f>
        <v>\\CHNO0276\Aseguranza de Calidad\Control de Documentos\Doc. controlados PDF\Ayudas visuales\Camarillo\Itron\PLUG\VA-IPLUG-001 Rev F  CABLE ASSEMBLY 28-3272-0004 (CBA-0217-307) .ppt</v>
      </c>
      <c r="C1131" s="5" t="str">
        <f>MID(B1131,LEN(B1131) - FIND(".",REVERSETEXT(B1131))+2,1000)</f>
        <v>ppt</v>
      </c>
      <c r="D1131" s="6">
        <v>6</v>
      </c>
      <c r="E1131" s="7" t="s">
        <v>83</v>
      </c>
      <c r="F1131" s="7" t="s">
        <v>22</v>
      </c>
      <c r="G1131" s="8" t="s">
        <v>23</v>
      </c>
      <c r="H1131" s="8">
        <v>5</v>
      </c>
      <c r="I1131" s="8" t="s">
        <v>257</v>
      </c>
      <c r="J1131" s="8">
        <v>9</v>
      </c>
      <c r="K1131" s="8" t="s">
        <v>1095</v>
      </c>
      <c r="L1131" s="8">
        <v>1</v>
      </c>
      <c r="M1131" s="7" t="s">
        <v>1096</v>
      </c>
      <c r="N1131" s="7" t="s">
        <v>2758</v>
      </c>
      <c r="O1131" s="27">
        <v>41092</v>
      </c>
      <c r="P1131" s="13" t="s">
        <v>742</v>
      </c>
      <c r="Q1131" s="7" t="s">
        <v>2759</v>
      </c>
      <c r="R1131" s="7" t="s">
        <v>2426</v>
      </c>
      <c r="S1131" s="8" t="s">
        <v>2427</v>
      </c>
      <c r="T1131" s="7" t="s">
        <v>30</v>
      </c>
      <c r="U1131" s="13" t="s">
        <v>479</v>
      </c>
      <c r="V1131" s="7"/>
    </row>
    <row r="1132" spans="1:22">
      <c r="A1132" s="5" t="s">
        <v>2760</v>
      </c>
      <c r="B1132" s="5" t="str">
        <f>GetAddress(A1132)</f>
        <v>\\CHNO0276\Aseguranza de Calidad\Control de Documentos\Doc. controlados PDF\Ayudas visuales\Camarillo\Itron\PLUG\VA-IPLUG-002  Rev C   CBA-0349-105 PARTE 28-2297-0001.ppt</v>
      </c>
      <c r="C1132" s="5" t="str">
        <f>MID(B1132,LEN(B1132) - FIND(".",REVERSETEXT(B1132))+2,1000)</f>
        <v>ppt</v>
      </c>
      <c r="D1132" s="6">
        <v>6</v>
      </c>
      <c r="E1132" s="7" t="s">
        <v>83</v>
      </c>
      <c r="F1132" s="7" t="s">
        <v>22</v>
      </c>
      <c r="G1132" s="8" t="s">
        <v>23</v>
      </c>
      <c r="H1132" s="8">
        <v>5</v>
      </c>
      <c r="I1132" s="8" t="s">
        <v>257</v>
      </c>
      <c r="J1132" s="8">
        <v>9</v>
      </c>
      <c r="K1132" s="8" t="s">
        <v>1095</v>
      </c>
      <c r="L1132" s="8">
        <v>1</v>
      </c>
      <c r="M1132" s="7" t="s">
        <v>1096</v>
      </c>
      <c r="N1132" s="7" t="s">
        <v>2761</v>
      </c>
      <c r="O1132" s="27">
        <v>40946</v>
      </c>
      <c r="P1132" s="13" t="s">
        <v>159</v>
      </c>
      <c r="Q1132" s="7" t="s">
        <v>2762</v>
      </c>
      <c r="R1132" s="7" t="s">
        <v>2426</v>
      </c>
      <c r="S1132" s="8" t="s">
        <v>2427</v>
      </c>
      <c r="T1132" s="7" t="s">
        <v>30</v>
      </c>
      <c r="U1132" s="13" t="s">
        <v>479</v>
      </c>
      <c r="V1132" s="7"/>
    </row>
    <row r="1133" spans="1:22" ht="38.25">
      <c r="A1133" s="5" t="s">
        <v>2763</v>
      </c>
      <c r="B1133" s="5" t="str">
        <f>GetAddress(A1133)</f>
        <v>\\chno0276\Control de Documentos\Doc. controlados PDF\Ayudas visuales\Camarillo\Itron\PLUG\VA-IPLUG-003 REV  F.ppt</v>
      </c>
      <c r="C1133" s="5" t="str">
        <f>MID(B1133,LEN(B1133) - FIND(".",REVERSETEXT(B1133))+2,1000)</f>
        <v>ppt</v>
      </c>
      <c r="D1133" s="6">
        <v>6</v>
      </c>
      <c r="E1133" s="7" t="s">
        <v>83</v>
      </c>
      <c r="F1133" s="7" t="s">
        <v>22</v>
      </c>
      <c r="G1133" s="8" t="s">
        <v>23</v>
      </c>
      <c r="H1133" s="8">
        <v>5</v>
      </c>
      <c r="I1133" s="8" t="s">
        <v>257</v>
      </c>
      <c r="J1133" s="8">
        <v>9</v>
      </c>
      <c r="K1133" s="8" t="s">
        <v>1095</v>
      </c>
      <c r="L1133" s="8">
        <v>1</v>
      </c>
      <c r="M1133" s="7" t="s">
        <v>1096</v>
      </c>
      <c r="N1133" s="13" t="s">
        <v>2764</v>
      </c>
      <c r="O1133" s="12">
        <v>41199</v>
      </c>
      <c r="P1133" s="7" t="s">
        <v>742</v>
      </c>
      <c r="Q1133" s="7" t="s">
        <v>2765</v>
      </c>
      <c r="R1133" s="7" t="s">
        <v>2426</v>
      </c>
      <c r="S1133" s="8" t="s">
        <v>2427</v>
      </c>
      <c r="T1133" s="7" t="s">
        <v>2766</v>
      </c>
      <c r="U1133" s="13" t="s">
        <v>1473</v>
      </c>
      <c r="V1133" s="7"/>
    </row>
    <row r="1134" spans="1:22">
      <c r="A1134" s="5" t="s">
        <v>2772</v>
      </c>
      <c r="B1134" s="5" t="str">
        <f>GetAddress(A1134)</f>
        <v>\\CHNO0276\Aseguranza de Calidad\Control de Documentos\Doc. controlados PDF\Ayudas visuales\Camarillo\Itron\RECEPTACULO\VA-IRCPT-001 Rev G   RECEPTACLE 28-3264-0001 28-3272-050X.ppt</v>
      </c>
      <c r="C1134" s="5" t="str">
        <f>MID(B1134,LEN(B1134) - FIND(".",REVERSETEXT(B1134))+2,1000)</f>
        <v>ppt</v>
      </c>
      <c r="D1134" s="6">
        <v>6</v>
      </c>
      <c r="E1134" s="7" t="s">
        <v>83</v>
      </c>
      <c r="F1134" s="7" t="s">
        <v>22</v>
      </c>
      <c r="G1134" s="8" t="s">
        <v>23</v>
      </c>
      <c r="H1134" s="8">
        <v>5</v>
      </c>
      <c r="I1134" s="8" t="s">
        <v>257</v>
      </c>
      <c r="J1134" s="8">
        <v>9</v>
      </c>
      <c r="K1134" s="8" t="s">
        <v>2183</v>
      </c>
      <c r="L1134" s="8">
        <v>13</v>
      </c>
      <c r="M1134" s="7" t="s">
        <v>2184</v>
      </c>
      <c r="N1134" s="7" t="s">
        <v>2773</v>
      </c>
      <c r="O1134" s="9">
        <v>41143</v>
      </c>
      <c r="P1134" s="7" t="s">
        <v>741</v>
      </c>
      <c r="Q1134" s="7" t="s">
        <v>2703</v>
      </c>
      <c r="R1134" s="7" t="s">
        <v>2426</v>
      </c>
      <c r="S1134" s="8" t="s">
        <v>2427</v>
      </c>
      <c r="T1134" s="7" t="s">
        <v>2774</v>
      </c>
      <c r="U1134" s="13" t="s">
        <v>1473</v>
      </c>
      <c r="V1134" s="7"/>
    </row>
    <row r="1135" spans="1:22">
      <c r="A1135" s="5" t="s">
        <v>633</v>
      </c>
      <c r="B1135" s="5" t="str">
        <f>GetAddress(A1135)</f>
        <v>\\CHNO0276\Aseguranza de Calidad\Control de Documentos\Doc. controlados PDF\Ayudas visuales\Micromini\General\VA-MGRAL-001 Rev B  COLOCACION DE FACE GASKET.pptx</v>
      </c>
      <c r="C1135" s="5" t="str">
        <f>MID(B1135,LEN(B1135) - FIND(".",REVERSETEXT(B1135))+2,1000)</f>
        <v>pptx</v>
      </c>
      <c r="D1135" s="6">
        <v>6</v>
      </c>
      <c r="E1135" s="7" t="s">
        <v>83</v>
      </c>
      <c r="F1135" s="7" t="s">
        <v>22</v>
      </c>
      <c r="G1135" s="8" t="s">
        <v>23</v>
      </c>
      <c r="H1135" s="8">
        <v>5</v>
      </c>
      <c r="I1135" s="8" t="s">
        <v>84</v>
      </c>
      <c r="J1135" s="8">
        <v>33</v>
      </c>
      <c r="K1135" s="8" t="s">
        <v>85</v>
      </c>
      <c r="L1135" s="8">
        <v>28</v>
      </c>
      <c r="M1135" s="7" t="s">
        <v>86</v>
      </c>
      <c r="N1135" s="7" t="s">
        <v>634</v>
      </c>
      <c r="O1135" s="9">
        <v>41082</v>
      </c>
      <c r="P1135" s="7" t="s">
        <v>46</v>
      </c>
      <c r="Q1135" s="7" t="s">
        <v>28</v>
      </c>
      <c r="R1135" s="7" t="s">
        <v>604</v>
      </c>
      <c r="S1135" s="8" t="s">
        <v>605</v>
      </c>
      <c r="T1135" s="7" t="s">
        <v>610</v>
      </c>
      <c r="U1135" s="7" t="s">
        <v>90</v>
      </c>
      <c r="V1135" s="7"/>
    </row>
    <row r="1136" spans="1:22">
      <c r="A1136" s="5" t="s">
        <v>635</v>
      </c>
      <c r="B1136" s="5" t="str">
        <f>GetAddress(A1136)</f>
        <v>\\chno0276\Aseguranza de Calidad\Control de Documentos\Doc. controlados PDF\Ayudas visuales\Micromini\General\VA-MGRAL-002 Rev C SOLDADURA DE CONDUCTORES A CONECTOR GENERICA MICROMINI (2).pptx</v>
      </c>
      <c r="C1136" s="5" t="str">
        <f>MID(B1136,LEN(B1136) - FIND(".",REVERSETEXT(B1136))+2,1000)</f>
        <v>pptx</v>
      </c>
      <c r="D1136" s="6">
        <v>6</v>
      </c>
      <c r="E1136" s="7" t="s">
        <v>83</v>
      </c>
      <c r="F1136" s="7" t="s">
        <v>22</v>
      </c>
      <c r="G1136" s="8" t="s">
        <v>23</v>
      </c>
      <c r="H1136" s="8">
        <v>5</v>
      </c>
      <c r="I1136" s="8" t="s">
        <v>84</v>
      </c>
      <c r="J1136" s="8">
        <v>33</v>
      </c>
      <c r="K1136" s="8" t="s">
        <v>85</v>
      </c>
      <c r="L1136" s="8">
        <v>28</v>
      </c>
      <c r="M1136" s="7" t="s">
        <v>86</v>
      </c>
      <c r="N1136" s="13" t="s">
        <v>636</v>
      </c>
      <c r="O1136" s="9">
        <v>41172</v>
      </c>
      <c r="P1136" s="7" t="s">
        <v>159</v>
      </c>
      <c r="Q1136" s="7" t="s">
        <v>28</v>
      </c>
      <c r="R1136" s="7" t="s">
        <v>604</v>
      </c>
      <c r="S1136" s="8" t="s">
        <v>605</v>
      </c>
      <c r="T1136" s="7" t="s">
        <v>637</v>
      </c>
      <c r="U1136" s="7" t="s">
        <v>90</v>
      </c>
      <c r="V1136" s="7"/>
    </row>
    <row r="1137" spans="1:22">
      <c r="A1137" s="5" t="s">
        <v>638</v>
      </c>
      <c r="B1137" s="5" t="str">
        <f>GetAddress(A1137)</f>
        <v>\\chno0276\Aseguranza de Calidad\Control de Documentos\Doc. controlados PDF\Ayudas visuales\Micromini\General\VA-MGRAL-003 Rev C  REMACHADO DE CONTACTOS MICROMINI (2).pptx</v>
      </c>
      <c r="C1137" s="5" t="str">
        <f>MID(B1137,LEN(B1137) - FIND(".",REVERSETEXT(B1137))+2,1000)</f>
        <v>pptx</v>
      </c>
      <c r="D1137" s="6">
        <v>6</v>
      </c>
      <c r="E1137" s="7" t="s">
        <v>83</v>
      </c>
      <c r="F1137" s="7" t="s">
        <v>22</v>
      </c>
      <c r="G1137" s="8" t="s">
        <v>23</v>
      </c>
      <c r="H1137" s="8">
        <v>5</v>
      </c>
      <c r="I1137" s="8" t="s">
        <v>84</v>
      </c>
      <c r="J1137" s="8">
        <v>33</v>
      </c>
      <c r="K1137" s="8" t="s">
        <v>85</v>
      </c>
      <c r="L1137" s="8">
        <v>28</v>
      </c>
      <c r="M1137" s="7" t="s">
        <v>86</v>
      </c>
      <c r="N1137" s="13" t="s">
        <v>639</v>
      </c>
      <c r="O1137" s="12">
        <v>41172</v>
      </c>
      <c r="P1137" s="7" t="s">
        <v>159</v>
      </c>
      <c r="Q1137" s="7" t="s">
        <v>28</v>
      </c>
      <c r="R1137" s="7" t="s">
        <v>604</v>
      </c>
      <c r="S1137" s="8" t="s">
        <v>605</v>
      </c>
      <c r="T1137" s="7" t="s">
        <v>637</v>
      </c>
      <c r="U1137" s="7" t="s">
        <v>90</v>
      </c>
      <c r="V1137" s="7"/>
    </row>
    <row r="1138" spans="1:22">
      <c r="A1138" s="5" t="s">
        <v>640</v>
      </c>
      <c r="B1138" s="5" t="str">
        <f>GetAddress(A1138)</f>
        <v>\\chno0276\Aseguranza de Calidad\Control de Documentos\Doc. controlados PDF\Ayudas visuales\Micromini\General\VA-MGRAL-004 Rev B  despoje de conductores micromini (2).pptx</v>
      </c>
      <c r="C1138" s="5" t="str">
        <f>MID(B1138,LEN(B1138) - FIND(".",REVERSETEXT(B1138))+2,1000)</f>
        <v>pptx</v>
      </c>
      <c r="D1138" s="6">
        <v>6</v>
      </c>
      <c r="E1138" s="7" t="s">
        <v>83</v>
      </c>
      <c r="F1138" s="7" t="s">
        <v>22</v>
      </c>
      <c r="G1138" s="8" t="s">
        <v>23</v>
      </c>
      <c r="H1138" s="8">
        <v>5</v>
      </c>
      <c r="I1138" s="8" t="s">
        <v>84</v>
      </c>
      <c r="J1138" s="8">
        <v>33</v>
      </c>
      <c r="K1138" s="8" t="s">
        <v>85</v>
      </c>
      <c r="L1138" s="8">
        <v>28</v>
      </c>
      <c r="M1138" s="7" t="s">
        <v>86</v>
      </c>
      <c r="N1138" s="13" t="s">
        <v>641</v>
      </c>
      <c r="O1138" s="12">
        <v>41172</v>
      </c>
      <c r="P1138" s="7" t="s">
        <v>46</v>
      </c>
      <c r="Q1138" s="7" t="s">
        <v>28</v>
      </c>
      <c r="R1138" s="7" t="s">
        <v>604</v>
      </c>
      <c r="S1138" s="8" t="s">
        <v>605</v>
      </c>
      <c r="T1138" s="7" t="s">
        <v>637</v>
      </c>
      <c r="U1138" s="7" t="s">
        <v>90</v>
      </c>
      <c r="V1138" s="7"/>
    </row>
    <row r="1139" spans="1:22">
      <c r="A1139" s="5" t="s">
        <v>642</v>
      </c>
      <c r="B1139" s="5" t="str">
        <f>GetAddress(A1139)</f>
        <v>\\chno0276\Aseguranza de Calidad\Control de Documentos\Doc. controlados PDF\Ayudas visuales\Micromini\General\VA-MGRAL-005 Rev B  PEGADO DE PIEZAS MOLDEADAS (2).pptx</v>
      </c>
      <c r="C1139" s="5" t="str">
        <f>MID(B1139,LEN(B1139) - FIND(".",REVERSETEXT(B1139))+2,1000)</f>
        <v>pptx</v>
      </c>
      <c r="D1139" s="6">
        <v>6</v>
      </c>
      <c r="E1139" s="7" t="s">
        <v>83</v>
      </c>
      <c r="F1139" s="7" t="s">
        <v>22</v>
      </c>
      <c r="G1139" s="8" t="s">
        <v>23</v>
      </c>
      <c r="H1139" s="8">
        <v>5</v>
      </c>
      <c r="I1139" s="8" t="s">
        <v>84</v>
      </c>
      <c r="J1139" s="8">
        <v>33</v>
      </c>
      <c r="K1139" s="8" t="s">
        <v>85</v>
      </c>
      <c r="L1139" s="8">
        <v>28</v>
      </c>
      <c r="M1139" s="7" t="s">
        <v>86</v>
      </c>
      <c r="N1139" s="13" t="s">
        <v>643</v>
      </c>
      <c r="O1139" s="12">
        <v>41173</v>
      </c>
      <c r="P1139" s="7" t="s">
        <v>46</v>
      </c>
      <c r="Q1139" s="7" t="s">
        <v>28</v>
      </c>
      <c r="R1139" s="7" t="s">
        <v>604</v>
      </c>
      <c r="S1139" s="8" t="s">
        <v>605</v>
      </c>
      <c r="T1139" s="7" t="s">
        <v>624</v>
      </c>
      <c r="U1139" s="7" t="s">
        <v>90</v>
      </c>
      <c r="V1139" s="7"/>
    </row>
    <row r="1140" spans="1:22">
      <c r="A1140" s="5" t="s">
        <v>644</v>
      </c>
      <c r="B1140" s="5" t="str">
        <f>GetAddress(A1140)</f>
        <v>\\chno0276\Aseguranza de Calidad\Control de Documentos\Doc. controlados PDF\Ayudas visuales\Micromini\General\VA-MGRAL-006 Rev B corte de cable micro mini generica (2).pptx</v>
      </c>
      <c r="C1140" s="5" t="str">
        <f>MID(B1140,LEN(B1140) - FIND(".",REVERSETEXT(B1140))+2,1000)</f>
        <v>pptx</v>
      </c>
      <c r="D1140" s="6">
        <v>6</v>
      </c>
      <c r="E1140" s="7" t="s">
        <v>83</v>
      </c>
      <c r="F1140" s="7" t="s">
        <v>22</v>
      </c>
      <c r="G1140" s="8" t="s">
        <v>23</v>
      </c>
      <c r="H1140" s="8">
        <v>5</v>
      </c>
      <c r="I1140" s="8" t="s">
        <v>84</v>
      </c>
      <c r="J1140" s="8">
        <v>33</v>
      </c>
      <c r="K1140" s="8" t="s">
        <v>85</v>
      </c>
      <c r="L1140" s="8">
        <v>28</v>
      </c>
      <c r="M1140" s="7" t="s">
        <v>86</v>
      </c>
      <c r="N1140" s="13" t="s">
        <v>645</v>
      </c>
      <c r="O1140" s="12">
        <v>41176</v>
      </c>
      <c r="P1140" s="7" t="s">
        <v>46</v>
      </c>
      <c r="Q1140" s="7" t="s">
        <v>28</v>
      </c>
      <c r="R1140" s="7" t="s">
        <v>604</v>
      </c>
      <c r="S1140" s="8" t="s">
        <v>605</v>
      </c>
      <c r="T1140" s="7" t="s">
        <v>646</v>
      </c>
      <c r="U1140" s="7" t="s">
        <v>90</v>
      </c>
      <c r="V1140" s="7"/>
    </row>
    <row r="1141" spans="1:22">
      <c r="A1141" s="5" t="s">
        <v>647</v>
      </c>
      <c r="B1141" s="5" t="str">
        <f>GetAddress(A1141)</f>
        <v>\\chno0276\Aseguranza de Calidad\Control de Documentos\Doc. controlados PDF\Ayudas visuales\Micromini\General\VA-MGRAL-007 Rev B despoje jacket  generica micromini (2).pptx</v>
      </c>
      <c r="C1141" s="5" t="str">
        <f>MID(B1141,LEN(B1141) - FIND(".",REVERSETEXT(B1141))+2,1000)</f>
        <v>pptx</v>
      </c>
      <c r="D1141" s="6">
        <v>6</v>
      </c>
      <c r="E1141" s="7" t="s">
        <v>83</v>
      </c>
      <c r="F1141" s="7" t="s">
        <v>22</v>
      </c>
      <c r="G1141" s="8" t="s">
        <v>23</v>
      </c>
      <c r="H1141" s="8">
        <v>5</v>
      </c>
      <c r="I1141" s="8" t="s">
        <v>84</v>
      </c>
      <c r="J1141" s="8">
        <v>33</v>
      </c>
      <c r="K1141" s="8" t="s">
        <v>85</v>
      </c>
      <c r="L1141" s="8">
        <v>28</v>
      </c>
      <c r="M1141" s="7" t="s">
        <v>86</v>
      </c>
      <c r="N1141" s="13" t="s">
        <v>648</v>
      </c>
      <c r="O1141" s="12">
        <v>41176</v>
      </c>
      <c r="P1141" s="7" t="s">
        <v>46</v>
      </c>
      <c r="Q1141" s="7" t="s">
        <v>28</v>
      </c>
      <c r="R1141" s="7" t="s">
        <v>604</v>
      </c>
      <c r="S1141" s="8" t="s">
        <v>605</v>
      </c>
      <c r="T1141" s="7" t="s">
        <v>646</v>
      </c>
      <c r="U1141" s="7" t="s">
        <v>90</v>
      </c>
      <c r="V1141" s="7"/>
    </row>
    <row r="1142" spans="1:22">
      <c r="A1142" s="5" t="s">
        <v>649</v>
      </c>
      <c r="B1142" s="5" t="str">
        <f>GetAddress(A1142)</f>
        <v>\\chno0276\Aseguranza de Calidad\Control de Documentos\Doc. controlados PDF\Ayudas visuales\Micromini\General\VA-MGRAL-008 Rev B  EMPAQUE GENERICO MICROMINI.pptx</v>
      </c>
      <c r="C1142" s="5" t="str">
        <f>MID(B1142,LEN(B1142) - FIND(".",REVERSETEXT(B1142))+2,1000)</f>
        <v>pptx</v>
      </c>
      <c r="D1142" s="6">
        <v>6</v>
      </c>
      <c r="E1142" s="7" t="s">
        <v>83</v>
      </c>
      <c r="F1142" s="7" t="s">
        <v>22</v>
      </c>
      <c r="G1142" s="8" t="s">
        <v>23</v>
      </c>
      <c r="H1142" s="8">
        <v>5</v>
      </c>
      <c r="I1142" s="8" t="s">
        <v>84</v>
      </c>
      <c r="J1142" s="8">
        <v>33</v>
      </c>
      <c r="K1142" s="8" t="s">
        <v>85</v>
      </c>
      <c r="L1142" s="8">
        <v>28</v>
      </c>
      <c r="M1142" s="7" t="s">
        <v>86</v>
      </c>
      <c r="N1142" s="13" t="s">
        <v>650</v>
      </c>
      <c r="O1142" s="12">
        <v>41176</v>
      </c>
      <c r="P1142" s="7" t="s">
        <v>46</v>
      </c>
      <c r="Q1142" s="7" t="s">
        <v>28</v>
      </c>
      <c r="R1142" s="7" t="s">
        <v>604</v>
      </c>
      <c r="S1142" s="8" t="s">
        <v>605</v>
      </c>
      <c r="T1142" s="7" t="s">
        <v>646</v>
      </c>
      <c r="U1142" s="7" t="s">
        <v>90</v>
      </c>
      <c r="V1142" s="7"/>
    </row>
    <row r="1143" spans="1:22" s="19" customFormat="1">
      <c r="A1143" s="5" t="s">
        <v>651</v>
      </c>
      <c r="B1143" s="5" t="str">
        <f>GetAddress(A1143)</f>
        <v>\\chno0276\Aseguranza de Calidad\Control de Documentos\Doc. controlados PDF\Ayudas visuales\Micromini\General\VA-MGRAL-009 Rev B  INSERCION DE CONTACTOS GENERICA MICROMINI.pptx</v>
      </c>
      <c r="C1143" s="5" t="str">
        <f>MID(B1143,LEN(B1143) - FIND(".",REVERSETEXT(B1143))+2,1000)</f>
        <v>pptx</v>
      </c>
      <c r="D1143" s="6">
        <v>6</v>
      </c>
      <c r="E1143" s="7" t="s">
        <v>83</v>
      </c>
      <c r="F1143" s="7" t="s">
        <v>22</v>
      </c>
      <c r="G1143" s="8" t="s">
        <v>23</v>
      </c>
      <c r="H1143" s="8">
        <v>5</v>
      </c>
      <c r="I1143" s="8" t="s">
        <v>84</v>
      </c>
      <c r="J1143" s="8">
        <v>33</v>
      </c>
      <c r="K1143" s="8" t="s">
        <v>85</v>
      </c>
      <c r="L1143" s="8">
        <v>28</v>
      </c>
      <c r="M1143" s="7" t="s">
        <v>86</v>
      </c>
      <c r="N1143" s="13" t="s">
        <v>652</v>
      </c>
      <c r="O1143" s="12">
        <v>41176</v>
      </c>
      <c r="P1143" s="7" t="s">
        <v>46</v>
      </c>
      <c r="Q1143" s="7" t="s">
        <v>28</v>
      </c>
      <c r="R1143" s="7" t="s">
        <v>604</v>
      </c>
      <c r="S1143" s="8" t="s">
        <v>605</v>
      </c>
      <c r="T1143" s="7" t="s">
        <v>646</v>
      </c>
      <c r="U1143" s="7" t="s">
        <v>90</v>
      </c>
      <c r="V1143" s="7"/>
    </row>
    <row r="1144" spans="1:22" s="19" customFormat="1">
      <c r="A1144" s="5" t="s">
        <v>653</v>
      </c>
      <c r="B1144" s="5" t="str">
        <f>GetAddress(A1144)</f>
        <v>\\chno0276\Aseguranza de Calidad\Control de Documentos\Doc. controlados PDF\Ayudas visuales\Micromini\General\VA-MGRAL-010 Rev B  Moldeo de pieza micromini.pptx</v>
      </c>
      <c r="C1144" s="5" t="str">
        <f>MID(B1144,LEN(B1144) - FIND(".",REVERSETEXT(B1144))+2,1000)</f>
        <v>pptx</v>
      </c>
      <c r="D1144" s="6">
        <v>6</v>
      </c>
      <c r="E1144" s="7" t="s">
        <v>83</v>
      </c>
      <c r="F1144" s="7" t="s">
        <v>22</v>
      </c>
      <c r="G1144" s="8" t="s">
        <v>23</v>
      </c>
      <c r="H1144" s="8">
        <v>5</v>
      </c>
      <c r="I1144" s="8" t="s">
        <v>84</v>
      </c>
      <c r="J1144" s="8">
        <v>33</v>
      </c>
      <c r="K1144" s="8" t="s">
        <v>85</v>
      </c>
      <c r="L1144" s="8">
        <v>28</v>
      </c>
      <c r="M1144" s="7" t="s">
        <v>86</v>
      </c>
      <c r="N1144" s="13" t="s">
        <v>654</v>
      </c>
      <c r="O1144" s="12">
        <v>41176</v>
      </c>
      <c r="P1144" s="7" t="s">
        <v>46</v>
      </c>
      <c r="Q1144" s="7" t="s">
        <v>28</v>
      </c>
      <c r="R1144" s="7" t="s">
        <v>604</v>
      </c>
      <c r="S1144" s="8" t="s">
        <v>605</v>
      </c>
      <c r="T1144" s="7" t="s">
        <v>646</v>
      </c>
      <c r="U1144" s="7" t="s">
        <v>90</v>
      </c>
      <c r="V1144" s="7"/>
    </row>
    <row r="1145" spans="1:22" s="19" customFormat="1">
      <c r="A1145" s="5" t="s">
        <v>655</v>
      </c>
      <c r="B1145" s="5" t="str">
        <f>GetAddress(A1145)</f>
        <v>\\chno0276\Aseguranza de Calidad\Control de Documentos\Doc. controlados PDF\Ayudas visuales\Micromini\General\VA-MGRAL-011 Rev D Calentado de inserts.pptx</v>
      </c>
      <c r="C1145" s="5" t="str">
        <f>MID(B1145,LEN(B1145) - FIND(".",REVERSETEXT(B1145))+2,1000)</f>
        <v>pptx</v>
      </c>
      <c r="D1145" s="6">
        <v>6</v>
      </c>
      <c r="E1145" s="7" t="s">
        <v>83</v>
      </c>
      <c r="F1145" s="7" t="s">
        <v>22</v>
      </c>
      <c r="G1145" s="8" t="s">
        <v>23</v>
      </c>
      <c r="H1145" s="8">
        <v>5</v>
      </c>
      <c r="I1145" s="8" t="s">
        <v>84</v>
      </c>
      <c r="J1145" s="8">
        <v>33</v>
      </c>
      <c r="K1145" s="8" t="s">
        <v>85</v>
      </c>
      <c r="L1145" s="8">
        <v>28</v>
      </c>
      <c r="M1145" s="7" t="s">
        <v>86</v>
      </c>
      <c r="N1145" s="13" t="s">
        <v>656</v>
      </c>
      <c r="O1145" s="9">
        <v>41186</v>
      </c>
      <c r="P1145" s="7" t="s">
        <v>38</v>
      </c>
      <c r="Q1145" s="7" t="s">
        <v>28</v>
      </c>
      <c r="R1145" s="7" t="s">
        <v>604</v>
      </c>
      <c r="S1145" s="8" t="s">
        <v>605</v>
      </c>
      <c r="T1145" s="7" t="s">
        <v>624</v>
      </c>
      <c r="U1145" s="7" t="s">
        <v>90</v>
      </c>
      <c r="V1145" s="7"/>
    </row>
    <row r="1146" spans="1:22" s="19" customFormat="1">
      <c r="A1146" s="5" t="s">
        <v>657</v>
      </c>
      <c r="B1146" s="5" t="str">
        <f>GetAddress(A1146)</f>
        <v>\\chno0276\Aseguranza de Calidad\Control de Documentos\Doc. controlados PDF\Ayudas visuales\Micromini\General\VA-MGRAL-012 Rev N aplicacion de goma al inserto y al cable.pptx</v>
      </c>
      <c r="C1146" s="5" t="str">
        <f>MID(B1146,LEN(B1146) - FIND(".",REVERSETEXT(B1146))+2,1000)</f>
        <v>pptx</v>
      </c>
      <c r="D1146" s="6">
        <v>6</v>
      </c>
      <c r="E1146" s="7" t="s">
        <v>83</v>
      </c>
      <c r="F1146" s="7" t="s">
        <v>22</v>
      </c>
      <c r="G1146" s="8" t="s">
        <v>23</v>
      </c>
      <c r="H1146" s="8">
        <v>5</v>
      </c>
      <c r="I1146" s="8" t="s">
        <v>84</v>
      </c>
      <c r="J1146" s="8">
        <v>33</v>
      </c>
      <c r="K1146" s="8" t="s">
        <v>85</v>
      </c>
      <c r="L1146" s="8">
        <v>28</v>
      </c>
      <c r="M1146" s="7" t="s">
        <v>86</v>
      </c>
      <c r="N1146" s="13" t="s">
        <v>658</v>
      </c>
      <c r="O1146" s="9">
        <v>41194</v>
      </c>
      <c r="P1146" s="7" t="s">
        <v>659</v>
      </c>
      <c r="Q1146" s="7" t="s">
        <v>88</v>
      </c>
      <c r="R1146" s="7" t="s">
        <v>604</v>
      </c>
      <c r="S1146" s="8" t="s">
        <v>605</v>
      </c>
      <c r="T1146" s="7" t="s">
        <v>478</v>
      </c>
      <c r="U1146" s="7" t="s">
        <v>90</v>
      </c>
      <c r="V1146" s="7"/>
    </row>
    <row r="1147" spans="1:22" s="19" customFormat="1">
      <c r="A1147" s="5" t="s">
        <v>783</v>
      </c>
      <c r="B1147" s="5" t="str">
        <f>GetAddress(A1147)</f>
        <v>\\CHNO0276\Aseguranza de Calidad\Control de Documentos\Doc. controlados PDF\Ayudas visuales\Micromini\MS\VA-MS-001 REV B COLOCACION DE MALLA.pptx</v>
      </c>
      <c r="C1147" s="5" t="str">
        <f>MID(B1147,LEN(B1147) - FIND(".",REVERSETEXT(B1147))+2,1000)</f>
        <v>pptx</v>
      </c>
      <c r="D1147" s="6">
        <v>6</v>
      </c>
      <c r="E1147" s="7" t="s">
        <v>83</v>
      </c>
      <c r="F1147" s="7" t="s">
        <v>22</v>
      </c>
      <c r="G1147" s="8" t="s">
        <v>23</v>
      </c>
      <c r="H1147" s="8">
        <v>5</v>
      </c>
      <c r="I1147" s="8" t="s">
        <v>24</v>
      </c>
      <c r="J1147" s="8">
        <v>12</v>
      </c>
      <c r="K1147" s="8" t="s">
        <v>515</v>
      </c>
      <c r="L1147" s="8">
        <v>16</v>
      </c>
      <c r="M1147" s="7" t="s">
        <v>515</v>
      </c>
      <c r="N1147" s="13" t="s">
        <v>784</v>
      </c>
      <c r="O1147" s="9">
        <v>41094</v>
      </c>
      <c r="P1147" s="7" t="s">
        <v>46</v>
      </c>
      <c r="Q1147" s="7" t="s">
        <v>28</v>
      </c>
      <c r="R1147" s="7" t="s">
        <v>604</v>
      </c>
      <c r="S1147" s="8" t="s">
        <v>605</v>
      </c>
      <c r="T1147" s="7" t="s">
        <v>30</v>
      </c>
      <c r="U1147" s="7" t="s">
        <v>90</v>
      </c>
      <c r="V1147" s="7"/>
    </row>
    <row r="1148" spans="1:22" s="19" customFormat="1">
      <c r="A1148" s="5" t="s">
        <v>785</v>
      </c>
      <c r="B1148" s="5" t="str">
        <f>GetAddress(A1148)</f>
        <v>\\CHNO0276\Aseguranza de Calidad\Control de Documentos\Doc. controlados PDF\Ayudas visuales\Micromini\MS\VA-MS-002 Rev A  USO DE CHECADOR DE ENGOMADO.pptx</v>
      </c>
      <c r="C1148" s="5" t="str">
        <f>MID(B1148,LEN(B1148) - FIND(".",REVERSETEXT(B1148))+2,1000)</f>
        <v>pptx</v>
      </c>
      <c r="D1148" s="6">
        <v>6</v>
      </c>
      <c r="E1148" s="7" t="s">
        <v>83</v>
      </c>
      <c r="F1148" s="7" t="s">
        <v>22</v>
      </c>
      <c r="G1148" s="8" t="s">
        <v>23</v>
      </c>
      <c r="H1148" s="8">
        <v>5</v>
      </c>
      <c r="I1148" s="8" t="s">
        <v>24</v>
      </c>
      <c r="J1148" s="8">
        <v>12</v>
      </c>
      <c r="K1148" s="8" t="s">
        <v>515</v>
      </c>
      <c r="L1148" s="8">
        <v>16</v>
      </c>
      <c r="M1148" s="7" t="s">
        <v>515</v>
      </c>
      <c r="N1148" s="7" t="s">
        <v>786</v>
      </c>
      <c r="O1148" s="9">
        <v>41099</v>
      </c>
      <c r="P1148" s="7" t="s">
        <v>27</v>
      </c>
      <c r="Q1148" s="7" t="s">
        <v>28</v>
      </c>
      <c r="R1148" s="7" t="s">
        <v>604</v>
      </c>
      <c r="S1148" s="8" t="s">
        <v>605</v>
      </c>
      <c r="T1148" s="7" t="s">
        <v>30</v>
      </c>
      <c r="U1148" s="7" t="s">
        <v>90</v>
      </c>
      <c r="V1148" s="7"/>
    </row>
    <row r="1149" spans="1:22" s="19" customFormat="1">
      <c r="A1149" s="5" t="s">
        <v>787</v>
      </c>
      <c r="B1149" s="5" t="str">
        <f>GetAddress(A1149)</f>
        <v>\\CHNO0276\Aseguranza de Calidad\Control de Documentos\Doc. controlados PDF\Ayudas visuales\Micromini\MS\VA-MS-003 EB1147 Rev. B.pptx</v>
      </c>
      <c r="C1149" s="5" t="str">
        <f>MID(B1149,LEN(B1149) - FIND(".",REVERSETEXT(B1149))+2,1000)</f>
        <v>pptx</v>
      </c>
      <c r="D1149" s="6">
        <v>6</v>
      </c>
      <c r="E1149" s="7" t="s">
        <v>83</v>
      </c>
      <c r="F1149" s="7" t="s">
        <v>22</v>
      </c>
      <c r="G1149" s="8" t="s">
        <v>23</v>
      </c>
      <c r="H1149" s="8">
        <v>5</v>
      </c>
      <c r="I1149" s="8" t="s">
        <v>24</v>
      </c>
      <c r="J1149" s="8">
        <v>12</v>
      </c>
      <c r="K1149" s="8" t="s">
        <v>515</v>
      </c>
      <c r="L1149" s="8">
        <v>16</v>
      </c>
      <c r="M1149" s="7" t="s">
        <v>515</v>
      </c>
      <c r="N1149" s="13" t="s">
        <v>788</v>
      </c>
      <c r="O1149" s="9">
        <v>41122</v>
      </c>
      <c r="P1149" s="7" t="s">
        <v>46</v>
      </c>
      <c r="Q1149" s="7" t="s">
        <v>788</v>
      </c>
      <c r="R1149" s="7" t="s">
        <v>604</v>
      </c>
      <c r="S1149" s="8" t="s">
        <v>605</v>
      </c>
      <c r="T1149" s="7" t="s">
        <v>30</v>
      </c>
      <c r="U1149" s="7" t="s">
        <v>90</v>
      </c>
      <c r="V1149" s="7"/>
    </row>
    <row r="1150" spans="1:22" s="19" customFormat="1">
      <c r="A1150" s="5" t="s">
        <v>841</v>
      </c>
      <c r="B1150" s="5" t="str">
        <f>GetAddress(A1150)</f>
        <v>\\CHNO0276\Aseguranza de Calidad\Control de Documentos\Doc. controlados PDF\Ayudas visuales\Micromini\Potted\VA-POTT-001  Rev  C  Pegado de insert a shell.pptx</v>
      </c>
      <c r="C1150" s="5" t="str">
        <f>MID(B1150,LEN(B1150) - FIND(".",REVERSETEXT(B1150))+2,1000)</f>
        <v>pptx</v>
      </c>
      <c r="D1150" s="6">
        <v>6</v>
      </c>
      <c r="E1150" s="7" t="s">
        <v>83</v>
      </c>
      <c r="F1150" s="7" t="s">
        <v>22</v>
      </c>
      <c r="G1150" s="8" t="s">
        <v>23</v>
      </c>
      <c r="H1150" s="8">
        <v>5</v>
      </c>
      <c r="I1150" s="8" t="s">
        <v>24</v>
      </c>
      <c r="J1150" s="8">
        <v>12</v>
      </c>
      <c r="K1150" s="8" t="s">
        <v>129</v>
      </c>
      <c r="L1150" s="8">
        <v>18</v>
      </c>
      <c r="M1150" s="7" t="s">
        <v>130</v>
      </c>
      <c r="N1150" s="13" t="s">
        <v>842</v>
      </c>
      <c r="O1150" s="9">
        <v>41102</v>
      </c>
      <c r="P1150" s="7" t="s">
        <v>159</v>
      </c>
      <c r="Q1150" s="7" t="s">
        <v>28</v>
      </c>
      <c r="R1150" s="7" t="s">
        <v>604</v>
      </c>
      <c r="S1150" s="8" t="s">
        <v>605</v>
      </c>
      <c r="T1150" s="7" t="s">
        <v>30</v>
      </c>
      <c r="U1150" s="7" t="s">
        <v>90</v>
      </c>
      <c r="V1150" s="7"/>
    </row>
    <row r="1151" spans="1:22" s="19" customFormat="1">
      <c r="A1151" s="5" t="s">
        <v>843</v>
      </c>
      <c r="B1151" s="5" t="str">
        <f>GetAddress(A1151)</f>
        <v>\\chno0276\Aseguranza de Calidad\Control de Documentos\Doc. controlados PDF\Ayudas visuales\Micromini\Potted\VA-POTT-002 Encapsulado con epoxy Rev B.pptx</v>
      </c>
      <c r="C1151" s="5" t="str">
        <f>MID(B1151,LEN(B1151) - FIND(".",REVERSETEXT(B1151))+2,1000)</f>
        <v>pptx</v>
      </c>
      <c r="D1151" s="6">
        <v>6</v>
      </c>
      <c r="E1151" s="7" t="s">
        <v>83</v>
      </c>
      <c r="F1151" s="7" t="s">
        <v>22</v>
      </c>
      <c r="G1151" s="8" t="s">
        <v>23</v>
      </c>
      <c r="H1151" s="8">
        <v>5</v>
      </c>
      <c r="I1151" s="8" t="s">
        <v>24</v>
      </c>
      <c r="J1151" s="8">
        <v>12</v>
      </c>
      <c r="K1151" s="8" t="s">
        <v>129</v>
      </c>
      <c r="L1151" s="8">
        <v>18</v>
      </c>
      <c r="M1151" s="7" t="s">
        <v>130</v>
      </c>
      <c r="N1151" s="13" t="s">
        <v>844</v>
      </c>
      <c r="O1151" s="9">
        <v>41197</v>
      </c>
      <c r="P1151" s="7" t="s">
        <v>46</v>
      </c>
      <c r="Q1151" s="7" t="s">
        <v>28</v>
      </c>
      <c r="R1151" s="7" t="s">
        <v>604</v>
      </c>
      <c r="S1151" s="8" t="s">
        <v>605</v>
      </c>
      <c r="T1151" s="7" t="s">
        <v>30</v>
      </c>
      <c r="U1151" s="7" t="s">
        <v>90</v>
      </c>
      <c r="V1151" s="7"/>
    </row>
    <row r="1152" spans="1:22" s="19" customFormat="1">
      <c r="A1152" s="5" t="s">
        <v>849</v>
      </c>
      <c r="B1152" s="5" t="str">
        <f>GetAddress(A1152)</f>
        <v>\\CHNO0276\Aseguranza de Calidad\Control de Documentos\Doc. controlados PDF\Ayudas visuales\Micromini\Rocwell\VA-ROCK-001 Rev A ENGOMADO DE  RONDANA.pptx</v>
      </c>
      <c r="C1152" s="5" t="str">
        <f>MID(B1152,LEN(B1152) - FIND(".",REVERSETEXT(B1152))+2,1000)</f>
        <v>pptx</v>
      </c>
      <c r="D1152" s="6">
        <v>6</v>
      </c>
      <c r="E1152" s="7" t="s">
        <v>83</v>
      </c>
      <c r="F1152" s="7" t="s">
        <v>22</v>
      </c>
      <c r="G1152" s="8" t="s">
        <v>23</v>
      </c>
      <c r="H1152" s="8">
        <v>5</v>
      </c>
      <c r="I1152" s="8" t="s">
        <v>24</v>
      </c>
      <c r="J1152" s="8">
        <v>12</v>
      </c>
      <c r="K1152" s="8" t="s">
        <v>846</v>
      </c>
      <c r="L1152" s="8">
        <v>20</v>
      </c>
      <c r="M1152" s="7" t="s">
        <v>847</v>
      </c>
      <c r="N1152" s="7" t="s">
        <v>850</v>
      </c>
      <c r="O1152" s="9">
        <v>41095</v>
      </c>
      <c r="P1152" s="7" t="s">
        <v>27</v>
      </c>
      <c r="Q1152" s="7" t="s">
        <v>851</v>
      </c>
      <c r="R1152" s="7" t="s">
        <v>604</v>
      </c>
      <c r="S1152" s="8" t="s">
        <v>605</v>
      </c>
      <c r="T1152" s="7" t="s">
        <v>30</v>
      </c>
      <c r="U1152" s="7" t="s">
        <v>601</v>
      </c>
      <c r="V1152" s="7"/>
    </row>
    <row r="1153" spans="1:22">
      <c r="A1153" s="5" t="s">
        <v>2779</v>
      </c>
      <c r="B1153" s="5" t="str">
        <f>GetAddress(A1153)</f>
        <v>\\CHNO0276\Aseguranza de Calidad\Control de Documentos\Doc. controlados PDF\Ayudas visuales\Camarillo\Salem\VA-SALM-001 Rev C CABLE ASSY A1-330-0000  PART A1-330-0080.ppt</v>
      </c>
      <c r="C1153" s="5" t="str">
        <f>MID(B1153,LEN(B1153) - FIND(".",REVERSETEXT(B1153))+2,1000)</f>
        <v>ppt</v>
      </c>
      <c r="D1153" s="6">
        <v>6</v>
      </c>
      <c r="E1153" s="7" t="s">
        <v>83</v>
      </c>
      <c r="F1153" s="7" t="s">
        <v>22</v>
      </c>
      <c r="G1153" s="8" t="s">
        <v>23</v>
      </c>
      <c r="H1153" s="8">
        <v>5</v>
      </c>
      <c r="I1153" s="8" t="s">
        <v>2205</v>
      </c>
      <c r="J1153" s="8">
        <v>34</v>
      </c>
      <c r="K1153" s="8" t="s">
        <v>2205</v>
      </c>
      <c r="L1153" s="8">
        <v>25</v>
      </c>
      <c r="M1153" s="7" t="s">
        <v>2206</v>
      </c>
      <c r="N1153" s="13" t="s">
        <v>2780</v>
      </c>
      <c r="O1153" s="9">
        <v>41092</v>
      </c>
      <c r="P1153" s="7" t="s">
        <v>159</v>
      </c>
      <c r="Q1153" s="7" t="s">
        <v>2781</v>
      </c>
      <c r="R1153" s="7" t="s">
        <v>2426</v>
      </c>
      <c r="S1153" s="8" t="s">
        <v>2427</v>
      </c>
      <c r="T1153" s="7" t="s">
        <v>30</v>
      </c>
      <c r="U1153" s="7" t="s">
        <v>479</v>
      </c>
      <c r="V1153" s="7"/>
    </row>
    <row r="1154" spans="1:22">
      <c r="A1154" s="5" t="s">
        <v>109</v>
      </c>
      <c r="B1154" s="5" t="str">
        <f>GetAddress(A1154)</f>
        <v>\\CHNO0276\Aseguranza de Calidad\Control de Documentos\Doc. controlados PDF\Ayudas visuales\Avenal-Solar\VA-SOL-001  Rev. B  Proceso ensamble del area de solar IC-A61-N1.ppt</v>
      </c>
      <c r="C1154" s="5" t="str">
        <f>MID(B1154,LEN(B1154) - FIND(".",REVERSETEXT(B1154))+2,1000)</f>
        <v>ppt</v>
      </c>
      <c r="D1154" s="6">
        <v>6</v>
      </c>
      <c r="E1154" s="7" t="s">
        <v>83</v>
      </c>
      <c r="F1154" s="7" t="s">
        <v>22</v>
      </c>
      <c r="G1154" s="8" t="s">
        <v>23</v>
      </c>
      <c r="H1154" s="8">
        <v>5</v>
      </c>
      <c r="I1154" s="8" t="s">
        <v>92</v>
      </c>
      <c r="J1154" s="8">
        <v>6</v>
      </c>
      <c r="K1154" s="8" t="s">
        <v>93</v>
      </c>
      <c r="L1154" s="8">
        <v>14</v>
      </c>
      <c r="M1154" s="7" t="s">
        <v>94</v>
      </c>
      <c r="N1154" s="7" t="s">
        <v>110</v>
      </c>
      <c r="O1154" s="9">
        <v>41102</v>
      </c>
      <c r="P1154" s="7" t="s">
        <v>46</v>
      </c>
      <c r="Q1154" s="7" t="s">
        <v>111</v>
      </c>
      <c r="R1154" s="7" t="s">
        <v>62</v>
      </c>
      <c r="S1154" s="8" t="s">
        <v>63</v>
      </c>
      <c r="T1154" s="13" t="s">
        <v>101</v>
      </c>
      <c r="U1154" s="13" t="s">
        <v>97</v>
      </c>
      <c r="V1154" s="7"/>
    </row>
    <row r="1155" spans="1:22">
      <c r="A1155" s="5" t="s">
        <v>112</v>
      </c>
      <c r="B1155" s="5" t="str">
        <f>GetAddress(A1155)</f>
        <v>\\CHNO0276\Aseguranza de Calidad\Control de Documentos\Doc. controlados PDF\Ayudas visuales\Avenal-Solar\VA-SOL-002  Rev .B Proceso ensamble del area de solar IC-A61-N2 .pptx</v>
      </c>
      <c r="C1155" s="5" t="str">
        <f>MID(B1155,LEN(B1155) - FIND(".",REVERSETEXT(B1155))+2,1000)</f>
        <v>pptx</v>
      </c>
      <c r="D1155" s="6">
        <v>6</v>
      </c>
      <c r="E1155" s="7" t="s">
        <v>83</v>
      </c>
      <c r="F1155" s="7" t="s">
        <v>22</v>
      </c>
      <c r="G1155" s="8" t="s">
        <v>23</v>
      </c>
      <c r="H1155" s="8">
        <v>5</v>
      </c>
      <c r="I1155" s="8" t="s">
        <v>92</v>
      </c>
      <c r="J1155" s="8">
        <v>6</v>
      </c>
      <c r="K1155" s="8" t="s">
        <v>93</v>
      </c>
      <c r="L1155" s="8">
        <v>14</v>
      </c>
      <c r="M1155" s="7" t="s">
        <v>94</v>
      </c>
      <c r="N1155" s="7" t="s">
        <v>110</v>
      </c>
      <c r="O1155" s="9">
        <v>41106</v>
      </c>
      <c r="P1155" s="7" t="s">
        <v>46</v>
      </c>
      <c r="Q1155" s="7" t="s">
        <v>113</v>
      </c>
      <c r="R1155" s="7" t="s">
        <v>62</v>
      </c>
      <c r="S1155" s="8" t="s">
        <v>63</v>
      </c>
      <c r="T1155" s="13" t="s">
        <v>101</v>
      </c>
      <c r="U1155" s="13" t="s">
        <v>97</v>
      </c>
      <c r="V1155" s="7"/>
    </row>
    <row r="1156" spans="1:22">
      <c r="A1156" s="5" t="s">
        <v>114</v>
      </c>
      <c r="B1156" s="5" t="str">
        <f>GetAddress(A1156)</f>
        <v>\\CHNO0276\Aseguranza de Calidad\Control de Documentos\Doc. controlados PDF\Ayudas visuales\Avenal-Solar\VA-SOL- 003 Rev .B  Proceso ensamble del area de solar IC-A61-P2.pptx</v>
      </c>
      <c r="C1156" s="5" t="str">
        <f>MID(B1156,LEN(B1156) - FIND(".",REVERSETEXT(B1156))+2,1000)</f>
        <v>pptx</v>
      </c>
      <c r="D1156" s="6">
        <v>6</v>
      </c>
      <c r="E1156" s="7" t="s">
        <v>83</v>
      </c>
      <c r="F1156" s="7" t="s">
        <v>22</v>
      </c>
      <c r="G1156" s="8" t="s">
        <v>23</v>
      </c>
      <c r="H1156" s="8">
        <v>5</v>
      </c>
      <c r="I1156" s="8" t="s">
        <v>92</v>
      </c>
      <c r="J1156" s="8">
        <v>6</v>
      </c>
      <c r="K1156" s="8" t="s">
        <v>93</v>
      </c>
      <c r="L1156" s="8">
        <v>14</v>
      </c>
      <c r="M1156" s="7" t="s">
        <v>94</v>
      </c>
      <c r="N1156" s="7" t="s">
        <v>110</v>
      </c>
      <c r="O1156" s="9">
        <v>41106</v>
      </c>
      <c r="P1156" s="7" t="s">
        <v>46</v>
      </c>
      <c r="Q1156" s="7" t="s">
        <v>115</v>
      </c>
      <c r="R1156" s="7" t="s">
        <v>62</v>
      </c>
      <c r="S1156" s="8" t="s">
        <v>63</v>
      </c>
      <c r="T1156" s="13" t="s">
        <v>101</v>
      </c>
      <c r="U1156" s="13" t="s">
        <v>97</v>
      </c>
      <c r="V1156" s="7"/>
    </row>
    <row r="1157" spans="1:22">
      <c r="A1157" s="5" t="s">
        <v>116</v>
      </c>
      <c r="B1157" s="5" t="str">
        <f>GetAddress(A1157)</f>
        <v>\\CHNO0276\Aseguranza de Calidad\Control de Documentos\Doc. controlados PDF\Ayudas visuales\Avenal-Solar\VA-SOL-004  Rev. B Proceso ensamble del area de solar IC-A61-P1.pptx</v>
      </c>
      <c r="C1157" s="5" t="str">
        <f>MID(B1157,LEN(B1157) - FIND(".",REVERSETEXT(B1157))+2,1000)</f>
        <v>pptx</v>
      </c>
      <c r="D1157" s="6">
        <v>6</v>
      </c>
      <c r="E1157" s="7" t="s">
        <v>83</v>
      </c>
      <c r="F1157" s="7" t="s">
        <v>22</v>
      </c>
      <c r="G1157" s="8" t="s">
        <v>23</v>
      </c>
      <c r="H1157" s="8">
        <v>5</v>
      </c>
      <c r="I1157" s="8" t="s">
        <v>92</v>
      </c>
      <c r="J1157" s="8">
        <v>6</v>
      </c>
      <c r="K1157" s="8" t="s">
        <v>93</v>
      </c>
      <c r="L1157" s="8">
        <v>14</v>
      </c>
      <c r="M1157" s="7" t="s">
        <v>94</v>
      </c>
      <c r="N1157" s="7" t="s">
        <v>110</v>
      </c>
      <c r="O1157" s="9">
        <v>41106</v>
      </c>
      <c r="P1157" s="7" t="s">
        <v>46</v>
      </c>
      <c r="Q1157" s="7" t="s">
        <v>117</v>
      </c>
      <c r="R1157" s="7" t="s">
        <v>62</v>
      </c>
      <c r="S1157" s="8" t="s">
        <v>63</v>
      </c>
      <c r="T1157" s="13" t="s">
        <v>101</v>
      </c>
      <c r="U1157" s="13" t="s">
        <v>97</v>
      </c>
      <c r="V1157" s="7"/>
    </row>
    <row r="1158" spans="1:22">
      <c r="A1158" s="5" t="s">
        <v>118</v>
      </c>
      <c r="B1158" s="5" t="str">
        <f>GetAddress(A1158)</f>
        <v>\\CHNO0276\Aseguranza de Calidad\Control de Documentos\Doc. controlados PDF\Ayudas visuales\Avenal-Solar\VA-SOL-005 Rev. A Proyecto NEDCO area de Solar.pptx</v>
      </c>
      <c r="C1158" s="5" t="str">
        <f>MID(B1158,LEN(B1158) - FIND(".",REVERSETEXT(B1158))+2,1000)</f>
        <v>pptx</v>
      </c>
      <c r="D1158" s="6">
        <v>6</v>
      </c>
      <c r="E1158" s="7" t="s">
        <v>83</v>
      </c>
      <c r="F1158" s="7" t="s">
        <v>22</v>
      </c>
      <c r="G1158" s="8" t="s">
        <v>23</v>
      </c>
      <c r="H1158" s="8">
        <v>5</v>
      </c>
      <c r="I1158" s="8" t="s">
        <v>92</v>
      </c>
      <c r="J1158" s="8">
        <v>6</v>
      </c>
      <c r="K1158" s="8" t="s">
        <v>93</v>
      </c>
      <c r="L1158" s="8">
        <v>14</v>
      </c>
      <c r="M1158" s="7" t="s">
        <v>94</v>
      </c>
      <c r="N1158" s="7" t="s">
        <v>119</v>
      </c>
      <c r="O1158" s="9">
        <v>41107</v>
      </c>
      <c r="P1158" s="7" t="s">
        <v>27</v>
      </c>
      <c r="Q1158" s="7" t="s">
        <v>28</v>
      </c>
      <c r="R1158" s="7" t="s">
        <v>62</v>
      </c>
      <c r="S1158" s="8" t="s">
        <v>63</v>
      </c>
      <c r="T1158" s="13" t="s">
        <v>120</v>
      </c>
      <c r="U1158" s="13" t="s">
        <v>97</v>
      </c>
      <c r="V1158" s="7"/>
    </row>
    <row r="1159" spans="1:22">
      <c r="A1159" s="5" t="s">
        <v>121</v>
      </c>
      <c r="B1159" s="5" t="str">
        <f>GetAddress(A1159)</f>
        <v>\\chno0276\Control de Documentos\Doc. controlados PDF\Ayudas visuales\Avenal-Solar\VA-SOL-006 Rev A Ensamble para IC-B46-SF6-XXXX proyecto AMEC.ppt</v>
      </c>
      <c r="C1159" s="5" t="str">
        <f>MID(B1159,LEN(B1159) - FIND(".",REVERSETEXT(B1159))+2,1000)</f>
        <v>ppt</v>
      </c>
      <c r="D1159" s="6">
        <v>6</v>
      </c>
      <c r="E1159" s="7" t="s">
        <v>83</v>
      </c>
      <c r="F1159" s="7" t="s">
        <v>22</v>
      </c>
      <c r="G1159" s="8" t="s">
        <v>23</v>
      </c>
      <c r="H1159" s="8">
        <v>5</v>
      </c>
      <c r="I1159" s="8" t="s">
        <v>92</v>
      </c>
      <c r="J1159" s="8">
        <v>6</v>
      </c>
      <c r="K1159" s="8" t="s">
        <v>93</v>
      </c>
      <c r="L1159" s="8">
        <v>14</v>
      </c>
      <c r="M1159" s="7" t="s">
        <v>94</v>
      </c>
      <c r="N1159" s="7" t="s">
        <v>122</v>
      </c>
      <c r="O1159" s="9">
        <v>41184</v>
      </c>
      <c r="P1159" s="7" t="s">
        <v>27</v>
      </c>
      <c r="Q1159" s="7" t="s">
        <v>123</v>
      </c>
      <c r="R1159" s="7" t="s">
        <v>62</v>
      </c>
      <c r="S1159" s="8" t="s">
        <v>63</v>
      </c>
      <c r="T1159" s="13" t="s">
        <v>124</v>
      </c>
      <c r="U1159" s="13" t="s">
        <v>97</v>
      </c>
      <c r="V1159" s="7"/>
    </row>
    <row r="1160" spans="1:22">
      <c r="A1160" s="5" t="s">
        <v>125</v>
      </c>
      <c r="B1160" s="5" t="str">
        <f>GetAddress(A1160)</f>
        <v>\\chno0276\Control de Documentos\Doc. controlados PDF\Ayudas visuales\Avenal-Solar\VA-SOL-007 Rev A CORTE DE CABLE PARA IC-B46-SF6-B5N2.ppt</v>
      </c>
      <c r="C1160" s="5" t="str">
        <f>MID(B1160,LEN(B1160) - FIND(".",REVERSETEXT(B1160))+2,1000)</f>
        <v>ppt</v>
      </c>
      <c r="D1160" s="6">
        <v>6</v>
      </c>
      <c r="E1160" s="7" t="s">
        <v>83</v>
      </c>
      <c r="F1160" s="7" t="s">
        <v>22</v>
      </c>
      <c r="G1160" s="8" t="s">
        <v>23</v>
      </c>
      <c r="H1160" s="8">
        <v>5</v>
      </c>
      <c r="I1160" s="8" t="s">
        <v>92</v>
      </c>
      <c r="J1160" s="8">
        <v>6</v>
      </c>
      <c r="K1160" s="8" t="s">
        <v>93</v>
      </c>
      <c r="L1160" s="8">
        <v>14</v>
      </c>
      <c r="M1160" s="7" t="s">
        <v>94</v>
      </c>
      <c r="N1160" s="7" t="s">
        <v>126</v>
      </c>
      <c r="O1160" s="9">
        <v>41184</v>
      </c>
      <c r="P1160" s="7" t="s">
        <v>27</v>
      </c>
      <c r="Q1160" s="7" t="s">
        <v>127</v>
      </c>
      <c r="R1160" s="7" t="s">
        <v>62</v>
      </c>
      <c r="S1160" s="8" t="s">
        <v>63</v>
      </c>
      <c r="T1160" s="13" t="s">
        <v>101</v>
      </c>
      <c r="U1160" s="13" t="s">
        <v>97</v>
      </c>
      <c r="V1160" s="7"/>
    </row>
  </sheetData>
  <sortState ref="A2:V1160">
    <sortCondition ref="A2:A1160"/>
  </sortState>
  <hyperlinks>
    <hyperlink ref="A1061" r:id="rId1"/>
    <hyperlink ref="A1062" r:id="rId2"/>
    <hyperlink ref="A1068" r:id="rId3"/>
    <hyperlink ref="A1069" r:id="rId4"/>
    <hyperlink ref="A2" r:id="rId5"/>
    <hyperlink ref="A3" r:id="rId6"/>
    <hyperlink ref="A4" r:id="rId7"/>
    <hyperlink ref="A5" r:id="rId8"/>
    <hyperlink ref="A6" r:id="rId9"/>
    <hyperlink ref="A154" r:id="rId10"/>
    <hyperlink ref="A155" r:id="rId11"/>
    <hyperlink ref="A156" r:id="rId12"/>
    <hyperlink ref="A157" r:id="rId13"/>
    <hyperlink ref="A180" r:id="rId14"/>
    <hyperlink ref="A181" r:id="rId15"/>
    <hyperlink ref="A182" r:id="rId16"/>
    <hyperlink ref="A183" r:id="rId17"/>
    <hyperlink ref="A663" r:id="rId18"/>
    <hyperlink ref="A661" r:id="rId19"/>
    <hyperlink ref="A664" r:id="rId20"/>
    <hyperlink ref="A662" r:id="rId21"/>
    <hyperlink ref="N664" r:id="rId22"/>
    <hyperlink ref="A665" r:id="rId23"/>
    <hyperlink ref="A666" r:id="rId24"/>
    <hyperlink ref="A469" r:id="rId25"/>
    <hyperlink ref="A462" r:id="rId26"/>
    <hyperlink ref="A463" r:id="rId27"/>
    <hyperlink ref="A464" r:id="rId28"/>
    <hyperlink ref="A465" r:id="rId29"/>
    <hyperlink ref="A467" r:id="rId30"/>
    <hyperlink ref="A468" r:id="rId31"/>
    <hyperlink ref="A466" r:id="rId32"/>
    <hyperlink ref="A215" r:id="rId33"/>
    <hyperlink ref="A216" r:id="rId34"/>
    <hyperlink ref="A217" r:id="rId35"/>
    <hyperlink ref="A218" r:id="rId36" display="CNWI-PRCS-0003"/>
    <hyperlink ref="A37:A38" r:id="rId37" display="CNWI-PRCS-0003"/>
    <hyperlink ref="A221" r:id="rId38"/>
    <hyperlink ref="A219" r:id="rId39"/>
    <hyperlink ref="A222" r:id="rId40"/>
    <hyperlink ref="A220" r:id="rId41"/>
    <hyperlink ref="A153" r:id="rId42"/>
    <hyperlink ref="A212" r:id="rId43"/>
    <hyperlink ref="A86" r:id="rId44"/>
    <hyperlink ref="A22" r:id="rId45"/>
    <hyperlink ref="A9" r:id="rId46"/>
    <hyperlink ref="A7" r:id="rId47"/>
    <hyperlink ref="A8" r:id="rId48"/>
    <hyperlink ref="A10" r:id="rId49"/>
    <hyperlink ref="A11" r:id="rId50"/>
    <hyperlink ref="A12" r:id="rId51"/>
    <hyperlink ref="A14" r:id="rId52"/>
    <hyperlink ref="A15" r:id="rId53"/>
    <hyperlink ref="A16" r:id="rId54"/>
    <hyperlink ref="A17" r:id="rId55"/>
    <hyperlink ref="A18" r:id="rId56"/>
    <hyperlink ref="A19" r:id="rId57"/>
    <hyperlink ref="A20" r:id="rId58"/>
    <hyperlink ref="A21" r:id="rId59"/>
    <hyperlink ref="A23" r:id="rId60"/>
    <hyperlink ref="A24" r:id="rId61"/>
    <hyperlink ref="A25" r:id="rId62"/>
    <hyperlink ref="A26" r:id="rId63"/>
    <hyperlink ref="A27" r:id="rId64"/>
    <hyperlink ref="A28" r:id="rId65"/>
    <hyperlink ref="A29" r:id="rId66"/>
    <hyperlink ref="A30" r:id="rId67"/>
    <hyperlink ref="A31" r:id="rId68"/>
    <hyperlink ref="A32" r:id="rId69"/>
    <hyperlink ref="A33" r:id="rId70"/>
    <hyperlink ref="A34" r:id="rId71"/>
    <hyperlink ref="A35" r:id="rId72"/>
    <hyperlink ref="A36" r:id="rId73"/>
    <hyperlink ref="A37" r:id="rId74"/>
    <hyperlink ref="A38" r:id="rId75"/>
    <hyperlink ref="A39" r:id="rId76"/>
    <hyperlink ref="A40" r:id="rId77"/>
    <hyperlink ref="A41" r:id="rId78"/>
    <hyperlink ref="A42" r:id="rId79"/>
    <hyperlink ref="A43" r:id="rId80"/>
    <hyperlink ref="A44" r:id="rId81"/>
    <hyperlink ref="A45" r:id="rId82"/>
    <hyperlink ref="A46" r:id="rId83"/>
    <hyperlink ref="A47" r:id="rId84"/>
    <hyperlink ref="A48" r:id="rId85"/>
    <hyperlink ref="A49" r:id="rId86"/>
    <hyperlink ref="A50" r:id="rId87"/>
    <hyperlink ref="A51" r:id="rId88"/>
    <hyperlink ref="A52" r:id="rId89"/>
    <hyperlink ref="A53" r:id="rId90"/>
    <hyperlink ref="A54" r:id="rId91"/>
    <hyperlink ref="A55" r:id="rId92"/>
    <hyperlink ref="A56" r:id="rId93"/>
    <hyperlink ref="A57" r:id="rId94"/>
    <hyperlink ref="A58" r:id="rId95"/>
    <hyperlink ref="A60" r:id="rId96"/>
    <hyperlink ref="A61" r:id="rId97"/>
    <hyperlink ref="A62" r:id="rId98"/>
    <hyperlink ref="A63" r:id="rId99"/>
    <hyperlink ref="A64" r:id="rId100"/>
    <hyperlink ref="A65" r:id="rId101"/>
    <hyperlink ref="A66" r:id="rId102"/>
    <hyperlink ref="A67" r:id="rId103"/>
    <hyperlink ref="A68" r:id="rId104"/>
    <hyperlink ref="A69" r:id="rId105"/>
    <hyperlink ref="A70" r:id="rId106"/>
    <hyperlink ref="A71" r:id="rId107"/>
    <hyperlink ref="A72" r:id="rId108"/>
    <hyperlink ref="A73" r:id="rId109"/>
    <hyperlink ref="A74" r:id="rId110"/>
    <hyperlink ref="A75" r:id="rId111"/>
    <hyperlink ref="A76" r:id="rId112"/>
    <hyperlink ref="A77" r:id="rId113"/>
    <hyperlink ref="A78" r:id="rId114"/>
    <hyperlink ref="A79" r:id="rId115"/>
    <hyperlink ref="A83" r:id="rId116"/>
    <hyperlink ref="A84" r:id="rId117"/>
    <hyperlink ref="A85" r:id="rId118"/>
    <hyperlink ref="A87" r:id="rId119"/>
    <hyperlink ref="A88" r:id="rId120"/>
    <hyperlink ref="A89" r:id="rId121"/>
    <hyperlink ref="A90" r:id="rId122"/>
    <hyperlink ref="A91" r:id="rId123"/>
    <hyperlink ref="A92" r:id="rId124"/>
    <hyperlink ref="A93" r:id="rId125"/>
    <hyperlink ref="A13" r:id="rId126"/>
    <hyperlink ref="A59" r:id="rId127"/>
    <hyperlink ref="A80" r:id="rId128"/>
    <hyperlink ref="A81" r:id="rId129"/>
    <hyperlink ref="A82" r:id="rId130"/>
    <hyperlink ref="A280" r:id="rId131"/>
    <hyperlink ref="A309" r:id="rId132"/>
    <hyperlink ref="A310" r:id="rId133"/>
    <hyperlink ref="A279" r:id="rId134"/>
    <hyperlink ref="A272" r:id="rId135"/>
    <hyperlink ref="A274" r:id="rId136"/>
    <hyperlink ref="A275" r:id="rId137"/>
    <hyperlink ref="A276" r:id="rId138"/>
    <hyperlink ref="A277" r:id="rId139"/>
    <hyperlink ref="A278" r:id="rId140"/>
    <hyperlink ref="A281" r:id="rId141"/>
    <hyperlink ref="A282" r:id="rId142"/>
    <hyperlink ref="A284" r:id="rId143"/>
    <hyperlink ref="A285" r:id="rId144"/>
    <hyperlink ref="A286" r:id="rId145"/>
    <hyperlink ref="A287" r:id="rId146"/>
    <hyperlink ref="A288" r:id="rId147"/>
    <hyperlink ref="A289" r:id="rId148"/>
    <hyperlink ref="A290" r:id="rId149"/>
    <hyperlink ref="A291" r:id="rId150"/>
    <hyperlink ref="A292" r:id="rId151"/>
    <hyperlink ref="A293" r:id="rId152"/>
    <hyperlink ref="A295" r:id="rId153"/>
    <hyperlink ref="A296" r:id="rId154"/>
    <hyperlink ref="A298" r:id="rId155"/>
    <hyperlink ref="A300" r:id="rId156"/>
    <hyperlink ref="A301" r:id="rId157"/>
    <hyperlink ref="A302" r:id="rId158"/>
    <hyperlink ref="A304" r:id="rId159"/>
    <hyperlink ref="A305" r:id="rId160"/>
    <hyperlink ref="A307" r:id="rId161"/>
    <hyperlink ref="A308" r:id="rId162"/>
    <hyperlink ref="A311" r:id="rId163"/>
    <hyperlink ref="A170:A171" r:id="rId164" display="CNWI-QAAS-0041"/>
    <hyperlink ref="A273" r:id="rId165"/>
    <hyperlink ref="A313" r:id="rId166"/>
    <hyperlink ref="A283" r:id="rId167"/>
    <hyperlink ref="A294" r:id="rId168"/>
    <hyperlink ref="A299" r:id="rId169"/>
    <hyperlink ref="A303" r:id="rId170"/>
    <hyperlink ref="A172:A173" r:id="rId171" display="CNWI-QAAS-0041"/>
    <hyperlink ref="A297" r:id="rId172"/>
    <hyperlink ref="A306" r:id="rId173"/>
    <hyperlink ref="A312" r:id="rId174"/>
    <hyperlink ref="A317" r:id="rId175"/>
    <hyperlink ref="A316" r:id="rId176"/>
    <hyperlink ref="A314" r:id="rId177"/>
    <hyperlink ref="A315" r:id="rId178"/>
    <hyperlink ref="A499" r:id="rId179"/>
    <hyperlink ref="A424" r:id="rId180"/>
    <hyperlink ref="A433" r:id="rId181"/>
    <hyperlink ref="A437" r:id="rId182"/>
    <hyperlink ref="A321" r:id="rId183"/>
    <hyperlink ref="A358" r:id="rId184"/>
    <hyperlink ref="A322" r:id="rId185"/>
    <hyperlink ref="A168" r:id="rId186"/>
    <hyperlink ref="A489" r:id="rId187"/>
    <hyperlink ref="A330" r:id="rId188"/>
    <hyperlink ref="A334" r:id="rId189"/>
    <hyperlink ref="A346" r:id="rId190"/>
    <hyperlink ref="A367" r:id="rId191"/>
    <hyperlink ref="A324" r:id="rId192"/>
    <hyperlink ref="A325" r:id="rId193"/>
    <hyperlink ref="A326" r:id="rId194"/>
    <hyperlink ref="A327" r:id="rId195"/>
    <hyperlink ref="A328" r:id="rId196"/>
    <hyperlink ref="A329" r:id="rId197"/>
    <hyperlink ref="A443" r:id="rId198"/>
    <hyperlink ref="A444" r:id="rId199"/>
    <hyperlink ref="A497" r:id="rId200"/>
    <hyperlink ref="A498" r:id="rId201"/>
    <hyperlink ref="A442" r:id="rId202"/>
    <hyperlink ref="A158" r:id="rId203"/>
    <hyperlink ref="A159" r:id="rId204"/>
    <hyperlink ref="A160" r:id="rId205"/>
    <hyperlink ref="A161" r:id="rId206"/>
    <hyperlink ref="A162" r:id="rId207"/>
    <hyperlink ref="A163" r:id="rId208"/>
    <hyperlink ref="A164" r:id="rId209"/>
    <hyperlink ref="A165" r:id="rId210"/>
    <hyperlink ref="A166" r:id="rId211"/>
    <hyperlink ref="A167" r:id="rId212"/>
    <hyperlink ref="A169" r:id="rId213"/>
    <hyperlink ref="A170" r:id="rId214"/>
    <hyperlink ref="A171" r:id="rId215"/>
    <hyperlink ref="A172" r:id="rId216"/>
    <hyperlink ref="A173" r:id="rId217"/>
    <hyperlink ref="A174" r:id="rId218"/>
    <hyperlink ref="A184" r:id="rId219"/>
    <hyperlink ref="A185" r:id="rId220"/>
    <hyperlink ref="A186" r:id="rId221"/>
    <hyperlink ref="A187" r:id="rId222"/>
    <hyperlink ref="A188" r:id="rId223"/>
    <hyperlink ref="A189" r:id="rId224"/>
    <hyperlink ref="A190" r:id="rId225"/>
    <hyperlink ref="A191" r:id="rId226"/>
    <hyperlink ref="A192" r:id="rId227"/>
    <hyperlink ref="A193" r:id="rId228"/>
    <hyperlink ref="A194" r:id="rId229"/>
    <hyperlink ref="A195" r:id="rId230"/>
    <hyperlink ref="A196" r:id="rId231"/>
    <hyperlink ref="A197" r:id="rId232"/>
    <hyperlink ref="A198" r:id="rId233"/>
    <hyperlink ref="A199" r:id="rId234"/>
    <hyperlink ref="A200" r:id="rId235"/>
    <hyperlink ref="A201" r:id="rId236"/>
    <hyperlink ref="A202" r:id="rId237"/>
    <hyperlink ref="A656" r:id="rId238"/>
    <hyperlink ref="A657" r:id="rId239"/>
    <hyperlink ref="A658" r:id="rId240"/>
    <hyperlink ref="A659" r:id="rId241"/>
    <hyperlink ref="A660" r:id="rId242"/>
    <hyperlink ref="A667" r:id="rId243"/>
    <hyperlink ref="A668" r:id="rId244"/>
    <hyperlink ref="A669" r:id="rId245"/>
    <hyperlink ref="A670" r:id="rId246"/>
    <hyperlink ref="A671" r:id="rId247"/>
    <hyperlink ref="A672" r:id="rId248"/>
    <hyperlink ref="A471" r:id="rId249"/>
    <hyperlink ref="A472" r:id="rId250"/>
    <hyperlink ref="A473" r:id="rId251"/>
    <hyperlink ref="A474" r:id="rId252"/>
    <hyperlink ref="A475" r:id="rId253"/>
    <hyperlink ref="A476" r:id="rId254"/>
    <hyperlink ref="A477" r:id="rId255"/>
    <hyperlink ref="A478" r:id="rId256"/>
    <hyperlink ref="A480" r:id="rId257"/>
    <hyperlink ref="A479" r:id="rId258"/>
    <hyperlink ref="A481" r:id="rId259"/>
    <hyperlink ref="A482" r:id="rId260"/>
    <hyperlink ref="A483" r:id="rId261"/>
    <hyperlink ref="A484" r:id="rId262"/>
    <hyperlink ref="A485" r:id="rId263"/>
    <hyperlink ref="A486" r:id="rId264"/>
    <hyperlink ref="A487" r:id="rId265"/>
    <hyperlink ref="A488" r:id="rId266"/>
    <hyperlink ref="A490" r:id="rId267"/>
    <hyperlink ref="A491" r:id="rId268"/>
    <hyperlink ref="A492" r:id="rId269"/>
    <hyperlink ref="A493" r:id="rId270"/>
    <hyperlink ref="A494" r:id="rId271"/>
    <hyperlink ref="A495" r:id="rId272"/>
    <hyperlink ref="A496" r:id="rId273"/>
    <hyperlink ref="A960" r:id="rId274"/>
    <hyperlink ref="A223" r:id="rId275"/>
    <hyperlink ref="A224" r:id="rId276"/>
    <hyperlink ref="A225" r:id="rId277"/>
    <hyperlink ref="A226" r:id="rId278"/>
    <hyperlink ref="A227" r:id="rId279"/>
    <hyperlink ref="A228" r:id="rId280"/>
    <hyperlink ref="A229" r:id="rId281"/>
    <hyperlink ref="A230" r:id="rId282"/>
    <hyperlink ref="A231" r:id="rId283"/>
    <hyperlink ref="A94" r:id="rId284"/>
    <hyperlink ref="A95" r:id="rId285"/>
    <hyperlink ref="A96" r:id="rId286"/>
    <hyperlink ref="A97" r:id="rId287"/>
    <hyperlink ref="A98" r:id="rId288"/>
    <hyperlink ref="A99" r:id="rId289"/>
    <hyperlink ref="A100" r:id="rId290"/>
    <hyperlink ref="A101" r:id="rId291"/>
    <hyperlink ref="A102" r:id="rId292"/>
    <hyperlink ref="A103" r:id="rId293"/>
    <hyperlink ref="A104" r:id="rId294"/>
    <hyperlink ref="A105" r:id="rId295"/>
    <hyperlink ref="A106" r:id="rId296"/>
    <hyperlink ref="A107" r:id="rId297"/>
    <hyperlink ref="A108" r:id="rId298"/>
    <hyperlink ref="A109" r:id="rId299"/>
    <hyperlink ref="A110" r:id="rId300"/>
    <hyperlink ref="A111" r:id="rId301"/>
    <hyperlink ref="A112" r:id="rId302"/>
    <hyperlink ref="A113" r:id="rId303"/>
    <hyperlink ref="A114" r:id="rId304"/>
    <hyperlink ref="A115" r:id="rId305"/>
    <hyperlink ref="A116" r:id="rId306"/>
    <hyperlink ref="A117" r:id="rId307"/>
    <hyperlink ref="A118" r:id="rId308"/>
    <hyperlink ref="A119" r:id="rId309"/>
    <hyperlink ref="A120" r:id="rId310"/>
    <hyperlink ref="A121" r:id="rId311"/>
    <hyperlink ref="A122" r:id="rId312"/>
    <hyperlink ref="A123" r:id="rId313"/>
    <hyperlink ref="A124" r:id="rId314"/>
    <hyperlink ref="A125" r:id="rId315"/>
    <hyperlink ref="A126" r:id="rId316"/>
    <hyperlink ref="A127" r:id="rId317"/>
    <hyperlink ref="A128" r:id="rId318"/>
    <hyperlink ref="A129" r:id="rId319"/>
    <hyperlink ref="A130" r:id="rId320"/>
    <hyperlink ref="A131" r:id="rId321"/>
    <hyperlink ref="A132" r:id="rId322"/>
    <hyperlink ref="A133" r:id="rId323"/>
    <hyperlink ref="A134" r:id="rId324"/>
    <hyperlink ref="A135" r:id="rId325"/>
    <hyperlink ref="A136" r:id="rId326"/>
    <hyperlink ref="A137" r:id="rId327"/>
    <hyperlink ref="A138" r:id="rId328"/>
    <hyperlink ref="A139" r:id="rId329"/>
    <hyperlink ref="A140" r:id="rId330"/>
    <hyperlink ref="A318" r:id="rId331"/>
    <hyperlink ref="A319" r:id="rId332"/>
    <hyperlink ref="A320" r:id="rId333"/>
    <hyperlink ref="A323" r:id="rId334"/>
    <hyperlink ref="A331" r:id="rId335"/>
    <hyperlink ref="A332" r:id="rId336"/>
    <hyperlink ref="A333" r:id="rId337"/>
    <hyperlink ref="A335" r:id="rId338"/>
    <hyperlink ref="A336" r:id="rId339"/>
    <hyperlink ref="A337" r:id="rId340"/>
    <hyperlink ref="A338" r:id="rId341"/>
    <hyperlink ref="A339" r:id="rId342"/>
    <hyperlink ref="A340" r:id="rId343"/>
    <hyperlink ref="A341" r:id="rId344"/>
    <hyperlink ref="A342" r:id="rId345"/>
    <hyperlink ref="A343" r:id="rId346"/>
    <hyperlink ref="A344" r:id="rId347"/>
    <hyperlink ref="A345" r:id="rId348"/>
    <hyperlink ref="A347" r:id="rId349"/>
    <hyperlink ref="A348" r:id="rId350"/>
    <hyperlink ref="A349" r:id="rId351"/>
    <hyperlink ref="A350" r:id="rId352"/>
    <hyperlink ref="A351" r:id="rId353"/>
    <hyperlink ref="A352" r:id="rId354"/>
    <hyperlink ref="A353" r:id="rId355"/>
    <hyperlink ref="A354" r:id="rId356"/>
    <hyperlink ref="A355" r:id="rId357"/>
    <hyperlink ref="A356" r:id="rId358"/>
    <hyperlink ref="A357" r:id="rId359"/>
    <hyperlink ref="A359" r:id="rId360"/>
    <hyperlink ref="A360" r:id="rId361"/>
    <hyperlink ref="A361" r:id="rId362"/>
    <hyperlink ref="A362" r:id="rId363"/>
    <hyperlink ref="A363" r:id="rId364"/>
    <hyperlink ref="A364" r:id="rId365"/>
    <hyperlink ref="A365" r:id="rId366"/>
    <hyperlink ref="A366" r:id="rId367"/>
    <hyperlink ref="A368" r:id="rId368"/>
    <hyperlink ref="A369" r:id="rId369"/>
    <hyperlink ref="A370" r:id="rId370"/>
    <hyperlink ref="A371" r:id="rId371"/>
    <hyperlink ref="A372" r:id="rId372"/>
    <hyperlink ref="A373" r:id="rId373"/>
    <hyperlink ref="A374" r:id="rId374"/>
    <hyperlink ref="A375" r:id="rId375"/>
    <hyperlink ref="A445" r:id="rId376"/>
    <hyperlink ref="A446" r:id="rId377"/>
    <hyperlink ref="A232" r:id="rId378"/>
    <hyperlink ref="A237" r:id="rId379"/>
    <hyperlink ref="A470" r:id="rId380"/>
    <hyperlink ref="A384" r:id="rId381"/>
    <hyperlink ref="A396" r:id="rId382"/>
    <hyperlink ref="A447" r:id="rId383"/>
    <hyperlink ref="A448" r:id="rId384" display="CNWI-QAAS-F131"/>
    <hyperlink ref="A269" r:id="rId385"/>
    <hyperlink ref="A673" r:id="rId386"/>
    <hyperlink ref="A203" r:id="rId387"/>
    <hyperlink ref="A204" r:id="rId388"/>
    <hyperlink ref="A220:A221" r:id="rId389" display="CNWI-MTTO-F022"/>
    <hyperlink ref="A436" r:id="rId390"/>
    <hyperlink ref="A398" r:id="rId391"/>
    <hyperlink ref="A205" r:id="rId392"/>
    <hyperlink ref="A406" r:id="rId393"/>
    <hyperlink ref="A143" r:id="rId394"/>
    <hyperlink ref="A410" r:id="rId395"/>
    <hyperlink ref="A144" r:id="rId396"/>
    <hyperlink ref="A145" r:id="rId397"/>
    <hyperlink ref="A422" r:id="rId398"/>
    <hyperlink ref="A146" r:id="rId399"/>
    <hyperlink ref="A414" r:id="rId400"/>
    <hyperlink ref="A674" r:id="rId401"/>
    <hyperlink ref="A147" r:id="rId402"/>
    <hyperlink ref="A207" r:id="rId403"/>
    <hyperlink ref="A419" r:id="rId404"/>
    <hyperlink ref="A439" r:id="rId405"/>
    <hyperlink ref="A440" r:id="rId406"/>
    <hyperlink ref="A381" r:id="rId407"/>
    <hyperlink ref="A451" r:id="rId408"/>
    <hyperlink ref="A452" r:id="rId409"/>
    <hyperlink ref="A453" r:id="rId410"/>
    <hyperlink ref="A416" r:id="rId411"/>
    <hyperlink ref="A426" r:id="rId412"/>
    <hyperlink ref="A175" r:id="rId413"/>
    <hyperlink ref="A209" r:id="rId414"/>
    <hyperlink ref="A208" r:id="rId415"/>
    <hyperlink ref="A142" r:id="rId416"/>
    <hyperlink ref="A376" r:id="rId417"/>
    <hyperlink ref="A377" r:id="rId418"/>
    <hyperlink ref="A378" r:id="rId419"/>
    <hyperlink ref="A379" r:id="rId420"/>
    <hyperlink ref="A382" r:id="rId421"/>
    <hyperlink ref="A383" r:id="rId422"/>
    <hyperlink ref="A385" r:id="rId423"/>
    <hyperlink ref="A386" r:id="rId424"/>
    <hyperlink ref="A387" r:id="rId425"/>
    <hyperlink ref="A388" r:id="rId426"/>
    <hyperlink ref="A389" r:id="rId427"/>
    <hyperlink ref="A390" r:id="rId428"/>
    <hyperlink ref="A391" r:id="rId429"/>
    <hyperlink ref="A392" r:id="rId430"/>
    <hyperlink ref="A393" r:id="rId431" display="CNWI=QAAS-F078"/>
    <hyperlink ref="A394" r:id="rId432"/>
    <hyperlink ref="A395" r:id="rId433"/>
    <hyperlink ref="A399" r:id="rId434"/>
    <hyperlink ref="A400" r:id="rId435"/>
    <hyperlink ref="A401" r:id="rId436"/>
    <hyperlink ref="A402" r:id="rId437"/>
    <hyperlink ref="A403" r:id="rId438"/>
    <hyperlink ref="A404" r:id="rId439"/>
    <hyperlink ref="A405" r:id="rId440"/>
    <hyperlink ref="A407" r:id="rId441"/>
    <hyperlink ref="A408" r:id="rId442"/>
    <hyperlink ref="A409" r:id="rId443"/>
    <hyperlink ref="A411" r:id="rId444"/>
    <hyperlink ref="A412" r:id="rId445"/>
    <hyperlink ref="A413" r:id="rId446"/>
    <hyperlink ref="A415" r:id="rId447"/>
    <hyperlink ref="A417" r:id="rId448"/>
    <hyperlink ref="A418" r:id="rId449"/>
    <hyperlink ref="A420" r:id="rId450"/>
    <hyperlink ref="A421" r:id="rId451"/>
    <hyperlink ref="A423" r:id="rId452"/>
    <hyperlink ref="A425" r:id="rId453"/>
    <hyperlink ref="A427" r:id="rId454"/>
    <hyperlink ref="A428" r:id="rId455"/>
    <hyperlink ref="A429" r:id="rId456"/>
    <hyperlink ref="A430" r:id="rId457"/>
    <hyperlink ref="A431" r:id="rId458"/>
    <hyperlink ref="A432" r:id="rId459"/>
    <hyperlink ref="A434" r:id="rId460"/>
    <hyperlink ref="A435" r:id="rId461"/>
    <hyperlink ref="A441" r:id="rId462"/>
    <hyperlink ref="A449" r:id="rId463"/>
    <hyperlink ref="A450" r:id="rId464"/>
    <hyperlink ref="A454" r:id="rId465"/>
    <hyperlink ref="A456" r:id="rId466"/>
    <hyperlink ref="A500" r:id="rId467"/>
    <hyperlink ref="A501" r:id="rId468"/>
    <hyperlink ref="A502" r:id="rId469"/>
    <hyperlink ref="A503" r:id="rId470"/>
    <hyperlink ref="A504" r:id="rId471"/>
    <hyperlink ref="A505" r:id="rId472"/>
    <hyperlink ref="A506" r:id="rId473"/>
    <hyperlink ref="A233" r:id="rId474"/>
    <hyperlink ref="A234" r:id="rId475"/>
    <hyperlink ref="A235" r:id="rId476"/>
    <hyperlink ref="A236" r:id="rId477"/>
    <hyperlink ref="A238" r:id="rId478"/>
    <hyperlink ref="A239" r:id="rId479"/>
    <hyperlink ref="A240" r:id="rId480"/>
    <hyperlink ref="A241" r:id="rId481"/>
    <hyperlink ref="A242" r:id="rId482"/>
    <hyperlink ref="A243" r:id="rId483"/>
    <hyperlink ref="A244" r:id="rId484"/>
    <hyperlink ref="A245" r:id="rId485"/>
    <hyperlink ref="A246" r:id="rId486"/>
    <hyperlink ref="A247" r:id="rId487"/>
    <hyperlink ref="A248" r:id="rId488"/>
    <hyperlink ref="A249" r:id="rId489"/>
    <hyperlink ref="A250" r:id="rId490"/>
    <hyperlink ref="A251" r:id="rId491"/>
    <hyperlink ref="A252" r:id="rId492"/>
    <hyperlink ref="A253" r:id="rId493"/>
    <hyperlink ref="A254" r:id="rId494"/>
    <hyperlink ref="A255" r:id="rId495"/>
    <hyperlink ref="A256" r:id="rId496"/>
    <hyperlink ref="A257" r:id="rId497"/>
    <hyperlink ref="A258" r:id="rId498"/>
    <hyperlink ref="A259" r:id="rId499"/>
    <hyperlink ref="A260" r:id="rId500"/>
    <hyperlink ref="A261" r:id="rId501"/>
    <hyperlink ref="A262" r:id="rId502"/>
    <hyperlink ref="A263" r:id="rId503"/>
    <hyperlink ref="A264" r:id="rId504"/>
    <hyperlink ref="A265" r:id="rId505"/>
    <hyperlink ref="A266" r:id="rId506"/>
    <hyperlink ref="A267" r:id="rId507"/>
    <hyperlink ref="A268" r:id="rId508"/>
    <hyperlink ref="A270" r:id="rId509"/>
    <hyperlink ref="A271" r:id="rId510"/>
    <hyperlink ref="A210" r:id="rId511"/>
    <hyperlink ref="A148" r:id="rId512"/>
    <hyperlink ref="A457" r:id="rId513"/>
    <hyperlink ref="A380" r:id="rId514"/>
    <hyperlink ref="A397" r:id="rId515"/>
    <hyperlink ref="A438" r:id="rId516"/>
    <hyperlink ref="A455" r:id="rId517"/>
    <hyperlink ref="A507" r:id="rId518"/>
    <hyperlink ref="A141" r:id="rId519"/>
    <hyperlink ref="A211" r:id="rId520"/>
    <hyperlink ref="A458" r:id="rId521"/>
    <hyperlink ref="A176" r:id="rId522"/>
    <hyperlink ref="A196:A198" r:id="rId523" display="CNWI-HMRS-F018"/>
    <hyperlink ref="A177" r:id="rId524"/>
    <hyperlink ref="A178" r:id="rId525"/>
    <hyperlink ref="A149" r:id="rId526"/>
    <hyperlink ref="A459" r:id="rId527"/>
    <hyperlink ref="A150" r:id="rId528"/>
    <hyperlink ref="A151" r:id="rId529"/>
    <hyperlink ref="A460" r:id="rId530"/>
    <hyperlink ref="A461" r:id="rId531" display="CNWI-QAAS-F152"/>
    <hyperlink ref="A179" r:id="rId532"/>
    <hyperlink ref="A214" r:id="rId533"/>
    <hyperlink ref="A213" r:id="rId534"/>
    <hyperlink ref="A152" r:id="rId535"/>
    <hyperlink ref="A925" r:id="rId536"/>
    <hyperlink ref="A924" r:id="rId537"/>
    <hyperlink ref="A923" r:id="rId538"/>
    <hyperlink ref="A922" r:id="rId539"/>
    <hyperlink ref="A206" r:id="rId540"/>
    <hyperlink ref="A961" r:id="rId541"/>
    <hyperlink ref="A963" r:id="rId542" display=" F-QAAS-09-001"/>
    <hyperlink ref="A968" r:id="rId543"/>
    <hyperlink ref="A966" r:id="rId544"/>
    <hyperlink ref="A962" r:id="rId545"/>
    <hyperlink ref="A965" r:id="rId546"/>
    <hyperlink ref="A973" r:id="rId547"/>
    <hyperlink ref="A964" r:id="rId548"/>
    <hyperlink ref="A971" r:id="rId549"/>
    <hyperlink ref="A970" r:id="rId550"/>
    <hyperlink ref="A967" r:id="rId551"/>
    <hyperlink ref="A972" r:id="rId552"/>
    <hyperlink ref="A969" r:id="rId553"/>
    <hyperlink ref="A1122" r:id="rId554"/>
    <hyperlink ref="A1070" r:id="rId555"/>
    <hyperlink ref="A1071" r:id="rId556"/>
    <hyperlink ref="A1072" r:id="rId557"/>
    <hyperlink ref="A1131" r:id="rId558"/>
    <hyperlink ref="A1104" r:id="rId559"/>
    <hyperlink ref="A1120" r:id="rId560"/>
    <hyperlink ref="A1105" r:id="rId561"/>
    <hyperlink ref="A1134" r:id="rId562"/>
    <hyperlink ref="A1074" r:id="rId563"/>
    <hyperlink ref="A1075" r:id="rId564"/>
    <hyperlink ref="A1076" r:id="rId565"/>
    <hyperlink ref="A1133" r:id="rId566"/>
    <hyperlink ref="A1117" r:id="rId567"/>
    <hyperlink ref="A1077" r:id="rId568"/>
    <hyperlink ref="A1153" r:id="rId569"/>
    <hyperlink ref="A1123" r:id="rId570"/>
    <hyperlink ref="A1132" r:id="rId571"/>
    <hyperlink ref="A1135" r:id="rId572"/>
    <hyperlink ref="A1136" r:id="rId573"/>
    <hyperlink ref="A1147" r:id="rId574"/>
    <hyperlink ref="A1152" r:id="rId575"/>
    <hyperlink ref="A1078" r:id="rId576"/>
    <hyperlink ref="A1107" r:id="rId577"/>
    <hyperlink ref="A1148" r:id="rId578"/>
    <hyperlink ref="A1124" r:id="rId579"/>
    <hyperlink ref="A1108" r:id="rId580"/>
    <hyperlink ref="A1109" r:id="rId581"/>
    <hyperlink ref="A1154" r:id="rId582"/>
    <hyperlink ref="A1155" r:id="rId583"/>
    <hyperlink ref="A1156" r:id="rId584"/>
    <hyperlink ref="A1125" r:id="rId585"/>
    <hyperlink ref="A1157" r:id="rId586"/>
    <hyperlink ref="A1118" r:id="rId587"/>
    <hyperlink ref="A1150" r:id="rId588"/>
    <hyperlink ref="A1106" r:id="rId589"/>
    <hyperlink ref="A1079" r:id="rId590"/>
    <hyperlink ref="A1158" r:id="rId591"/>
    <hyperlink ref="A1080" r:id="rId592"/>
    <hyperlink ref="A1081" r:id="rId593"/>
    <hyperlink ref="A1082" r:id="rId594"/>
    <hyperlink ref="A1083" r:id="rId595"/>
    <hyperlink ref="A1084" r:id="rId596"/>
    <hyperlink ref="A1073" r:id="rId597"/>
    <hyperlink ref="A1085" r:id="rId598"/>
    <hyperlink ref="A1086" r:id="rId599"/>
    <hyperlink ref="A1087" r:id="rId600"/>
    <hyperlink ref="A1088" r:id="rId601"/>
    <hyperlink ref="A1089" r:id="rId602"/>
    <hyperlink ref="A1121" r:id="rId603"/>
    <hyperlink ref="A1149" r:id="rId604"/>
    <hyperlink ref="A1090" r:id="rId605"/>
    <hyperlink ref="A1091" r:id="rId606"/>
    <hyperlink ref="A1094" r:id="rId607"/>
    <hyperlink ref="A1126" r:id="rId608"/>
    <hyperlink ref="A1097" r:id="rId609"/>
    <hyperlink ref="A1095" r:id="rId610"/>
    <hyperlink ref="A1110" r:id="rId611"/>
    <hyperlink ref="A1096" r:id="rId612"/>
    <hyperlink ref="A1111" r:id="rId613"/>
    <hyperlink ref="A523" r:id="rId614"/>
    <hyperlink ref="A519" r:id="rId615"/>
    <hyperlink ref="A532" r:id="rId616"/>
    <hyperlink ref="A535" r:id="rId617"/>
    <hyperlink ref="A551" r:id="rId618"/>
    <hyperlink ref="A552" r:id="rId619"/>
    <hyperlink ref="A570" r:id="rId620"/>
    <hyperlink ref="A594" r:id="rId621"/>
    <hyperlink ref="A607" r:id="rId622"/>
    <hyperlink ref="A608" r:id="rId623"/>
    <hyperlink ref="A609" r:id="rId624"/>
    <hyperlink ref="A618" r:id="rId625"/>
    <hyperlink ref="A620" r:id="rId626"/>
    <hyperlink ref="A622" r:id="rId627"/>
    <hyperlink ref="A624" r:id="rId628"/>
    <hyperlink ref="A508" r:id="rId629"/>
    <hyperlink ref="A509" r:id="rId630"/>
    <hyperlink ref="A510" r:id="rId631"/>
    <hyperlink ref="A511" r:id="rId632"/>
    <hyperlink ref="A520" r:id="rId633"/>
    <hyperlink ref="A522" r:id="rId634"/>
    <hyperlink ref="A541" r:id="rId635"/>
    <hyperlink ref="A548" r:id="rId636"/>
    <hyperlink ref="A555" r:id="rId637"/>
    <hyperlink ref="A556" r:id="rId638"/>
    <hyperlink ref="A561" r:id="rId639"/>
    <hyperlink ref="A562" r:id="rId640"/>
    <hyperlink ref="A591" r:id="rId641"/>
    <hyperlink ref="A601" r:id="rId642"/>
    <hyperlink ref="A602" r:id="rId643"/>
    <hyperlink ref="A610" r:id="rId644"/>
    <hyperlink ref="A615" r:id="rId645"/>
    <hyperlink ref="A625" r:id="rId646"/>
    <hyperlink ref="A626" r:id="rId647"/>
    <hyperlink ref="A627" r:id="rId648"/>
    <hyperlink ref="A605" r:id="rId649"/>
    <hyperlink ref="A628" r:id="rId650"/>
    <hyperlink ref="A630" r:id="rId651"/>
    <hyperlink ref="A638" r:id="rId652"/>
    <hyperlink ref="A648" r:id="rId653"/>
    <hyperlink ref="A649" r:id="rId654"/>
    <hyperlink ref="A521" r:id="rId655"/>
    <hyperlink ref="A534" r:id="rId656"/>
    <hyperlink ref="A536" r:id="rId657"/>
    <hyperlink ref="A539" r:id="rId658"/>
    <hyperlink ref="A540" r:id="rId659"/>
    <hyperlink ref="A542" r:id="rId660"/>
    <hyperlink ref="A549" r:id="rId661"/>
    <hyperlink ref="A550" r:id="rId662"/>
    <hyperlink ref="A571" r:id="rId663"/>
    <hyperlink ref="A583" r:id="rId664"/>
    <hyperlink ref="A586" r:id="rId665"/>
    <hyperlink ref="A612" r:id="rId666"/>
    <hyperlink ref="A613" r:id="rId667"/>
    <hyperlink ref="A614" r:id="rId668"/>
    <hyperlink ref="A616" r:id="rId669"/>
    <hyperlink ref="A621" r:id="rId670"/>
    <hyperlink ref="A629" r:id="rId671"/>
    <hyperlink ref="A632" r:id="rId672"/>
    <hyperlink ref="A639" r:id="rId673"/>
    <hyperlink ref="A640" r:id="rId674"/>
    <hyperlink ref="A512" r:id="rId675"/>
    <hyperlink ref="A584" r:id="rId676"/>
    <hyperlink ref="A585" r:id="rId677"/>
    <hyperlink ref="A590" r:id="rId678"/>
    <hyperlink ref="A597" r:id="rId679"/>
    <hyperlink ref="A598" r:id="rId680"/>
    <hyperlink ref="A599" r:id="rId681"/>
    <hyperlink ref="A600" r:id="rId682"/>
    <hyperlink ref="A635" r:id="rId683"/>
    <hyperlink ref="A641" r:id="rId684"/>
    <hyperlink ref="A513" r:id="rId685"/>
    <hyperlink ref="A514" r:id="rId686"/>
    <hyperlink ref="A515" r:id="rId687"/>
    <hyperlink ref="A516" r:id="rId688"/>
    <hyperlink ref="A517" r:id="rId689"/>
    <hyperlink ref="A518" r:id="rId690"/>
    <hyperlink ref="A568" r:id="rId691"/>
    <hyperlink ref="A569" r:id="rId692"/>
    <hyperlink ref="A582" r:id="rId693"/>
    <hyperlink ref="A611" r:id="rId694"/>
    <hyperlink ref="A631" r:id="rId695"/>
    <hyperlink ref="A636" r:id="rId696"/>
    <hyperlink ref="A524" r:id="rId697"/>
    <hyperlink ref="A525" r:id="rId698"/>
    <hyperlink ref="A527" r:id="rId699"/>
    <hyperlink ref="A528" r:id="rId700"/>
    <hyperlink ref="A529" r:id="rId701"/>
    <hyperlink ref="A533" r:id="rId702"/>
    <hyperlink ref="A538" r:id="rId703"/>
    <hyperlink ref="A543" r:id="rId704"/>
    <hyperlink ref="A544" r:id="rId705"/>
    <hyperlink ref="A545" r:id="rId706"/>
    <hyperlink ref="A546" r:id="rId707"/>
    <hyperlink ref="A553" r:id="rId708"/>
    <hyperlink ref="A554" r:id="rId709"/>
    <hyperlink ref="A557" r:id="rId710"/>
    <hyperlink ref="A560" r:id="rId711"/>
    <hyperlink ref="A566" r:id="rId712"/>
    <hyperlink ref="A567" r:id="rId713"/>
    <hyperlink ref="A575" r:id="rId714"/>
    <hyperlink ref="A577" r:id="rId715"/>
    <hyperlink ref="A580" r:id="rId716"/>
    <hyperlink ref="A587" r:id="rId717"/>
    <hyperlink ref="A588" r:id="rId718"/>
    <hyperlink ref="A592" r:id="rId719"/>
    <hyperlink ref="A603" r:id="rId720"/>
    <hyperlink ref="A633" r:id="rId721"/>
    <hyperlink ref="A644" r:id="rId722"/>
    <hyperlink ref="A645" r:id="rId723"/>
    <hyperlink ref="A558" r:id="rId724"/>
    <hyperlink ref="A563" r:id="rId725"/>
    <hyperlink ref="A565" r:id="rId726"/>
    <hyperlink ref="A595" r:id="rId727"/>
    <hyperlink ref="A547" r:id="rId728"/>
    <hyperlink ref="A589" r:id="rId729"/>
    <hyperlink ref="A617" r:id="rId730"/>
    <hyperlink ref="A637" r:id="rId731"/>
    <hyperlink ref="A653" r:id="rId732"/>
    <hyperlink ref="A530" r:id="rId733"/>
    <hyperlink ref="A531" r:id="rId734"/>
    <hyperlink ref="A572" r:id="rId735"/>
    <hyperlink ref="A573" r:id="rId736"/>
    <hyperlink ref="A574" r:id="rId737"/>
    <hyperlink ref="A576" r:id="rId738"/>
    <hyperlink ref="A578" r:id="rId739"/>
    <hyperlink ref="A579" r:id="rId740"/>
    <hyperlink ref="A581" r:id="rId741"/>
    <hyperlink ref="A593" r:id="rId742"/>
    <hyperlink ref="A596" r:id="rId743"/>
    <hyperlink ref="A604" r:id="rId744"/>
    <hyperlink ref="A606" r:id="rId745"/>
    <hyperlink ref="A619" r:id="rId746"/>
    <hyperlink ref="A623" r:id="rId747"/>
    <hyperlink ref="A634" r:id="rId748"/>
    <hyperlink ref="A642" r:id="rId749"/>
    <hyperlink ref="A643" r:id="rId750"/>
    <hyperlink ref="A650" r:id="rId751"/>
    <hyperlink ref="A655" r:id="rId752"/>
    <hyperlink ref="A646" r:id="rId753"/>
    <hyperlink ref="A647" r:id="rId754"/>
    <hyperlink ref="A651" r:id="rId755"/>
    <hyperlink ref="A652" r:id="rId756"/>
    <hyperlink ref="A654" r:id="rId757"/>
    <hyperlink ref="A526" r:id="rId758"/>
    <hyperlink ref="A564" r:id="rId759"/>
    <hyperlink ref="A559" r:id="rId760"/>
    <hyperlink ref="A537" r:id="rId761"/>
    <hyperlink ref="A1128" r:id="rId762"/>
    <hyperlink ref="A1137" r:id="rId763"/>
    <hyperlink ref="A1138" r:id="rId764"/>
    <hyperlink ref="A1139" r:id="rId765"/>
    <hyperlink ref="A1140" r:id="rId766"/>
    <hyperlink ref="A1141" r:id="rId767"/>
    <hyperlink ref="A1142" r:id="rId768"/>
    <hyperlink ref="A1143" r:id="rId769"/>
    <hyperlink ref="A1144" r:id="rId770"/>
    <hyperlink ref="A1112" r:id="rId771"/>
    <hyperlink ref="A1098" r:id="rId772"/>
    <hyperlink ref="A1101" r:id="rId773"/>
    <hyperlink ref="A1103" r:id="rId774"/>
    <hyperlink ref="A1113" r:id="rId775"/>
    <hyperlink ref="A1099" r:id="rId776"/>
    <hyperlink ref="A1100" r:id="rId777"/>
    <hyperlink ref="A1159" r:id="rId778"/>
    <hyperlink ref="A1160" r:id="rId779"/>
    <hyperlink ref="A1115" r:id="rId780"/>
    <hyperlink ref="A1114" r:id="rId781"/>
    <hyperlink ref="A1145" r:id="rId782"/>
    <hyperlink ref="A1116" r:id="rId783"/>
    <hyperlink ref="A1146" r:id="rId784"/>
    <hyperlink ref="A1119" r:id="rId785"/>
    <hyperlink ref="A1151" r:id="rId786"/>
    <hyperlink ref="A1129" r:id="rId787"/>
    <hyperlink ref="A1130" r:id="rId788"/>
    <hyperlink ref="A1102" r:id="rId789"/>
    <hyperlink ref="A921" r:id="rId790"/>
    <hyperlink ref="N841" r:id="rId791"/>
    <hyperlink ref="N843" r:id="rId792"/>
    <hyperlink ref="N974" r:id="rId793"/>
    <hyperlink ref="N842" r:id="rId794"/>
    <hyperlink ref="N675" r:id="rId795"/>
    <hyperlink ref="N826" r:id="rId796"/>
    <hyperlink ref="N831" r:id="rId797"/>
    <hyperlink ref="N1063" r:id="rId798"/>
    <hyperlink ref="N975" r:id="rId799"/>
    <hyperlink ref="N836" r:id="rId800"/>
    <hyperlink ref="N827" r:id="rId801"/>
    <hyperlink ref="N832" r:id="rId802"/>
    <hyperlink ref="N1064" r:id="rId803"/>
    <hyperlink ref="N837" r:id="rId804"/>
    <hyperlink ref="N828" r:id="rId805"/>
    <hyperlink ref="N833" r:id="rId806"/>
    <hyperlink ref="N1065" r:id="rId807"/>
    <hyperlink ref="N838" r:id="rId808"/>
    <hyperlink ref="N830" r:id="rId809"/>
    <hyperlink ref="N829" r:id="rId810"/>
    <hyperlink ref="N834" r:id="rId811"/>
    <hyperlink ref="N977" r:id="rId812"/>
    <hyperlink ref="N835" r:id="rId813"/>
    <hyperlink ref="N1067" r:id="rId814"/>
    <hyperlink ref="N979" r:id="rId815"/>
    <hyperlink ref="N840" r:id="rId816"/>
    <hyperlink ref="N1066" r:id="rId817"/>
    <hyperlink ref="N978" r:id="rId818"/>
    <hyperlink ref="N839" r:id="rId819"/>
    <hyperlink ref="N976" r:id="rId820"/>
    <hyperlink ref="A717" r:id="rId821"/>
    <hyperlink ref="A716" r:id="rId822"/>
    <hyperlink ref="A676" r:id="rId823"/>
    <hyperlink ref="A677" r:id="rId824"/>
    <hyperlink ref="A678" r:id="rId825"/>
    <hyperlink ref="A679" r:id="rId826"/>
    <hyperlink ref="A680" r:id="rId827"/>
    <hyperlink ref="A681" r:id="rId828"/>
    <hyperlink ref="A682" r:id="rId829"/>
    <hyperlink ref="A683" r:id="rId830"/>
    <hyperlink ref="A684" r:id="rId831"/>
    <hyperlink ref="A786" r:id="rId832"/>
    <hyperlink ref="A787" r:id="rId833"/>
    <hyperlink ref="A788" r:id="rId834"/>
    <hyperlink ref="A789" r:id="rId835"/>
    <hyperlink ref="A718" r:id="rId836"/>
    <hyperlink ref="A719" r:id="rId837"/>
    <hyperlink ref="A720" r:id="rId838"/>
    <hyperlink ref="A763" r:id="rId839"/>
    <hyperlink ref="A764" r:id="rId840"/>
    <hyperlink ref="A765" r:id="rId841"/>
    <hyperlink ref="A790" r:id="rId842"/>
    <hyperlink ref="A791" r:id="rId843"/>
    <hyperlink ref="A877:A880" r:id="rId844" display="CP-A&amp;B-012"/>
    <hyperlink ref="A685" r:id="rId845"/>
    <hyperlink ref="A686" r:id="rId846"/>
    <hyperlink ref="A687" r:id="rId847"/>
    <hyperlink ref="A688" r:id="rId848"/>
    <hyperlink ref="A689" r:id="rId849" display="CP-A&amp;B-016"/>
    <hyperlink ref="A882:A884" r:id="rId850" display="CP-A&amp;B-016"/>
    <hyperlink ref="A690" r:id="rId851"/>
    <hyperlink ref="A691" r:id="rId852"/>
    <hyperlink ref="A692" r:id="rId853"/>
    <hyperlink ref="A695" r:id="rId854"/>
    <hyperlink ref="A694" r:id="rId855"/>
    <hyperlink ref="A696" r:id="rId856"/>
    <hyperlink ref="A699" r:id="rId857"/>
    <hyperlink ref="A700" r:id="rId858"/>
    <hyperlink ref="A702" r:id="rId859"/>
    <hyperlink ref="A703" r:id="rId860"/>
    <hyperlink ref="A704" r:id="rId861"/>
    <hyperlink ref="A705" r:id="rId862"/>
    <hyperlink ref="A693" r:id="rId863"/>
    <hyperlink ref="A698" r:id="rId864"/>
    <hyperlink ref="A701" r:id="rId865"/>
    <hyperlink ref="A721" r:id="rId866"/>
    <hyperlink ref="A792" r:id="rId867"/>
    <hyperlink ref="A793" r:id="rId868"/>
    <hyperlink ref="A794" r:id="rId869"/>
    <hyperlink ref="A795" r:id="rId870"/>
    <hyperlink ref="A706" r:id="rId871"/>
    <hyperlink ref="A707" r:id="rId872"/>
    <hyperlink ref="A708" r:id="rId873"/>
    <hyperlink ref="A709" r:id="rId874"/>
    <hyperlink ref="A796" r:id="rId875"/>
    <hyperlink ref="A710" r:id="rId876"/>
    <hyperlink ref="A711" r:id="rId877"/>
    <hyperlink ref="A735" r:id="rId878"/>
    <hyperlink ref="A697" r:id="rId879"/>
    <hyperlink ref="A766" r:id="rId880"/>
    <hyperlink ref="A811" r:id="rId881"/>
    <hyperlink ref="A812" r:id="rId882"/>
    <hyperlink ref="A813" r:id="rId883"/>
    <hyperlink ref="A814" r:id="rId884"/>
    <hyperlink ref="A815" r:id="rId885"/>
    <hyperlink ref="A816" r:id="rId886"/>
    <hyperlink ref="A817" r:id="rId887"/>
    <hyperlink ref="A818" r:id="rId888"/>
    <hyperlink ref="A785" r:id="rId889"/>
    <hyperlink ref="A819" r:id="rId890"/>
    <hyperlink ref="A820" r:id="rId891"/>
    <hyperlink ref="A821" r:id="rId892"/>
    <hyperlink ref="A822" r:id="rId893"/>
    <hyperlink ref="A823" r:id="rId894"/>
    <hyperlink ref="A824" r:id="rId895"/>
    <hyperlink ref="A784" r:id="rId896"/>
    <hyperlink ref="A854:A856" r:id="rId897" display="CP-AMSA-006"/>
    <hyperlink ref="A722" r:id="rId898"/>
    <hyperlink ref="A723" r:id="rId899"/>
    <hyperlink ref="A724" r:id="rId900"/>
    <hyperlink ref="A857:A859" r:id="rId901" display="CP-AMSA-009"/>
    <hyperlink ref="A728" r:id="rId902"/>
    <hyperlink ref="A861:A863" r:id="rId903" display="CP-AMSA-009"/>
    <hyperlink ref="A725" r:id="rId904"/>
    <hyperlink ref="A726" r:id="rId905"/>
    <hyperlink ref="A727" r:id="rId906"/>
    <hyperlink ref="A729" r:id="rId907"/>
    <hyperlink ref="A864:A866" r:id="rId908" display="CP-AMSA-009"/>
    <hyperlink ref="A734" r:id="rId909"/>
    <hyperlink ref="A733" r:id="rId910"/>
    <hyperlink ref="A825" r:id="rId911" display="CP-SOL-007"/>
    <hyperlink ref="A736" r:id="rId912"/>
    <hyperlink ref="A798" r:id="rId913"/>
    <hyperlink ref="A799" r:id="rId914"/>
    <hyperlink ref="A800" r:id="rId915"/>
    <hyperlink ref="A801" r:id="rId916"/>
    <hyperlink ref="A802" r:id="rId917"/>
    <hyperlink ref="A946:A948" r:id="rId918" display="CP-MS-018"/>
    <hyperlink ref="A803" r:id="rId919"/>
    <hyperlink ref="A737" r:id="rId920"/>
    <hyperlink ref="A804" r:id="rId921"/>
    <hyperlink ref="A949:A950" r:id="rId922" display="CP-MS-018"/>
    <hyperlink ref="A805" r:id="rId923"/>
    <hyperlink ref="A806" r:id="rId924"/>
    <hyperlink ref="A951:A953" r:id="rId925" display="CP-MS-018"/>
    <hyperlink ref="A807" r:id="rId926"/>
    <hyperlink ref="A808" r:id="rId927"/>
    <hyperlink ref="A809" r:id="rId928"/>
    <hyperlink ref="A767" r:id="rId929"/>
    <hyperlink ref="A768" r:id="rId930"/>
    <hyperlink ref="A769" r:id="rId931"/>
    <hyperlink ref="A770" r:id="rId932"/>
    <hyperlink ref="A771" r:id="rId933"/>
    <hyperlink ref="A772" r:id="rId934"/>
    <hyperlink ref="A773" r:id="rId935"/>
    <hyperlink ref="A774" r:id="rId936"/>
    <hyperlink ref="A775" r:id="rId937"/>
    <hyperlink ref="A776" r:id="rId938"/>
    <hyperlink ref="A777" r:id="rId939"/>
    <hyperlink ref="A778" r:id="rId940"/>
    <hyperlink ref="A779" r:id="rId941"/>
    <hyperlink ref="A780" r:id="rId942"/>
    <hyperlink ref="A781" r:id="rId943"/>
    <hyperlink ref="A782" r:id="rId944"/>
    <hyperlink ref="A783" r:id="rId945"/>
    <hyperlink ref="A797" r:id="rId946"/>
    <hyperlink ref="A712" r:id="rId947"/>
    <hyperlink ref="A905:A907" r:id="rId948" display="CP-A&amp;B-040"/>
    <hyperlink ref="A713" r:id="rId949"/>
    <hyperlink ref="A714" r:id="rId950"/>
    <hyperlink ref="A738" r:id="rId951"/>
    <hyperlink ref="A741" r:id="rId952"/>
    <hyperlink ref="A743" r:id="rId953"/>
    <hyperlink ref="A744" r:id="rId954"/>
    <hyperlink ref="A832:A835" r:id="rId955" display="CP-BOND-003"/>
    <hyperlink ref="A745" r:id="rId956"/>
    <hyperlink ref="A746" r:id="rId957"/>
    <hyperlink ref="A747" r:id="rId958"/>
    <hyperlink ref="A748" r:id="rId959"/>
    <hyperlink ref="A836:A843" r:id="rId960" display="CP-BOND-003"/>
    <hyperlink ref="A749" r:id="rId961"/>
    <hyperlink ref="A750" r:id="rId962"/>
    <hyperlink ref="A751" r:id="rId963"/>
    <hyperlink ref="A752" r:id="rId964"/>
    <hyperlink ref="A753" r:id="rId965"/>
    <hyperlink ref="A754" r:id="rId966"/>
    <hyperlink ref="A755" r:id="rId967"/>
    <hyperlink ref="A844:A847" r:id="rId968" display="CP-BOND-003"/>
    <hyperlink ref="A756" r:id="rId969"/>
    <hyperlink ref="A757" r:id="rId970"/>
    <hyperlink ref="A759" r:id="rId971"/>
    <hyperlink ref="A760" r:id="rId972"/>
    <hyperlink ref="A761" r:id="rId973"/>
    <hyperlink ref="A715" r:id="rId974"/>
    <hyperlink ref="A863" r:id="rId975"/>
    <hyperlink ref="A906" r:id="rId976"/>
    <hyperlink ref="A844" r:id="rId977"/>
    <hyperlink ref="A997:A998" r:id="rId978" display="FC-AMSA-001"/>
    <hyperlink ref="A845" r:id="rId979"/>
    <hyperlink ref="A846" r:id="rId980"/>
    <hyperlink ref="A999:A1007" r:id="rId981" display="FC-AMSA-003"/>
    <hyperlink ref="A1008:A1012" r:id="rId982" display="FC-AMSA-003"/>
    <hyperlink ref="A858" r:id="rId983"/>
    <hyperlink ref="A907" r:id="rId984"/>
    <hyperlink ref="A908" r:id="rId985"/>
    <hyperlink ref="A909" r:id="rId986"/>
    <hyperlink ref="A910" r:id="rId987"/>
    <hyperlink ref="A1037:A1040" r:id="rId988" display="FC-MS-004"/>
    <hyperlink ref="A912" r:id="rId989"/>
    <hyperlink ref="A913" r:id="rId990"/>
    <hyperlink ref="A865" r:id="rId991"/>
    <hyperlink ref="A1041:A1042" r:id="rId992" display="FC-MS-004"/>
    <hyperlink ref="A914" r:id="rId993"/>
    <hyperlink ref="A915" r:id="rId994"/>
    <hyperlink ref="A1043:A1045" r:id="rId995" display="FC-MS-004"/>
    <hyperlink ref="A916" r:id="rId996"/>
    <hyperlink ref="A917" r:id="rId997"/>
    <hyperlink ref="A918" r:id="rId998"/>
    <hyperlink ref="A919" r:id="rId999"/>
    <hyperlink ref="A890" r:id="rId1000"/>
    <hyperlink ref="A1018:A1020" r:id="rId1001" display="FC-CHGO-002"/>
    <hyperlink ref="A891" r:id="rId1002"/>
    <hyperlink ref="A894" r:id="rId1003"/>
    <hyperlink ref="A892" r:id="rId1004"/>
    <hyperlink ref="A1022:A1024" r:id="rId1005" display="FC-CHGO-002"/>
    <hyperlink ref="A893" r:id="rId1006"/>
    <hyperlink ref="A895" r:id="rId1007"/>
    <hyperlink ref="A896" r:id="rId1008"/>
    <hyperlink ref="A1025:A1028" r:id="rId1009" display="FC-CHGO-002"/>
    <hyperlink ref="A897" r:id="rId1010"/>
    <hyperlink ref="A898" r:id="rId1011"/>
    <hyperlink ref="A899" r:id="rId1012"/>
    <hyperlink ref="A1029:A1032" r:id="rId1013" display="FC-CHGO-002"/>
    <hyperlink ref="A900" r:id="rId1014"/>
    <hyperlink ref="A901" r:id="rId1015"/>
    <hyperlink ref="A903" r:id="rId1016"/>
    <hyperlink ref="A904" r:id="rId1017"/>
    <hyperlink ref="A905" r:id="rId1018"/>
    <hyperlink ref="A973:A981" r:id="rId1019" display="FC-BOND-003"/>
    <hyperlink ref="A866" r:id="rId1020"/>
    <hyperlink ref="A867" r:id="rId1021"/>
    <hyperlink ref="A868" r:id="rId1022"/>
    <hyperlink ref="A870" r:id="rId1023"/>
    <hyperlink ref="A982:A987" r:id="rId1024" display="FC-BOND-003"/>
    <hyperlink ref="A871" r:id="rId1025"/>
    <hyperlink ref="A872" r:id="rId1026"/>
    <hyperlink ref="A873" r:id="rId1027"/>
    <hyperlink ref="A874" r:id="rId1028"/>
    <hyperlink ref="A875" r:id="rId1029"/>
    <hyperlink ref="A876" r:id="rId1030"/>
    <hyperlink ref="A877" r:id="rId1031"/>
    <hyperlink ref="A878" r:id="rId1032"/>
    <hyperlink ref="A988:A992" r:id="rId1033" display="FC-BOND-003"/>
    <hyperlink ref="A879" r:id="rId1034"/>
    <hyperlink ref="A880" r:id="rId1035"/>
    <hyperlink ref="A881" r:id="rId1036"/>
    <hyperlink ref="A882" r:id="rId1037"/>
    <hyperlink ref="A883" r:id="rId1038"/>
    <hyperlink ref="A993:A995" r:id="rId1039" display="FC-BOND-003"/>
    <hyperlink ref="A884" r:id="rId1040"/>
    <hyperlink ref="A885" r:id="rId1041"/>
    <hyperlink ref="A886" r:id="rId1042"/>
    <hyperlink ref="A887" r:id="rId1043"/>
    <hyperlink ref="A864" r:id="rId1044"/>
    <hyperlink ref="A888" r:id="rId1045"/>
    <hyperlink ref="A847" r:id="rId1046"/>
    <hyperlink ref="A848" r:id="rId1047"/>
    <hyperlink ref="A849" r:id="rId1048"/>
    <hyperlink ref="A850" r:id="rId1049"/>
    <hyperlink ref="A851" r:id="rId1050"/>
    <hyperlink ref="A852" r:id="rId1051"/>
    <hyperlink ref="A853" r:id="rId1052"/>
    <hyperlink ref="A854" r:id="rId1053"/>
    <hyperlink ref="A855" r:id="rId1054"/>
    <hyperlink ref="A856" r:id="rId1055"/>
    <hyperlink ref="A857" r:id="rId1056"/>
    <hyperlink ref="A859" r:id="rId1057"/>
    <hyperlink ref="A860" r:id="rId1058"/>
    <hyperlink ref="A861" r:id="rId1059"/>
    <hyperlink ref="A862" r:id="rId1060"/>
    <hyperlink ref="A889" r:id="rId1061"/>
    <hyperlink ref="A902" r:id="rId1062"/>
    <hyperlink ref="A920" r:id="rId1063"/>
    <hyperlink ref="A926" r:id="rId1064"/>
    <hyperlink ref="A927" r:id="rId1065"/>
    <hyperlink ref="A944" r:id="rId1066"/>
    <hyperlink ref="A945" r:id="rId1067"/>
    <hyperlink ref="A946" r:id="rId1068"/>
    <hyperlink ref="A947" r:id="rId1069"/>
    <hyperlink ref="A948" r:id="rId1070"/>
    <hyperlink ref="A949" r:id="rId1071"/>
    <hyperlink ref="A950" r:id="rId1072"/>
    <hyperlink ref="A951" r:id="rId1073"/>
    <hyperlink ref="A952" r:id="rId1074" display="FMEA-MS-005"/>
    <hyperlink ref="A953" r:id="rId1075"/>
    <hyperlink ref="A954" r:id="rId1076"/>
    <hyperlink ref="A928" r:id="rId1077"/>
    <hyperlink ref="A1076:A1078" r:id="rId1078" display="FMEA-MS-005"/>
    <hyperlink ref="A955" r:id="rId1079"/>
    <hyperlink ref="A958" r:id="rId1080"/>
    <hyperlink ref="A956" r:id="rId1081"/>
    <hyperlink ref="A957" r:id="rId1082"/>
    <hyperlink ref="A930" r:id="rId1083"/>
    <hyperlink ref="A931" r:id="rId1084"/>
    <hyperlink ref="A932" r:id="rId1085"/>
    <hyperlink ref="A933" r:id="rId1086"/>
    <hyperlink ref="A935" r:id="rId1087"/>
    <hyperlink ref="A936" r:id="rId1088"/>
    <hyperlink ref="A937" r:id="rId1089"/>
    <hyperlink ref="A938" r:id="rId1090"/>
    <hyperlink ref="A939" r:id="rId1091"/>
    <hyperlink ref="A940" r:id="rId1092"/>
    <hyperlink ref="A942" r:id="rId1093"/>
    <hyperlink ref="A943" r:id="rId1094"/>
    <hyperlink ref="A1055" r:id="rId1095"/>
    <hyperlink ref="A992" r:id="rId1096"/>
    <hyperlink ref="A994" r:id="rId1097"/>
    <hyperlink ref="A995" r:id="rId1098"/>
    <hyperlink ref="A996" r:id="rId1099"/>
    <hyperlink ref="A997" r:id="rId1100"/>
    <hyperlink ref="A998" r:id="rId1101"/>
    <hyperlink ref="A999" r:id="rId1102"/>
    <hyperlink ref="A1000" r:id="rId1103"/>
    <hyperlink ref="A1001" r:id="rId1104"/>
    <hyperlink ref="A1056" r:id="rId1105"/>
    <hyperlink ref="A1008" r:id="rId1106"/>
    <hyperlink ref="A981" r:id="rId1107"/>
    <hyperlink ref="A982" r:id="rId1108"/>
    <hyperlink ref="A983" r:id="rId1109"/>
    <hyperlink ref="A984" r:id="rId1110"/>
    <hyperlink ref="A985" r:id="rId1111"/>
    <hyperlink ref="A1036" r:id="rId1112"/>
    <hyperlink ref="A1037" r:id="rId1113"/>
    <hyperlink ref="A1038" r:id="rId1114"/>
    <hyperlink ref="A1039" r:id="rId1115"/>
    <hyperlink ref="A1040" r:id="rId1116"/>
    <hyperlink ref="A1041" r:id="rId1117"/>
    <hyperlink ref="A1042" r:id="rId1118"/>
    <hyperlink ref="A1043" r:id="rId1119"/>
    <hyperlink ref="A1044" r:id="rId1120"/>
    <hyperlink ref="A1045" r:id="rId1121"/>
    <hyperlink ref="A1046" r:id="rId1122"/>
    <hyperlink ref="A991" r:id="rId1123"/>
    <hyperlink ref="A993" r:id="rId1124"/>
    <hyperlink ref="A1006" r:id="rId1125"/>
    <hyperlink ref="A1003" r:id="rId1126"/>
    <hyperlink ref="A1004" r:id="rId1127"/>
    <hyperlink ref="A1005" r:id="rId1128"/>
    <hyperlink ref="A986" r:id="rId1129"/>
    <hyperlink ref="A1009" r:id="rId1130"/>
    <hyperlink ref="A1010" r:id="rId1131"/>
    <hyperlink ref="A1011" r:id="rId1132"/>
    <hyperlink ref="A1012" r:id="rId1133"/>
    <hyperlink ref="A1026" r:id="rId1134"/>
    <hyperlink ref="A1027" r:id="rId1135"/>
    <hyperlink ref="A1029" r:id="rId1136"/>
    <hyperlink ref="A1048" r:id="rId1137"/>
    <hyperlink ref="A1049" r:id="rId1138"/>
    <hyperlink ref="A1050" r:id="rId1139"/>
    <hyperlink ref="A1051" r:id="rId1140"/>
    <hyperlink ref="A1052" r:id="rId1141"/>
    <hyperlink ref="A1053" r:id="rId1142"/>
    <hyperlink ref="A1030" r:id="rId1143"/>
    <hyperlink ref="A1031" r:id="rId1144"/>
    <hyperlink ref="A1032" r:id="rId1145"/>
    <hyperlink ref="A1033" r:id="rId1146"/>
    <hyperlink ref="A1057" r:id="rId1147"/>
    <hyperlink ref="A1013" r:id="rId1148"/>
    <hyperlink ref="A1014" r:id="rId1149"/>
    <hyperlink ref="A1015" r:id="rId1150"/>
    <hyperlink ref="A1016" r:id="rId1151"/>
    <hyperlink ref="A1020" r:id="rId1152"/>
    <hyperlink ref="A1021" r:id="rId1153"/>
    <hyperlink ref="A1022" r:id="rId1154"/>
    <hyperlink ref="A1023" r:id="rId1155"/>
    <hyperlink ref="A1117:A1119" r:id="rId1156" display="QA-IMA-004"/>
    <hyperlink ref="A1017" r:id="rId1157"/>
    <hyperlink ref="A1018" r:id="rId1158"/>
    <hyperlink ref="A1019" r:id="rId1159"/>
    <hyperlink ref="A1028" r:id="rId1160" display="QA-IPLUG-002"/>
    <hyperlink ref="A1034" r:id="rId1161"/>
    <hyperlink ref="A1007" r:id="rId1162"/>
    <hyperlink ref="A1058" r:id="rId1163" display="QA-SOL-001"/>
    <hyperlink ref="A1059" r:id="rId1164"/>
    <hyperlink ref="A1035" r:id="rId1165" display="QA-MRPK-005"/>
    <hyperlink ref="A1099:A1100" r:id="rId1166" display="QA-AMSA-001"/>
    <hyperlink ref="A987" r:id="rId1167"/>
    <hyperlink ref="A988" r:id="rId1168"/>
    <hyperlink ref="A989" r:id="rId1169"/>
    <hyperlink ref="A990" r:id="rId1170"/>
    <hyperlink ref="A1047" r:id="rId1171"/>
    <hyperlink ref="A1124:A1125" r:id="rId1172" display="QA-IMB-004"/>
    <hyperlink ref="A1054" r:id="rId1173"/>
    <hyperlink ref="A1060" r:id="rId1174"/>
    <hyperlink ref="A1002" r:id="rId1175"/>
    <hyperlink ref="A841" r:id="rId1176"/>
    <hyperlink ref="A843" r:id="rId1177"/>
    <hyperlink ref="A974" r:id="rId1178"/>
    <hyperlink ref="A842" r:id="rId1179"/>
    <hyperlink ref="A675" r:id="rId1180"/>
    <hyperlink ref="A826" r:id="rId1181"/>
    <hyperlink ref="A831" r:id="rId1182"/>
    <hyperlink ref="A1063" r:id="rId1183"/>
    <hyperlink ref="A975" r:id="rId1184"/>
    <hyperlink ref="A836" r:id="rId1185"/>
    <hyperlink ref="A827" r:id="rId1186"/>
    <hyperlink ref="A832" r:id="rId1187"/>
    <hyperlink ref="A1064" r:id="rId1188"/>
    <hyperlink ref="A837" r:id="rId1189"/>
    <hyperlink ref="A828" r:id="rId1190"/>
    <hyperlink ref="A833" r:id="rId1191"/>
    <hyperlink ref="A1065" r:id="rId1192"/>
    <hyperlink ref="A838" r:id="rId1193"/>
    <hyperlink ref="A830" r:id="rId1194"/>
    <hyperlink ref="A829" r:id="rId1195"/>
    <hyperlink ref="A834" r:id="rId1196"/>
    <hyperlink ref="A977" r:id="rId1197"/>
    <hyperlink ref="A835" r:id="rId1198"/>
    <hyperlink ref="A1067" r:id="rId1199"/>
    <hyperlink ref="A979" r:id="rId1200"/>
    <hyperlink ref="A840" r:id="rId1201"/>
    <hyperlink ref="A1066" r:id="rId1202"/>
    <hyperlink ref="A978" r:id="rId1203"/>
    <hyperlink ref="A839" r:id="rId1204"/>
    <hyperlink ref="A976" r:id="rId1205"/>
    <hyperlink ref="A1092" r:id="rId1206"/>
    <hyperlink ref="A1093" r:id="rId1207"/>
    <hyperlink ref="A1127" r:id="rId1208"/>
  </hyperlinks>
  <pageMargins left="0.7" right="0.7" top="0.75" bottom="0.75" header="0.3" footer="0.3"/>
  <drawing r:id="rId1209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AO1160"/>
  <sheetViews>
    <sheetView topLeftCell="Z1" workbookViewId="0">
      <selection activeCell="Z1" sqref="A1:XFD1048576"/>
    </sheetView>
  </sheetViews>
  <sheetFormatPr defaultRowHeight="15"/>
  <cols>
    <col min="2" max="2" width="27.5703125" bestFit="1" customWidth="1"/>
    <col min="3" max="3" width="213" bestFit="1" customWidth="1"/>
    <col min="9" max="9" width="255.7109375" bestFit="1" customWidth="1"/>
    <col min="10" max="10" width="10.7109375" style="51" bestFit="1" customWidth="1"/>
    <col min="15" max="15" width="10.7109375" bestFit="1" customWidth="1"/>
    <col min="16" max="30" width="10.7109375" customWidth="1"/>
    <col min="34" max="35" width="10.7109375" customWidth="1"/>
  </cols>
  <sheetData>
    <row r="1" spans="2:41">
      <c r="B1" t="s">
        <v>0</v>
      </c>
      <c r="D1" t="s">
        <v>1</v>
      </c>
      <c r="F1" t="s">
        <v>5</v>
      </c>
      <c r="G1" t="s">
        <v>7</v>
      </c>
      <c r="H1" t="s">
        <v>9</v>
      </c>
      <c r="I1" t="s">
        <v>11</v>
      </c>
      <c r="J1" s="51" t="s">
        <v>12</v>
      </c>
      <c r="K1" t="s">
        <v>13</v>
      </c>
      <c r="L1" t="s">
        <v>16</v>
      </c>
      <c r="M1" t="s">
        <v>2802</v>
      </c>
      <c r="N1" t="s">
        <v>2803</v>
      </c>
      <c r="O1" t="s">
        <v>2804</v>
      </c>
      <c r="P1" t="s">
        <v>2805</v>
      </c>
      <c r="Q1" t="s">
        <v>3759</v>
      </c>
      <c r="R1" t="s">
        <v>3948</v>
      </c>
      <c r="S1" t="s">
        <v>3949</v>
      </c>
      <c r="T1" t="s">
        <v>3950</v>
      </c>
      <c r="U1" t="s">
        <v>3949</v>
      </c>
      <c r="V1" t="s">
        <v>3951</v>
      </c>
      <c r="W1" t="s">
        <v>3952</v>
      </c>
      <c r="X1" t="s">
        <v>3760</v>
      </c>
      <c r="Y1" t="s">
        <v>3761</v>
      </c>
      <c r="Z1" t="s">
        <v>3762</v>
      </c>
      <c r="AA1" t="s">
        <v>3763</v>
      </c>
      <c r="AB1" t="s">
        <v>3764</v>
      </c>
      <c r="AC1" t="s">
        <v>3765</v>
      </c>
      <c r="AD1" t="s">
        <v>3766</v>
      </c>
      <c r="AE1" t="s">
        <v>17</v>
      </c>
      <c r="AF1" t="s">
        <v>18</v>
      </c>
      <c r="AG1" t="s">
        <v>14</v>
      </c>
      <c r="AH1" t="s">
        <v>3767</v>
      </c>
      <c r="AI1" t="s">
        <v>3768</v>
      </c>
      <c r="AJ1" t="s">
        <v>3769</v>
      </c>
      <c r="AK1" t="s">
        <v>3770</v>
      </c>
      <c r="AL1" t="s">
        <v>3771</v>
      </c>
      <c r="AM1" t="s">
        <v>3772</v>
      </c>
      <c r="AN1" t="s">
        <v>3773</v>
      </c>
      <c r="AO1" t="s">
        <v>3774</v>
      </c>
    </row>
    <row r="2" spans="2:41">
      <c r="B2" t="s">
        <v>264</v>
      </c>
      <c r="C2" t="s">
        <v>3381</v>
      </c>
      <c r="D2">
        <v>3</v>
      </c>
      <c r="E2" t="s">
        <v>2791</v>
      </c>
      <c r="F2">
        <v>9</v>
      </c>
      <c r="G2">
        <v>23</v>
      </c>
      <c r="I2" t="s">
        <v>269</v>
      </c>
      <c r="J2" s="51">
        <v>40962</v>
      </c>
      <c r="K2" t="s">
        <v>159</v>
      </c>
      <c r="L2" t="s">
        <v>222</v>
      </c>
      <c r="M2">
        <v>3</v>
      </c>
      <c r="N2" t="str">
        <f>L2</f>
        <v>NAM\MA9769</v>
      </c>
      <c r="O2" s="51">
        <f>J2</f>
        <v>40962</v>
      </c>
      <c r="P2" s="51" t="str">
        <f>C2</f>
        <v>~/cdd/olddocs/Procedimientos/CNSOP-01 Control de Documentos del sistema de Calidad.pdf</v>
      </c>
      <c r="Q2" s="51" t="str">
        <f>E2</f>
        <v>pdf</v>
      </c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G2" t="s">
        <v>28</v>
      </c>
      <c r="AH2" s="51"/>
      <c r="AI2" s="51"/>
    </row>
    <row r="3" spans="2:41">
      <c r="B3" t="s">
        <v>270</v>
      </c>
      <c r="C3" t="s">
        <v>3382</v>
      </c>
      <c r="D3">
        <v>3</v>
      </c>
      <c r="E3" t="s">
        <v>2791</v>
      </c>
      <c r="F3">
        <v>9</v>
      </c>
      <c r="G3">
        <v>23</v>
      </c>
      <c r="I3" t="s">
        <v>271</v>
      </c>
      <c r="J3" s="51">
        <v>40949</v>
      </c>
      <c r="K3" t="s">
        <v>38</v>
      </c>
      <c r="L3" t="s">
        <v>222</v>
      </c>
      <c r="M3">
        <v>3</v>
      </c>
      <c r="N3" t="str">
        <f>L3</f>
        <v>NAM\MA9769</v>
      </c>
      <c r="O3" s="51">
        <f>J3</f>
        <v>40949</v>
      </c>
      <c r="P3" s="51" t="str">
        <f>C3</f>
        <v>~/cdd/olddocs/Procedimientos/CNSOP-02 Control de Registros de Calidad.pdf</v>
      </c>
      <c r="Q3" s="51" t="str">
        <f>E3</f>
        <v>pdf</v>
      </c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G3" t="s">
        <v>28</v>
      </c>
      <c r="AH3" s="51"/>
      <c r="AI3" s="51"/>
    </row>
    <row r="4" spans="2:41">
      <c r="B4" t="s">
        <v>272</v>
      </c>
      <c r="C4" t="s">
        <v>3383</v>
      </c>
      <c r="D4">
        <v>3</v>
      </c>
      <c r="E4" t="s">
        <v>2791</v>
      </c>
      <c r="F4">
        <v>9</v>
      </c>
      <c r="G4">
        <v>23</v>
      </c>
      <c r="I4" t="s">
        <v>273</v>
      </c>
      <c r="J4" s="51">
        <v>40959</v>
      </c>
      <c r="K4" t="s">
        <v>159</v>
      </c>
      <c r="L4" t="s">
        <v>222</v>
      </c>
      <c r="M4">
        <v>3</v>
      </c>
      <c r="N4" t="str">
        <f>L4</f>
        <v>NAM\MA9769</v>
      </c>
      <c r="O4" s="51">
        <f>J4</f>
        <v>40959</v>
      </c>
      <c r="P4" s="51" t="str">
        <f>C4</f>
        <v>~/cdd/olddocs/Procedimientos/CNSOP-03 Auditorias Internas.pdf</v>
      </c>
      <c r="Q4" s="51" t="str">
        <f>E4</f>
        <v>pdf</v>
      </c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G4" t="s">
        <v>28</v>
      </c>
      <c r="AH4" s="51"/>
      <c r="AI4" s="51"/>
    </row>
    <row r="5" spans="2:41">
      <c r="B5" t="s">
        <v>274</v>
      </c>
      <c r="C5" t="s">
        <v>3384</v>
      </c>
      <c r="D5">
        <v>3</v>
      </c>
      <c r="E5" t="s">
        <v>2791</v>
      </c>
      <c r="F5">
        <v>9</v>
      </c>
      <c r="G5">
        <v>23</v>
      </c>
      <c r="I5" t="s">
        <v>275</v>
      </c>
      <c r="J5" s="51">
        <v>40857</v>
      </c>
      <c r="K5" t="s">
        <v>159</v>
      </c>
      <c r="L5" t="s">
        <v>222</v>
      </c>
      <c r="M5">
        <v>3</v>
      </c>
      <c r="N5" t="str">
        <f>L5</f>
        <v>NAM\MA9769</v>
      </c>
      <c r="O5" s="51">
        <f>J5</f>
        <v>40857</v>
      </c>
      <c r="P5" s="51" t="str">
        <f>C5</f>
        <v>~/cdd/olddocs/Procedimientos/CNSOP-04 Manejo de material no conformante.pdf</v>
      </c>
      <c r="Q5" s="51" t="str">
        <f>E5</f>
        <v>pdf</v>
      </c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G5" t="s">
        <v>28</v>
      </c>
      <c r="AH5" s="51"/>
      <c r="AI5" s="51"/>
    </row>
    <row r="6" spans="2:41">
      <c r="B6" t="s">
        <v>276</v>
      </c>
      <c r="C6" t="s">
        <v>3385</v>
      </c>
      <c r="D6">
        <v>3</v>
      </c>
      <c r="E6" t="s">
        <v>2791</v>
      </c>
      <c r="F6">
        <v>9</v>
      </c>
      <c r="G6">
        <v>23</v>
      </c>
      <c r="I6" t="s">
        <v>277</v>
      </c>
      <c r="J6" s="51">
        <v>40939</v>
      </c>
      <c r="K6" t="s">
        <v>38</v>
      </c>
      <c r="L6" t="s">
        <v>222</v>
      </c>
      <c r="M6">
        <v>3</v>
      </c>
      <c r="N6" t="str">
        <f>L6</f>
        <v>NAM\MA9769</v>
      </c>
      <c r="O6" s="51">
        <f>J6</f>
        <v>40939</v>
      </c>
      <c r="P6" s="51" t="str">
        <f>C6</f>
        <v>~/cdd/olddocs/Procedimientos/CNSOP-05 Acciones Correctivas y Preventivas.pdf</v>
      </c>
      <c r="Q6" s="51" t="str">
        <f>E6</f>
        <v>pdf</v>
      </c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G6" t="s">
        <v>28</v>
      </c>
      <c r="AH6" s="51"/>
      <c r="AI6" s="51"/>
    </row>
    <row r="7" spans="2:41">
      <c r="B7" t="s">
        <v>219</v>
      </c>
      <c r="C7" t="s">
        <v>3243</v>
      </c>
      <c r="D7">
        <v>4</v>
      </c>
      <c r="E7" t="s">
        <v>2791</v>
      </c>
      <c r="F7">
        <v>4</v>
      </c>
      <c r="I7" t="s">
        <v>220</v>
      </c>
      <c r="J7" s="51">
        <v>40633</v>
      </c>
      <c r="K7" t="s">
        <v>27</v>
      </c>
      <c r="L7" t="s">
        <v>222</v>
      </c>
      <c r="M7">
        <v>3</v>
      </c>
      <c r="N7" t="str">
        <f>L7</f>
        <v>NAM\MA9769</v>
      </c>
      <c r="O7" s="51">
        <f>J7</f>
        <v>40633</v>
      </c>
      <c r="P7" s="51" t="str">
        <f>C7</f>
        <v>~/cdd/olddocs/Instructivos/CNWI-ENGI/CNWI-ENGI-0001 Control de Documentos y Datos.pdf</v>
      </c>
      <c r="Q7" s="51" t="str">
        <f>E7</f>
        <v>pdf</v>
      </c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G7" t="s">
        <v>28</v>
      </c>
      <c r="AH7" s="51"/>
      <c r="AI7" s="51"/>
    </row>
    <row r="8" spans="2:41">
      <c r="B8" t="s">
        <v>223</v>
      </c>
      <c r="C8" t="s">
        <v>3244</v>
      </c>
      <c r="D8">
        <v>4</v>
      </c>
      <c r="E8" t="s">
        <v>2791</v>
      </c>
      <c r="F8">
        <v>4</v>
      </c>
      <c r="I8" t="s">
        <v>224</v>
      </c>
      <c r="J8" s="51">
        <v>40633</v>
      </c>
      <c r="K8" t="s">
        <v>27</v>
      </c>
      <c r="L8" t="s">
        <v>222</v>
      </c>
      <c r="M8">
        <v>3</v>
      </c>
      <c r="N8" t="str">
        <f>L8</f>
        <v>NAM\MA9769</v>
      </c>
      <c r="O8" s="51">
        <f>J8</f>
        <v>40633</v>
      </c>
      <c r="P8" s="51" t="str">
        <f>C8</f>
        <v>~/cdd/olddocs/Instructivos/CNWI-ENGI/CNWI-ENGI-0002 Recibo y Distribuccion de dibujos.pdf</v>
      </c>
      <c r="Q8" s="51" t="str">
        <f>E8</f>
        <v>pdf</v>
      </c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G8" t="s">
        <v>28</v>
      </c>
      <c r="AH8" s="51"/>
      <c r="AI8" s="51"/>
    </row>
    <row r="9" spans="2:41">
      <c r="B9" t="s">
        <v>225</v>
      </c>
      <c r="C9" t="s">
        <v>3897</v>
      </c>
      <c r="D9">
        <v>4</v>
      </c>
      <c r="E9" t="s">
        <v>2791</v>
      </c>
      <c r="F9">
        <v>4</v>
      </c>
      <c r="I9" t="s">
        <v>226</v>
      </c>
      <c r="J9" s="51">
        <v>41114</v>
      </c>
      <c r="K9" t="s">
        <v>159</v>
      </c>
      <c r="L9" t="s">
        <v>222</v>
      </c>
      <c r="M9">
        <v>3</v>
      </c>
      <c r="N9" t="str">
        <f>L9</f>
        <v>NAM\MA9769</v>
      </c>
      <c r="O9" s="51">
        <f>J9</f>
        <v>41114</v>
      </c>
      <c r="P9" s="51" t="str">
        <f>C9</f>
        <v>~cdd/olddocs/Instructivos/CNWI-ENGI/CNWI-ENGI-0003 Cambios de Ingeniería _ECR-ECN_.pdf</v>
      </c>
      <c r="Q9" s="51" t="str">
        <f>E9</f>
        <v>pdf</v>
      </c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G9" t="s">
        <v>28</v>
      </c>
      <c r="AH9" s="51"/>
      <c r="AI9" s="51"/>
    </row>
    <row r="10" spans="2:41">
      <c r="B10" t="s">
        <v>1885</v>
      </c>
      <c r="C10" t="s">
        <v>3245</v>
      </c>
      <c r="D10">
        <v>4</v>
      </c>
      <c r="E10" t="s">
        <v>2791</v>
      </c>
      <c r="F10">
        <v>4</v>
      </c>
      <c r="I10" t="s">
        <v>1886</v>
      </c>
      <c r="J10" s="51">
        <v>40632</v>
      </c>
      <c r="K10" t="s">
        <v>27</v>
      </c>
      <c r="L10" t="s">
        <v>1888</v>
      </c>
      <c r="M10">
        <v>3</v>
      </c>
      <c r="N10" t="str">
        <f>L10</f>
        <v>NAM\MA7784</v>
      </c>
      <c r="O10" s="51">
        <f>J10</f>
        <v>40632</v>
      </c>
      <c r="P10" s="51" t="str">
        <f>C10</f>
        <v>~/cdd/olddocs/Instructivos/CNWI-ENGI/CNWI-ENGI-0004 Elaboración de Instrucciones de Trabajo INGENIERIA (WI).pdf</v>
      </c>
      <c r="Q10" s="51" t="str">
        <f>E10</f>
        <v>pdf</v>
      </c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G10" t="s">
        <v>28</v>
      </c>
      <c r="AH10" s="51"/>
      <c r="AI10" s="51"/>
    </row>
    <row r="11" spans="2:41">
      <c r="B11" t="s">
        <v>1889</v>
      </c>
      <c r="C11" t="s">
        <v>3246</v>
      </c>
      <c r="D11">
        <v>4</v>
      </c>
      <c r="E11" t="s">
        <v>2791</v>
      </c>
      <c r="F11">
        <v>4</v>
      </c>
      <c r="I11" t="s">
        <v>1890</v>
      </c>
      <c r="J11" s="51">
        <v>40731</v>
      </c>
      <c r="K11" t="s">
        <v>27</v>
      </c>
      <c r="L11" t="s">
        <v>1888</v>
      </c>
      <c r="M11">
        <v>3</v>
      </c>
      <c r="N11" t="str">
        <f>L11</f>
        <v>NAM\MA7784</v>
      </c>
      <c r="O11" s="51">
        <f>J11</f>
        <v>40731</v>
      </c>
      <c r="P11" s="51" t="str">
        <f>C11</f>
        <v>~/cdd/olddocs/Instructivos/CNWI-ENGI/CNWI-ENGI-0005 Maquina Moldeadora Auto-Jectors Modelo HS35-S.pdf</v>
      </c>
      <c r="Q11" s="51" t="str">
        <f>E11</f>
        <v>pdf</v>
      </c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G11" t="s">
        <v>28</v>
      </c>
      <c r="AH11" s="51"/>
      <c r="AI11" s="51"/>
    </row>
    <row r="12" spans="2:41">
      <c r="B12" t="s">
        <v>1891</v>
      </c>
      <c r="C12" t="s">
        <v>3247</v>
      </c>
      <c r="D12">
        <v>4</v>
      </c>
      <c r="E12" t="s">
        <v>2791</v>
      </c>
      <c r="F12">
        <v>4</v>
      </c>
      <c r="I12" t="s">
        <v>1892</v>
      </c>
      <c r="J12" s="51">
        <v>41074</v>
      </c>
      <c r="K12" t="s">
        <v>159</v>
      </c>
      <c r="L12" t="s">
        <v>1888</v>
      </c>
      <c r="M12">
        <v>3</v>
      </c>
      <c r="N12" t="str">
        <f>L12</f>
        <v>NAM\MA7784</v>
      </c>
      <c r="O12" s="51">
        <f>J12</f>
        <v>41074</v>
      </c>
      <c r="P12" s="51" t="str">
        <f>C12</f>
        <v>~/cdd/olddocs/Instructivos/CNWI-ENGI/CNWI-ENGI-0006 Preparación y Aplicación de la goma  (Chemlok).pdf</v>
      </c>
      <c r="Q12" s="51" t="str">
        <f>E12</f>
        <v>pdf</v>
      </c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G12" t="s">
        <v>28</v>
      </c>
      <c r="AH12" s="51"/>
      <c r="AI12" s="51"/>
    </row>
    <row r="13" spans="2:41">
      <c r="B13" t="s">
        <v>59</v>
      </c>
      <c r="C13" t="s">
        <v>3248</v>
      </c>
      <c r="D13">
        <v>4</v>
      </c>
      <c r="E13" t="s">
        <v>2791</v>
      </c>
      <c r="F13">
        <v>4</v>
      </c>
      <c r="I13" t="s">
        <v>61</v>
      </c>
      <c r="J13" s="51">
        <v>41061</v>
      </c>
      <c r="K13" t="s">
        <v>27</v>
      </c>
      <c r="L13" t="s">
        <v>63</v>
      </c>
      <c r="M13">
        <v>3</v>
      </c>
      <c r="N13" t="str">
        <f>L13</f>
        <v>NAM\D6B1B</v>
      </c>
      <c r="O13" s="51">
        <f>J13</f>
        <v>41061</v>
      </c>
      <c r="P13" s="51" t="str">
        <f>C13</f>
        <v>~/cdd/olddocs/Instructivos/CNWI-ENGI/CNWI-ENGI-0007 Maquina remachado de solar.pdf</v>
      </c>
      <c r="Q13" s="51" t="str">
        <f>E13</f>
        <v>pdf</v>
      </c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G13" t="s">
        <v>28</v>
      </c>
      <c r="AH13" s="51"/>
      <c r="AI13" s="51"/>
    </row>
    <row r="14" spans="2:41">
      <c r="B14" t="s">
        <v>1893</v>
      </c>
      <c r="C14" t="s">
        <v>3249</v>
      </c>
      <c r="D14">
        <v>4</v>
      </c>
      <c r="E14" t="s">
        <v>2791</v>
      </c>
      <c r="F14">
        <v>4</v>
      </c>
      <c r="I14" t="s">
        <v>1894</v>
      </c>
      <c r="J14" s="51">
        <v>40634</v>
      </c>
      <c r="K14" t="s">
        <v>27</v>
      </c>
      <c r="L14" t="s">
        <v>1888</v>
      </c>
      <c r="M14">
        <v>3</v>
      </c>
      <c r="N14" t="str">
        <f>L14</f>
        <v>NAM\MA7784</v>
      </c>
      <c r="O14" s="51">
        <f>J14</f>
        <v>40634</v>
      </c>
      <c r="P14" s="51" t="str">
        <f>C14</f>
        <v>~/cdd/olddocs/Instructivos/CNWI-ENGI/CNWI-ENGI-0008 Operación inserción manual de Contactos.pdf</v>
      </c>
      <c r="Q14" s="51" t="str">
        <f>E14</f>
        <v>pdf</v>
      </c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G14" t="s">
        <v>28</v>
      </c>
      <c r="AH14" s="51"/>
      <c r="AI14" s="51"/>
    </row>
    <row r="15" spans="2:41">
      <c r="B15" t="s">
        <v>1895</v>
      </c>
      <c r="C15" t="s">
        <v>3250</v>
      </c>
      <c r="D15">
        <v>4</v>
      </c>
      <c r="E15" t="s">
        <v>2791</v>
      </c>
      <c r="F15">
        <v>4</v>
      </c>
      <c r="I15" t="s">
        <v>1896</v>
      </c>
      <c r="J15" s="51">
        <v>40634</v>
      </c>
      <c r="K15" t="s">
        <v>27</v>
      </c>
      <c r="L15" t="s">
        <v>1888</v>
      </c>
      <c r="M15">
        <v>3</v>
      </c>
      <c r="N15" t="str">
        <f>L15</f>
        <v>NAM\MA7784</v>
      </c>
      <c r="O15" s="51">
        <f>J15</f>
        <v>40634</v>
      </c>
      <c r="P15" s="51" t="str">
        <f>C15</f>
        <v>~/cdd/olddocs/Instructivos/CNWI-ENGI/CNWI-ENGI-0009 Operación de cortadora Schleuniger 9500 A.pdf</v>
      </c>
      <c r="Q15" s="51" t="str">
        <f>E15</f>
        <v>pdf</v>
      </c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G15" t="s">
        <v>28</v>
      </c>
      <c r="AH15" s="51"/>
      <c r="AI15" s="51"/>
    </row>
    <row r="16" spans="2:41">
      <c r="B16" t="s">
        <v>1897</v>
      </c>
      <c r="C16" t="s">
        <v>3251</v>
      </c>
      <c r="D16">
        <v>4</v>
      </c>
      <c r="E16" t="s">
        <v>2791</v>
      </c>
      <c r="F16">
        <v>4</v>
      </c>
      <c r="I16" t="s">
        <v>1898</v>
      </c>
      <c r="J16" s="51">
        <v>40639</v>
      </c>
      <c r="K16" t="s">
        <v>27</v>
      </c>
      <c r="L16" t="s">
        <v>1888</v>
      </c>
      <c r="M16">
        <v>3</v>
      </c>
      <c r="N16" t="str">
        <f>L16</f>
        <v>NAM\MA7784</v>
      </c>
      <c r="O16" s="51">
        <f>J16</f>
        <v>40639</v>
      </c>
      <c r="P16" s="51" t="str">
        <f>C16</f>
        <v>~/cdd/olddocs/Instructivos/CNWI-ENGI/CNWI-ENGI-0010 Prueba Eléctrica de la Maquina Horizón 1500 volts.pdf</v>
      </c>
      <c r="Q16" s="51" t="str">
        <f>E16</f>
        <v>pdf</v>
      </c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G16" t="s">
        <v>28</v>
      </c>
      <c r="AH16" s="51"/>
      <c r="AI16" s="51"/>
    </row>
    <row r="17" spans="2:35">
      <c r="B17" t="s">
        <v>1899</v>
      </c>
      <c r="C17" t="s">
        <v>3252</v>
      </c>
      <c r="D17">
        <v>4</v>
      </c>
      <c r="E17" t="s">
        <v>2791</v>
      </c>
      <c r="F17">
        <v>4</v>
      </c>
      <c r="I17" t="s">
        <v>1900</v>
      </c>
      <c r="J17" s="51">
        <v>40735</v>
      </c>
      <c r="K17" t="s">
        <v>46</v>
      </c>
      <c r="L17" t="s">
        <v>1888</v>
      </c>
      <c r="M17">
        <v>3</v>
      </c>
      <c r="N17" t="str">
        <f>L17</f>
        <v>NAM\MA7784</v>
      </c>
      <c r="O17" s="51">
        <f>J17</f>
        <v>40735</v>
      </c>
      <c r="P17" s="51" t="str">
        <f>C17</f>
        <v>~/cdd/olddocs/Instructivos/CNWI-ENGI/CNWI-ENGI-0011 Remachado de cables en  máquina Daniels Modelos WA27F, WA22, WA27-309-2C, WA27-300BT-EP..pdf</v>
      </c>
      <c r="Q17" s="51" t="str">
        <f>E17</f>
        <v>pdf</v>
      </c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G17" t="s">
        <v>28</v>
      </c>
      <c r="AH17" s="51"/>
      <c r="AI17" s="51"/>
    </row>
    <row r="18" spans="2:35">
      <c r="B18" t="s">
        <v>1901</v>
      </c>
      <c r="C18" t="s">
        <v>3253</v>
      </c>
      <c r="D18">
        <v>4</v>
      </c>
      <c r="E18" t="s">
        <v>2791</v>
      </c>
      <c r="F18">
        <v>4</v>
      </c>
      <c r="I18" t="s">
        <v>1902</v>
      </c>
      <c r="J18" s="51">
        <v>40640</v>
      </c>
      <c r="K18" t="s">
        <v>27</v>
      </c>
      <c r="L18" t="s">
        <v>1888</v>
      </c>
      <c r="M18">
        <v>3</v>
      </c>
      <c r="N18" t="str">
        <f>L18</f>
        <v>NAM\MA7784</v>
      </c>
      <c r="O18" s="51">
        <f>J18</f>
        <v>40640</v>
      </c>
      <c r="P18" s="51" t="str">
        <f>C18</f>
        <v>~/cdd/olddocs/Instructivos/CNWI-ENGI/CNWI-ENGI-0012 Operación General de Empaque .pdf</v>
      </c>
      <c r="Q18" s="51" t="str">
        <f>E18</f>
        <v>pdf</v>
      </c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G18" t="s">
        <v>28</v>
      </c>
      <c r="AH18" s="51"/>
      <c r="AI18" s="51"/>
    </row>
    <row r="19" spans="2:35">
      <c r="B19" t="s">
        <v>1903</v>
      </c>
      <c r="C19" t="s">
        <v>3254</v>
      </c>
      <c r="D19">
        <v>4</v>
      </c>
      <c r="E19" t="s">
        <v>2791</v>
      </c>
      <c r="F19">
        <v>4</v>
      </c>
      <c r="I19" t="s">
        <v>1904</v>
      </c>
      <c r="J19" s="51">
        <v>40638</v>
      </c>
      <c r="K19" t="s">
        <v>27</v>
      </c>
      <c r="L19" t="s">
        <v>1888</v>
      </c>
      <c r="M19">
        <v>3</v>
      </c>
      <c r="N19" t="str">
        <f>L19</f>
        <v>NAM\MA7784</v>
      </c>
      <c r="O19" s="51">
        <f>J19</f>
        <v>40638</v>
      </c>
      <c r="P19" s="51" t="str">
        <f>C19</f>
        <v>~/cdd/olddocs/Instructivos/CNWI-ENGI/CNWI-ENGI-0013 Maquina Moldeadora Ahi-Top Modelo AHT.pdf</v>
      </c>
      <c r="Q19" s="51" t="str">
        <f>E19</f>
        <v>pdf</v>
      </c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G19" t="s">
        <v>28</v>
      </c>
      <c r="AH19" s="51"/>
      <c r="AI19" s="51"/>
    </row>
    <row r="20" spans="2:35">
      <c r="B20" t="s">
        <v>1905</v>
      </c>
      <c r="C20" t="s">
        <v>3255</v>
      </c>
      <c r="D20">
        <v>4</v>
      </c>
      <c r="E20" t="s">
        <v>2791</v>
      </c>
      <c r="F20">
        <v>4</v>
      </c>
      <c r="I20" t="s">
        <v>1906</v>
      </c>
      <c r="J20" s="51">
        <v>40647</v>
      </c>
      <c r="K20" t="s">
        <v>27</v>
      </c>
      <c r="L20" t="s">
        <v>1888</v>
      </c>
      <c r="M20">
        <v>3</v>
      </c>
      <c r="N20" t="str">
        <f>L20</f>
        <v>NAM\MA7784</v>
      </c>
      <c r="O20" s="51">
        <f>J20</f>
        <v>40647</v>
      </c>
      <c r="P20" s="51" t="str">
        <f>C20</f>
        <v>~/cdd/olddocs/Instructivos/CNWI-ENGI/CNWI-ENGI-0014 Prueba Eléctrica de 2000 Volts en Máquina Sotcher .pdf</v>
      </c>
      <c r="Q20" s="51" t="str">
        <f>E20</f>
        <v>pdf</v>
      </c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G20" t="s">
        <v>28</v>
      </c>
      <c r="AH20" s="51"/>
      <c r="AI20" s="51"/>
    </row>
    <row r="21" spans="2:35">
      <c r="B21" t="s">
        <v>1907</v>
      </c>
      <c r="C21" t="s">
        <v>3256</v>
      </c>
      <c r="D21">
        <v>4</v>
      </c>
      <c r="E21" t="s">
        <v>2791</v>
      </c>
      <c r="F21">
        <v>4</v>
      </c>
      <c r="I21" t="s">
        <v>1908</v>
      </c>
      <c r="J21" s="51">
        <v>40638</v>
      </c>
      <c r="K21" t="s">
        <v>27</v>
      </c>
      <c r="L21" t="s">
        <v>1888</v>
      </c>
      <c r="M21">
        <v>3</v>
      </c>
      <c r="N21" t="str">
        <f>L21</f>
        <v>NAM\MA7784</v>
      </c>
      <c r="O21" s="51">
        <f>J21</f>
        <v>40638</v>
      </c>
      <c r="P21" s="51" t="str">
        <f>C21</f>
        <v>~/cdd/olddocs/Instructivos/CNWI-ENGI/CNWI-ENGI-0015 Maquina Moldeadora TR-13, TR-14, TR-15..pdf</v>
      </c>
      <c r="Q21" s="51" t="str">
        <f>E21</f>
        <v>pdf</v>
      </c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G21" t="s">
        <v>28</v>
      </c>
      <c r="AH21" s="51"/>
      <c r="AI21" s="51"/>
    </row>
    <row r="22" spans="2:35">
      <c r="B22" t="s">
        <v>1458</v>
      </c>
      <c r="C22" t="s">
        <v>3898</v>
      </c>
      <c r="D22">
        <v>4</v>
      </c>
      <c r="E22" t="s">
        <v>2791</v>
      </c>
      <c r="F22">
        <v>4</v>
      </c>
      <c r="I22" t="s">
        <v>1459</v>
      </c>
      <c r="J22" s="51">
        <v>41162</v>
      </c>
      <c r="K22" t="s">
        <v>159</v>
      </c>
      <c r="L22" t="s">
        <v>1461</v>
      </c>
      <c r="M22">
        <v>3</v>
      </c>
      <c r="N22" t="str">
        <f>L22</f>
        <v>NAM\MB1297</v>
      </c>
      <c r="O22" s="51">
        <f>J22</f>
        <v>41162</v>
      </c>
      <c r="P22" s="51" t="str">
        <f>C22</f>
        <v>~cdd/olddocs/Instructivos/CNWI-ENGI/CNWI-ENGI-0016  Introducción a Nuevos Productos .pdf</v>
      </c>
      <c r="Q22" s="51" t="str">
        <f>E22</f>
        <v>pdf</v>
      </c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G22" t="s">
        <v>28</v>
      </c>
      <c r="AH22" s="51"/>
      <c r="AI22" s="51"/>
    </row>
    <row r="23" spans="2:35">
      <c r="B23" t="s">
        <v>1909</v>
      </c>
      <c r="C23" t="s">
        <v>3257</v>
      </c>
      <c r="D23">
        <v>4</v>
      </c>
      <c r="E23" t="s">
        <v>2791</v>
      </c>
      <c r="F23">
        <v>4</v>
      </c>
      <c r="I23" t="s">
        <v>1910</v>
      </c>
      <c r="J23" s="51">
        <v>40778</v>
      </c>
      <c r="K23" t="s">
        <v>46</v>
      </c>
      <c r="L23" t="s">
        <v>1888</v>
      </c>
      <c r="M23">
        <v>3</v>
      </c>
      <c r="N23" t="str">
        <f>L23</f>
        <v>NAM\MA7784</v>
      </c>
      <c r="O23" s="51">
        <f>J23</f>
        <v>40778</v>
      </c>
      <c r="P23" s="51" t="str">
        <f>C23</f>
        <v>~/cdd/olddocs/Instructivos/CNWI-ENGI/CNWI-ENGI-0017 Inserción Automática de Contactos en Remachadoras.pdf</v>
      </c>
      <c r="Q23" s="51" t="str">
        <f>E23</f>
        <v>pdf</v>
      </c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G23" t="s">
        <v>28</v>
      </c>
      <c r="AH23" s="51"/>
      <c r="AI23" s="51"/>
    </row>
    <row r="24" spans="2:35">
      <c r="B24" t="s">
        <v>1911</v>
      </c>
      <c r="C24" t="s">
        <v>3258</v>
      </c>
      <c r="D24">
        <v>4</v>
      </c>
      <c r="E24" t="s">
        <v>2791</v>
      </c>
      <c r="F24">
        <v>4</v>
      </c>
      <c r="I24" t="s">
        <v>1912</v>
      </c>
      <c r="J24" s="51">
        <v>40659</v>
      </c>
      <c r="K24" t="s">
        <v>27</v>
      </c>
      <c r="L24" t="s">
        <v>1888</v>
      </c>
      <c r="M24">
        <v>3</v>
      </c>
      <c r="N24" t="str">
        <f>L24</f>
        <v>NAM\MA7784</v>
      </c>
      <c r="O24" s="51">
        <f>J24</f>
        <v>40659</v>
      </c>
      <c r="P24" s="51" t="str">
        <f>C24</f>
        <v>~/cdd/olddocs/Instructivos/CNWI-ENGI/CNWI-ENGI-0018 Perforación de Riel y Lifter con Taladros Modelos   8716- 97908-36640-86498-36632.pdf</v>
      </c>
      <c r="Q24" s="51" t="str">
        <f>E24</f>
        <v>pdf</v>
      </c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G24" t="s">
        <v>28</v>
      </c>
      <c r="AH24" s="51"/>
      <c r="AI24" s="51"/>
    </row>
    <row r="25" spans="2:35">
      <c r="B25" t="s">
        <v>1913</v>
      </c>
      <c r="C25" t="s">
        <v>3259</v>
      </c>
      <c r="D25">
        <v>4</v>
      </c>
      <c r="E25" t="s">
        <v>2791</v>
      </c>
      <c r="F25">
        <v>4</v>
      </c>
      <c r="I25" t="s">
        <v>1914</v>
      </c>
      <c r="J25" s="51">
        <v>40648</v>
      </c>
      <c r="K25" t="s">
        <v>27</v>
      </c>
      <c r="L25" t="s">
        <v>1888</v>
      </c>
      <c r="M25">
        <v>3</v>
      </c>
      <c r="N25" t="str">
        <f>L25</f>
        <v>NAM\MA7784</v>
      </c>
      <c r="O25" s="51">
        <f>J25</f>
        <v>40648</v>
      </c>
      <c r="P25" s="51" t="str">
        <f>C25</f>
        <v>~/cdd/olddocs/Instructivos/CNWI-ENGI/CNWI-ENGI-0019 Despoje de insulación de cable en Máquina Schleuniger 2600 y5400.pdf</v>
      </c>
      <c r="Q25" s="51" t="str">
        <f>E25</f>
        <v>pdf</v>
      </c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G25" t="s">
        <v>28</v>
      </c>
      <c r="AH25" s="51"/>
      <c r="AI25" s="51"/>
    </row>
    <row r="26" spans="2:35">
      <c r="B26" t="s">
        <v>1915</v>
      </c>
      <c r="C26" t="s">
        <v>3260</v>
      </c>
      <c r="D26">
        <v>4</v>
      </c>
      <c r="E26" t="s">
        <v>2791</v>
      </c>
      <c r="F26">
        <v>4</v>
      </c>
      <c r="I26" t="s">
        <v>1916</v>
      </c>
      <c r="J26" s="51">
        <v>40648</v>
      </c>
      <c r="K26" t="s">
        <v>27</v>
      </c>
      <c r="L26" t="s">
        <v>1888</v>
      </c>
      <c r="M26">
        <v>3</v>
      </c>
      <c r="N26" t="str">
        <f>L26</f>
        <v>NAM\MA7784</v>
      </c>
      <c r="O26" s="51">
        <f>J26</f>
        <v>40648</v>
      </c>
      <c r="P26" s="51" t="str">
        <f>C26</f>
        <v>~/cdd/olddocs/Instructivos/CNWI-ENGI/CNWI-ENGI-0020 Despoje de insulación de cable en Máquina SCHLEUNIGER US2500.pdf</v>
      </c>
      <c r="Q26" s="51" t="str">
        <f>E26</f>
        <v>pdf</v>
      </c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G26" t="s">
        <v>28</v>
      </c>
      <c r="AH26" s="51"/>
      <c r="AI26" s="51"/>
    </row>
    <row r="27" spans="2:35">
      <c r="B27" t="s">
        <v>1917</v>
      </c>
      <c r="C27" t="s">
        <v>3261</v>
      </c>
      <c r="D27">
        <v>4</v>
      </c>
      <c r="E27" t="s">
        <v>2791</v>
      </c>
      <c r="F27">
        <v>4</v>
      </c>
      <c r="I27" t="s">
        <v>1918</v>
      </c>
      <c r="J27" s="51">
        <v>40651</v>
      </c>
      <c r="K27" t="s">
        <v>27</v>
      </c>
      <c r="L27" t="s">
        <v>1888</v>
      </c>
      <c r="M27">
        <v>3</v>
      </c>
      <c r="N27" t="str">
        <f>L27</f>
        <v>NAM\MA7784</v>
      </c>
      <c r="O27" s="51">
        <f>J27</f>
        <v>40651</v>
      </c>
      <c r="P27" s="51" t="str">
        <f>C27</f>
        <v>~/cdd/olddocs/Instructivos/CNWI-ENGI/CNWI-ENGI-0021 Despoje de insulacion de cable en maquina Komax delta 50.pdf</v>
      </c>
      <c r="Q27" s="51" t="str">
        <f>E27</f>
        <v>pdf</v>
      </c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G27" t="s">
        <v>28</v>
      </c>
      <c r="AH27" s="51"/>
      <c r="AI27" s="51"/>
    </row>
    <row r="28" spans="2:35">
      <c r="B28" t="s">
        <v>1919</v>
      </c>
      <c r="C28" t="s">
        <v>3262</v>
      </c>
      <c r="D28">
        <v>4</v>
      </c>
      <c r="E28" t="s">
        <v>2791</v>
      </c>
      <c r="F28">
        <v>4</v>
      </c>
      <c r="I28" t="s">
        <v>1920</v>
      </c>
      <c r="J28" s="51">
        <v>40654</v>
      </c>
      <c r="K28" t="s">
        <v>27</v>
      </c>
      <c r="L28" t="s">
        <v>1888</v>
      </c>
      <c r="M28">
        <v>3</v>
      </c>
      <c r="N28" t="str">
        <f>L28</f>
        <v>NAM\MA7784</v>
      </c>
      <c r="O28" s="51">
        <f>J28</f>
        <v>40654</v>
      </c>
      <c r="P28" s="51" t="str">
        <f>C28</f>
        <v>~/cdd/olddocs/Instructivos/CNWI-ENGI/CNWI-ENGI-0022 Remache de terminales en maquina remachadora AMP.pdf</v>
      </c>
      <c r="Q28" s="51" t="str">
        <f>E28</f>
        <v>pdf</v>
      </c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G28" t="s">
        <v>28</v>
      </c>
      <c r="AH28" s="51"/>
      <c r="AI28" s="51"/>
    </row>
    <row r="29" spans="2:35">
      <c r="B29" t="s">
        <v>1921</v>
      </c>
      <c r="C29" t="s">
        <v>3263</v>
      </c>
      <c r="D29">
        <v>4</v>
      </c>
      <c r="E29" t="s">
        <v>2791</v>
      </c>
      <c r="F29">
        <v>4</v>
      </c>
      <c r="I29" t="s">
        <v>1922</v>
      </c>
      <c r="J29" s="51">
        <v>40653</v>
      </c>
      <c r="K29" t="s">
        <v>27</v>
      </c>
      <c r="L29" t="s">
        <v>1888</v>
      </c>
      <c r="M29">
        <v>3</v>
      </c>
      <c r="N29" t="str">
        <f>L29</f>
        <v>NAM\MA7784</v>
      </c>
      <c r="O29" s="51">
        <f>J29</f>
        <v>40653</v>
      </c>
      <c r="P29" s="51" t="str">
        <f>C29</f>
        <v>~/cdd/olddocs/Instructivos/CNWI-ENGI/CNWI-ENGI-0023 Estampado en maquina Jan-Tech.pdf</v>
      </c>
      <c r="Q29" s="51" t="str">
        <f>E29</f>
        <v>pdf</v>
      </c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G29" t="s">
        <v>28</v>
      </c>
      <c r="AH29" s="51"/>
      <c r="AI29" s="51"/>
    </row>
    <row r="30" spans="2:35">
      <c r="B30" t="s">
        <v>1923</v>
      </c>
      <c r="C30" t="s">
        <v>3264</v>
      </c>
      <c r="D30">
        <v>4</v>
      </c>
      <c r="E30" t="s">
        <v>2791</v>
      </c>
      <c r="F30">
        <v>4</v>
      </c>
      <c r="I30" t="s">
        <v>1924</v>
      </c>
      <c r="J30" s="51">
        <v>40658</v>
      </c>
      <c r="K30" t="s">
        <v>27</v>
      </c>
      <c r="L30" t="s">
        <v>1888</v>
      </c>
      <c r="M30">
        <v>3</v>
      </c>
      <c r="N30" t="str">
        <f>L30</f>
        <v>NAM\MA7784</v>
      </c>
      <c r="O30" s="51">
        <f>J30</f>
        <v>40658</v>
      </c>
      <c r="P30" s="51" t="str">
        <f>C30</f>
        <v>~/cdd/olddocs/Instructivos/CNWI-ENGI/CNWI-ENGI-0024 Prueba Eléctrica  CABLE EYE.pdf</v>
      </c>
      <c r="Q30" s="51" t="str">
        <f>E30</f>
        <v>pdf</v>
      </c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G30" t="s">
        <v>28</v>
      </c>
      <c r="AH30" s="51"/>
      <c r="AI30" s="51"/>
    </row>
    <row r="31" spans="2:35">
      <c r="B31" t="s">
        <v>1925</v>
      </c>
      <c r="C31" t="s">
        <v>3265</v>
      </c>
      <c r="D31">
        <v>4</v>
      </c>
      <c r="E31" t="s">
        <v>2791</v>
      </c>
      <c r="F31">
        <v>4</v>
      </c>
      <c r="I31" t="s">
        <v>1926</v>
      </c>
      <c r="J31" s="51">
        <v>40658</v>
      </c>
      <c r="K31" t="s">
        <v>27</v>
      </c>
      <c r="L31" t="s">
        <v>1888</v>
      </c>
      <c r="M31">
        <v>3</v>
      </c>
      <c r="N31" t="str">
        <f>L31</f>
        <v>NAM\MA7784</v>
      </c>
      <c r="O31" s="51">
        <f>J31</f>
        <v>40658</v>
      </c>
      <c r="P31" s="51" t="str">
        <f>C31</f>
        <v>~/cdd/olddocs/Instructivos/CNWI-ENGI/CNWI-ENGI-0025 Prueba de Fuga de Aire  en Máquina QT-11179-A.pdf</v>
      </c>
      <c r="Q31" s="51" t="str">
        <f>E31</f>
        <v>pdf</v>
      </c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G31" t="s">
        <v>28</v>
      </c>
      <c r="AH31" s="51"/>
      <c r="AI31" s="51"/>
    </row>
    <row r="32" spans="2:35">
      <c r="B32" t="s">
        <v>1927</v>
      </c>
      <c r="C32" t="s">
        <v>3266</v>
      </c>
      <c r="D32">
        <v>4</v>
      </c>
      <c r="E32" t="s">
        <v>2791</v>
      </c>
      <c r="F32">
        <v>4</v>
      </c>
      <c r="I32" t="s">
        <v>1928</v>
      </c>
      <c r="J32" s="51">
        <v>40731</v>
      </c>
      <c r="K32" t="s">
        <v>46</v>
      </c>
      <c r="L32" t="s">
        <v>1888</v>
      </c>
      <c r="M32">
        <v>3</v>
      </c>
      <c r="N32" t="str">
        <f>L32</f>
        <v>NAM\MA7784</v>
      </c>
      <c r="O32" s="51">
        <f>J32</f>
        <v>40731</v>
      </c>
      <c r="P32" s="51" t="str">
        <f>C32</f>
        <v>~/cdd/olddocs/Instructivos/CNWI-ENGI/CNWI-ENGI-0026 Estampado en Máquina Pad Printer.pdf</v>
      </c>
      <c r="Q32" s="51" t="str">
        <f>E32</f>
        <v>pdf</v>
      </c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G32" t="s">
        <v>28</v>
      </c>
      <c r="AH32" s="51"/>
      <c r="AI32" s="51"/>
    </row>
    <row r="33" spans="2:35">
      <c r="B33" t="s">
        <v>1929</v>
      </c>
      <c r="C33" t="s">
        <v>3899</v>
      </c>
      <c r="D33">
        <v>4</v>
      </c>
      <c r="E33" t="s">
        <v>2791</v>
      </c>
      <c r="F33">
        <v>4</v>
      </c>
      <c r="I33" t="s">
        <v>1930</v>
      </c>
      <c r="J33" s="51">
        <v>40665</v>
      </c>
      <c r="K33" t="s">
        <v>27</v>
      </c>
      <c r="L33" t="s">
        <v>1888</v>
      </c>
      <c r="M33">
        <v>3</v>
      </c>
      <c r="N33" t="str">
        <f>L33</f>
        <v>NAM\MA7784</v>
      </c>
      <c r="O33" s="51">
        <f>J33</f>
        <v>40665</v>
      </c>
      <c r="P33" s="51" t="str">
        <f>C33</f>
        <v>~cdd/olddocs/Instructivos/CNWI-ENGI/CNWI-ENGI-0027 Curado de partes en Hornos Num  21 25 24 27 22.pdf</v>
      </c>
      <c r="Q33" s="51" t="str">
        <f>E33</f>
        <v>pdf</v>
      </c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G33" t="s">
        <v>28</v>
      </c>
      <c r="AH33" s="51"/>
      <c r="AI33" s="51"/>
    </row>
    <row r="34" spans="2:35">
      <c r="B34" t="s">
        <v>1931</v>
      </c>
      <c r="C34" t="s">
        <v>3267</v>
      </c>
      <c r="D34">
        <v>4</v>
      </c>
      <c r="E34" t="s">
        <v>2791</v>
      </c>
      <c r="F34">
        <v>4</v>
      </c>
      <c r="I34" t="s">
        <v>1932</v>
      </c>
      <c r="J34" s="51">
        <v>40668</v>
      </c>
      <c r="K34" t="s">
        <v>27</v>
      </c>
      <c r="L34" t="s">
        <v>1888</v>
      </c>
      <c r="M34">
        <v>3</v>
      </c>
      <c r="N34" t="str">
        <f>L34</f>
        <v>NAM\MA7784</v>
      </c>
      <c r="O34" s="51">
        <f>J34</f>
        <v>40668</v>
      </c>
      <c r="P34" s="51" t="str">
        <f>C34</f>
        <v>~/cdd/olddocs/Instructivos/CNWI-ENGI/CNWI-ENGI-0028 Grabado de Placas  Máquina HERMES VANGUARD XM.pdf</v>
      </c>
      <c r="Q34" s="51" t="str">
        <f>E34</f>
        <v>pdf</v>
      </c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G34" t="s">
        <v>28</v>
      </c>
      <c r="AH34" s="51"/>
      <c r="AI34" s="51"/>
    </row>
    <row r="35" spans="2:35">
      <c r="B35" t="s">
        <v>1933</v>
      </c>
      <c r="C35" t="s">
        <v>3268</v>
      </c>
      <c r="D35">
        <v>4</v>
      </c>
      <c r="E35" t="s">
        <v>2791</v>
      </c>
      <c r="F35">
        <v>4</v>
      </c>
      <c r="I35" t="s">
        <v>1934</v>
      </c>
      <c r="J35" s="51">
        <v>40666</v>
      </c>
      <c r="K35" t="s">
        <v>27</v>
      </c>
      <c r="L35" t="s">
        <v>1888</v>
      </c>
      <c r="M35">
        <v>3</v>
      </c>
      <c r="N35" t="str">
        <f>L35</f>
        <v>NAM\MA7784</v>
      </c>
      <c r="O35" s="51">
        <f>J35</f>
        <v>40666</v>
      </c>
      <c r="P35" s="51" t="str">
        <f>C35</f>
        <v>~/cdd/olddocs/Instructivos/CNWI-ENGI/CNWI-ENGI-0029 Preparación de Pintura para Máquina de estampado Pad Printer.pdf</v>
      </c>
      <c r="Q35" s="51" t="str">
        <f>E35</f>
        <v>pdf</v>
      </c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G35" t="s">
        <v>28</v>
      </c>
      <c r="AH35" s="51"/>
      <c r="AI35" s="51"/>
    </row>
    <row r="36" spans="2:35">
      <c r="B36" t="s">
        <v>1935</v>
      </c>
      <c r="C36" t="s">
        <v>3269</v>
      </c>
      <c r="D36">
        <v>4</v>
      </c>
      <c r="E36" t="s">
        <v>2791</v>
      </c>
      <c r="F36">
        <v>4</v>
      </c>
      <c r="I36" t="s">
        <v>1936</v>
      </c>
      <c r="J36" s="51">
        <v>40675</v>
      </c>
      <c r="K36" t="s">
        <v>27</v>
      </c>
      <c r="L36" t="s">
        <v>1888</v>
      </c>
      <c r="M36">
        <v>3</v>
      </c>
      <c r="N36" t="str">
        <f>L36</f>
        <v>NAM\MA7784</v>
      </c>
      <c r="O36" s="51">
        <f>J36</f>
        <v>40675</v>
      </c>
      <c r="P36" s="51" t="str">
        <f>C36</f>
        <v>~/cdd/olddocs/Instructivos/CNWI-ENGI/CNWI-ENGI-0030 Máquina Trituradora de Material.pdf</v>
      </c>
      <c r="Q36" s="51" t="str">
        <f>E36</f>
        <v>pdf</v>
      </c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G36" t="s">
        <v>28</v>
      </c>
      <c r="AH36" s="51"/>
      <c r="AI36" s="51"/>
    </row>
    <row r="37" spans="2:35">
      <c r="B37" t="s">
        <v>1937</v>
      </c>
      <c r="C37" t="s">
        <v>3270</v>
      </c>
      <c r="D37">
        <v>4</v>
      </c>
      <c r="E37" t="s">
        <v>2791</v>
      </c>
      <c r="F37">
        <v>4</v>
      </c>
      <c r="I37" t="s">
        <v>1938</v>
      </c>
      <c r="J37" s="51">
        <v>40686</v>
      </c>
      <c r="K37" t="s">
        <v>27</v>
      </c>
      <c r="L37" t="s">
        <v>1888</v>
      </c>
      <c r="M37">
        <v>3</v>
      </c>
      <c r="N37" t="str">
        <f>L37</f>
        <v>NAM\MA7784</v>
      </c>
      <c r="O37" s="51">
        <f>J37</f>
        <v>40686</v>
      </c>
      <c r="P37" s="51" t="str">
        <f>C37</f>
        <v>~/cdd/olddocs/Instructivos/CNWI-ENGI/CNWI-ENGI-0031 Maquina Moldeadora ARBURK.pdf</v>
      </c>
      <c r="Q37" s="51" t="str">
        <f>E37</f>
        <v>pdf</v>
      </c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G37" t="s">
        <v>28</v>
      </c>
      <c r="AH37" s="51"/>
      <c r="AI37" s="51"/>
    </row>
    <row r="38" spans="2:35">
      <c r="B38" t="s">
        <v>1939</v>
      </c>
      <c r="C38" t="s">
        <v>3271</v>
      </c>
      <c r="D38">
        <v>4</v>
      </c>
      <c r="E38" t="s">
        <v>2791</v>
      </c>
      <c r="F38">
        <v>4</v>
      </c>
      <c r="I38" t="s">
        <v>1940</v>
      </c>
      <c r="J38" s="51">
        <v>40675</v>
      </c>
      <c r="K38" t="s">
        <v>27</v>
      </c>
      <c r="L38" t="s">
        <v>1888</v>
      </c>
      <c r="M38">
        <v>3</v>
      </c>
      <c r="N38" t="str">
        <f>L38</f>
        <v>NAM\MA7784</v>
      </c>
      <c r="O38" s="51">
        <f>J38</f>
        <v>40675</v>
      </c>
      <c r="P38" s="51" t="str">
        <f>C38</f>
        <v>~/cdd/olddocs/Instructivos/CNWI-ENGI/CNWI-ENGI-0032 Maquina Moldeadora AUTO-JECTORS 908-13.pdf</v>
      </c>
      <c r="Q38" s="51" t="str">
        <f>E38</f>
        <v>pdf</v>
      </c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G38" t="s">
        <v>28</v>
      </c>
      <c r="AH38" s="51"/>
      <c r="AI38" s="51"/>
    </row>
    <row r="39" spans="2:35">
      <c r="B39" t="s">
        <v>1941</v>
      </c>
      <c r="C39" t="s">
        <v>3272</v>
      </c>
      <c r="D39">
        <v>4</v>
      </c>
      <c r="E39" t="s">
        <v>2791</v>
      </c>
      <c r="F39">
        <v>4</v>
      </c>
      <c r="I39" t="s">
        <v>1942</v>
      </c>
      <c r="J39" s="51">
        <v>40687</v>
      </c>
      <c r="K39" t="s">
        <v>27</v>
      </c>
      <c r="L39" t="s">
        <v>1888</v>
      </c>
      <c r="M39">
        <v>3</v>
      </c>
      <c r="N39" t="str">
        <f>L39</f>
        <v>NAM\MA7784</v>
      </c>
      <c r="O39" s="51">
        <f>J39</f>
        <v>40687</v>
      </c>
      <c r="P39" s="51" t="str">
        <f>C39</f>
        <v>~/cdd/olddocs/Instructivos/CNWI-ENGI/CNWI-ENGI-0033 Maquina Dispensadora de Epoxy SHOT GUN.pdf</v>
      </c>
      <c r="Q39" s="51" t="str">
        <f>E39</f>
        <v>pdf</v>
      </c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G39" t="s">
        <v>28</v>
      </c>
      <c r="AH39" s="51"/>
      <c r="AI39" s="51"/>
    </row>
    <row r="40" spans="2:35">
      <c r="B40" t="s">
        <v>64</v>
      </c>
      <c r="C40" t="s">
        <v>3273</v>
      </c>
      <c r="D40">
        <v>4</v>
      </c>
      <c r="E40" t="s">
        <v>2791</v>
      </c>
      <c r="F40">
        <v>4</v>
      </c>
      <c r="I40" t="s">
        <v>65</v>
      </c>
      <c r="J40" s="51">
        <v>40717</v>
      </c>
      <c r="K40" t="s">
        <v>46</v>
      </c>
      <c r="L40" t="s">
        <v>63</v>
      </c>
      <c r="M40">
        <v>3</v>
      </c>
      <c r="N40" t="str">
        <f>L40</f>
        <v>NAM\D6B1B</v>
      </c>
      <c r="O40" s="51">
        <f>J40</f>
        <v>40717</v>
      </c>
      <c r="P40" s="51" t="str">
        <f>C40</f>
        <v>~/cdd/olddocs/Instructivos/CNWI-ENGI/CNWI-ENGI-0034 Elaboracion de routing.pdf</v>
      </c>
      <c r="Q40" s="51" t="str">
        <f>E40</f>
        <v>pdf</v>
      </c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G40" t="s">
        <v>28</v>
      </c>
      <c r="AH40" s="51"/>
      <c r="AI40" s="51"/>
    </row>
    <row r="41" spans="2:35">
      <c r="B41" t="s">
        <v>1943</v>
      </c>
      <c r="C41" t="s">
        <v>3274</v>
      </c>
      <c r="D41">
        <v>4</v>
      </c>
      <c r="E41" t="s">
        <v>2791</v>
      </c>
      <c r="F41">
        <v>4</v>
      </c>
      <c r="I41" t="s">
        <v>1944</v>
      </c>
      <c r="J41" s="51">
        <v>40723</v>
      </c>
      <c r="K41" t="s">
        <v>46</v>
      </c>
      <c r="L41" t="s">
        <v>1888</v>
      </c>
      <c r="M41">
        <v>3</v>
      </c>
      <c r="N41" t="str">
        <f>L41</f>
        <v>NAM\MA7784</v>
      </c>
      <c r="O41" s="51">
        <f>J41</f>
        <v>40723</v>
      </c>
      <c r="P41" s="51" t="str">
        <f>C41</f>
        <v>~/cdd/olddocs/Instructivos/CNWI-ENGI/CNWI-ENGI-0035 Maquina SCHLEUNIGER EcoStrip 9300.pdf</v>
      </c>
      <c r="Q41" s="51" t="str">
        <f>E41</f>
        <v>pdf</v>
      </c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G41" t="s">
        <v>28</v>
      </c>
      <c r="AH41" s="51"/>
      <c r="AI41" s="51"/>
    </row>
    <row r="42" spans="2:35">
      <c r="B42" t="s">
        <v>1945</v>
      </c>
      <c r="C42" t="s">
        <v>3275</v>
      </c>
      <c r="D42">
        <v>4</v>
      </c>
      <c r="E42" t="s">
        <v>2791</v>
      </c>
      <c r="F42">
        <v>4</v>
      </c>
      <c r="I42" t="s">
        <v>1946</v>
      </c>
      <c r="J42" s="51">
        <v>40687</v>
      </c>
      <c r="K42" t="s">
        <v>27</v>
      </c>
      <c r="L42" t="s">
        <v>1888</v>
      </c>
      <c r="M42">
        <v>3</v>
      </c>
      <c r="N42" t="str">
        <f>L42</f>
        <v>NAM\MA7784</v>
      </c>
      <c r="O42" s="51">
        <f>J42</f>
        <v>40687</v>
      </c>
      <c r="P42" s="51" t="str">
        <f>C42</f>
        <v>~/cdd/olddocs/Instructivos/CNWI-ENGI/CNWI-ENGI-0036 Maquina Dispensadora Mezcladara de Epoxy DTIC.pdf</v>
      </c>
      <c r="Q42" s="51" t="str">
        <f>E42</f>
        <v>pdf</v>
      </c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G42" t="s">
        <v>28</v>
      </c>
      <c r="AH42" s="51"/>
      <c r="AI42" s="51"/>
    </row>
    <row r="43" spans="2:35">
      <c r="B43" t="s">
        <v>1947</v>
      </c>
      <c r="C43" t="s">
        <v>3276</v>
      </c>
      <c r="D43">
        <v>4</v>
      </c>
      <c r="E43" t="s">
        <v>2791</v>
      </c>
      <c r="F43">
        <v>4</v>
      </c>
      <c r="I43" t="s">
        <v>1948</v>
      </c>
      <c r="J43" s="51">
        <v>40693</v>
      </c>
      <c r="K43" t="s">
        <v>27</v>
      </c>
      <c r="L43" t="s">
        <v>1888</v>
      </c>
      <c r="M43">
        <v>3</v>
      </c>
      <c r="N43" t="str">
        <f>L43</f>
        <v>NAM\MA7784</v>
      </c>
      <c r="O43" s="51">
        <f>J43</f>
        <v>40693</v>
      </c>
      <c r="P43" s="51" t="str">
        <f>C43</f>
        <v>~/cdd/olddocs/Instructivos/CNWI-ENGI/CNWI-ENGI-0037 Dispensadora de Epoxy EFD 1000 XL.pdf</v>
      </c>
      <c r="Q43" s="51" t="str">
        <f>E43</f>
        <v>pdf</v>
      </c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G43" t="s">
        <v>28</v>
      </c>
      <c r="AH43" s="51"/>
      <c r="AI43" s="51"/>
    </row>
    <row r="44" spans="2:35">
      <c r="B44" t="s">
        <v>1949</v>
      </c>
      <c r="C44" t="s">
        <v>3277</v>
      </c>
      <c r="D44">
        <v>4</v>
      </c>
      <c r="E44" t="s">
        <v>2791</v>
      </c>
      <c r="F44">
        <v>4</v>
      </c>
      <c r="I44" t="s">
        <v>1950</v>
      </c>
      <c r="J44" s="51">
        <v>41144</v>
      </c>
      <c r="K44" t="s">
        <v>159</v>
      </c>
      <c r="L44" t="s">
        <v>1888</v>
      </c>
      <c r="M44">
        <v>3</v>
      </c>
      <c r="N44" t="str">
        <f>L44</f>
        <v>NAM\MA7784</v>
      </c>
      <c r="O44" s="51">
        <f>J44</f>
        <v>41144</v>
      </c>
      <c r="P44" s="51" t="str">
        <f>C44</f>
        <v>~/cdd/olddocs/Instructivos/CNWI-ENGI/CNWI-ENGI-0038 Llenado de cartuchos de epoxy.pdf</v>
      </c>
      <c r="Q44" s="51" t="str">
        <f>E44</f>
        <v>pdf</v>
      </c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G44" t="s">
        <v>28</v>
      </c>
      <c r="AH44" s="51"/>
      <c r="AI44" s="51"/>
    </row>
    <row r="45" spans="2:35">
      <c r="B45" t="s">
        <v>1951</v>
      </c>
      <c r="C45" t="s">
        <v>3278</v>
      </c>
      <c r="D45">
        <v>4</v>
      </c>
      <c r="E45" t="s">
        <v>2791</v>
      </c>
      <c r="F45">
        <v>4</v>
      </c>
      <c r="I45" t="s">
        <v>1952</v>
      </c>
      <c r="J45" s="51">
        <v>40815</v>
      </c>
      <c r="K45" t="s">
        <v>46</v>
      </c>
      <c r="L45" t="s">
        <v>1888</v>
      </c>
      <c r="M45">
        <v>3</v>
      </c>
      <c r="N45" t="str">
        <f>L45</f>
        <v>NAM\MA7784</v>
      </c>
      <c r="O45" s="51">
        <f>J45</f>
        <v>40815</v>
      </c>
      <c r="P45" s="51" t="str">
        <f>C45</f>
        <v>~/cdd/olddocs/Instructivos/CNWI-ENGI/CNWI-ENGI-0039 Lavado de Cartuchos de Epoxy en acetona.pdf</v>
      </c>
      <c r="Q45" s="51" t="str">
        <f>E45</f>
        <v>pdf</v>
      </c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G45" t="s">
        <v>28</v>
      </c>
      <c r="AH45" s="51"/>
      <c r="AI45" s="51"/>
    </row>
    <row r="46" spans="2:35">
      <c r="B46" t="s">
        <v>1953</v>
      </c>
      <c r="C46" t="s">
        <v>3279</v>
      </c>
      <c r="D46">
        <v>4</v>
      </c>
      <c r="E46" t="s">
        <v>2791</v>
      </c>
      <c r="F46">
        <v>4</v>
      </c>
      <c r="I46" t="s">
        <v>1954</v>
      </c>
      <c r="J46" s="51">
        <v>40687</v>
      </c>
      <c r="K46" t="s">
        <v>27</v>
      </c>
      <c r="L46" t="s">
        <v>1888</v>
      </c>
      <c r="M46">
        <v>3</v>
      </c>
      <c r="N46" t="str">
        <f>L46</f>
        <v>NAM\MA7784</v>
      </c>
      <c r="O46" s="51">
        <f>J46</f>
        <v>40687</v>
      </c>
      <c r="P46" s="51" t="str">
        <f>C46</f>
        <v>~/cdd/olddocs/Instructivos/CNWI-ENGI/CNWI-ENGI-0040 Alimentador de cables Schleuniger Pre-Feeder 2200.pdf</v>
      </c>
      <c r="Q46" s="51" t="str">
        <f>E46</f>
        <v>pdf</v>
      </c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G46" t="s">
        <v>28</v>
      </c>
      <c r="AH46" s="51"/>
      <c r="AI46" s="51"/>
    </row>
    <row r="47" spans="2:35">
      <c r="B47" t="s">
        <v>1955</v>
      </c>
      <c r="C47" t="s">
        <v>3280</v>
      </c>
      <c r="D47">
        <v>4</v>
      </c>
      <c r="E47" t="s">
        <v>2791</v>
      </c>
      <c r="F47">
        <v>4</v>
      </c>
      <c r="I47" t="s">
        <v>1956</v>
      </c>
      <c r="J47" s="51">
        <v>40694</v>
      </c>
      <c r="K47" t="s">
        <v>27</v>
      </c>
      <c r="L47" t="s">
        <v>1888</v>
      </c>
      <c r="M47">
        <v>3</v>
      </c>
      <c r="N47" t="str">
        <f>L47</f>
        <v>NAM\MA7784</v>
      </c>
      <c r="O47" s="51">
        <f>J47</f>
        <v>40694</v>
      </c>
      <c r="P47" s="51" t="str">
        <f>C47</f>
        <v>~/cdd/olddocs/Instructivos/CNWI-ENGI/CNWI-ENGI-0041 Alimentador de cables ARTOS PF-.pdf</v>
      </c>
      <c r="Q47" s="51" t="str">
        <f>E47</f>
        <v>pdf</v>
      </c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G47" t="s">
        <v>28</v>
      </c>
      <c r="AH47" s="51"/>
      <c r="AI47" s="51"/>
    </row>
    <row r="48" spans="2:35">
      <c r="B48" t="s">
        <v>1957</v>
      </c>
      <c r="C48" t="s">
        <v>3281</v>
      </c>
      <c r="D48">
        <v>4</v>
      </c>
      <c r="E48" t="s">
        <v>2791</v>
      </c>
      <c r="F48">
        <v>4</v>
      </c>
      <c r="I48" t="s">
        <v>1958</v>
      </c>
      <c r="J48" s="51">
        <v>40693</v>
      </c>
      <c r="K48" t="s">
        <v>27</v>
      </c>
      <c r="L48" t="s">
        <v>1888</v>
      </c>
      <c r="M48">
        <v>3</v>
      </c>
      <c r="N48" t="str">
        <f>L48</f>
        <v>NAM\MA7784</v>
      </c>
      <c r="O48" s="51">
        <f>J48</f>
        <v>40693</v>
      </c>
      <c r="P48" s="51" t="str">
        <f>C48</f>
        <v>~/cdd/olddocs/Instructivos/CNWI-ENGI/CNWI-ENGI-0042 Maquina SCHLEUNIGER OmiStrip 9400.pdf</v>
      </c>
      <c r="Q48" s="51" t="str">
        <f>E48</f>
        <v>pdf</v>
      </c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G48" t="s">
        <v>28</v>
      </c>
      <c r="AH48" s="51"/>
      <c r="AI48" s="51"/>
    </row>
    <row r="49" spans="2:35">
      <c r="B49" t="s">
        <v>1959</v>
      </c>
      <c r="C49" t="s">
        <v>3282</v>
      </c>
      <c r="D49">
        <v>4</v>
      </c>
      <c r="E49" t="s">
        <v>2791</v>
      </c>
      <c r="F49">
        <v>4</v>
      </c>
      <c r="I49" t="s">
        <v>1960</v>
      </c>
      <c r="J49" s="51">
        <v>40697</v>
      </c>
      <c r="K49" t="s">
        <v>27</v>
      </c>
      <c r="L49" t="s">
        <v>1888</v>
      </c>
      <c r="M49">
        <v>3</v>
      </c>
      <c r="N49" t="str">
        <f>L49</f>
        <v>NAM\MA7784</v>
      </c>
      <c r="O49" s="51">
        <f>J49</f>
        <v>40697</v>
      </c>
      <c r="P49" s="51" t="str">
        <f>C49</f>
        <v>~/cdd/olddocs/Instructivos/CNWI-ENGI/CNWI-ENGI-0043 Horno con conveyor Gruenberg.pdf</v>
      </c>
      <c r="Q49" s="51" t="str">
        <f>E49</f>
        <v>pdf</v>
      </c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G49" t="s">
        <v>28</v>
      </c>
      <c r="AH49" s="51"/>
      <c r="AI49" s="51"/>
    </row>
    <row r="50" spans="2:35">
      <c r="B50" t="s">
        <v>1961</v>
      </c>
      <c r="C50" t="s">
        <v>3283</v>
      </c>
      <c r="D50">
        <v>4</v>
      </c>
      <c r="E50" t="s">
        <v>2791</v>
      </c>
      <c r="F50">
        <v>4</v>
      </c>
      <c r="I50" t="s">
        <v>1962</v>
      </c>
      <c r="J50" s="51">
        <v>40700</v>
      </c>
      <c r="K50" t="s">
        <v>27</v>
      </c>
      <c r="L50" t="s">
        <v>1888</v>
      </c>
      <c r="M50">
        <v>3</v>
      </c>
      <c r="N50" t="str">
        <f>L50</f>
        <v>NAM\MA7784</v>
      </c>
      <c r="O50" s="51">
        <f>J50</f>
        <v>40700</v>
      </c>
      <c r="P50" s="51" t="str">
        <f>C50</f>
        <v>~/cdd/olddocs/Instructivos/CNWI-ENGI/CNWI-ENGI-0044 Maquina SCHLEUNIGER CS-9100.pdf</v>
      </c>
      <c r="Q50" s="51" t="str">
        <f>E50</f>
        <v>pdf</v>
      </c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G50" t="s">
        <v>28</v>
      </c>
      <c r="AH50" s="51"/>
      <c r="AI50" s="51"/>
    </row>
    <row r="51" spans="2:35">
      <c r="B51" t="s">
        <v>1963</v>
      </c>
      <c r="C51" t="s">
        <v>3284</v>
      </c>
      <c r="D51">
        <v>4</v>
      </c>
      <c r="E51" t="s">
        <v>2791</v>
      </c>
      <c r="F51">
        <v>4</v>
      </c>
      <c r="I51" t="s">
        <v>1964</v>
      </c>
      <c r="J51" s="51">
        <v>40696</v>
      </c>
      <c r="K51" t="s">
        <v>27</v>
      </c>
      <c r="L51" t="s">
        <v>1888</v>
      </c>
      <c r="M51">
        <v>3</v>
      </c>
      <c r="N51" t="str">
        <f>L51</f>
        <v>NAM\MA7784</v>
      </c>
      <c r="O51" s="51">
        <f>J51</f>
        <v>40696</v>
      </c>
      <c r="P51" s="51" t="str">
        <f>C51</f>
        <v>~/cdd/olddocs/Instructivos/CNWI-ENGI/CNWI-ENGI-0045 Maquina RIDGID cortadora de conduit.pdf</v>
      </c>
      <c r="Q51" s="51" t="str">
        <f>E51</f>
        <v>pdf</v>
      </c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G51" t="s">
        <v>28</v>
      </c>
      <c r="AH51" s="51"/>
      <c r="AI51" s="51"/>
    </row>
    <row r="52" spans="2:35">
      <c r="B52" t="s">
        <v>1965</v>
      </c>
      <c r="C52" t="s">
        <v>3285</v>
      </c>
      <c r="D52">
        <v>4</v>
      </c>
      <c r="E52" t="s">
        <v>2791</v>
      </c>
      <c r="F52">
        <v>4</v>
      </c>
      <c r="I52" t="s">
        <v>1966</v>
      </c>
      <c r="J52" s="51">
        <v>40700</v>
      </c>
      <c r="K52" t="s">
        <v>27</v>
      </c>
      <c r="L52" t="s">
        <v>1888</v>
      </c>
      <c r="M52">
        <v>3</v>
      </c>
      <c r="N52" t="str">
        <f>L52</f>
        <v>NAM\MA7784</v>
      </c>
      <c r="O52" s="51">
        <f>J52</f>
        <v>40700</v>
      </c>
      <c r="P52" s="51" t="str">
        <f>C52</f>
        <v>~/cdd/olddocs/Instructivos/CNWI-ENGI/CNWI-ENGI-0046 Maquina cortadora CR-100.pdf</v>
      </c>
      <c r="Q52" s="51" t="str">
        <f>E52</f>
        <v>pdf</v>
      </c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G52" t="s">
        <v>28</v>
      </c>
      <c r="AH52" s="51"/>
      <c r="AI52" s="51"/>
    </row>
    <row r="53" spans="2:35">
      <c r="B53" t="s">
        <v>1967</v>
      </c>
      <c r="C53" t="s">
        <v>3286</v>
      </c>
      <c r="D53">
        <v>4</v>
      </c>
      <c r="E53" t="s">
        <v>2791</v>
      </c>
      <c r="F53">
        <v>4</v>
      </c>
      <c r="I53" t="s">
        <v>1968</v>
      </c>
      <c r="J53" s="51">
        <v>40575</v>
      </c>
      <c r="K53" t="s">
        <v>46</v>
      </c>
      <c r="L53" t="s">
        <v>1888</v>
      </c>
      <c r="M53">
        <v>3</v>
      </c>
      <c r="N53" t="str">
        <f>L53</f>
        <v>NAM\MA7784</v>
      </c>
      <c r="O53" s="51">
        <f>J53</f>
        <v>40575</v>
      </c>
      <c r="P53" s="51" t="str">
        <f>C53</f>
        <v>~/cdd/olddocs/Instructivos/CNWI-ENGI/CNWI-ENGI-0047 Horno Blue M.pdf</v>
      </c>
      <c r="Q53" s="51" t="str">
        <f>E53</f>
        <v>pdf</v>
      </c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G53" t="s">
        <v>28</v>
      </c>
      <c r="AH53" s="51"/>
      <c r="AI53" s="51"/>
    </row>
    <row r="54" spans="2:35">
      <c r="B54" t="s">
        <v>1969</v>
      </c>
      <c r="C54" t="s">
        <v>3287</v>
      </c>
      <c r="D54">
        <v>4</v>
      </c>
      <c r="E54" t="s">
        <v>2791</v>
      </c>
      <c r="F54">
        <v>4</v>
      </c>
      <c r="I54" t="s">
        <v>1970</v>
      </c>
      <c r="J54" s="51">
        <v>40702</v>
      </c>
      <c r="K54" t="s">
        <v>27</v>
      </c>
      <c r="L54" t="s">
        <v>1888</v>
      </c>
      <c r="M54">
        <v>3</v>
      </c>
      <c r="N54" t="str">
        <f>L54</f>
        <v>NAM\MA7784</v>
      </c>
      <c r="O54" s="51">
        <f>J54</f>
        <v>40702</v>
      </c>
      <c r="P54" s="51" t="str">
        <f>C54</f>
        <v>~/cdd/olddocs/Instructivos/CNWI-ENGI/CNWI-ENGI-0048 Máquina Remachadora Cambrige.pdf</v>
      </c>
      <c r="Q54" s="51" t="str">
        <f>E54</f>
        <v>pdf</v>
      </c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G54" t="s">
        <v>28</v>
      </c>
      <c r="AH54" s="51"/>
      <c r="AI54" s="51"/>
    </row>
    <row r="55" spans="2:35">
      <c r="B55" t="s">
        <v>1971</v>
      </c>
      <c r="C55" t="s">
        <v>3288</v>
      </c>
      <c r="D55">
        <v>4</v>
      </c>
      <c r="E55" t="s">
        <v>2791</v>
      </c>
      <c r="F55">
        <v>4</v>
      </c>
      <c r="I55" t="s">
        <v>1972</v>
      </c>
      <c r="J55" s="51">
        <v>40722</v>
      </c>
      <c r="K55" t="s">
        <v>27</v>
      </c>
      <c r="L55" t="s">
        <v>1888</v>
      </c>
      <c r="M55">
        <v>3</v>
      </c>
      <c r="N55" t="str">
        <f>L55</f>
        <v>NAM\MA7784</v>
      </c>
      <c r="O55" s="51">
        <f>J55</f>
        <v>40722</v>
      </c>
      <c r="P55" s="51" t="str">
        <f>C55</f>
        <v>~/cdd/olddocs/Instructivos/CNWI-ENGI/CNWI-ENGI-0049 Alimentador de cables RTT.pdf</v>
      </c>
      <c r="Q55" s="51" t="str">
        <f>E55</f>
        <v>pdf</v>
      </c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G55" t="s">
        <v>28</v>
      </c>
      <c r="AH55" s="51"/>
      <c r="AI55" s="51"/>
    </row>
    <row r="56" spans="2:35">
      <c r="B56" t="s">
        <v>1973</v>
      </c>
      <c r="C56" t="s">
        <v>3289</v>
      </c>
      <c r="D56">
        <v>4</v>
      </c>
      <c r="E56" t="s">
        <v>2791</v>
      </c>
      <c r="F56">
        <v>4</v>
      </c>
      <c r="I56" t="s">
        <v>1974</v>
      </c>
      <c r="J56" s="51">
        <v>40718</v>
      </c>
      <c r="K56" t="s">
        <v>27</v>
      </c>
      <c r="L56" t="s">
        <v>1888</v>
      </c>
      <c r="M56">
        <v>3</v>
      </c>
      <c r="N56" t="str">
        <f>L56</f>
        <v>NAM\MA7784</v>
      </c>
      <c r="O56" s="51">
        <f>J56</f>
        <v>40718</v>
      </c>
      <c r="P56" s="51" t="str">
        <f>C56</f>
        <v>~/cdd/olddocs/Instructivos/CNWI-ENGI/CNWI-ENGI-0050 Maquina ALPHATRON Modelo MPT-200A.pdf</v>
      </c>
      <c r="Q56" s="51" t="str">
        <f>E56</f>
        <v>pdf</v>
      </c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G56" t="s">
        <v>28</v>
      </c>
      <c r="AH56" s="51"/>
      <c r="AI56" s="51"/>
    </row>
    <row r="57" spans="2:35">
      <c r="B57" t="s">
        <v>1975</v>
      </c>
      <c r="C57" t="s">
        <v>3290</v>
      </c>
      <c r="D57">
        <v>4</v>
      </c>
      <c r="E57" t="s">
        <v>2791</v>
      </c>
      <c r="F57">
        <v>4</v>
      </c>
      <c r="I57" t="s">
        <v>1976</v>
      </c>
      <c r="J57" s="51">
        <v>40718</v>
      </c>
      <c r="K57" t="s">
        <v>27</v>
      </c>
      <c r="L57" t="s">
        <v>1888</v>
      </c>
      <c r="M57">
        <v>3</v>
      </c>
      <c r="N57" t="str">
        <f>L57</f>
        <v>NAM\MA7784</v>
      </c>
      <c r="O57" s="51">
        <f>J57</f>
        <v>40718</v>
      </c>
      <c r="P57" s="51" t="str">
        <f>C57</f>
        <v>~/cdd/olddocs/Instructivos/CNWI-ENGI/CNWI-ENGI-0051 Maquina Branson.pdf</v>
      </c>
      <c r="Q57" s="51" t="str">
        <f>E57</f>
        <v>pdf</v>
      </c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G57" t="s">
        <v>28</v>
      </c>
      <c r="AH57" s="51"/>
      <c r="AI57" s="51"/>
    </row>
    <row r="58" spans="2:35">
      <c r="B58" t="s">
        <v>1977</v>
      </c>
      <c r="C58" t="s">
        <v>3291</v>
      </c>
      <c r="D58">
        <v>4</v>
      </c>
      <c r="E58" t="s">
        <v>2791</v>
      </c>
      <c r="F58">
        <v>4</v>
      </c>
      <c r="I58" t="s">
        <v>1978</v>
      </c>
      <c r="J58" s="51">
        <v>40731</v>
      </c>
      <c r="K58" t="s">
        <v>27</v>
      </c>
      <c r="L58" t="s">
        <v>1888</v>
      </c>
      <c r="M58">
        <v>3</v>
      </c>
      <c r="N58" t="str">
        <f>L58</f>
        <v>NAM\MA7784</v>
      </c>
      <c r="O58" s="51">
        <f>J58</f>
        <v>40731</v>
      </c>
      <c r="P58" s="51" t="str">
        <f>C58</f>
        <v>~/cdd/olddocs/Instructivos/CNWI-ENGI/CNWI-ENGI-0052 Maquina PULL HOME.pdf</v>
      </c>
      <c r="Q58" s="51" t="str">
        <f>E58</f>
        <v>pdf</v>
      </c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G58" t="s">
        <v>28</v>
      </c>
      <c r="AH58" s="51"/>
      <c r="AI58" s="51"/>
    </row>
    <row r="59" spans="2:35">
      <c r="B59" t="s">
        <v>66</v>
      </c>
      <c r="C59" t="s">
        <v>3292</v>
      </c>
      <c r="D59">
        <v>4</v>
      </c>
      <c r="E59" t="s">
        <v>2791</v>
      </c>
      <c r="F59">
        <v>4</v>
      </c>
      <c r="I59" t="s">
        <v>67</v>
      </c>
      <c r="J59" s="51">
        <v>41061</v>
      </c>
      <c r="K59" t="s">
        <v>27</v>
      </c>
      <c r="L59" t="s">
        <v>63</v>
      </c>
      <c r="M59">
        <v>3</v>
      </c>
      <c r="N59" t="str">
        <f>L59</f>
        <v>NAM\D6B1B</v>
      </c>
      <c r="O59" s="51">
        <f>J59</f>
        <v>41061</v>
      </c>
      <c r="P59" s="51" t="str">
        <f>C59</f>
        <v>~/cdd/olddocs/Instructivos/CNWI-ENGI/CNWI-ENGI-0053 Maquina Branson Solar.pdf</v>
      </c>
      <c r="Q59" s="51" t="str">
        <f>E59</f>
        <v>pdf</v>
      </c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G59" t="s">
        <v>28</v>
      </c>
      <c r="AH59" s="51"/>
      <c r="AI59" s="51"/>
    </row>
    <row r="60" spans="2:35">
      <c r="B60" t="s">
        <v>1979</v>
      </c>
      <c r="C60" t="s">
        <v>3293</v>
      </c>
      <c r="D60">
        <v>4</v>
      </c>
      <c r="E60" t="s">
        <v>2791</v>
      </c>
      <c r="F60">
        <v>4</v>
      </c>
      <c r="I60" t="s">
        <v>1980</v>
      </c>
      <c r="J60" s="51">
        <v>40736</v>
      </c>
      <c r="K60" t="s">
        <v>27</v>
      </c>
      <c r="L60" t="s">
        <v>1888</v>
      </c>
      <c r="M60">
        <v>3</v>
      </c>
      <c r="N60" t="str">
        <f>L60</f>
        <v>NAM\MA7784</v>
      </c>
      <c r="O60" s="51">
        <f>J60</f>
        <v>40736</v>
      </c>
      <c r="P60" s="51" t="str">
        <f>C60</f>
        <v>~/cdd/olddocs/Instructivos/CNWI-ENGI/CNWI-ENGI-0054 Maquina Viking modelo 260-4199.pdf</v>
      </c>
      <c r="Q60" s="51" t="str">
        <f>E60</f>
        <v>pdf</v>
      </c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G60" t="s">
        <v>28</v>
      </c>
      <c r="AH60" s="51"/>
      <c r="AI60" s="51"/>
    </row>
    <row r="61" spans="2:35">
      <c r="B61" t="s">
        <v>1981</v>
      </c>
      <c r="C61" t="s">
        <v>3294</v>
      </c>
      <c r="D61">
        <v>4</v>
      </c>
      <c r="E61" t="s">
        <v>2791</v>
      </c>
      <c r="F61">
        <v>4</v>
      </c>
      <c r="I61" t="s">
        <v>1982</v>
      </c>
      <c r="J61" s="51">
        <v>40731</v>
      </c>
      <c r="K61" t="s">
        <v>27</v>
      </c>
      <c r="L61" t="s">
        <v>1888</v>
      </c>
      <c r="M61">
        <v>3</v>
      </c>
      <c r="N61" t="str">
        <f>L61</f>
        <v>NAM\MA7784</v>
      </c>
      <c r="O61" s="51">
        <f>J61</f>
        <v>40731</v>
      </c>
      <c r="P61" s="51" t="str">
        <f>C61</f>
        <v>~/cdd/olddocs/Instructivos/CNWI-ENGI/CNWI-ENGI-0055 Remachado de Contactos en Maquina Astron.pdf</v>
      </c>
      <c r="Q61" s="51" t="str">
        <f>E61</f>
        <v>pdf</v>
      </c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G61" t="s">
        <v>28</v>
      </c>
      <c r="AH61" s="51"/>
      <c r="AI61" s="51"/>
    </row>
    <row r="62" spans="2:35">
      <c r="B62" t="s">
        <v>1983</v>
      </c>
      <c r="C62" t="s">
        <v>3295</v>
      </c>
      <c r="D62">
        <v>4</v>
      </c>
      <c r="E62" t="s">
        <v>2791</v>
      </c>
      <c r="F62">
        <v>4</v>
      </c>
      <c r="I62" t="s">
        <v>1984</v>
      </c>
      <c r="J62" s="51">
        <v>40722</v>
      </c>
      <c r="K62" t="s">
        <v>27</v>
      </c>
      <c r="L62" t="s">
        <v>1888</v>
      </c>
      <c r="M62">
        <v>3</v>
      </c>
      <c r="N62" t="str">
        <f>L62</f>
        <v>NAM\MA7784</v>
      </c>
      <c r="O62" s="51">
        <f>J62</f>
        <v>40722</v>
      </c>
      <c r="P62" s="51" t="str">
        <f>C62</f>
        <v>~/cdd/olddocs/Instructivos/CNWI-ENGI/CNWI-ENGI-0056 Estañado de Conductores en plato Crisol.pdf</v>
      </c>
      <c r="Q62" s="51" t="str">
        <f>E62</f>
        <v>pdf</v>
      </c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E62" t="s">
        <v>1985</v>
      </c>
      <c r="AF62" t="s">
        <v>611</v>
      </c>
      <c r="AG62" t="s">
        <v>28</v>
      </c>
      <c r="AH62" s="51"/>
      <c r="AI62" s="51"/>
    </row>
    <row r="63" spans="2:35">
      <c r="B63" t="s">
        <v>1986</v>
      </c>
      <c r="C63" t="s">
        <v>3296</v>
      </c>
      <c r="D63">
        <v>4</v>
      </c>
      <c r="E63" t="s">
        <v>2791</v>
      </c>
      <c r="F63">
        <v>4</v>
      </c>
      <c r="I63" t="s">
        <v>1987</v>
      </c>
      <c r="J63" s="51">
        <v>40808</v>
      </c>
      <c r="K63" t="s">
        <v>27</v>
      </c>
      <c r="L63" t="s">
        <v>1888</v>
      </c>
      <c r="M63">
        <v>3</v>
      </c>
      <c r="N63" t="str">
        <f>L63</f>
        <v>NAM\MA7784</v>
      </c>
      <c r="O63" s="51">
        <f>J63</f>
        <v>40808</v>
      </c>
      <c r="P63" s="51" t="str">
        <f>C63</f>
        <v>~/cdd/olddocs/Instructivos/CNWI-ENGI/CNWI-ENGI-0057 Prueba Electrica en Maquina VITREK V53 ACDC.pdf</v>
      </c>
      <c r="Q63" s="51" t="str">
        <f>E63</f>
        <v>pdf</v>
      </c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G63" t="s">
        <v>28</v>
      </c>
      <c r="AH63" s="51"/>
      <c r="AI63" s="51"/>
    </row>
    <row r="64" spans="2:35">
      <c r="B64" t="s">
        <v>1988</v>
      </c>
      <c r="C64" t="s">
        <v>3297</v>
      </c>
      <c r="D64">
        <v>4</v>
      </c>
      <c r="E64" t="s">
        <v>2791</v>
      </c>
      <c r="F64">
        <v>4</v>
      </c>
      <c r="I64" t="s">
        <v>1989</v>
      </c>
      <c r="J64" s="51">
        <v>40739</v>
      </c>
      <c r="K64" t="s">
        <v>27</v>
      </c>
      <c r="L64" t="s">
        <v>1888</v>
      </c>
      <c r="M64">
        <v>3</v>
      </c>
      <c r="N64" t="str">
        <f>L64</f>
        <v>NAM\MA7784</v>
      </c>
      <c r="O64" s="51">
        <f>J64</f>
        <v>40739</v>
      </c>
      <c r="P64" s="51" t="str">
        <f>C64</f>
        <v>~/cdd/olddocs/Instructivos/CNWI-ENGI/CNWI-ENGI-0058 Prueba de continuidad y presencia  O-Ring.pdf</v>
      </c>
      <c r="Q64" s="51" t="str">
        <f>E64</f>
        <v>pdf</v>
      </c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G64" t="s">
        <v>28</v>
      </c>
      <c r="AH64" s="51"/>
      <c r="AI64" s="51"/>
    </row>
    <row r="65" spans="2:35">
      <c r="B65" t="s">
        <v>1990</v>
      </c>
      <c r="C65" t="s">
        <v>3298</v>
      </c>
      <c r="D65">
        <v>4</v>
      </c>
      <c r="E65" t="s">
        <v>2791</v>
      </c>
      <c r="F65">
        <v>4</v>
      </c>
      <c r="I65" t="s">
        <v>1991</v>
      </c>
      <c r="J65" s="51">
        <v>40808</v>
      </c>
      <c r="K65" t="s">
        <v>27</v>
      </c>
      <c r="L65" t="s">
        <v>1888</v>
      </c>
      <c r="M65">
        <v>3</v>
      </c>
      <c r="N65" t="str">
        <f>L65</f>
        <v>NAM\MA7784</v>
      </c>
      <c r="O65" s="51">
        <f>J65</f>
        <v>40808</v>
      </c>
      <c r="P65" s="51" t="str">
        <f>C65</f>
        <v>~/cdd/olddocs/Instructivos/CNWI-ENGI/CNWI-ENGI-0059 Prueba Electrica en Maquina CIRRIS.pdf</v>
      </c>
      <c r="Q65" s="51" t="str">
        <f>E65</f>
        <v>pdf</v>
      </c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G65" t="s">
        <v>28</v>
      </c>
      <c r="AH65" s="51"/>
      <c r="AI65" s="51"/>
    </row>
    <row r="66" spans="2:35">
      <c r="B66" t="s">
        <v>1992</v>
      </c>
      <c r="C66" t="s">
        <v>3299</v>
      </c>
      <c r="D66">
        <v>4</v>
      </c>
      <c r="E66" t="s">
        <v>2791</v>
      </c>
      <c r="F66">
        <v>4</v>
      </c>
      <c r="I66" t="s">
        <v>1993</v>
      </c>
      <c r="J66" s="51">
        <v>40752</v>
      </c>
      <c r="K66" t="s">
        <v>27</v>
      </c>
      <c r="L66" t="s">
        <v>1888</v>
      </c>
      <c r="M66">
        <v>3</v>
      </c>
      <c r="N66" t="str">
        <f>L66</f>
        <v>NAM\MA7784</v>
      </c>
      <c r="O66" s="51">
        <f>J66</f>
        <v>40752</v>
      </c>
      <c r="P66" s="51" t="str">
        <f>C66</f>
        <v>~/cdd/olddocs/Instructivos/CNWI-ENGI/CNWI-ENGI-0060 Despojado de Jacket en Maquina Schleuniger Modelo JS-8300.pdf</v>
      </c>
      <c r="Q66" s="51" t="str">
        <f>E66</f>
        <v>pdf</v>
      </c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G66" t="s">
        <v>28</v>
      </c>
      <c r="AH66" s="51"/>
      <c r="AI66" s="51"/>
    </row>
    <row r="67" spans="2:35">
      <c r="B67" t="s">
        <v>1994</v>
      </c>
      <c r="C67" t="s">
        <v>3300</v>
      </c>
      <c r="D67">
        <v>4</v>
      </c>
      <c r="E67" t="s">
        <v>2791</v>
      </c>
      <c r="F67">
        <v>4</v>
      </c>
      <c r="I67" t="s">
        <v>1995</v>
      </c>
      <c r="J67" s="51">
        <v>40739</v>
      </c>
      <c r="K67" t="s">
        <v>27</v>
      </c>
      <c r="L67" t="s">
        <v>1888</v>
      </c>
      <c r="M67">
        <v>3</v>
      </c>
      <c r="N67" t="str">
        <f>L67</f>
        <v>NAM\MA7784</v>
      </c>
      <c r="O67" s="51">
        <f>J67</f>
        <v>40739</v>
      </c>
      <c r="P67" s="51" t="str">
        <f>C67</f>
        <v>~/cdd/olddocs/Instructivos/CNWI-ENGI/CNWI-ENGI-0061 Secar Humedad a Resina en el Sistema de filtros Conair.pdf</v>
      </c>
      <c r="Q67" s="51" t="str">
        <f>E67</f>
        <v>pdf</v>
      </c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G67" t="s">
        <v>28</v>
      </c>
      <c r="AH67" s="51"/>
      <c r="AI67" s="51"/>
    </row>
    <row r="68" spans="2:35">
      <c r="B68" t="s">
        <v>1996</v>
      </c>
      <c r="C68" t="s">
        <v>3301</v>
      </c>
      <c r="D68">
        <v>4</v>
      </c>
      <c r="E68" t="s">
        <v>2791</v>
      </c>
      <c r="F68">
        <v>4</v>
      </c>
      <c r="I68" t="s">
        <v>1997</v>
      </c>
      <c r="J68" s="51">
        <v>40752</v>
      </c>
      <c r="K68" t="s">
        <v>27</v>
      </c>
      <c r="L68" t="s">
        <v>1888</v>
      </c>
      <c r="M68">
        <v>3</v>
      </c>
      <c r="N68" t="str">
        <f>L68</f>
        <v>NAM\MA7784</v>
      </c>
      <c r="O68" s="51">
        <f>J68</f>
        <v>40752</v>
      </c>
      <c r="P68" s="51" t="str">
        <f>C68</f>
        <v>~/cdd/olddocs/Instructivos/CNWI-ENGI/CNWI-ENGI-0062 Remachado de cables en maquina.pdf</v>
      </c>
      <c r="Q68" s="51" t="str">
        <f>E68</f>
        <v>pdf</v>
      </c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G68" t="s">
        <v>28</v>
      </c>
      <c r="AH68" s="51"/>
      <c r="AI68" s="51"/>
    </row>
    <row r="69" spans="2:35">
      <c r="B69" t="s">
        <v>1998</v>
      </c>
      <c r="C69" t="s">
        <v>3302</v>
      </c>
      <c r="D69">
        <v>4</v>
      </c>
      <c r="E69" t="s">
        <v>2791</v>
      </c>
      <c r="F69">
        <v>4</v>
      </c>
      <c r="I69" t="s">
        <v>1999</v>
      </c>
      <c r="J69" s="51">
        <v>40752</v>
      </c>
      <c r="K69" t="s">
        <v>27</v>
      </c>
      <c r="L69" t="s">
        <v>1888</v>
      </c>
      <c r="M69">
        <v>3</v>
      </c>
      <c r="N69" t="str">
        <f>L69</f>
        <v>NAM\MA7784</v>
      </c>
      <c r="O69" s="51">
        <f>J69</f>
        <v>40752</v>
      </c>
      <c r="P69" s="51" t="str">
        <f>C69</f>
        <v>~/cdd/olddocs/Instructivos/CNWI-ENGI/CNWI-ENGI-0063  Maquina Cable Coiler 500.pdf</v>
      </c>
      <c r="Q69" s="51" t="str">
        <f>E69</f>
        <v>pdf</v>
      </c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G69" t="s">
        <v>28</v>
      </c>
      <c r="AH69" s="51"/>
      <c r="AI69" s="51"/>
    </row>
    <row r="70" spans="2:35">
      <c r="B70" t="s">
        <v>2000</v>
      </c>
      <c r="C70" t="s">
        <v>3303</v>
      </c>
      <c r="D70">
        <v>4</v>
      </c>
      <c r="E70" t="s">
        <v>2791</v>
      </c>
      <c r="F70">
        <v>4</v>
      </c>
      <c r="I70" t="s">
        <v>2001</v>
      </c>
      <c r="J70" s="51">
        <v>40739</v>
      </c>
      <c r="K70" t="s">
        <v>27</v>
      </c>
      <c r="L70" t="s">
        <v>1888</v>
      </c>
      <c r="M70">
        <v>3</v>
      </c>
      <c r="N70" t="str">
        <f>L70</f>
        <v>NAM\MA7784</v>
      </c>
      <c r="O70" s="51">
        <f>J70</f>
        <v>40739</v>
      </c>
      <c r="P70" s="51" t="str">
        <f>C70</f>
        <v>~/cdd/olddocs/Instructivos/CNWI-ENGI/CNWI-ENGI-0064 Despoje de cables en máquina Shleuniger Modelo 2015.pdf</v>
      </c>
      <c r="Q70" s="51" t="str">
        <f>E70</f>
        <v>pdf</v>
      </c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G70" t="s">
        <v>28</v>
      </c>
      <c r="AH70" s="51"/>
      <c r="AI70" s="51"/>
    </row>
    <row r="71" spans="2:35">
      <c r="B71" t="s">
        <v>2002</v>
      </c>
      <c r="C71" t="s">
        <v>3304</v>
      </c>
      <c r="D71">
        <v>4</v>
      </c>
      <c r="E71" t="s">
        <v>2791</v>
      </c>
      <c r="F71">
        <v>4</v>
      </c>
      <c r="I71" t="s">
        <v>2003</v>
      </c>
      <c r="J71" s="51">
        <v>40801</v>
      </c>
      <c r="K71" t="s">
        <v>27</v>
      </c>
      <c r="L71" t="s">
        <v>1888</v>
      </c>
      <c r="M71">
        <v>3</v>
      </c>
      <c r="N71" t="str">
        <f>L71</f>
        <v>NAM\MA7784</v>
      </c>
      <c r="O71" s="51">
        <f>J71</f>
        <v>40801</v>
      </c>
      <c r="P71" s="51" t="str">
        <f>C71</f>
        <v>~/cdd/olddocs/Instructivos/CNWI-ENGI/CNWI-ENGI-0065 Máquina Automática IFS.pdf</v>
      </c>
      <c r="Q71" s="51" t="str">
        <f>E71</f>
        <v>pdf</v>
      </c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G71" t="s">
        <v>28</v>
      </c>
      <c r="AH71" s="51"/>
      <c r="AI71" s="51"/>
    </row>
    <row r="72" spans="2:35">
      <c r="B72" t="s">
        <v>2004</v>
      </c>
      <c r="C72" t="s">
        <v>3305</v>
      </c>
      <c r="D72">
        <v>4</v>
      </c>
      <c r="E72" t="s">
        <v>2791</v>
      </c>
      <c r="F72">
        <v>4</v>
      </c>
      <c r="I72" t="s">
        <v>2005</v>
      </c>
      <c r="J72" s="51">
        <v>40752</v>
      </c>
      <c r="K72" t="s">
        <v>27</v>
      </c>
      <c r="L72" t="s">
        <v>1888</v>
      </c>
      <c r="M72">
        <v>3</v>
      </c>
      <c r="N72" t="str">
        <f>L72</f>
        <v>NAM\MA7784</v>
      </c>
      <c r="O72" s="51">
        <f>J72</f>
        <v>40752</v>
      </c>
      <c r="P72" s="51" t="str">
        <f>C72</f>
        <v>~/cdd/olddocs/Instructivos/CNWI-ENGI/CNWI-ENGI-0066 Secar Humedad a material en el Sistema de filtros Novatec.pdf</v>
      </c>
      <c r="Q72" s="51" t="str">
        <f>E72</f>
        <v>pdf</v>
      </c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G72" t="s">
        <v>28</v>
      </c>
      <c r="AH72" s="51"/>
      <c r="AI72" s="51"/>
    </row>
    <row r="73" spans="2:35">
      <c r="B73" t="s">
        <v>2006</v>
      </c>
      <c r="C73" t="s">
        <v>3306</v>
      </c>
      <c r="D73">
        <v>4</v>
      </c>
      <c r="E73" t="s">
        <v>2791</v>
      </c>
      <c r="F73">
        <v>4</v>
      </c>
      <c r="I73" t="s">
        <v>2007</v>
      </c>
      <c r="J73" s="51">
        <v>40752</v>
      </c>
      <c r="K73" t="s">
        <v>27</v>
      </c>
      <c r="L73" t="s">
        <v>1888</v>
      </c>
      <c r="M73">
        <v>3</v>
      </c>
      <c r="N73" t="str">
        <f>L73</f>
        <v>NAM\MA7784</v>
      </c>
      <c r="O73" s="51">
        <f>J73</f>
        <v>40752</v>
      </c>
      <c r="P73" s="51" t="str">
        <f>C73</f>
        <v>~/cdd/olddocs/Instructivos/CNWI-ENGI/CNWI-ENGI-0067 Enfriador de material  Movin-Cool.pdf</v>
      </c>
      <c r="Q73" s="51" t="str">
        <f>E73</f>
        <v>pdf</v>
      </c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G73" t="s">
        <v>28</v>
      </c>
      <c r="AH73" s="51"/>
      <c r="AI73" s="51"/>
    </row>
    <row r="74" spans="2:35">
      <c r="B74" t="s">
        <v>2008</v>
      </c>
      <c r="C74" t="s">
        <v>3307</v>
      </c>
      <c r="D74">
        <v>4</v>
      </c>
      <c r="E74" t="s">
        <v>2791</v>
      </c>
      <c r="F74">
        <v>4</v>
      </c>
      <c r="I74" t="s">
        <v>2009</v>
      </c>
      <c r="J74" s="51">
        <v>40770</v>
      </c>
      <c r="K74" t="s">
        <v>27</v>
      </c>
      <c r="L74" t="s">
        <v>1888</v>
      </c>
      <c r="M74">
        <v>3</v>
      </c>
      <c r="N74" t="str">
        <f>L74</f>
        <v>NAM\MA7784</v>
      </c>
      <c r="O74" s="51">
        <f>J74</f>
        <v>40770</v>
      </c>
      <c r="P74" s="51" t="str">
        <f>C74</f>
        <v>~/cdd/olddocs/Instructivos/CNWI-ENGI/CNWI-ENGI-0068 SECADOR ARID-X  .pdf</v>
      </c>
      <c r="Q74" s="51" t="str">
        <f>E74</f>
        <v>pdf</v>
      </c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  <c r="AG74" t="s">
        <v>28</v>
      </c>
      <c r="AH74" s="51"/>
      <c r="AI74" s="51"/>
    </row>
    <row r="75" spans="2:35">
      <c r="B75" t="s">
        <v>2010</v>
      </c>
      <c r="C75" t="s">
        <v>3308</v>
      </c>
      <c r="D75">
        <v>4</v>
      </c>
      <c r="E75" t="s">
        <v>2791</v>
      </c>
      <c r="F75">
        <v>4</v>
      </c>
      <c r="I75" t="s">
        <v>2011</v>
      </c>
      <c r="J75" s="51">
        <v>40767</v>
      </c>
      <c r="K75" t="s">
        <v>27</v>
      </c>
      <c r="L75" t="s">
        <v>1888</v>
      </c>
      <c r="M75">
        <v>3</v>
      </c>
      <c r="N75" t="str">
        <f>L75</f>
        <v>NAM\MA7784</v>
      </c>
      <c r="O75" s="51">
        <f>J75</f>
        <v>40767</v>
      </c>
      <c r="P75" s="51" t="str">
        <f>C75</f>
        <v>~/cdd/olddocs/Instructivos/CNWI-ENGI/CNWI-ENGI-0069 Remachado de contactos en Maquina Salem.pdf</v>
      </c>
      <c r="Q75" s="51" t="str">
        <f>E75</f>
        <v>pdf</v>
      </c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G75" t="s">
        <v>28</v>
      </c>
      <c r="AH75" s="51"/>
      <c r="AI75" s="51"/>
    </row>
    <row r="76" spans="2:35">
      <c r="B76" t="s">
        <v>1154</v>
      </c>
      <c r="C76" t="s">
        <v>3309</v>
      </c>
      <c r="D76">
        <v>4</v>
      </c>
      <c r="E76" t="s">
        <v>2791</v>
      </c>
      <c r="F76">
        <v>4</v>
      </c>
      <c r="I76" t="s">
        <v>1155</v>
      </c>
      <c r="J76" s="51">
        <v>40949</v>
      </c>
      <c r="K76" t="s">
        <v>159</v>
      </c>
      <c r="L76" t="s">
        <v>1157</v>
      </c>
      <c r="M76">
        <v>3</v>
      </c>
      <c r="N76" t="str">
        <f>L76</f>
        <v>NAM\F13B6</v>
      </c>
      <c r="O76" s="51">
        <f>J76</f>
        <v>40949</v>
      </c>
      <c r="P76" s="51" t="str">
        <f>C76</f>
        <v>~/cdd/olddocs/Instructivos/CNWI-ENGI/CNWI-ENGI-0070 Test plan for solar.pdf</v>
      </c>
      <c r="Q76" s="51" t="str">
        <f>E76</f>
        <v>pdf</v>
      </c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G76" t="s">
        <v>28</v>
      </c>
      <c r="AH76" s="51"/>
      <c r="AI76" s="51"/>
    </row>
    <row r="77" spans="2:35">
      <c r="B77" t="s">
        <v>2012</v>
      </c>
      <c r="C77" t="s">
        <v>3310</v>
      </c>
      <c r="D77">
        <v>4</v>
      </c>
      <c r="E77" t="s">
        <v>2791</v>
      </c>
      <c r="F77">
        <v>4</v>
      </c>
      <c r="I77" t="s">
        <v>2013</v>
      </c>
      <c r="J77" s="51">
        <v>40753</v>
      </c>
      <c r="K77" t="s">
        <v>27</v>
      </c>
      <c r="L77" t="s">
        <v>1888</v>
      </c>
      <c r="M77">
        <v>3</v>
      </c>
      <c r="N77" t="str">
        <f>L77</f>
        <v>NAM\MA7784</v>
      </c>
      <c r="O77" s="51">
        <f>J77</f>
        <v>40753</v>
      </c>
      <c r="P77" s="51" t="str">
        <f>C77</f>
        <v>~/cdd/olddocs/Instructivos/CNWI-ENGI/CNWI-ENGI-0071 Maquina para sellar Banda a Snaplock.pdf</v>
      </c>
      <c r="Q77" s="51" t="str">
        <f>E77</f>
        <v>pdf</v>
      </c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G77" t="s">
        <v>28</v>
      </c>
      <c r="AH77" s="51"/>
      <c r="AI77" s="51"/>
    </row>
    <row r="78" spans="2:35">
      <c r="B78" t="s">
        <v>2014</v>
      </c>
      <c r="C78" t="s">
        <v>3311</v>
      </c>
      <c r="D78">
        <v>4</v>
      </c>
      <c r="E78" t="s">
        <v>2791</v>
      </c>
      <c r="F78">
        <v>4</v>
      </c>
      <c r="I78" t="s">
        <v>2015</v>
      </c>
      <c r="J78" s="51">
        <v>40757</v>
      </c>
      <c r="K78" t="s">
        <v>27</v>
      </c>
      <c r="L78" t="s">
        <v>1888</v>
      </c>
      <c r="M78">
        <v>3</v>
      </c>
      <c r="N78" t="str">
        <f>L78</f>
        <v>NAM\MA7784</v>
      </c>
      <c r="O78" s="51">
        <f>J78</f>
        <v>40757</v>
      </c>
      <c r="P78" s="51" t="str">
        <f>C78</f>
        <v>~/cdd/olddocs/Instructivos/CNWI-ENGI/CNWI-ENGI-0072 Maquina para Emparejar cables.pdf</v>
      </c>
      <c r="Q78" s="51" t="str">
        <f>E78</f>
        <v>pdf</v>
      </c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G78" t="s">
        <v>28</v>
      </c>
      <c r="AH78" s="51"/>
      <c r="AI78" s="51"/>
    </row>
    <row r="79" spans="2:35">
      <c r="B79" t="s">
        <v>2016</v>
      </c>
      <c r="C79" t="s">
        <v>3312</v>
      </c>
      <c r="D79">
        <v>4</v>
      </c>
      <c r="E79" t="s">
        <v>2791</v>
      </c>
      <c r="F79">
        <v>4</v>
      </c>
      <c r="I79" t="s">
        <v>2017</v>
      </c>
      <c r="J79" s="51">
        <v>40785</v>
      </c>
      <c r="K79" t="s">
        <v>27</v>
      </c>
      <c r="L79" t="s">
        <v>1888</v>
      </c>
      <c r="M79">
        <v>3</v>
      </c>
      <c r="N79" t="str">
        <f>L79</f>
        <v>NAM\MA7784</v>
      </c>
      <c r="O79" s="51">
        <f>J79</f>
        <v>40785</v>
      </c>
      <c r="P79" s="51" t="str">
        <f>C79</f>
        <v>~/cdd/olddocs/Instructivos/CNWI-ENGI/CNWI-ENGI-0073 Prueba Eléctrica en Equipo Megohmmeter.pdf</v>
      </c>
      <c r="Q79" s="51" t="str">
        <f>E79</f>
        <v>pdf</v>
      </c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G79" t="s">
        <v>28</v>
      </c>
      <c r="AH79" s="51"/>
      <c r="AI79" s="51"/>
    </row>
    <row r="80" spans="2:35">
      <c r="B80" t="s">
        <v>2018</v>
      </c>
      <c r="C80" t="s">
        <v>3900</v>
      </c>
      <c r="D80">
        <v>4</v>
      </c>
      <c r="E80" t="s">
        <v>2797</v>
      </c>
      <c r="F80">
        <v>4</v>
      </c>
      <c r="I80" t="s">
        <v>2019</v>
      </c>
      <c r="J80" s="51">
        <v>41145</v>
      </c>
      <c r="K80" t="s">
        <v>27</v>
      </c>
      <c r="L80" t="s">
        <v>1888</v>
      </c>
      <c r="M80">
        <v>3</v>
      </c>
      <c r="N80" t="str">
        <f>L80</f>
        <v>NAM\MA7784</v>
      </c>
      <c r="O80" s="51">
        <f>J80</f>
        <v>41145</v>
      </c>
      <c r="P80" s="51" t="str">
        <f>C80</f>
        <v>~cdd/olddocs/Instructivos/CNWI-ENGI/CNWI-ENGI-0074 Rev. A Prueba de Resistencia 129-0029-001, 002, 003 docx.docx</v>
      </c>
      <c r="Q80" s="51" t="str">
        <f>E80</f>
        <v>docx</v>
      </c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G80" t="s">
        <v>28</v>
      </c>
      <c r="AH80" s="51"/>
      <c r="AI80" s="51"/>
    </row>
    <row r="81" spans="2:35">
      <c r="B81" t="s">
        <v>602</v>
      </c>
      <c r="C81" t="s">
        <v>3901</v>
      </c>
      <c r="D81">
        <v>4</v>
      </c>
      <c r="E81" t="s">
        <v>2791</v>
      </c>
      <c r="F81">
        <v>4</v>
      </c>
      <c r="I81" t="s">
        <v>603</v>
      </c>
      <c r="J81" s="51">
        <v>41094</v>
      </c>
      <c r="K81" t="s">
        <v>27</v>
      </c>
      <c r="L81" t="s">
        <v>605</v>
      </c>
      <c r="M81">
        <v>3</v>
      </c>
      <c r="N81" t="str">
        <f>L81</f>
        <v>NA/MB1049</v>
      </c>
      <c r="O81" s="51">
        <f>J81</f>
        <v>41094</v>
      </c>
      <c r="P81" s="51" t="str">
        <f>C81</f>
        <v>~cdd/olddocs/Instructivos/CNWI-ENGI/CNWI-ENGI-0075  Documentacion de Produccion.pdf</v>
      </c>
      <c r="Q81" s="51" t="str">
        <f>E81</f>
        <v>pdf</v>
      </c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1"/>
      <c r="AG81" t="s">
        <v>28</v>
      </c>
      <c r="AH81" s="51"/>
      <c r="AI81" s="51"/>
    </row>
    <row r="82" spans="2:35">
      <c r="B82" t="s">
        <v>606</v>
      </c>
      <c r="C82" t="s">
        <v>3313</v>
      </c>
      <c r="D82">
        <v>4</v>
      </c>
      <c r="E82" t="s">
        <v>2791</v>
      </c>
      <c r="F82">
        <v>4</v>
      </c>
      <c r="I82" t="s">
        <v>607</v>
      </c>
      <c r="J82" s="51">
        <v>41163</v>
      </c>
      <c r="K82" t="s">
        <v>27</v>
      </c>
      <c r="L82" t="s">
        <v>605</v>
      </c>
      <c r="M82">
        <v>3</v>
      </c>
      <c r="N82" t="str">
        <f>L82</f>
        <v>NA/MB1049</v>
      </c>
      <c r="O82" s="51">
        <f>J82</f>
        <v>41163</v>
      </c>
      <c r="P82" s="51" t="str">
        <f>C82</f>
        <v>~/cdd/olddocs/Instructivos/CNWI-ENGI/CNWI-ENGI-0076  Procedimiento Maquina Komax Kappa 220225.pdf</v>
      </c>
      <c r="Q82" s="51" t="str">
        <f>E82</f>
        <v>pdf</v>
      </c>
      <c r="R82" s="51"/>
      <c r="S82" s="51"/>
      <c r="T82" s="51"/>
      <c r="U82" s="51"/>
      <c r="V82" s="51"/>
      <c r="W82" s="51"/>
      <c r="X82" s="51"/>
      <c r="Y82" s="51"/>
      <c r="Z82" s="51"/>
      <c r="AA82" s="51"/>
      <c r="AB82" s="51"/>
      <c r="AC82" s="51"/>
      <c r="AD82" s="51"/>
      <c r="AG82" t="s">
        <v>28</v>
      </c>
      <c r="AH82" s="51"/>
      <c r="AI82" s="51"/>
    </row>
    <row r="83" spans="2:35">
      <c r="B83" t="s">
        <v>2020</v>
      </c>
      <c r="C83" t="s">
        <v>3314</v>
      </c>
      <c r="D83">
        <v>4</v>
      </c>
      <c r="E83" t="s">
        <v>2791</v>
      </c>
      <c r="F83">
        <v>4</v>
      </c>
      <c r="I83" t="s">
        <v>2021</v>
      </c>
      <c r="J83" s="51">
        <v>40779</v>
      </c>
      <c r="K83" t="s">
        <v>27</v>
      </c>
      <c r="L83" t="s">
        <v>1888</v>
      </c>
      <c r="M83">
        <v>3</v>
      </c>
      <c r="N83" t="str">
        <f>L83</f>
        <v>NAM\MA7784</v>
      </c>
      <c r="O83" s="51">
        <f>J83</f>
        <v>40779</v>
      </c>
      <c r="P83" s="51" t="str">
        <f>C83</f>
        <v>~/cdd/olddocs/Instructivos/CNWI-ENGI/CNWI-ENGI-0077 Maquina remachadora para aplastar cable .pdf</v>
      </c>
      <c r="Q83" s="51" t="str">
        <f>E83</f>
        <v>pdf</v>
      </c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  <c r="AG83" t="s">
        <v>28</v>
      </c>
      <c r="AH83" s="51"/>
      <c r="AI83" s="51"/>
    </row>
    <row r="84" spans="2:35">
      <c r="B84" t="s">
        <v>2022</v>
      </c>
      <c r="C84" t="s">
        <v>3315</v>
      </c>
      <c r="D84">
        <v>4</v>
      </c>
      <c r="E84" t="s">
        <v>2791</v>
      </c>
      <c r="F84">
        <v>4</v>
      </c>
      <c r="I84" t="s">
        <v>2023</v>
      </c>
      <c r="J84" s="51">
        <v>40780</v>
      </c>
      <c r="K84" t="s">
        <v>27</v>
      </c>
      <c r="L84" t="s">
        <v>1888</v>
      </c>
      <c r="M84">
        <v>3</v>
      </c>
      <c r="N84" t="str">
        <f>L84</f>
        <v>NAM\MA7784</v>
      </c>
      <c r="O84" s="51">
        <f>J84</f>
        <v>40780</v>
      </c>
      <c r="P84" s="51" t="str">
        <f>C84</f>
        <v>~/cdd/olddocs/Instructivos/CNWI-ENGI/CNWI-ENGI-0078 Máquina para pintar Shell.pdf</v>
      </c>
      <c r="Q84" s="51" t="str">
        <f>E84</f>
        <v>pdf</v>
      </c>
      <c r="R84" s="51"/>
      <c r="S84" s="51"/>
      <c r="T84" s="51"/>
      <c r="U84" s="51"/>
      <c r="V84" s="51"/>
      <c r="W84" s="51"/>
      <c r="X84" s="51"/>
      <c r="Y84" s="51"/>
      <c r="Z84" s="51"/>
      <c r="AA84" s="51"/>
      <c r="AB84" s="51"/>
      <c r="AC84" s="51"/>
      <c r="AD84" s="51"/>
      <c r="AG84" t="s">
        <v>28</v>
      </c>
      <c r="AH84" s="51"/>
      <c r="AI84" s="51"/>
    </row>
    <row r="85" spans="2:35">
      <c r="B85" t="s">
        <v>2024</v>
      </c>
      <c r="C85" t="s">
        <v>3316</v>
      </c>
      <c r="D85">
        <v>4</v>
      </c>
      <c r="E85" t="s">
        <v>2791</v>
      </c>
      <c r="F85">
        <v>4</v>
      </c>
      <c r="I85" t="s">
        <v>2025</v>
      </c>
      <c r="J85" s="51">
        <v>40779</v>
      </c>
      <c r="K85" t="s">
        <v>27</v>
      </c>
      <c r="L85" t="s">
        <v>1888</v>
      </c>
      <c r="M85">
        <v>3</v>
      </c>
      <c r="N85" t="str">
        <f>L85</f>
        <v>NAM\MA7784</v>
      </c>
      <c r="O85" s="51">
        <f>J85</f>
        <v>40779</v>
      </c>
      <c r="P85" s="51" t="str">
        <f>C85</f>
        <v>~/cdd/olddocs/Instructivos/CNWI-ENGI/CNWI-ENGI-0079 Soldar contactos con Cautín de pinza HOTIP-H10A.pdf</v>
      </c>
      <c r="Q85" s="51" t="str">
        <f>E85</f>
        <v>pdf</v>
      </c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  <c r="AG85" t="s">
        <v>28</v>
      </c>
      <c r="AH85" s="51"/>
      <c r="AI85" s="51"/>
    </row>
    <row r="86" spans="2:35">
      <c r="B86" t="s">
        <v>2026</v>
      </c>
      <c r="C86" t="s">
        <v>3317</v>
      </c>
      <c r="D86">
        <v>4</v>
      </c>
      <c r="E86" t="s">
        <v>2791</v>
      </c>
      <c r="F86">
        <v>4</v>
      </c>
      <c r="I86" t="s">
        <v>2027</v>
      </c>
      <c r="J86" s="51">
        <v>40814</v>
      </c>
      <c r="K86" t="s">
        <v>27</v>
      </c>
      <c r="L86" t="s">
        <v>1888</v>
      </c>
      <c r="M86">
        <v>3</v>
      </c>
      <c r="N86" t="str">
        <f>L86</f>
        <v>NAM\MA7784</v>
      </c>
      <c r="O86" s="51">
        <f>J86</f>
        <v>40814</v>
      </c>
      <c r="P86" s="51" t="str">
        <f>C86</f>
        <v>~/cdd/olddocs/Instructivos/CNWI-ENGI/CNWI-ENGI-0080 Remachadora de Banda a Shell.pdf</v>
      </c>
      <c r="Q86" s="51" t="str">
        <f>E86</f>
        <v>pdf</v>
      </c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G86" t="s">
        <v>28</v>
      </c>
      <c r="AH86" s="51"/>
      <c r="AI86" s="51"/>
    </row>
    <row r="87" spans="2:35">
      <c r="B87" t="s">
        <v>608</v>
      </c>
      <c r="C87" t="s">
        <v>3902</v>
      </c>
      <c r="D87">
        <v>4</v>
      </c>
      <c r="E87" t="s">
        <v>2791</v>
      </c>
      <c r="F87">
        <v>4</v>
      </c>
      <c r="I87" t="s">
        <v>609</v>
      </c>
      <c r="J87" s="51">
        <v>41137</v>
      </c>
      <c r="K87" t="s">
        <v>46</v>
      </c>
      <c r="L87" t="s">
        <v>605</v>
      </c>
      <c r="M87">
        <v>3</v>
      </c>
      <c r="N87" t="str">
        <f>L87</f>
        <v>NA/MB1049</v>
      </c>
      <c r="O87" s="51">
        <f>J87</f>
        <v>41137</v>
      </c>
      <c r="P87" s="51" t="str">
        <f>C87</f>
        <v>~cdd/olddocs/Instructivos/CNWI-ENGI/CNWI-ENGI-0081 Procedimiento cautines.pdf</v>
      </c>
      <c r="Q87" s="51" t="str">
        <f>E87</f>
        <v>pdf</v>
      </c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  <c r="AE87" t="s">
        <v>610</v>
      </c>
      <c r="AF87" t="s">
        <v>611</v>
      </c>
      <c r="AG87" t="s">
        <v>28</v>
      </c>
      <c r="AH87" s="51"/>
      <c r="AI87" s="51"/>
    </row>
    <row r="88" spans="2:35">
      <c r="B88" t="s">
        <v>2028</v>
      </c>
      <c r="C88" t="s">
        <v>3318</v>
      </c>
      <c r="D88">
        <v>4</v>
      </c>
      <c r="E88" t="s">
        <v>2791</v>
      </c>
      <c r="F88">
        <v>4</v>
      </c>
      <c r="I88" t="s">
        <v>2029</v>
      </c>
      <c r="J88" s="51">
        <v>40785</v>
      </c>
      <c r="K88" t="s">
        <v>27</v>
      </c>
      <c r="L88" t="s">
        <v>1888</v>
      </c>
      <c r="M88">
        <v>3</v>
      </c>
      <c r="N88" t="str">
        <f>L88</f>
        <v>NAM\MA7784</v>
      </c>
      <c r="O88" s="51">
        <f>J88</f>
        <v>40785</v>
      </c>
      <c r="P88" s="51" t="str">
        <f>C88</f>
        <v>~/cdd/olddocs/Instructivos/CNWI-ENGI/CNWI-ENGI-0083 Impresoras  Zebra Z4MPLUS ZM600.pdf</v>
      </c>
      <c r="Q88" s="51" t="str">
        <f>E88</f>
        <v>pdf</v>
      </c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G88" t="s">
        <v>28</v>
      </c>
      <c r="AH88" s="51"/>
      <c r="AI88" s="51"/>
    </row>
    <row r="89" spans="2:35">
      <c r="B89" t="s">
        <v>2030</v>
      </c>
      <c r="C89" t="s">
        <v>3319</v>
      </c>
      <c r="D89">
        <v>4</v>
      </c>
      <c r="E89" t="s">
        <v>2791</v>
      </c>
      <c r="F89">
        <v>4</v>
      </c>
      <c r="I89" t="s">
        <v>2031</v>
      </c>
      <c r="J89" s="51">
        <v>40849</v>
      </c>
      <c r="K89" t="s">
        <v>27</v>
      </c>
      <c r="L89" t="s">
        <v>1888</v>
      </c>
      <c r="M89">
        <v>3</v>
      </c>
      <c r="N89" t="str">
        <f>L89</f>
        <v>NAM\MA7784</v>
      </c>
      <c r="O89" s="51">
        <f>J89</f>
        <v>40849</v>
      </c>
      <c r="P89" s="51" t="str">
        <f>C89</f>
        <v>~/cdd/olddocs/Instructivos/CNWI-ENGI/CNWI-ENGI-0084 Sistema Andón área ITRON.pdf</v>
      </c>
      <c r="Q89" s="51" t="str">
        <f>E89</f>
        <v>pdf</v>
      </c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G89" t="s">
        <v>28</v>
      </c>
      <c r="AH89" s="51"/>
      <c r="AI89" s="51"/>
    </row>
    <row r="90" spans="2:35">
      <c r="B90" t="s">
        <v>68</v>
      </c>
      <c r="C90" t="s">
        <v>3320</v>
      </c>
      <c r="D90">
        <v>4</v>
      </c>
      <c r="E90" t="s">
        <v>2791</v>
      </c>
      <c r="F90">
        <v>4</v>
      </c>
      <c r="I90" t="s">
        <v>69</v>
      </c>
      <c r="J90" s="51">
        <v>40821</v>
      </c>
      <c r="K90" t="s">
        <v>27</v>
      </c>
      <c r="L90" t="s">
        <v>63</v>
      </c>
      <c r="M90">
        <v>3</v>
      </c>
      <c r="N90" t="str">
        <f>L90</f>
        <v>NAM\D6B1B</v>
      </c>
      <c r="O90" s="51">
        <f>J90</f>
        <v>40821</v>
      </c>
      <c r="P90" s="51" t="str">
        <f>C90</f>
        <v>~/cdd/olddocs/Instructivos/CNWI-ENGI/CNWI-ENGI-0086 Elaboracion de BOM.pdf</v>
      </c>
      <c r="Q90" s="51" t="str">
        <f>E90</f>
        <v>pdf</v>
      </c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G90" t="s">
        <v>28</v>
      </c>
      <c r="AH90" s="51"/>
      <c r="AI90" s="51"/>
    </row>
    <row r="91" spans="2:35">
      <c r="B91" t="s">
        <v>133</v>
      </c>
      <c r="C91" t="s">
        <v>3321</v>
      </c>
      <c r="D91">
        <v>4</v>
      </c>
      <c r="E91" t="s">
        <v>2791</v>
      </c>
      <c r="F91">
        <v>4</v>
      </c>
      <c r="I91" t="s">
        <v>134</v>
      </c>
      <c r="J91" s="51">
        <v>40869</v>
      </c>
      <c r="K91" t="s">
        <v>27</v>
      </c>
      <c r="L91" t="s">
        <v>135</v>
      </c>
      <c r="M91">
        <v>3</v>
      </c>
      <c r="N91" t="str">
        <f>L91</f>
        <v>NAM\MB0617</v>
      </c>
      <c r="O91" s="51">
        <f>J91</f>
        <v>40869</v>
      </c>
      <c r="P91" s="51" t="str">
        <f>C91</f>
        <v>~/cdd/olddocs/Instructivos/CNWI-ENGI/CNWI-ENGI-0087 Instruccion de Impresión de etiquetas de embarque de Solar.pdf</v>
      </c>
      <c r="Q91" s="51" t="str">
        <f>E91</f>
        <v>pdf</v>
      </c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G91" t="s">
        <v>28</v>
      </c>
      <c r="AH91" s="51"/>
      <c r="AI91" s="51"/>
    </row>
    <row r="92" spans="2:35">
      <c r="B92" t="s">
        <v>588</v>
      </c>
      <c r="C92" t="s">
        <v>3322</v>
      </c>
      <c r="D92">
        <v>4</v>
      </c>
      <c r="E92" t="s">
        <v>2791</v>
      </c>
      <c r="F92">
        <v>5</v>
      </c>
      <c r="G92">
        <v>33</v>
      </c>
      <c r="H92">
        <v>28</v>
      </c>
      <c r="I92" t="s">
        <v>590</v>
      </c>
      <c r="J92" s="51">
        <v>40897</v>
      </c>
      <c r="K92" t="s">
        <v>27</v>
      </c>
      <c r="L92" t="s">
        <v>592</v>
      </c>
      <c r="M92">
        <v>3</v>
      </c>
      <c r="N92" t="str">
        <f>L92</f>
        <v>NAM\MB0616</v>
      </c>
      <c r="O92" s="51">
        <f>J92</f>
        <v>40897</v>
      </c>
      <c r="P92" s="51" t="str">
        <f>C92</f>
        <v>~/cdd/olddocs/Instructivos/CNWI-ENGI/CNWI-ENGI-0088 Maquina Jalapines.pdf</v>
      </c>
      <c r="Q92" s="51" t="str">
        <f>E92</f>
        <v>pdf</v>
      </c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G92" t="s">
        <v>28</v>
      </c>
      <c r="AH92" s="51"/>
      <c r="AI92" s="51"/>
    </row>
    <row r="93" spans="2:35">
      <c r="B93" t="s">
        <v>593</v>
      </c>
      <c r="C93" t="s">
        <v>3323</v>
      </c>
      <c r="D93">
        <v>4</v>
      </c>
      <c r="E93" t="s">
        <v>2791</v>
      </c>
      <c r="F93">
        <v>5</v>
      </c>
      <c r="G93">
        <v>33</v>
      </c>
      <c r="H93">
        <v>28</v>
      </c>
      <c r="I93" t="s">
        <v>594</v>
      </c>
      <c r="J93" s="51">
        <v>40932</v>
      </c>
      <c r="K93" t="s">
        <v>27</v>
      </c>
      <c r="L93" t="s">
        <v>592</v>
      </c>
      <c r="M93">
        <v>3</v>
      </c>
      <c r="N93" t="str">
        <f>L93</f>
        <v>NAM\MB0616</v>
      </c>
      <c r="O93" s="51">
        <f>J93</f>
        <v>40932</v>
      </c>
      <c r="P93" s="51" t="str">
        <f>C93</f>
        <v>~/cdd/olddocs/Instructivos/CNWI-ENGI/CNWI-ENGI-0090 EB 1147.pdf</v>
      </c>
      <c r="Q93" s="51" t="str">
        <f>E93</f>
        <v>pdf</v>
      </c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G93" t="s">
        <v>28</v>
      </c>
      <c r="AH93" s="51"/>
      <c r="AI93" s="51"/>
    </row>
    <row r="94" spans="2:35">
      <c r="B94" t="s">
        <v>227</v>
      </c>
      <c r="C94" t="s">
        <v>2935</v>
      </c>
      <c r="D94">
        <v>5</v>
      </c>
      <c r="E94" t="s">
        <v>2792</v>
      </c>
      <c r="F94">
        <v>4</v>
      </c>
      <c r="I94" t="s">
        <v>228</v>
      </c>
      <c r="J94" s="51">
        <v>40590</v>
      </c>
      <c r="K94" t="s">
        <v>27</v>
      </c>
      <c r="L94" t="s">
        <v>222</v>
      </c>
      <c r="M94">
        <v>3</v>
      </c>
      <c r="N94" t="str">
        <f>L94</f>
        <v>NAM\MA9769</v>
      </c>
      <c r="O94" s="51">
        <f>J94</f>
        <v>40590</v>
      </c>
      <c r="P94" s="51" t="str">
        <f>C94</f>
        <v>~/cdd/olddocs/Formas/CNWI-ENGI (Ingenieria)/CNWI-ENGI-F004 Registros control doc. Engi.xls</v>
      </c>
      <c r="Q94" s="51" t="str">
        <f>E94</f>
        <v>xls</v>
      </c>
      <c r="R94" s="51"/>
      <c r="S94" s="51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1"/>
      <c r="AG94" t="s">
        <v>28</v>
      </c>
      <c r="AH94" s="51"/>
      <c r="AI94" s="51"/>
    </row>
    <row r="95" spans="2:35">
      <c r="B95" t="s">
        <v>229</v>
      </c>
      <c r="C95" t="s">
        <v>2936</v>
      </c>
      <c r="D95">
        <v>5</v>
      </c>
      <c r="E95" t="s">
        <v>2790</v>
      </c>
      <c r="F95">
        <v>4</v>
      </c>
      <c r="I95" t="s">
        <v>230</v>
      </c>
      <c r="J95" s="51" t="s">
        <v>231</v>
      </c>
      <c r="K95" t="s">
        <v>27</v>
      </c>
      <c r="L95" t="s">
        <v>222</v>
      </c>
      <c r="M95">
        <v>3</v>
      </c>
      <c r="N95" t="str">
        <f>L95</f>
        <v>NAM\MA9769</v>
      </c>
      <c r="O95" s="51" t="str">
        <f>J95</f>
        <v>22/02/2/11</v>
      </c>
      <c r="P95" s="51" t="str">
        <f>C95</f>
        <v>~/cdd/olddocs/Formas/CNWI-ENGI (Ingenieria)/CNWI-ENGI-F005 Registro de ayudas visuales entregadas a produccion.xlsx</v>
      </c>
      <c r="Q95" s="51" t="str">
        <f>E95</f>
        <v>xlsx</v>
      </c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G95" t="s">
        <v>28</v>
      </c>
      <c r="AH95" s="51"/>
      <c r="AI95" s="51"/>
    </row>
    <row r="96" spans="2:35">
      <c r="B96" t="s">
        <v>434</v>
      </c>
      <c r="C96" t="s">
        <v>2937</v>
      </c>
      <c r="D96">
        <v>5</v>
      </c>
      <c r="E96" t="s">
        <v>2790</v>
      </c>
      <c r="F96">
        <v>4</v>
      </c>
      <c r="I96" t="s">
        <v>435</v>
      </c>
      <c r="J96" s="51" t="s">
        <v>436</v>
      </c>
      <c r="K96" t="s">
        <v>46</v>
      </c>
      <c r="L96" t="s">
        <v>438</v>
      </c>
      <c r="M96">
        <v>3</v>
      </c>
      <c r="N96" t="str">
        <f>L96</f>
        <v>NAM\D24B6</v>
      </c>
      <c r="O96" s="51" t="str">
        <f>J96</f>
        <v>28/02/2/11</v>
      </c>
      <c r="P96" s="51" t="str">
        <f>C96</f>
        <v>~/cdd/olddocs/Formas/CNWI-ENGI (Ingenieria)/CNWI-ENGI-F006 Ajuste de Parametros.xlsx</v>
      </c>
      <c r="Q96" s="51" t="str">
        <f>E96</f>
        <v>xlsx</v>
      </c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1"/>
      <c r="AG96" t="s">
        <v>28</v>
      </c>
      <c r="AH96" s="51"/>
      <c r="AI96" s="51"/>
    </row>
    <row r="97" spans="2:35">
      <c r="B97" t="s">
        <v>232</v>
      </c>
      <c r="C97" t="s">
        <v>2938</v>
      </c>
      <c r="D97">
        <v>5</v>
      </c>
      <c r="E97" t="s">
        <v>2790</v>
      </c>
      <c r="F97">
        <v>4</v>
      </c>
      <c r="I97" t="s">
        <v>233</v>
      </c>
      <c r="J97" s="51">
        <v>40604</v>
      </c>
      <c r="K97" t="s">
        <v>27</v>
      </c>
      <c r="L97" t="s">
        <v>222</v>
      </c>
      <c r="M97">
        <v>3</v>
      </c>
      <c r="N97" t="str">
        <f>L97</f>
        <v>NAM\MA9769</v>
      </c>
      <c r="O97" s="51">
        <f>J97</f>
        <v>40604</v>
      </c>
      <c r="P97" s="51" t="str">
        <f>C97</f>
        <v>~/cdd/olddocs/Formas/CNWI-ENGI (Ingenieria)/CNWI-ENGI-F007 estatus ayudas visuales.xlsx</v>
      </c>
      <c r="Q97" s="51" t="str">
        <f>E97</f>
        <v>xlsx</v>
      </c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G97" t="s">
        <v>28</v>
      </c>
      <c r="AH97" s="51"/>
      <c r="AI97" s="51"/>
    </row>
    <row r="98" spans="2:35">
      <c r="B98" t="s">
        <v>234</v>
      </c>
      <c r="C98" t="s">
        <v>2939</v>
      </c>
      <c r="D98">
        <v>5</v>
      </c>
      <c r="E98" t="s">
        <v>2792</v>
      </c>
      <c r="F98">
        <v>4</v>
      </c>
      <c r="I98" t="s">
        <v>235</v>
      </c>
      <c r="J98" s="51">
        <v>40819</v>
      </c>
      <c r="K98" t="s">
        <v>27</v>
      </c>
      <c r="L98" t="s">
        <v>222</v>
      </c>
      <c r="M98">
        <v>3</v>
      </c>
      <c r="N98" t="str">
        <f>L98</f>
        <v>NAM\MA9769</v>
      </c>
      <c r="O98" s="51">
        <f>J98</f>
        <v>40819</v>
      </c>
      <c r="P98" s="51" t="str">
        <f>C98</f>
        <v>~/cdd/olddocs/Formas/CNWI-ENGI (Ingenieria)/CNWI-ENGI-F009 Relacion de Planos controlados Externos- Internos.xls</v>
      </c>
      <c r="Q98" s="51" t="str">
        <f>E98</f>
        <v>xls</v>
      </c>
      <c r="R98" s="51"/>
      <c r="S98" s="51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1"/>
      <c r="AG98" t="s">
        <v>28</v>
      </c>
      <c r="AH98" s="51"/>
      <c r="AI98" s="51"/>
    </row>
    <row r="99" spans="2:35">
      <c r="B99" t="s">
        <v>2281</v>
      </c>
      <c r="C99" t="s">
        <v>2940</v>
      </c>
      <c r="D99">
        <v>5</v>
      </c>
      <c r="E99" t="s">
        <v>2790</v>
      </c>
      <c r="F99">
        <v>4</v>
      </c>
      <c r="I99" t="s">
        <v>2282</v>
      </c>
      <c r="J99" s="51">
        <v>40850</v>
      </c>
      <c r="K99" t="s">
        <v>27</v>
      </c>
      <c r="L99" t="s">
        <v>2284</v>
      </c>
      <c r="M99">
        <v>3</v>
      </c>
      <c r="N99" t="str">
        <f>L99</f>
        <v>NAM\MA6689</v>
      </c>
      <c r="O99" s="51">
        <f>J99</f>
        <v>40850</v>
      </c>
      <c r="P99" s="51" t="str">
        <f>C99</f>
        <v>~/cdd/olddocs/Formas/CNWI-ENGI (Ingenieria)/CNWI-ENGI-F011 Lista de empaques.xlsx</v>
      </c>
      <c r="Q99" s="51" t="str">
        <f>E99</f>
        <v>xlsx</v>
      </c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G99" t="s">
        <v>28</v>
      </c>
      <c r="AH99" s="51"/>
      <c r="AI99" s="51"/>
    </row>
    <row r="100" spans="2:35">
      <c r="B100" t="s">
        <v>236</v>
      </c>
      <c r="C100" t="s">
        <v>2941</v>
      </c>
      <c r="D100">
        <v>5</v>
      </c>
      <c r="E100" t="s">
        <v>2792</v>
      </c>
      <c r="F100">
        <v>4</v>
      </c>
      <c r="I100" t="s">
        <v>237</v>
      </c>
      <c r="J100" s="51">
        <v>40616</v>
      </c>
      <c r="K100" t="s">
        <v>27</v>
      </c>
      <c r="L100" t="s">
        <v>222</v>
      </c>
      <c r="M100">
        <v>3</v>
      </c>
      <c r="N100" t="str">
        <f>L100</f>
        <v>NAM\MA9769</v>
      </c>
      <c r="O100" s="51">
        <f>J100</f>
        <v>40616</v>
      </c>
      <c r="P100" s="51" t="str">
        <f>C100</f>
        <v>~/cdd/olddocs/Formas/CNWI-ENGI (Ingenieria)/CNWI-ENGI-F012 Relacion de Planos controlados Internos.xls</v>
      </c>
      <c r="Q100" s="51" t="str">
        <f>E100</f>
        <v>xls</v>
      </c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G100" t="s">
        <v>28</v>
      </c>
      <c r="AH100" s="51"/>
      <c r="AI100" s="51"/>
    </row>
    <row r="101" spans="2:35">
      <c r="B101" t="s">
        <v>238</v>
      </c>
      <c r="C101" t="s">
        <v>2942</v>
      </c>
      <c r="D101">
        <v>5</v>
      </c>
      <c r="E101" t="s">
        <v>2792</v>
      </c>
      <c r="F101">
        <v>4</v>
      </c>
      <c r="I101" t="s">
        <v>239</v>
      </c>
      <c r="J101" s="51">
        <v>40616</v>
      </c>
      <c r="K101" t="s">
        <v>27</v>
      </c>
      <c r="L101" t="s">
        <v>222</v>
      </c>
      <c r="M101">
        <v>3</v>
      </c>
      <c r="N101" t="str">
        <f>L101</f>
        <v>NAM\MA9769</v>
      </c>
      <c r="O101" s="51">
        <f>J101</f>
        <v>40616</v>
      </c>
      <c r="P101" s="51" t="str">
        <f>C101</f>
        <v>~/cdd/olddocs/Formas/CNWI-ENGI (Ingenieria)/CNWI-ENGI-F013 Relacion de Planos Obsoletos.xls</v>
      </c>
      <c r="Q101" s="51" t="str">
        <f>E101</f>
        <v>xls</v>
      </c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G101" t="s">
        <v>28</v>
      </c>
      <c r="AH101" s="51"/>
      <c r="AI101" s="51"/>
    </row>
    <row r="102" spans="2:35">
      <c r="B102" t="s">
        <v>2285</v>
      </c>
      <c r="C102" t="s">
        <v>2943</v>
      </c>
      <c r="D102">
        <v>5</v>
      </c>
      <c r="E102" t="s">
        <v>2794</v>
      </c>
      <c r="F102">
        <v>4</v>
      </c>
      <c r="I102" t="s">
        <v>2286</v>
      </c>
      <c r="J102" s="51">
        <v>40616</v>
      </c>
      <c r="K102" t="s">
        <v>27</v>
      </c>
      <c r="L102" t="s">
        <v>2284</v>
      </c>
      <c r="M102">
        <v>3</v>
      </c>
      <c r="N102" t="str">
        <f>L102</f>
        <v>NAM\MA6689</v>
      </c>
      <c r="O102" s="51">
        <f>J102</f>
        <v>40616</v>
      </c>
      <c r="P102" s="51" t="str">
        <f>C102</f>
        <v>~/cdd/olddocs/Formas/CNWI-ENGI (Ingenieria)/CNWI-ENGI-F014 Identificacion de material en proceso .doc</v>
      </c>
      <c r="Q102" s="51" t="str">
        <f>E102</f>
        <v>doc</v>
      </c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G102" t="s">
        <v>28</v>
      </c>
      <c r="AH102" s="51"/>
      <c r="AI102" s="51"/>
    </row>
    <row r="103" spans="2:35">
      <c r="B103" t="s">
        <v>2287</v>
      </c>
      <c r="C103" t="s">
        <v>2944</v>
      </c>
      <c r="D103">
        <v>5</v>
      </c>
      <c r="E103" t="s">
        <v>2792</v>
      </c>
      <c r="F103">
        <v>4</v>
      </c>
      <c r="I103" t="s">
        <v>2288</v>
      </c>
      <c r="J103" s="51">
        <v>40617</v>
      </c>
      <c r="K103" t="s">
        <v>27</v>
      </c>
      <c r="L103" t="s">
        <v>2284</v>
      </c>
      <c r="M103">
        <v>3</v>
      </c>
      <c r="N103" t="str">
        <f>L103</f>
        <v>NAM\MA6689</v>
      </c>
      <c r="O103" s="51">
        <f>J103</f>
        <v>40617</v>
      </c>
      <c r="P103" s="51" t="str">
        <f>C103</f>
        <v>~/cdd/olddocs/Formas/CNWI-ENGI (Ingenieria)/CNWI-ENGI-F015 forma para caducidad de la goma (chemlok).xls</v>
      </c>
      <c r="Q103" s="51" t="str">
        <f>E103</f>
        <v>xls</v>
      </c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G103" t="s">
        <v>28</v>
      </c>
      <c r="AH103" s="51"/>
      <c r="AI103" s="51"/>
    </row>
    <row r="104" spans="2:35">
      <c r="B104" t="s">
        <v>2289</v>
      </c>
      <c r="C104" t="s">
        <v>2945</v>
      </c>
      <c r="D104">
        <v>5</v>
      </c>
      <c r="E104" t="s">
        <v>2792</v>
      </c>
      <c r="F104">
        <v>4</v>
      </c>
      <c r="I104" t="s">
        <v>2290</v>
      </c>
      <c r="J104" s="51">
        <v>40619</v>
      </c>
      <c r="K104" t="s">
        <v>27</v>
      </c>
      <c r="L104" t="s">
        <v>2284</v>
      </c>
      <c r="M104">
        <v>3</v>
      </c>
      <c r="N104" t="str">
        <f>L104</f>
        <v>NAM\MA6689</v>
      </c>
      <c r="O104" s="51">
        <f>J104</f>
        <v>40619</v>
      </c>
      <c r="P104" s="51" t="str">
        <f>C104</f>
        <v>~/cdd/olddocs/Formas/CNWI-ENGI (Ingenieria)/CNWI-ENGI-F016 Tabla de codigo de los medidores.xls</v>
      </c>
      <c r="Q104" s="51" t="str">
        <f>E104</f>
        <v>xls</v>
      </c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G104" t="s">
        <v>28</v>
      </c>
      <c r="AH104" s="51"/>
      <c r="AI104" s="51"/>
    </row>
    <row r="105" spans="2:35">
      <c r="B105" t="s">
        <v>2291</v>
      </c>
      <c r="C105" t="s">
        <v>2946</v>
      </c>
      <c r="D105">
        <v>5</v>
      </c>
      <c r="E105" t="s">
        <v>2792</v>
      </c>
      <c r="F105">
        <v>4</v>
      </c>
      <c r="I105" t="s">
        <v>2292</v>
      </c>
      <c r="J105" s="51">
        <v>40620</v>
      </c>
      <c r="K105" t="s">
        <v>27</v>
      </c>
      <c r="L105" t="s">
        <v>2284</v>
      </c>
      <c r="M105">
        <v>3</v>
      </c>
      <c r="N105" t="str">
        <f>L105</f>
        <v>NAM\MA6689</v>
      </c>
      <c r="O105" s="51">
        <f>J105</f>
        <v>40620</v>
      </c>
      <c r="P105" s="51" t="str">
        <f>C105</f>
        <v>~/cdd/olddocs/Formas/CNWI-ENGI (Ingenieria)/CNWI-ENGI-F017 Lista de posicionadores.xls</v>
      </c>
      <c r="Q105" s="51" t="str">
        <f>E105</f>
        <v>xls</v>
      </c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G105" t="s">
        <v>28</v>
      </c>
      <c r="AH105" s="51"/>
      <c r="AI105" s="51"/>
    </row>
    <row r="106" spans="2:35">
      <c r="B106" t="s">
        <v>2293</v>
      </c>
      <c r="C106" t="s">
        <v>2947</v>
      </c>
      <c r="D106">
        <v>5</v>
      </c>
      <c r="E106" t="s">
        <v>2792</v>
      </c>
      <c r="F106">
        <v>4</v>
      </c>
      <c r="I106" t="s">
        <v>2294</v>
      </c>
      <c r="J106" s="51">
        <v>40631</v>
      </c>
      <c r="K106" t="s">
        <v>27</v>
      </c>
      <c r="L106" t="s">
        <v>2284</v>
      </c>
      <c r="M106">
        <v>3</v>
      </c>
      <c r="N106" t="str">
        <f>L106</f>
        <v>NAM\MA6689</v>
      </c>
      <c r="O106" s="51">
        <f>J106</f>
        <v>40631</v>
      </c>
      <c r="P106" s="51" t="str">
        <f>C106</f>
        <v>~/cdd/olddocs/Formas/CNWI-ENGI (Ingenieria)/CNWI-ENGI-F018 Copia controlada a incoming inspection.xls</v>
      </c>
      <c r="Q106" s="51" t="str">
        <f>E106</f>
        <v>xls</v>
      </c>
      <c r="R106" s="51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G106" t="s">
        <v>28</v>
      </c>
      <c r="AH106" s="51"/>
      <c r="AI106" s="51"/>
    </row>
    <row r="107" spans="2:35">
      <c r="B107" t="s">
        <v>2295</v>
      </c>
      <c r="C107" t="s">
        <v>2948</v>
      </c>
      <c r="D107">
        <v>5</v>
      </c>
      <c r="E107" t="s">
        <v>2790</v>
      </c>
      <c r="F107">
        <v>4</v>
      </c>
      <c r="I107" t="s">
        <v>2296</v>
      </c>
      <c r="J107" s="51">
        <v>40912</v>
      </c>
      <c r="K107" t="s">
        <v>46</v>
      </c>
      <c r="L107" t="s">
        <v>2284</v>
      </c>
      <c r="M107">
        <v>3</v>
      </c>
      <c r="N107" t="str">
        <f>L107</f>
        <v>NAM\MA6689</v>
      </c>
      <c r="O107" s="51">
        <f>J107</f>
        <v>40912</v>
      </c>
      <c r="P107" s="51" t="str">
        <f>C107</f>
        <v>~/cdd/olddocs/Formas/CNWI-ENGI (Ingenieria)/CNWI-ENGI-F019 Especificaciones de empaque.xlsx</v>
      </c>
      <c r="Q107" s="51" t="str">
        <f>E107</f>
        <v>xlsx</v>
      </c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G107" t="s">
        <v>28</v>
      </c>
      <c r="AH107" s="51"/>
      <c r="AI107" s="51"/>
    </row>
    <row r="108" spans="2:35">
      <c r="B108" t="s">
        <v>2297</v>
      </c>
      <c r="C108" t="s">
        <v>2949</v>
      </c>
      <c r="D108">
        <v>5</v>
      </c>
      <c r="E108" t="s">
        <v>2801</v>
      </c>
      <c r="F108">
        <v>4</v>
      </c>
      <c r="I108" t="s">
        <v>2298</v>
      </c>
      <c r="J108" s="51">
        <v>40632</v>
      </c>
      <c r="K108" t="s">
        <v>27</v>
      </c>
      <c r="L108" t="s">
        <v>2284</v>
      </c>
      <c r="M108">
        <v>3</v>
      </c>
      <c r="N108" t="str">
        <f>L108</f>
        <v>NAM\MA6689</v>
      </c>
      <c r="O108" s="51">
        <f>J108</f>
        <v>40632</v>
      </c>
      <c r="P108" s="51" t="str">
        <f>C108</f>
        <v>~/cdd/olddocs/Formas/CNWI-ENGI (Ingenieria)/CNWI-ENGI-F020 QRB PRINTABLE.PUB</v>
      </c>
      <c r="Q108" s="51" t="str">
        <f>E108</f>
        <v>PUB</v>
      </c>
      <c r="R108" s="51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  <c r="AG108" t="s">
        <v>28</v>
      </c>
      <c r="AH108" s="51"/>
      <c r="AI108" s="51"/>
    </row>
    <row r="109" spans="2:35">
      <c r="B109" t="s">
        <v>2299</v>
      </c>
      <c r="C109" t="s">
        <v>2950</v>
      </c>
      <c r="D109">
        <v>5</v>
      </c>
      <c r="E109" t="s">
        <v>2795</v>
      </c>
      <c r="F109">
        <v>4</v>
      </c>
      <c r="I109" t="s">
        <v>2300</v>
      </c>
      <c r="J109" s="51">
        <v>40632</v>
      </c>
      <c r="K109" t="s">
        <v>27</v>
      </c>
      <c r="L109" t="s">
        <v>2284</v>
      </c>
      <c r="M109">
        <v>3</v>
      </c>
      <c r="N109" t="str">
        <f>L109</f>
        <v>NAM\MA6689</v>
      </c>
      <c r="O109" s="51">
        <f>J109</f>
        <v>40632</v>
      </c>
      <c r="P109" s="51" t="str">
        <f>C109</f>
        <v>~/cdd/olddocs/Formas/CNWI-ENGI (Ingenieria)/CNWI-ENGI-F021 SQDC CHARTS (PLANT) PRINTABLE.pub</v>
      </c>
      <c r="Q109" s="51" t="str">
        <f>E109</f>
        <v>pub</v>
      </c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G109" t="s">
        <v>28</v>
      </c>
      <c r="AH109" s="51"/>
      <c r="AI109" s="51"/>
    </row>
    <row r="110" spans="2:35">
      <c r="B110" t="s">
        <v>2301</v>
      </c>
      <c r="C110" t="s">
        <v>2951</v>
      </c>
      <c r="D110">
        <v>5</v>
      </c>
      <c r="E110" t="s">
        <v>2795</v>
      </c>
      <c r="F110">
        <v>4</v>
      </c>
      <c r="I110" t="s">
        <v>2302</v>
      </c>
      <c r="J110" s="51">
        <v>40632</v>
      </c>
      <c r="K110" t="s">
        <v>27</v>
      </c>
      <c r="L110" t="s">
        <v>2284</v>
      </c>
      <c r="M110">
        <v>3</v>
      </c>
      <c r="N110" t="str">
        <f>L110</f>
        <v>NAM\MA6689</v>
      </c>
      <c r="O110" s="51">
        <f>J110</f>
        <v>40632</v>
      </c>
      <c r="P110" s="51" t="str">
        <f>C110</f>
        <v>~/cdd/olddocs/Formas/CNWI-ENGI (Ingenieria)/CNWI-ENGI-F024 SQDC CHARTS PRINTABLE.pub</v>
      </c>
      <c r="Q110" s="51" t="str">
        <f>E110</f>
        <v>pub</v>
      </c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G110" t="s">
        <v>28</v>
      </c>
      <c r="AH110" s="51"/>
      <c r="AI110" s="51"/>
    </row>
    <row r="111" spans="2:35">
      <c r="B111" t="s">
        <v>2303</v>
      </c>
      <c r="C111" t="s">
        <v>2952</v>
      </c>
      <c r="D111">
        <v>5</v>
      </c>
      <c r="E111" t="s">
        <v>2792</v>
      </c>
      <c r="F111">
        <v>4</v>
      </c>
      <c r="I111" t="s">
        <v>2304</v>
      </c>
      <c r="J111" s="51">
        <v>40648</v>
      </c>
      <c r="K111" t="s">
        <v>27</v>
      </c>
      <c r="L111" t="s">
        <v>2284</v>
      </c>
      <c r="M111">
        <v>3</v>
      </c>
      <c r="N111" t="str">
        <f>L111</f>
        <v>NAM\MA6689</v>
      </c>
      <c r="O111" s="51">
        <f>J111</f>
        <v>40648</v>
      </c>
      <c r="P111" s="51" t="str">
        <f>C111</f>
        <v>~/cdd/olddocs/Formas/CNWI-ENGI (Ingenieria)/CNWI-ENGI-F028 Control 15 Hoja 1.xls</v>
      </c>
      <c r="Q111" s="51" t="str">
        <f>E111</f>
        <v>xls</v>
      </c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G111" t="s">
        <v>28</v>
      </c>
      <c r="AH111" s="51"/>
      <c r="AI111" s="51"/>
    </row>
    <row r="112" spans="2:35">
      <c r="B112" t="s">
        <v>2305</v>
      </c>
      <c r="C112" t="s">
        <v>2953</v>
      </c>
      <c r="D112">
        <v>5</v>
      </c>
      <c r="E112" t="s">
        <v>2792</v>
      </c>
      <c r="F112">
        <v>4</v>
      </c>
      <c r="I112" t="s">
        <v>2306</v>
      </c>
      <c r="J112" s="51">
        <v>40648</v>
      </c>
      <c r="K112" t="s">
        <v>27</v>
      </c>
      <c r="L112" t="s">
        <v>2284</v>
      </c>
      <c r="M112">
        <v>3</v>
      </c>
      <c r="N112" t="str">
        <f>L112</f>
        <v>NAM\MA6689</v>
      </c>
      <c r="O112" s="51">
        <f>J112</f>
        <v>40648</v>
      </c>
      <c r="P112" s="51" t="str">
        <f>C112</f>
        <v>~/cdd/olddocs/Formas/CNWI-ENGI (Ingenieria)/CNWI-ENGI-F029 Transference check list.xls</v>
      </c>
      <c r="Q112" s="51" t="str">
        <f>E112</f>
        <v>xls</v>
      </c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G112" t="s">
        <v>28</v>
      </c>
      <c r="AH112" s="51"/>
      <c r="AI112" s="51"/>
    </row>
    <row r="113" spans="2:35">
      <c r="B113" t="s">
        <v>240</v>
      </c>
      <c r="C113" t="s">
        <v>2954</v>
      </c>
      <c r="D113">
        <v>5</v>
      </c>
      <c r="E113" t="s">
        <v>2792</v>
      </c>
      <c r="F113">
        <v>4</v>
      </c>
      <c r="I113" t="s">
        <v>241</v>
      </c>
      <c r="J113" s="51">
        <v>40653</v>
      </c>
      <c r="K113" t="s">
        <v>27</v>
      </c>
      <c r="L113" t="s">
        <v>222</v>
      </c>
      <c r="M113">
        <v>3</v>
      </c>
      <c r="N113" t="str">
        <f>L113</f>
        <v>NAM\MA9769</v>
      </c>
      <c r="O113" s="51">
        <f>J113</f>
        <v>40653</v>
      </c>
      <c r="P113" s="51" t="str">
        <f>C113</f>
        <v>~/cdd/olddocs/Formas/CNWI-ENGI (Ingenieria)/CNWI-ENGI-F030 Lista de distribuccion de especificaciones de corte.xls</v>
      </c>
      <c r="Q113" s="51" t="str">
        <f>E113</f>
        <v>xls</v>
      </c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G113" t="s">
        <v>28</v>
      </c>
      <c r="AH113" s="51"/>
      <c r="AI113" s="51"/>
    </row>
    <row r="114" spans="2:35">
      <c r="B114" t="s">
        <v>439</v>
      </c>
      <c r="C114" t="s">
        <v>2955</v>
      </c>
      <c r="D114">
        <v>5</v>
      </c>
      <c r="E114" t="s">
        <v>2792</v>
      </c>
      <c r="F114">
        <v>4</v>
      </c>
      <c r="I114" t="s">
        <v>440</v>
      </c>
      <c r="J114" s="51">
        <v>40653</v>
      </c>
      <c r="K114" t="s">
        <v>27</v>
      </c>
      <c r="L114" t="s">
        <v>438</v>
      </c>
      <c r="M114">
        <v>3</v>
      </c>
      <c r="N114" t="str">
        <f>L114</f>
        <v>NAM\D24B6</v>
      </c>
      <c r="O114" s="51">
        <f>J114</f>
        <v>40653</v>
      </c>
      <c r="P114" s="51" t="str">
        <f>C114</f>
        <v>~/cdd/olddocs/Formas/CNWI-ENGI (Ingenieria)/CNWI-ENGI-F031 Arburg set-up sheet.xls</v>
      </c>
      <c r="Q114" s="51" t="str">
        <f>E114</f>
        <v>xls</v>
      </c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G114" t="s">
        <v>28</v>
      </c>
      <c r="AH114" s="51"/>
      <c r="AI114" s="51"/>
    </row>
    <row r="115" spans="2:35">
      <c r="B115" t="s">
        <v>2307</v>
      </c>
      <c r="C115" t="s">
        <v>2956</v>
      </c>
      <c r="D115">
        <v>5</v>
      </c>
      <c r="E115" t="s">
        <v>2792</v>
      </c>
      <c r="F115">
        <v>4</v>
      </c>
      <c r="I115" t="s">
        <v>2308</v>
      </c>
      <c r="J115" s="51">
        <v>40659</v>
      </c>
      <c r="K115" t="s">
        <v>27</v>
      </c>
      <c r="L115" t="s">
        <v>2284</v>
      </c>
      <c r="M115">
        <v>3</v>
      </c>
      <c r="N115" t="str">
        <f>L115</f>
        <v>NAM\MA6689</v>
      </c>
      <c r="O115" s="51">
        <f>J115</f>
        <v>40659</v>
      </c>
      <c r="P115" s="51" t="str">
        <f>C115</f>
        <v>~/cdd/olddocs/Formas/CNWI-ENGI (Ingenieria)/CNWI-ENGI-F032 INSTRUCCION DE RETRABAJO.xls</v>
      </c>
      <c r="Q115" s="51" t="str">
        <f>E115</f>
        <v>xls</v>
      </c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G115" t="s">
        <v>28</v>
      </c>
      <c r="AH115" s="51"/>
      <c r="AI115" s="51"/>
    </row>
    <row r="116" spans="2:35">
      <c r="B116" t="s">
        <v>2309</v>
      </c>
      <c r="C116" t="s">
        <v>2957</v>
      </c>
      <c r="D116">
        <v>5</v>
      </c>
      <c r="E116" t="s">
        <v>2792</v>
      </c>
      <c r="F116">
        <v>4</v>
      </c>
      <c r="I116" t="s">
        <v>2310</v>
      </c>
      <c r="J116" s="51">
        <v>40668</v>
      </c>
      <c r="K116" t="s">
        <v>46</v>
      </c>
      <c r="L116" t="s">
        <v>2284</v>
      </c>
      <c r="M116">
        <v>3</v>
      </c>
      <c r="N116" t="str">
        <f>L116</f>
        <v>NAM\MA6689</v>
      </c>
      <c r="O116" s="51">
        <f>J116</f>
        <v>40668</v>
      </c>
      <c r="P116" s="51" t="str">
        <f>C116</f>
        <v>~/cdd/olddocs/Formas/CNWI-ENGI (Ingenieria)/CNWI-ENGI-F033 Estudios de Tiempo.xls</v>
      </c>
      <c r="Q116" s="51" t="str">
        <f>E116</f>
        <v>xls</v>
      </c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G116" t="s">
        <v>28</v>
      </c>
      <c r="AH116" s="51"/>
      <c r="AI116" s="51"/>
    </row>
    <row r="117" spans="2:35">
      <c r="B117" t="s">
        <v>441</v>
      </c>
      <c r="C117" t="s">
        <v>2958</v>
      </c>
      <c r="D117">
        <v>5</v>
      </c>
      <c r="E117" t="s">
        <v>2792</v>
      </c>
      <c r="F117">
        <v>4</v>
      </c>
      <c r="I117" t="s">
        <v>442</v>
      </c>
      <c r="J117" s="51">
        <v>40668</v>
      </c>
      <c r="K117" t="s">
        <v>27</v>
      </c>
      <c r="L117" t="s">
        <v>438</v>
      </c>
      <c r="M117">
        <v>3</v>
      </c>
      <c r="N117" t="str">
        <f>L117</f>
        <v>NAM\D24B6</v>
      </c>
      <c r="O117" s="51">
        <f>J117</f>
        <v>40668</v>
      </c>
      <c r="P117" s="51" t="str">
        <f>C117</f>
        <v>~/cdd/olddocs/Formas/CNWI-ENGI (Ingenieria)/CNWI-ENGI-F034 Registro de Tiempos de Purga y Set-Up de Moldeadoras.xls</v>
      </c>
      <c r="Q117" s="51" t="str">
        <f>E117</f>
        <v>xls</v>
      </c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G117" t="s">
        <v>28</v>
      </c>
      <c r="AH117" s="51"/>
      <c r="AI117" s="51"/>
    </row>
    <row r="118" spans="2:35">
      <c r="B118" t="s">
        <v>2311</v>
      </c>
      <c r="C118" t="s">
        <v>2959</v>
      </c>
      <c r="D118">
        <v>5</v>
      </c>
      <c r="E118" t="s">
        <v>2792</v>
      </c>
      <c r="F118">
        <v>4</v>
      </c>
      <c r="I118" t="s">
        <v>2312</v>
      </c>
      <c r="J118" s="51">
        <v>40669</v>
      </c>
      <c r="K118" t="s">
        <v>27</v>
      </c>
      <c r="L118" t="s">
        <v>2284</v>
      </c>
      <c r="M118">
        <v>3</v>
      </c>
      <c r="N118" t="str">
        <f>L118</f>
        <v>NAM\MA6689</v>
      </c>
      <c r="O118" s="51">
        <f>J118</f>
        <v>40669</v>
      </c>
      <c r="P118" s="51" t="str">
        <f>C118</f>
        <v>~/cdd/olddocs/Formas/CNWI-ENGI (Ingenieria)/CNWI-ENGI-F035 Equipment Transfer Sheet.xls</v>
      </c>
      <c r="Q118" s="51" t="str">
        <f>E118</f>
        <v>xls</v>
      </c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G118" t="s">
        <v>28</v>
      </c>
      <c r="AH118" s="51"/>
      <c r="AI118" s="51"/>
    </row>
    <row r="119" spans="2:35">
      <c r="B119" t="s">
        <v>443</v>
      </c>
      <c r="C119" t="s">
        <v>2960</v>
      </c>
      <c r="D119">
        <v>5</v>
      </c>
      <c r="E119" t="s">
        <v>2792</v>
      </c>
      <c r="F119">
        <v>4</v>
      </c>
      <c r="I119" t="s">
        <v>444</v>
      </c>
      <c r="J119" s="51">
        <v>40709</v>
      </c>
      <c r="K119" t="s">
        <v>27</v>
      </c>
      <c r="L119" t="s">
        <v>438</v>
      </c>
      <c r="M119">
        <v>3</v>
      </c>
      <c r="N119" t="str">
        <f>L119</f>
        <v>NAM\D24B6</v>
      </c>
      <c r="O119" s="51">
        <f>J119</f>
        <v>40709</v>
      </c>
      <c r="P119" s="51" t="str">
        <f>C119</f>
        <v>~/cdd/olddocs/Formas/CNWI-ENGI (Ingenieria)/CNWI-ENGI-F036 Log de ordenes de insert.xls</v>
      </c>
      <c r="Q119" s="51" t="str">
        <f>E119</f>
        <v>xls</v>
      </c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G119" t="s">
        <v>28</v>
      </c>
      <c r="AH119" s="51"/>
      <c r="AI119" s="51"/>
    </row>
    <row r="120" spans="2:35">
      <c r="B120" t="s">
        <v>2313</v>
      </c>
      <c r="C120" t="s">
        <v>2961</v>
      </c>
      <c r="D120">
        <v>5</v>
      </c>
      <c r="E120" t="s">
        <v>2794</v>
      </c>
      <c r="F120">
        <v>4</v>
      </c>
      <c r="I120" t="s">
        <v>2314</v>
      </c>
      <c r="J120" s="51">
        <v>40716</v>
      </c>
      <c r="K120" t="s">
        <v>27</v>
      </c>
      <c r="L120" t="s">
        <v>2284</v>
      </c>
      <c r="M120">
        <v>3</v>
      </c>
      <c r="N120" t="str">
        <f>L120</f>
        <v>NAM\MA6689</v>
      </c>
      <c r="O120" s="51">
        <f>J120</f>
        <v>40716</v>
      </c>
      <c r="P120" s="51" t="str">
        <f>C120</f>
        <v>~/cdd/olddocs/Formas/CNWI-ENGI (Ingenieria)/CNWI-ENGI-F037 Id de Ingenieria.doc</v>
      </c>
      <c r="Q120" s="51" t="str">
        <f>E120</f>
        <v>doc</v>
      </c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G120" t="s">
        <v>28</v>
      </c>
      <c r="AH120" s="51"/>
      <c r="AI120" s="51"/>
    </row>
    <row r="121" spans="2:35">
      <c r="B121" t="s">
        <v>445</v>
      </c>
      <c r="C121" t="s">
        <v>2962</v>
      </c>
      <c r="D121">
        <v>5</v>
      </c>
      <c r="E121" t="s">
        <v>2791</v>
      </c>
      <c r="F121">
        <v>4</v>
      </c>
      <c r="I121" t="s">
        <v>446</v>
      </c>
      <c r="J121" s="51">
        <v>40730</v>
      </c>
      <c r="K121" t="s">
        <v>27</v>
      </c>
      <c r="L121" t="s">
        <v>438</v>
      </c>
      <c r="M121">
        <v>3</v>
      </c>
      <c r="N121" t="str">
        <f>L121</f>
        <v>NAM\D24B6</v>
      </c>
      <c r="O121" s="51">
        <f>J121</f>
        <v>40730</v>
      </c>
      <c r="P121" s="51" t="str">
        <f>C121</f>
        <v>~/cdd/olddocs/Formas/CNWI-ENGI (Ingenieria)/CNWI-ENGI-F038 Ajustes de parametros.pdf</v>
      </c>
      <c r="Q121" s="51" t="str">
        <f>E121</f>
        <v>pdf</v>
      </c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G121" t="s">
        <v>28</v>
      </c>
      <c r="AH121" s="51"/>
      <c r="AI121" s="51"/>
    </row>
    <row r="122" spans="2:35">
      <c r="B122" t="s">
        <v>447</v>
      </c>
      <c r="C122" t="s">
        <v>2963</v>
      </c>
      <c r="D122">
        <v>5</v>
      </c>
      <c r="E122" t="s">
        <v>2792</v>
      </c>
      <c r="F122">
        <v>4</v>
      </c>
      <c r="I122" t="s">
        <v>448</v>
      </c>
      <c r="J122" s="51">
        <v>40735</v>
      </c>
      <c r="K122" t="s">
        <v>27</v>
      </c>
      <c r="L122" t="s">
        <v>438</v>
      </c>
      <c r="M122">
        <v>3</v>
      </c>
      <c r="N122" t="str">
        <f>L122</f>
        <v>NAM\D24B6</v>
      </c>
      <c r="O122" s="51">
        <f>J122</f>
        <v>40735</v>
      </c>
      <c r="P122" s="51" t="str">
        <f>C122</f>
        <v>~/cdd/olddocs/Formas/CNWI-ENGI (Ingenieria)/CNWI-ENGI-F039 Parametros de termperatura y humedad.xls</v>
      </c>
      <c r="Q122" s="51" t="str">
        <f>E122</f>
        <v>xls</v>
      </c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G122" t="s">
        <v>28</v>
      </c>
      <c r="AH122" s="51"/>
      <c r="AI122" s="51"/>
    </row>
    <row r="123" spans="2:35">
      <c r="B123" t="s">
        <v>449</v>
      </c>
      <c r="C123" t="s">
        <v>2964</v>
      </c>
      <c r="D123">
        <v>5</v>
      </c>
      <c r="E123" t="s">
        <v>2792</v>
      </c>
      <c r="F123">
        <v>4</v>
      </c>
      <c r="I123" t="s">
        <v>450</v>
      </c>
      <c r="J123" s="51">
        <v>40735</v>
      </c>
      <c r="K123" t="s">
        <v>27</v>
      </c>
      <c r="L123" t="s">
        <v>438</v>
      </c>
      <c r="M123">
        <v>3</v>
      </c>
      <c r="N123" t="str">
        <f>L123</f>
        <v>NAM\D24B6</v>
      </c>
      <c r="O123" s="51">
        <f>J123</f>
        <v>40735</v>
      </c>
      <c r="P123" s="51" t="str">
        <f>C123</f>
        <v>~/cdd/olddocs/Formas/CNWI-ENGI (Ingenieria)/CNWI-ENGI-F040 Reporte de tiempos y temperaturas.xls</v>
      </c>
      <c r="Q123" s="51" t="str">
        <f>E123</f>
        <v>xls</v>
      </c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G123" t="s">
        <v>28</v>
      </c>
      <c r="AH123" s="51"/>
      <c r="AI123" s="51"/>
    </row>
    <row r="124" spans="2:35">
      <c r="B124" t="s">
        <v>2315</v>
      </c>
      <c r="C124" t="s">
        <v>2965</v>
      </c>
      <c r="D124">
        <v>5</v>
      </c>
      <c r="E124" t="s">
        <v>2790</v>
      </c>
      <c r="F124">
        <v>4</v>
      </c>
      <c r="I124" t="s">
        <v>128</v>
      </c>
      <c r="J124" s="51">
        <v>40737</v>
      </c>
      <c r="K124" t="s">
        <v>27</v>
      </c>
      <c r="L124" t="s">
        <v>2284</v>
      </c>
      <c r="M124">
        <v>3</v>
      </c>
      <c r="N124" t="str">
        <f>L124</f>
        <v>NAM\MA6689</v>
      </c>
      <c r="O124" s="51">
        <f>J124</f>
        <v>40737</v>
      </c>
      <c r="P124" s="51" t="str">
        <f>C124</f>
        <v>~/cdd/olddocs/Formas/CNWI-ENGI (Ingenieria)/CNWI-ENGI-F041 Especificaciones de insercion.xlsx</v>
      </c>
      <c r="Q124" s="51" t="str">
        <f>E124</f>
        <v>xlsx</v>
      </c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G124" t="s">
        <v>28</v>
      </c>
      <c r="AH124" s="51"/>
      <c r="AI124" s="51"/>
    </row>
    <row r="125" spans="2:35">
      <c r="B125" t="s">
        <v>2316</v>
      </c>
      <c r="C125" t="s">
        <v>2966</v>
      </c>
      <c r="D125">
        <v>5</v>
      </c>
      <c r="E125" t="s">
        <v>2790</v>
      </c>
      <c r="F125">
        <v>4</v>
      </c>
      <c r="I125" t="s">
        <v>2317</v>
      </c>
      <c r="J125" s="51">
        <v>41154</v>
      </c>
      <c r="K125" t="s">
        <v>27</v>
      </c>
      <c r="L125" t="s">
        <v>2284</v>
      </c>
      <c r="M125">
        <v>3</v>
      </c>
      <c r="N125" t="str">
        <f>L125</f>
        <v>NAM\MA6689</v>
      </c>
      <c r="O125" s="51">
        <f>J125</f>
        <v>41154</v>
      </c>
      <c r="P125" s="51" t="str">
        <f>C125</f>
        <v>~/cdd/olddocs/Formas/CNWI-ENGI (Ingenieria)/CNWI-ENGI-F042 Especificaciones de despoje de chaqueta.xlsx</v>
      </c>
      <c r="Q125" s="51" t="str">
        <f>E125</f>
        <v>xlsx</v>
      </c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G125" t="s">
        <v>28</v>
      </c>
      <c r="AH125" s="51"/>
      <c r="AI125" s="51"/>
    </row>
    <row r="126" spans="2:35">
      <c r="B126" t="s">
        <v>2318</v>
      </c>
      <c r="C126" t="s">
        <v>2967</v>
      </c>
      <c r="D126">
        <v>5</v>
      </c>
      <c r="E126" t="s">
        <v>2790</v>
      </c>
      <c r="F126">
        <v>4</v>
      </c>
      <c r="I126" t="s">
        <v>2319</v>
      </c>
      <c r="J126" s="51">
        <v>40737</v>
      </c>
      <c r="K126" t="s">
        <v>27</v>
      </c>
      <c r="L126" t="s">
        <v>2284</v>
      </c>
      <c r="M126">
        <v>3</v>
      </c>
      <c r="N126" t="str">
        <f>L126</f>
        <v>NAM\MA6689</v>
      </c>
      <c r="O126" s="51">
        <f>J126</f>
        <v>40737</v>
      </c>
      <c r="P126" s="51" t="str">
        <f>C126</f>
        <v>~/cdd/olddocs/Formas/CNWI-ENGI (Ingenieria)/CNWI-ENGI-F043 Especificaciones de despoje de conductores.xlsx</v>
      </c>
      <c r="Q126" s="51" t="str">
        <f>E126</f>
        <v>xlsx</v>
      </c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G126" t="s">
        <v>28</v>
      </c>
      <c r="AH126" s="51"/>
      <c r="AI126" s="51"/>
    </row>
    <row r="127" spans="2:35">
      <c r="B127" t="s">
        <v>1158</v>
      </c>
      <c r="C127" t="s">
        <v>2968</v>
      </c>
      <c r="D127">
        <v>5</v>
      </c>
      <c r="E127" t="s">
        <v>2790</v>
      </c>
      <c r="F127">
        <v>4</v>
      </c>
      <c r="I127" t="s">
        <v>1159</v>
      </c>
      <c r="J127" s="51">
        <v>40793</v>
      </c>
      <c r="K127" t="s">
        <v>27</v>
      </c>
      <c r="L127" t="s">
        <v>1157</v>
      </c>
      <c r="M127">
        <v>3</v>
      </c>
      <c r="N127" t="str">
        <f>L127</f>
        <v>NAM\F13B6</v>
      </c>
      <c r="O127" s="51">
        <f>J127</f>
        <v>40793</v>
      </c>
      <c r="P127" s="51" t="str">
        <f>C127</f>
        <v>~/cdd/olddocs/Formas/CNWI-ENGI (Ingenieria)/CNWI-ENGI-F044 Corrida Muestra.xlsx</v>
      </c>
      <c r="Q127" s="51" t="str">
        <f>E127</f>
        <v>xlsx</v>
      </c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G127" t="s">
        <v>28</v>
      </c>
      <c r="AH127" s="51"/>
      <c r="AI127" s="51"/>
    </row>
    <row r="128" spans="2:35">
      <c r="B128" t="s">
        <v>242</v>
      </c>
      <c r="C128" t="s">
        <v>2969</v>
      </c>
      <c r="D128">
        <v>5</v>
      </c>
      <c r="E128" t="s">
        <v>2792</v>
      </c>
      <c r="F128">
        <v>4</v>
      </c>
      <c r="I128" t="s">
        <v>243</v>
      </c>
      <c r="J128" s="51">
        <v>40828</v>
      </c>
      <c r="K128" t="s">
        <v>27</v>
      </c>
      <c r="L128" t="s">
        <v>222</v>
      </c>
      <c r="M128">
        <v>3</v>
      </c>
      <c r="N128" t="str">
        <f>L128</f>
        <v>NAM\MA9769</v>
      </c>
      <c r="O128" s="51">
        <f>J128</f>
        <v>40828</v>
      </c>
      <c r="P128" s="51" t="str">
        <f>C128</f>
        <v>~/cdd/olddocs/Formas/CNWI-ENGI (Ingenieria)/CNWI-ENGI-F045 Drawing Change Notification.xls</v>
      </c>
      <c r="Q128" s="51" t="str">
        <f>E128</f>
        <v>xls</v>
      </c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G128" t="s">
        <v>28</v>
      </c>
      <c r="AH128" s="51"/>
      <c r="AI128" s="51"/>
    </row>
    <row r="129" spans="2:35">
      <c r="B129" t="s">
        <v>451</v>
      </c>
      <c r="C129" t="s">
        <v>2970</v>
      </c>
      <c r="D129">
        <v>5</v>
      </c>
      <c r="E129" t="s">
        <v>2792</v>
      </c>
      <c r="F129">
        <v>4</v>
      </c>
      <c r="I129" t="s">
        <v>452</v>
      </c>
      <c r="J129" s="51">
        <v>40834</v>
      </c>
      <c r="K129" t="s">
        <v>27</v>
      </c>
      <c r="L129" t="s">
        <v>438</v>
      </c>
      <c r="M129">
        <v>3</v>
      </c>
      <c r="N129" t="str">
        <f>L129</f>
        <v>NAM\D24B6</v>
      </c>
      <c r="O129" s="51">
        <f>J129</f>
        <v>40834</v>
      </c>
      <c r="P129" s="51" t="str">
        <f>C129</f>
        <v>~/cdd/olddocs/Formas/CNWI-ENGI (Ingenieria)/CNWI-ENGI-F046 Temperaturas de moldeado.xls</v>
      </c>
      <c r="Q129" s="51" t="str">
        <f>E129</f>
        <v>xls</v>
      </c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G129" t="s">
        <v>28</v>
      </c>
      <c r="AH129" s="51"/>
      <c r="AI129" s="51"/>
    </row>
    <row r="130" spans="2:35">
      <c r="B130" t="s">
        <v>453</v>
      </c>
      <c r="C130" t="s">
        <v>2971</v>
      </c>
      <c r="D130">
        <v>5</v>
      </c>
      <c r="E130" t="s">
        <v>2794</v>
      </c>
      <c r="F130">
        <v>4</v>
      </c>
      <c r="I130" t="s">
        <v>454</v>
      </c>
      <c r="J130" s="51">
        <v>40836</v>
      </c>
      <c r="K130" t="s">
        <v>27</v>
      </c>
      <c r="L130" t="s">
        <v>438</v>
      </c>
      <c r="M130">
        <v>3</v>
      </c>
      <c r="N130" t="str">
        <f>L130</f>
        <v>NAM\D24B6</v>
      </c>
      <c r="O130" s="51">
        <f>J130</f>
        <v>40836</v>
      </c>
      <c r="P130" s="51" t="str">
        <f>C130</f>
        <v>~/cdd/olddocs/Formas/CNWI-ENGI (Ingenieria)/CNWI-ENGI-F047 Check list de montaje y desmontaje.doc</v>
      </c>
      <c r="Q130" s="51" t="str">
        <f>E130</f>
        <v>doc</v>
      </c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G130" t="s">
        <v>28</v>
      </c>
      <c r="AH130" s="51"/>
      <c r="AI130" s="51"/>
    </row>
    <row r="131" spans="2:35">
      <c r="B131" t="s">
        <v>455</v>
      </c>
      <c r="C131" t="s">
        <v>2972</v>
      </c>
      <c r="D131">
        <v>5</v>
      </c>
      <c r="E131" t="s">
        <v>2790</v>
      </c>
      <c r="F131">
        <v>4</v>
      </c>
      <c r="I131" t="s">
        <v>456</v>
      </c>
      <c r="J131" s="51">
        <v>40855</v>
      </c>
      <c r="K131" t="s">
        <v>46</v>
      </c>
      <c r="L131" t="s">
        <v>438</v>
      </c>
      <c r="M131">
        <v>3</v>
      </c>
      <c r="N131" t="str">
        <f>L131</f>
        <v>NAM\D24B6</v>
      </c>
      <c r="O131" s="51">
        <f>J131</f>
        <v>40855</v>
      </c>
      <c r="P131" s="51" t="str">
        <f>C131</f>
        <v>~/cdd/olddocs/Formas/CNWI-ENGI (Ingenieria)/CNWI-ENGI-F048 HOJA_DE_PARAMETROS MOORPARK.xlsx</v>
      </c>
      <c r="Q131" s="51" t="str">
        <f>E131</f>
        <v>xlsx</v>
      </c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G131" t="s">
        <v>28</v>
      </c>
      <c r="AH131" s="51"/>
      <c r="AI131" s="51"/>
    </row>
    <row r="132" spans="2:35">
      <c r="B132" t="s">
        <v>244</v>
      </c>
      <c r="C132" t="s">
        <v>2973</v>
      </c>
      <c r="D132">
        <v>5</v>
      </c>
      <c r="E132" t="s">
        <v>2792</v>
      </c>
      <c r="F132">
        <v>4</v>
      </c>
      <c r="I132" t="s">
        <v>245</v>
      </c>
      <c r="J132" s="51">
        <v>40850</v>
      </c>
      <c r="K132" t="s">
        <v>27</v>
      </c>
      <c r="L132" t="s">
        <v>222</v>
      </c>
      <c r="M132">
        <v>3</v>
      </c>
      <c r="N132" t="str">
        <f>L132</f>
        <v>NAM\MA9769</v>
      </c>
      <c r="O132" s="51">
        <f>J132</f>
        <v>40850</v>
      </c>
      <c r="P132" s="51" t="str">
        <f>C132</f>
        <v>~/cdd/olddocs/Formas/CNWI-ENGI (Ingenieria)/CNWI-ENGI-F049 Itron Part Number Cross Reference.xls</v>
      </c>
      <c r="Q132" s="51" t="str">
        <f>E132</f>
        <v>xls</v>
      </c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G132" t="s">
        <v>28</v>
      </c>
      <c r="AH132" s="51"/>
      <c r="AI132" s="51"/>
    </row>
    <row r="133" spans="2:35">
      <c r="B133" t="s">
        <v>246</v>
      </c>
      <c r="C133" t="s">
        <v>2974</v>
      </c>
      <c r="D133">
        <v>5</v>
      </c>
      <c r="E133" t="s">
        <v>2799</v>
      </c>
      <c r="F133">
        <v>4</v>
      </c>
      <c r="I133" t="s">
        <v>247</v>
      </c>
      <c r="J133" s="51">
        <v>40850</v>
      </c>
      <c r="K133" t="s">
        <v>27</v>
      </c>
      <c r="L133" t="s">
        <v>222</v>
      </c>
      <c r="M133">
        <v>3</v>
      </c>
      <c r="N133" t="str">
        <f>L133</f>
        <v>NAM\MA9769</v>
      </c>
      <c r="O133" s="51">
        <f>J133</f>
        <v>40850</v>
      </c>
      <c r="P133" s="51" t="str">
        <f>C133</f>
        <v>~/cdd/olddocs/Formas/CNWI-ENGI (Ingenieria)/CNWI-ENGI-F050 Varios PART NUMBERS CROSS REFERENCE..xlsm</v>
      </c>
      <c r="Q133" s="51" t="str">
        <f>E133</f>
        <v>xlsm</v>
      </c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  <c r="AG133" t="s">
        <v>28</v>
      </c>
      <c r="AH133" s="51"/>
      <c r="AI133" s="51"/>
    </row>
    <row r="134" spans="2:35">
      <c r="B134" t="s">
        <v>248</v>
      </c>
      <c r="C134" t="s">
        <v>2975</v>
      </c>
      <c r="D134">
        <v>5</v>
      </c>
      <c r="E134" t="s">
        <v>2792</v>
      </c>
      <c r="F134">
        <v>4</v>
      </c>
      <c r="I134" t="s">
        <v>249</v>
      </c>
      <c r="J134" s="51">
        <v>40851</v>
      </c>
      <c r="K134" t="s">
        <v>27</v>
      </c>
      <c r="L134" t="s">
        <v>222</v>
      </c>
      <c r="M134">
        <v>3</v>
      </c>
      <c r="N134" t="str">
        <f>L134</f>
        <v>NAM\MA9769</v>
      </c>
      <c r="O134" s="51">
        <f>J134</f>
        <v>40851</v>
      </c>
      <c r="P134" s="51" t="str">
        <f>C134</f>
        <v>~/cdd/olddocs/Formas/CNWI-ENGI (Ingenieria)/CNWI-ENGI-F051 Cross Reference Amsafe.xls</v>
      </c>
      <c r="Q134" s="51" t="str">
        <f>E134</f>
        <v>xls</v>
      </c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  <c r="AG134" t="s">
        <v>28</v>
      </c>
      <c r="AH134" s="51"/>
      <c r="AI134" s="51"/>
    </row>
    <row r="135" spans="2:35">
      <c r="B135" t="s">
        <v>457</v>
      </c>
      <c r="C135" t="s">
        <v>2976</v>
      </c>
      <c r="D135">
        <v>5</v>
      </c>
      <c r="E135" t="s">
        <v>2792</v>
      </c>
      <c r="F135">
        <v>4</v>
      </c>
      <c r="I135" t="s">
        <v>458</v>
      </c>
      <c r="J135" s="51">
        <v>40898</v>
      </c>
      <c r="K135" t="s">
        <v>46</v>
      </c>
      <c r="L135" t="s">
        <v>438</v>
      </c>
      <c r="M135">
        <v>3</v>
      </c>
      <c r="N135" t="str">
        <f>L135</f>
        <v>NAM\D24B6</v>
      </c>
      <c r="O135" s="51">
        <f>J135</f>
        <v>40898</v>
      </c>
      <c r="P135" s="51" t="str">
        <f>C135</f>
        <v>~/cdd/olddocs/Formas/CNWI-ENGI (Ingenieria)/CNWI-ENGI-F052 Inspection report.xls</v>
      </c>
      <c r="Q135" s="51" t="str">
        <f>E135</f>
        <v>xls</v>
      </c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G135" t="s">
        <v>28</v>
      </c>
      <c r="AH135" s="51"/>
      <c r="AI135" s="51"/>
    </row>
    <row r="136" spans="2:35">
      <c r="B136" t="s">
        <v>250</v>
      </c>
      <c r="C136" t="s">
        <v>2977</v>
      </c>
      <c r="D136">
        <v>5</v>
      </c>
      <c r="E136" t="s">
        <v>2792</v>
      </c>
      <c r="F136">
        <v>4</v>
      </c>
      <c r="I136" t="s">
        <v>251</v>
      </c>
      <c r="J136" s="51">
        <v>40931</v>
      </c>
      <c r="K136" t="s">
        <v>27</v>
      </c>
      <c r="L136" t="s">
        <v>222</v>
      </c>
      <c r="M136">
        <v>3</v>
      </c>
      <c r="N136" t="str">
        <f>L136</f>
        <v>NAM\MA9769</v>
      </c>
      <c r="O136" s="51">
        <f>J136</f>
        <v>40931</v>
      </c>
      <c r="P136" s="51" t="str">
        <f>C136</f>
        <v>~/cdd/olddocs/Formas/CNWI-ENGI (Ingenieria)/CNWI-ENGI-F054 Cambios de reviciones.xls</v>
      </c>
      <c r="Q136" s="51" t="str">
        <f>E136</f>
        <v>xls</v>
      </c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  <c r="AG136" t="s">
        <v>28</v>
      </c>
      <c r="AH136" s="51"/>
      <c r="AI136" s="51"/>
    </row>
    <row r="137" spans="2:35">
      <c r="B137" t="s">
        <v>2320</v>
      </c>
      <c r="C137" t="s">
        <v>2978</v>
      </c>
      <c r="D137">
        <v>5</v>
      </c>
      <c r="E137" t="s">
        <v>2790</v>
      </c>
      <c r="F137">
        <v>4</v>
      </c>
      <c r="I137" t="s">
        <v>2321</v>
      </c>
      <c r="J137" s="51">
        <v>40925</v>
      </c>
      <c r="K137" t="s">
        <v>27</v>
      </c>
      <c r="L137" t="s">
        <v>2284</v>
      </c>
      <c r="M137">
        <v>3</v>
      </c>
      <c r="N137" t="str">
        <f>L137</f>
        <v>NAM\MA6689</v>
      </c>
      <c r="O137" s="51">
        <f>J137</f>
        <v>40925</v>
      </c>
      <c r="P137" s="51" t="str">
        <f>C137</f>
        <v>~/cdd/olddocs/Formas/CNWI-ENGI (Ingenieria)/CNWI-ENGI-F055 MATRIZ DE EMPAQUE.xlsx</v>
      </c>
      <c r="Q137" s="51" t="str">
        <f>E137</f>
        <v>xlsx</v>
      </c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G137" t="s">
        <v>28</v>
      </c>
      <c r="AH137" s="51"/>
      <c r="AI137" s="51"/>
    </row>
    <row r="138" spans="2:35">
      <c r="B138" t="s">
        <v>2322</v>
      </c>
      <c r="C138" t="s">
        <v>2979</v>
      </c>
      <c r="D138">
        <v>5</v>
      </c>
      <c r="E138" t="s">
        <v>2792</v>
      </c>
      <c r="F138">
        <v>4</v>
      </c>
      <c r="I138" t="s">
        <v>2323</v>
      </c>
      <c r="J138" s="51">
        <v>40938</v>
      </c>
      <c r="K138" t="s">
        <v>27</v>
      </c>
      <c r="L138" t="s">
        <v>2284</v>
      </c>
      <c r="M138">
        <v>3</v>
      </c>
      <c r="N138" t="str">
        <f>L138</f>
        <v>NAM\MA6689</v>
      </c>
      <c r="O138" s="51">
        <f>J138</f>
        <v>40938</v>
      </c>
      <c r="P138" s="51" t="str">
        <f>C138</f>
        <v>~/cdd/olddocs/Formas/CNWI-ENGI (Ingenieria)/CNWI-ENGI-F056 RESUMEN CAMBIOS COOPER NOGALES.xls</v>
      </c>
      <c r="Q138" s="51" t="str">
        <f>E138</f>
        <v>xls</v>
      </c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G138" t="s">
        <v>28</v>
      </c>
      <c r="AH138" s="51"/>
      <c r="AI138" s="51"/>
    </row>
    <row r="139" spans="2:35">
      <c r="B139" t="s">
        <v>459</v>
      </c>
      <c r="C139" t="s">
        <v>2980</v>
      </c>
      <c r="D139">
        <v>5</v>
      </c>
      <c r="E139" t="s">
        <v>2790</v>
      </c>
      <c r="F139">
        <v>4</v>
      </c>
      <c r="I139" t="s">
        <v>460</v>
      </c>
      <c r="J139" s="51">
        <v>40991</v>
      </c>
      <c r="K139" t="s">
        <v>46</v>
      </c>
      <c r="L139" t="s">
        <v>438</v>
      </c>
      <c r="M139">
        <v>3</v>
      </c>
      <c r="N139" t="str">
        <f>L139</f>
        <v>NAM\D24B6</v>
      </c>
      <c r="O139" s="51">
        <f>J139</f>
        <v>40991</v>
      </c>
      <c r="P139" s="51" t="str">
        <f>C139</f>
        <v>~/cdd/olddocs/Formas/CNWI-ENGI (Ingenieria)/CNWI-ENGI-F059 Hoja de parametros prueba AHI-Top.xlsx</v>
      </c>
      <c r="Q139" s="51" t="str">
        <f>E139</f>
        <v>xlsx</v>
      </c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51"/>
      <c r="AC139" s="51"/>
      <c r="AD139" s="51"/>
      <c r="AG139" t="s">
        <v>28</v>
      </c>
      <c r="AH139" s="51"/>
      <c r="AI139" s="51"/>
    </row>
    <row r="140" spans="2:35">
      <c r="B140" t="s">
        <v>70</v>
      </c>
      <c r="C140" t="s">
        <v>2981</v>
      </c>
      <c r="D140">
        <v>5</v>
      </c>
      <c r="E140" t="s">
        <v>2792</v>
      </c>
      <c r="F140">
        <v>4</v>
      </c>
      <c r="I140" t="s">
        <v>71</v>
      </c>
      <c r="J140" s="51">
        <v>40988</v>
      </c>
      <c r="K140" t="s">
        <v>27</v>
      </c>
      <c r="L140" t="s">
        <v>63</v>
      </c>
      <c r="M140">
        <v>3</v>
      </c>
      <c r="N140" t="str">
        <f>L140</f>
        <v>NAM\D6B1B</v>
      </c>
      <c r="O140" s="51">
        <f>J140</f>
        <v>40988</v>
      </c>
      <c r="P140" s="51" t="str">
        <f>C140</f>
        <v>~/cdd/olddocs/Formas/CNWI-ENGI (Ingenieria)/CNWI-ENGI-F060 NPI Scorecard.xls</v>
      </c>
      <c r="Q140" s="51" t="str">
        <f>E140</f>
        <v>xls</v>
      </c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51"/>
      <c r="AC140" s="51"/>
      <c r="AD140" s="51"/>
      <c r="AG140" t="s">
        <v>28</v>
      </c>
      <c r="AH140" s="51"/>
      <c r="AI140" s="51"/>
    </row>
    <row r="141" spans="2:35">
      <c r="B141" t="s">
        <v>252</v>
      </c>
      <c r="C141" t="s">
        <v>3947</v>
      </c>
      <c r="D141">
        <v>5</v>
      </c>
      <c r="E141" t="s">
        <v>2790</v>
      </c>
      <c r="F141">
        <v>4</v>
      </c>
      <c r="I141" t="s">
        <v>253</v>
      </c>
      <c r="J141" s="51">
        <v>41009</v>
      </c>
      <c r="K141" t="s">
        <v>27</v>
      </c>
      <c r="L141" t="s">
        <v>222</v>
      </c>
      <c r="M141">
        <v>3</v>
      </c>
      <c r="N141" t="str">
        <f>L141</f>
        <v>NAM\MA9769</v>
      </c>
      <c r="O141" s="51">
        <f>J141</f>
        <v>41009</v>
      </c>
      <c r="P141" s="51" t="str">
        <f>C141</f>
        <v>~/cdd/olddocs/Temporales/CNWI-ENGI-F061 Check list para implementacion de ECN.xlsx</v>
      </c>
      <c r="Q141" s="51" t="str">
        <f>E141</f>
        <v>xlsx</v>
      </c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51"/>
      <c r="AC141" s="51"/>
      <c r="AD141" s="51"/>
      <c r="AG141" t="s">
        <v>28</v>
      </c>
      <c r="AH141" s="51"/>
      <c r="AI141" s="51"/>
    </row>
    <row r="142" spans="2:35">
      <c r="B142" t="s">
        <v>72</v>
      </c>
      <c r="C142" t="s">
        <v>2982</v>
      </c>
      <c r="D142">
        <v>5</v>
      </c>
      <c r="E142" t="s">
        <v>2792</v>
      </c>
      <c r="F142">
        <v>4</v>
      </c>
      <c r="I142" t="s">
        <v>73</v>
      </c>
      <c r="J142" s="51">
        <v>41010</v>
      </c>
      <c r="K142" t="s">
        <v>27</v>
      </c>
      <c r="L142" t="s">
        <v>63</v>
      </c>
      <c r="M142">
        <v>3</v>
      </c>
      <c r="N142" t="str">
        <f>L142</f>
        <v>NAM\D6B1B</v>
      </c>
      <c r="O142" s="51">
        <f>J142</f>
        <v>41010</v>
      </c>
      <c r="P142" s="51" t="str">
        <f>C142</f>
        <v>~/cdd/olddocs/Formas/CNWI-ENGI (Ingenieria)/CNWI-ENGI-F062 Especificacion de corte de cable en Solar.xls</v>
      </c>
      <c r="Q142" s="51" t="str">
        <f>E142</f>
        <v>xls</v>
      </c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51"/>
      <c r="AC142" s="51"/>
      <c r="AD142" s="51"/>
      <c r="AG142" t="s">
        <v>28</v>
      </c>
      <c r="AH142" s="51"/>
      <c r="AI142" s="51"/>
    </row>
    <row r="143" spans="2:35">
      <c r="B143" t="s">
        <v>74</v>
      </c>
      <c r="C143" t="s">
        <v>2983</v>
      </c>
      <c r="D143">
        <v>5</v>
      </c>
      <c r="E143" t="s">
        <v>2792</v>
      </c>
      <c r="F143">
        <v>4</v>
      </c>
      <c r="I143" t="s">
        <v>75</v>
      </c>
      <c r="J143" s="51">
        <v>41060</v>
      </c>
      <c r="K143" t="s">
        <v>27</v>
      </c>
      <c r="L143" t="s">
        <v>63</v>
      </c>
      <c r="M143">
        <v>3</v>
      </c>
      <c r="N143" t="str">
        <f>L143</f>
        <v>NAM\D6B1B</v>
      </c>
      <c r="O143" s="51">
        <f>J143</f>
        <v>41060</v>
      </c>
      <c r="P143" s="51" t="str">
        <f>C143</f>
        <v>~/cdd/olddocs/Formas/CNWI-ENGI (Ingenieria)/CNWI-ENGI-F063 Check list empaque solar.xls</v>
      </c>
      <c r="Q143" s="51" t="str">
        <f>E143</f>
        <v>xls</v>
      </c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51"/>
      <c r="AC143" s="51"/>
      <c r="AD143" s="51"/>
      <c r="AG143" t="s">
        <v>28</v>
      </c>
      <c r="AH143" s="51"/>
      <c r="AI143" s="51"/>
    </row>
    <row r="144" spans="2:35">
      <c r="B144" t="s">
        <v>76</v>
      </c>
      <c r="C144" t="s">
        <v>3857</v>
      </c>
      <c r="D144">
        <v>5</v>
      </c>
      <c r="E144" t="s">
        <v>2792</v>
      </c>
      <c r="F144">
        <v>4</v>
      </c>
      <c r="I144" t="s">
        <v>77</v>
      </c>
      <c r="J144" s="51">
        <v>41060</v>
      </c>
      <c r="K144" t="s">
        <v>27</v>
      </c>
      <c r="L144" t="s">
        <v>63</v>
      </c>
      <c r="M144">
        <v>3</v>
      </c>
      <c r="N144" t="str">
        <f>L144</f>
        <v>NAM\D6B1B</v>
      </c>
      <c r="O144" s="51">
        <f>J144</f>
        <v>41060</v>
      </c>
      <c r="P144" s="51" t="str">
        <f>C144</f>
        <v>~cdd/olddocs/Formas/CNWI-ENGI (Ingenieria)/CNWI-ENGI-F064 Check list set up first solar.xls</v>
      </c>
      <c r="Q144" s="51" t="str">
        <f>E144</f>
        <v>xls</v>
      </c>
      <c r="R144" s="51"/>
      <c r="S144" s="51"/>
      <c r="T144" s="51"/>
      <c r="U144" s="51"/>
      <c r="V144" s="51"/>
      <c r="W144" s="51"/>
      <c r="X144" s="51"/>
      <c r="Y144" s="51"/>
      <c r="Z144" s="51"/>
      <c r="AA144" s="51"/>
      <c r="AB144" s="51"/>
      <c r="AC144" s="51"/>
      <c r="AD144" s="51"/>
      <c r="AG144" t="s">
        <v>28</v>
      </c>
      <c r="AH144" s="51"/>
      <c r="AI144" s="51"/>
    </row>
    <row r="145" spans="2:35">
      <c r="B145" t="s">
        <v>78</v>
      </c>
      <c r="C145" t="s">
        <v>3858</v>
      </c>
      <c r="D145">
        <v>5</v>
      </c>
      <c r="E145" t="s">
        <v>2794</v>
      </c>
      <c r="F145">
        <v>4</v>
      </c>
      <c r="I145" t="s">
        <v>79</v>
      </c>
      <c r="J145" s="51">
        <v>41065</v>
      </c>
      <c r="K145" t="s">
        <v>27</v>
      </c>
      <c r="L145" t="s">
        <v>63</v>
      </c>
      <c r="M145">
        <v>3</v>
      </c>
      <c r="N145" t="str">
        <f>L145</f>
        <v>NAM\D6B1B</v>
      </c>
      <c r="O145" s="51">
        <f>J145</f>
        <v>41065</v>
      </c>
      <c r="P145" s="51" t="str">
        <f>C145</f>
        <v>~cdd/olddocs/Formas/CNWI-ENGI (Ingenieria)/CNWI-ENGI-F065 Rev. A Presentacion de conectores que se utilizan en Solar.doc</v>
      </c>
      <c r="Q145" s="51" t="str">
        <f>E145</f>
        <v>doc</v>
      </c>
      <c r="R145" s="51"/>
      <c r="S145" s="51"/>
      <c r="T145" s="51"/>
      <c r="U145" s="51"/>
      <c r="V145" s="51"/>
      <c r="W145" s="51"/>
      <c r="X145" s="51"/>
      <c r="Y145" s="51"/>
      <c r="Z145" s="51"/>
      <c r="AA145" s="51"/>
      <c r="AB145" s="51"/>
      <c r="AC145" s="51"/>
      <c r="AD145" s="51"/>
      <c r="AG145" t="s">
        <v>28</v>
      </c>
      <c r="AH145" s="51"/>
      <c r="AI145" s="51"/>
    </row>
    <row r="146" spans="2:35">
      <c r="B146" t="s">
        <v>80</v>
      </c>
      <c r="C146" t="s">
        <v>3859</v>
      </c>
      <c r="D146">
        <v>5</v>
      </c>
      <c r="E146" t="s">
        <v>2792</v>
      </c>
      <c r="F146">
        <v>4</v>
      </c>
      <c r="I146" t="s">
        <v>81</v>
      </c>
      <c r="J146" s="51">
        <v>41067</v>
      </c>
      <c r="K146" t="s">
        <v>27</v>
      </c>
      <c r="L146" t="s">
        <v>63</v>
      </c>
      <c r="M146">
        <v>3</v>
      </c>
      <c r="N146" t="str">
        <f>L146</f>
        <v>NAM\D6B1B</v>
      </c>
      <c r="O146" s="51">
        <f>J146</f>
        <v>41067</v>
      </c>
      <c r="P146" s="51" t="str">
        <f>C146</f>
        <v>~cdd/olddocs/Formas/CNWI-ENGI (Ingenieria)/CNWI-ENGI-F066 Parametros para maquina Branson Solar.xls</v>
      </c>
      <c r="Q146" s="51" t="str">
        <f>E146</f>
        <v>xls</v>
      </c>
      <c r="R146" s="51"/>
      <c r="S146" s="51"/>
      <c r="T146" s="51"/>
      <c r="U146" s="51"/>
      <c r="V146" s="51"/>
      <c r="W146" s="51"/>
      <c r="X146" s="51"/>
      <c r="Y146" s="51"/>
      <c r="Z146" s="51"/>
      <c r="AA146" s="51"/>
      <c r="AB146" s="51"/>
      <c r="AC146" s="51"/>
      <c r="AD146" s="51"/>
      <c r="AG146" t="s">
        <v>28</v>
      </c>
      <c r="AH146" s="51"/>
      <c r="AI146" s="51"/>
    </row>
    <row r="147" spans="2:35">
      <c r="B147" t="s">
        <v>612</v>
      </c>
      <c r="C147" t="s">
        <v>3860</v>
      </c>
      <c r="D147">
        <v>5</v>
      </c>
      <c r="E147" t="s">
        <v>2790</v>
      </c>
      <c r="F147">
        <v>4</v>
      </c>
      <c r="I147" t="s">
        <v>613</v>
      </c>
      <c r="J147" s="51">
        <v>41071</v>
      </c>
      <c r="K147" t="s">
        <v>27</v>
      </c>
      <c r="L147" t="s">
        <v>605</v>
      </c>
      <c r="M147">
        <v>3</v>
      </c>
      <c r="N147" t="str">
        <f>L147</f>
        <v>NA/MB1049</v>
      </c>
      <c r="O147" s="51">
        <f>J147</f>
        <v>41071</v>
      </c>
      <c r="P147" s="51" t="str">
        <f>C147</f>
        <v>~cdd/olddocs/Formas/CNWI-ENGI (Ingenieria)/CNWI-ENGI-F067 Control de impresion de etiquetas.xlsx</v>
      </c>
      <c r="Q147" s="51" t="str">
        <f>E147</f>
        <v>xlsx</v>
      </c>
      <c r="R147" s="51"/>
      <c r="S147" s="51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  <c r="AG147" t="s">
        <v>28</v>
      </c>
      <c r="AH147" s="51"/>
      <c r="AI147" s="51"/>
    </row>
    <row r="148" spans="2:35">
      <c r="B148" t="s">
        <v>461</v>
      </c>
      <c r="C148" t="s">
        <v>3861</v>
      </c>
      <c r="D148">
        <v>5</v>
      </c>
      <c r="E148" t="s">
        <v>2790</v>
      </c>
      <c r="F148">
        <v>4</v>
      </c>
      <c r="I148" t="s">
        <v>462</v>
      </c>
      <c r="J148" s="51">
        <v>41150</v>
      </c>
      <c r="K148" t="s">
        <v>27</v>
      </c>
      <c r="L148" t="s">
        <v>438</v>
      </c>
      <c r="M148">
        <v>3</v>
      </c>
      <c r="N148" t="str">
        <f>L148</f>
        <v>NAM\D24B6</v>
      </c>
      <c r="O148" s="51">
        <f>J148</f>
        <v>41150</v>
      </c>
      <c r="P148" s="51" t="str">
        <f>C148</f>
        <v>~cdd/olddocs/Formas/CNWI-ENGI (Ingenieria)/CNWI-ENGI-F068 Rev.A  Check list moorpark.xlsx</v>
      </c>
      <c r="Q148" s="51" t="str">
        <f>E148</f>
        <v>xlsx</v>
      </c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G148" t="s">
        <v>28</v>
      </c>
      <c r="AH148" s="51"/>
      <c r="AI148" s="51"/>
    </row>
    <row r="149" spans="2:35">
      <c r="B149" t="s">
        <v>2060</v>
      </c>
      <c r="C149" t="s">
        <v>3862</v>
      </c>
      <c r="D149">
        <v>5</v>
      </c>
      <c r="E149" t="s">
        <v>2797</v>
      </c>
      <c r="F149">
        <v>4</v>
      </c>
      <c r="I149" t="s">
        <v>2061</v>
      </c>
      <c r="J149" s="51">
        <v>41173</v>
      </c>
      <c r="K149" t="s">
        <v>27</v>
      </c>
      <c r="L149" t="s">
        <v>2063</v>
      </c>
      <c r="M149">
        <v>3</v>
      </c>
      <c r="N149" t="str">
        <f>L149</f>
        <v>NAM\MB2117</v>
      </c>
      <c r="O149" s="51">
        <f>J149</f>
        <v>41173</v>
      </c>
      <c r="P149" s="51" t="str">
        <f>C149</f>
        <v>~cdd/olddocs/Formas/CNWI-ENGI (Ingenieria)/CNWI-ENGI-F069 Rev. A Packaging Data Form.docx</v>
      </c>
      <c r="Q149" s="51" t="str">
        <f>E149</f>
        <v>docx</v>
      </c>
      <c r="R149" s="51"/>
      <c r="S149" s="51"/>
      <c r="T149" s="51"/>
      <c r="U149" s="51"/>
      <c r="V149" s="51"/>
      <c r="W149" s="51"/>
      <c r="X149" s="51"/>
      <c r="Y149" s="51"/>
      <c r="Z149" s="51"/>
      <c r="AA149" s="51"/>
      <c r="AB149" s="51"/>
      <c r="AC149" s="51"/>
      <c r="AD149" s="51"/>
      <c r="AG149" t="s">
        <v>28</v>
      </c>
      <c r="AH149" s="51"/>
      <c r="AI149" s="51"/>
    </row>
    <row r="150" spans="2:35">
      <c r="B150" t="s">
        <v>1462</v>
      </c>
      <c r="C150" t="s">
        <v>3863</v>
      </c>
      <c r="D150">
        <v>5</v>
      </c>
      <c r="E150" t="s">
        <v>2790</v>
      </c>
      <c r="F150">
        <v>4</v>
      </c>
      <c r="I150" t="s">
        <v>1463</v>
      </c>
      <c r="J150" s="51">
        <v>41178</v>
      </c>
      <c r="K150" t="s">
        <v>27</v>
      </c>
      <c r="L150" t="s">
        <v>1461</v>
      </c>
      <c r="M150">
        <v>3</v>
      </c>
      <c r="N150" t="str">
        <f>L150</f>
        <v>NAM\MB1297</v>
      </c>
      <c r="O150" s="51">
        <f>J150</f>
        <v>41178</v>
      </c>
      <c r="P150" s="51" t="str">
        <f>C150</f>
        <v>~cdd/olddocs/Formas/CNWI-ENGI (Ingenieria)/CNWI-ENGI-F070 Rev. A Chek list de Nuevos Productos .xlsx</v>
      </c>
      <c r="Q150" s="51" t="str">
        <f>E150</f>
        <v>xlsx</v>
      </c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G150" t="s">
        <v>28</v>
      </c>
      <c r="AH150" s="51"/>
      <c r="AI150" s="51"/>
    </row>
    <row r="151" spans="2:35">
      <c r="B151" t="s">
        <v>1464</v>
      </c>
      <c r="C151" t="s">
        <v>3864</v>
      </c>
      <c r="D151">
        <v>5</v>
      </c>
      <c r="E151" t="s">
        <v>2790</v>
      </c>
      <c r="F151">
        <v>4</v>
      </c>
      <c r="I151" t="s">
        <v>1465</v>
      </c>
      <c r="J151" s="51">
        <v>41172</v>
      </c>
      <c r="K151" t="s">
        <v>27</v>
      </c>
      <c r="L151" t="s">
        <v>1461</v>
      </c>
      <c r="M151">
        <v>3</v>
      </c>
      <c r="N151" t="str">
        <f>L151</f>
        <v>NAM\MB1297</v>
      </c>
      <c r="O151" s="51">
        <f>J151</f>
        <v>41172</v>
      </c>
      <c r="P151" s="51" t="str">
        <f>C151</f>
        <v>~cdd/olddocs/Formas/CNWI-ENGI (Ingenieria)/CNWI-ENGI-F071 Rev  A Registro de productos terminados NPI.xlsx</v>
      </c>
      <c r="Q151" s="51" t="str">
        <f>E151</f>
        <v>xlsx</v>
      </c>
      <c r="R151" s="51"/>
      <c r="S151" s="51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  <c r="AG151" t="s">
        <v>28</v>
      </c>
      <c r="AH151" s="51"/>
      <c r="AI151" s="51"/>
    </row>
    <row r="152" spans="2:35">
      <c r="B152" t="s">
        <v>463</v>
      </c>
      <c r="C152" t="s">
        <v>3865</v>
      </c>
      <c r="D152">
        <v>5</v>
      </c>
      <c r="E152" t="s">
        <v>2790</v>
      </c>
      <c r="F152">
        <v>4</v>
      </c>
      <c r="I152" t="s">
        <v>464</v>
      </c>
      <c r="J152" s="51">
        <v>41199</v>
      </c>
      <c r="K152" t="s">
        <v>27</v>
      </c>
      <c r="L152" t="s">
        <v>438</v>
      </c>
      <c r="M152">
        <v>3</v>
      </c>
      <c r="N152" t="str">
        <f>L152</f>
        <v>NAM\D24B6</v>
      </c>
      <c r="O152" s="51">
        <f>J152</f>
        <v>41199</v>
      </c>
      <c r="P152" s="51" t="str">
        <f>C152</f>
        <v>~cdd/olddocs/Formas/CNWI-ENGI (Ingenieria)/CNWI-ENGI-F072 Rev. A Ajuste de parámetros para moldeadora autojector.xlsx</v>
      </c>
      <c r="Q152" s="51" t="str">
        <f>E152</f>
        <v>xlsx</v>
      </c>
      <c r="R152" s="51"/>
      <c r="S152" s="51"/>
      <c r="T152" s="51"/>
      <c r="U152" s="51"/>
      <c r="V152" s="51"/>
      <c r="W152" s="51"/>
      <c r="X152" s="51"/>
      <c r="Y152" s="51"/>
      <c r="Z152" s="51"/>
      <c r="AA152" s="51"/>
      <c r="AB152" s="51"/>
      <c r="AC152" s="51"/>
      <c r="AD152" s="51"/>
      <c r="AG152" t="s">
        <v>28</v>
      </c>
      <c r="AH152" s="51"/>
      <c r="AI152" s="51"/>
    </row>
    <row r="153" spans="2:35">
      <c r="B153" t="s">
        <v>2277</v>
      </c>
      <c r="C153" t="s">
        <v>3324</v>
      </c>
      <c r="D153">
        <v>4</v>
      </c>
      <c r="E153" t="s">
        <v>2791</v>
      </c>
      <c r="F153">
        <v>13</v>
      </c>
      <c r="I153" t="s">
        <v>2278</v>
      </c>
      <c r="J153" s="51">
        <v>40990</v>
      </c>
      <c r="K153" t="s">
        <v>27</v>
      </c>
      <c r="L153" t="s">
        <v>2280</v>
      </c>
      <c r="M153">
        <v>3</v>
      </c>
      <c r="N153" t="str">
        <f>L153</f>
        <v>NAM\ma8489</v>
      </c>
      <c r="O153" s="51">
        <f>J153</f>
        <v>40990</v>
      </c>
      <c r="P153" s="51" t="str">
        <f>C153</f>
        <v>~/cdd/olddocs/Instructivos/CNWI-FNCS/CNWI-FNCS-0001 Rev. A Conteo Ciclico.pdf</v>
      </c>
      <c r="Q153" s="51" t="str">
        <f>E153</f>
        <v>pdf</v>
      </c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G153" t="s">
        <v>28</v>
      </c>
      <c r="AH153" s="51"/>
      <c r="AI153" s="51"/>
    </row>
    <row r="154" spans="2:35">
      <c r="B154" t="s">
        <v>852</v>
      </c>
      <c r="C154" t="s">
        <v>3903</v>
      </c>
      <c r="D154">
        <v>4</v>
      </c>
      <c r="E154" t="s">
        <v>2791</v>
      </c>
      <c r="F154">
        <v>7</v>
      </c>
      <c r="I154" t="s">
        <v>853</v>
      </c>
      <c r="J154" s="51">
        <v>41129</v>
      </c>
      <c r="K154" t="s">
        <v>742</v>
      </c>
      <c r="L154" t="s">
        <v>855</v>
      </c>
      <c r="M154">
        <v>3</v>
      </c>
      <c r="N154" t="str">
        <f>L154</f>
        <v>NAM\MB0433</v>
      </c>
      <c r="O154" s="51">
        <f>J154</f>
        <v>41129</v>
      </c>
      <c r="P154" s="51" t="str">
        <f>C154</f>
        <v>~cdd/olddocs/Instructivos/CNWI-HMRS/CNWI-HMRS-0001  Procedimiento de Desarrollo de Habilidades y Competencias.pdf</v>
      </c>
      <c r="Q154" s="51" t="str">
        <f>E154</f>
        <v>pdf</v>
      </c>
      <c r="R154" s="51"/>
      <c r="S154" s="51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  <c r="AD154" s="51"/>
      <c r="AG154" t="s">
        <v>28</v>
      </c>
      <c r="AH154" s="51"/>
      <c r="AI154" s="51"/>
    </row>
    <row r="155" spans="2:35">
      <c r="B155" t="s">
        <v>548</v>
      </c>
      <c r="C155" t="s">
        <v>3325</v>
      </c>
      <c r="D155">
        <v>4</v>
      </c>
      <c r="E155" t="s">
        <v>2791</v>
      </c>
      <c r="F155">
        <v>7</v>
      </c>
      <c r="I155" t="s">
        <v>550</v>
      </c>
      <c r="J155" s="51">
        <v>40637</v>
      </c>
      <c r="K155" t="s">
        <v>27</v>
      </c>
      <c r="L155" t="s">
        <v>552</v>
      </c>
      <c r="M155">
        <v>3</v>
      </c>
      <c r="N155" t="str">
        <f>L155</f>
        <v>NAM\MA9710</v>
      </c>
      <c r="O155" s="51">
        <f>J155</f>
        <v>40637</v>
      </c>
      <c r="P155" s="51" t="str">
        <f>C155</f>
        <v>~/cdd/olddocs/Instructivos/CNWI-HMRS/CNWI-HMRS-0002 Procediminento de solicitud de capacitacion.pdf</v>
      </c>
      <c r="Q155" s="51" t="str">
        <f>E155</f>
        <v>pdf</v>
      </c>
      <c r="R155" s="51"/>
      <c r="S155" s="51"/>
      <c r="T155" s="51"/>
      <c r="U155" s="51"/>
      <c r="V155" s="51"/>
      <c r="W155" s="51"/>
      <c r="X155" s="51"/>
      <c r="Y155" s="51"/>
      <c r="Z155" s="51"/>
      <c r="AA155" s="51"/>
      <c r="AB155" s="51"/>
      <c r="AC155" s="51"/>
      <c r="AD155" s="51"/>
      <c r="AG155" t="s">
        <v>28</v>
      </c>
      <c r="AH155" s="51"/>
      <c r="AI155" s="51"/>
    </row>
    <row r="156" spans="2:35">
      <c r="B156" t="s">
        <v>553</v>
      </c>
      <c r="C156" t="s">
        <v>3904</v>
      </c>
      <c r="D156">
        <v>4</v>
      </c>
      <c r="E156" t="s">
        <v>2797</v>
      </c>
      <c r="F156">
        <v>7</v>
      </c>
      <c r="I156" t="s">
        <v>554</v>
      </c>
      <c r="J156" s="51">
        <v>41206</v>
      </c>
      <c r="K156" t="s">
        <v>46</v>
      </c>
      <c r="L156" t="s">
        <v>552</v>
      </c>
      <c r="M156">
        <v>3</v>
      </c>
      <c r="N156" t="str">
        <f>L156</f>
        <v>NAM\MA9710</v>
      </c>
      <c r="O156" s="51">
        <f>J156</f>
        <v>41206</v>
      </c>
      <c r="P156" s="51" t="str">
        <f>C156</f>
        <v>~cdd/olddocs/Instructivos/CNWI-HMRS/CNWI-HMRS-0003   Rev B Procedimiento de reclutamiento  seleccion y contratacion.docx</v>
      </c>
      <c r="Q156" s="51" t="str">
        <f>E156</f>
        <v>docx</v>
      </c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G156" t="s">
        <v>28</v>
      </c>
      <c r="AH156" s="51"/>
      <c r="AI156" s="51"/>
    </row>
    <row r="157" spans="2:35">
      <c r="B157" t="s">
        <v>555</v>
      </c>
      <c r="C157" t="s">
        <v>3905</v>
      </c>
      <c r="D157">
        <v>4</v>
      </c>
      <c r="E157" t="s">
        <v>2797</v>
      </c>
      <c r="F157">
        <v>7</v>
      </c>
      <c r="I157" t="s">
        <v>556</v>
      </c>
      <c r="J157" s="51">
        <v>41185</v>
      </c>
      <c r="K157" t="s">
        <v>27</v>
      </c>
      <c r="L157" t="s">
        <v>552</v>
      </c>
      <c r="M157">
        <v>3</v>
      </c>
      <c r="N157" t="str">
        <f>L157</f>
        <v>NAM\MA9710</v>
      </c>
      <c r="O157" s="51">
        <f>J157</f>
        <v>41185</v>
      </c>
      <c r="P157" s="51" t="str">
        <f>C157</f>
        <v>~cdd/olddocs/Instructivos/CNWI-HMRS/CNWI-HMRS-0004 Rev. A  Politica de Comunicacion.docx</v>
      </c>
      <c r="Q157" s="51" t="str">
        <f>E157</f>
        <v>docx</v>
      </c>
      <c r="R157" s="51"/>
      <c r="S157" s="51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  <c r="AG157" t="s">
        <v>28</v>
      </c>
      <c r="AH157" s="51"/>
      <c r="AI157" s="51"/>
    </row>
    <row r="158" spans="2:35">
      <c r="B158" t="s">
        <v>856</v>
      </c>
      <c r="C158" t="s">
        <v>2984</v>
      </c>
      <c r="D158">
        <v>5</v>
      </c>
      <c r="E158" t="s">
        <v>2791</v>
      </c>
      <c r="F158">
        <v>5</v>
      </c>
      <c r="G158">
        <v>12</v>
      </c>
      <c r="H158">
        <v>4</v>
      </c>
      <c r="I158" t="s">
        <v>857</v>
      </c>
      <c r="J158" s="51">
        <v>41130</v>
      </c>
      <c r="K158" t="s">
        <v>159</v>
      </c>
      <c r="L158" t="s">
        <v>855</v>
      </c>
      <c r="M158">
        <v>3</v>
      </c>
      <c r="N158" t="str">
        <f>L158</f>
        <v>NAM\MB0433</v>
      </c>
      <c r="O158" s="51">
        <f>J158</f>
        <v>41130</v>
      </c>
      <c r="P158" s="51" t="str">
        <f>C158</f>
        <v>~/cdd/olddocs/Formas/CNWI-HMRS (Recursos Humanos)/CNWI-HMRS-F001 Lista de Asistencia y Entrenamiento .pdf</v>
      </c>
      <c r="Q158" s="51" t="str">
        <f>E158</f>
        <v>pdf</v>
      </c>
      <c r="R158" s="51"/>
      <c r="S158" s="51"/>
      <c r="T158" s="51"/>
      <c r="U158" s="51"/>
      <c r="V158" s="51"/>
      <c r="W158" s="51"/>
      <c r="X158" s="51"/>
      <c r="Y158" s="51"/>
      <c r="Z158" s="51"/>
      <c r="AA158" s="51"/>
      <c r="AB158" s="51"/>
      <c r="AC158" s="51"/>
      <c r="AD158" s="51"/>
      <c r="AG158" t="s">
        <v>28</v>
      </c>
      <c r="AH158" s="51"/>
      <c r="AI158" s="51"/>
    </row>
    <row r="159" spans="2:35">
      <c r="B159" t="s">
        <v>557</v>
      </c>
      <c r="C159" t="s">
        <v>2985</v>
      </c>
      <c r="D159">
        <v>5</v>
      </c>
      <c r="E159" t="s">
        <v>2790</v>
      </c>
      <c r="F159">
        <v>5</v>
      </c>
      <c r="G159">
        <v>12</v>
      </c>
      <c r="H159">
        <v>4</v>
      </c>
      <c r="I159" t="s">
        <v>559</v>
      </c>
      <c r="J159" s="51">
        <v>41049</v>
      </c>
      <c r="K159" t="s">
        <v>159</v>
      </c>
      <c r="L159" t="s">
        <v>552</v>
      </c>
      <c r="M159">
        <v>3</v>
      </c>
      <c r="N159" t="str">
        <f>L159</f>
        <v>NAM\MA9710</v>
      </c>
      <c r="O159" s="51">
        <f>J159</f>
        <v>41049</v>
      </c>
      <c r="P159" s="51" t="str">
        <f>C159</f>
        <v>~/cdd/olddocs/Formas/CNWI-HMRS (Recursos Humanos)/CNWI-HMRS-F002 Matriz de Flexibilidad.xlsx</v>
      </c>
      <c r="Q159" s="51" t="str">
        <f>E159</f>
        <v>xlsx</v>
      </c>
      <c r="R159" s="51"/>
      <c r="S159" s="51"/>
      <c r="T159" s="51"/>
      <c r="U159" s="51"/>
      <c r="V159" s="51"/>
      <c r="W159" s="51"/>
      <c r="X159" s="51"/>
      <c r="Y159" s="51"/>
      <c r="Z159" s="51"/>
      <c r="AA159" s="51"/>
      <c r="AB159" s="51"/>
      <c r="AC159" s="51"/>
      <c r="AD159" s="51"/>
      <c r="AG159" t="s">
        <v>28</v>
      </c>
      <c r="AH159" s="51"/>
      <c r="AI159" s="51"/>
    </row>
    <row r="160" spans="2:35">
      <c r="B160" t="s">
        <v>560</v>
      </c>
      <c r="C160" t="s">
        <v>2986</v>
      </c>
      <c r="D160">
        <v>5</v>
      </c>
      <c r="E160" t="s">
        <v>2790</v>
      </c>
      <c r="F160">
        <v>5</v>
      </c>
      <c r="G160">
        <v>12</v>
      </c>
      <c r="H160">
        <v>4</v>
      </c>
      <c r="I160" t="s">
        <v>561</v>
      </c>
      <c r="J160" s="51">
        <v>41034</v>
      </c>
      <c r="K160" t="s">
        <v>261</v>
      </c>
      <c r="L160" t="s">
        <v>552</v>
      </c>
      <c r="M160">
        <v>3</v>
      </c>
      <c r="N160" t="str">
        <f>L160</f>
        <v>NAM\MA9710</v>
      </c>
      <c r="O160" s="51">
        <f>J160</f>
        <v>41034</v>
      </c>
      <c r="P160" s="51" t="str">
        <f>C160</f>
        <v>~/cdd/olddocs/Formas/CNWI-HMRS (Recursos Humanos)/CNWI-HMRS-F003 Evaluación Práctica del Entrenamiento.xlsx</v>
      </c>
      <c r="Q160" s="51" t="str">
        <f>E160</f>
        <v>xlsx</v>
      </c>
      <c r="R160" s="51"/>
      <c r="S160" s="51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G160" t="s">
        <v>28</v>
      </c>
      <c r="AH160" s="51"/>
      <c r="AI160" s="51"/>
    </row>
    <row r="161" spans="2:35">
      <c r="B161" t="s">
        <v>562</v>
      </c>
      <c r="C161" t="s">
        <v>2987</v>
      </c>
      <c r="D161">
        <v>5</v>
      </c>
      <c r="E161" t="s">
        <v>2794</v>
      </c>
      <c r="F161">
        <v>5</v>
      </c>
      <c r="G161">
        <v>12</v>
      </c>
      <c r="H161">
        <v>4</v>
      </c>
      <c r="I161" t="s">
        <v>563</v>
      </c>
      <c r="J161" s="51">
        <v>40988</v>
      </c>
      <c r="K161" t="s">
        <v>46</v>
      </c>
      <c r="L161" t="s">
        <v>552</v>
      </c>
      <c r="M161">
        <v>3</v>
      </c>
      <c r="N161" t="str">
        <f>L161</f>
        <v>NAM\MA9710</v>
      </c>
      <c r="O161" s="51">
        <f>J161</f>
        <v>40988</v>
      </c>
      <c r="P161" s="51" t="str">
        <f>C161</f>
        <v>~/cdd/olddocs/Formas/CNWI-HMRS (Recursos Humanos)/CNWI-HMRS-F004 Descripcion de PuestoDoc..doc</v>
      </c>
      <c r="Q161" s="51" t="str">
        <f>E161</f>
        <v>doc</v>
      </c>
      <c r="R161" s="51"/>
      <c r="S161" s="51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G161" t="s">
        <v>28</v>
      </c>
      <c r="AH161" s="51"/>
      <c r="AI161" s="51"/>
    </row>
    <row r="162" spans="2:35">
      <c r="B162" t="s">
        <v>564</v>
      </c>
      <c r="C162" t="s">
        <v>2988</v>
      </c>
      <c r="D162">
        <v>5</v>
      </c>
      <c r="E162" t="s">
        <v>2792</v>
      </c>
      <c r="F162">
        <v>5</v>
      </c>
      <c r="G162">
        <v>12</v>
      </c>
      <c r="H162">
        <v>4</v>
      </c>
      <c r="I162" t="s">
        <v>565</v>
      </c>
      <c r="J162" s="51">
        <v>40618</v>
      </c>
      <c r="K162" t="s">
        <v>27</v>
      </c>
      <c r="L162" t="s">
        <v>552</v>
      </c>
      <c r="M162">
        <v>3</v>
      </c>
      <c r="N162" t="str">
        <f>L162</f>
        <v>NAM\MA9710</v>
      </c>
      <c r="O162" s="51">
        <f>J162</f>
        <v>40618</v>
      </c>
      <c r="P162" s="51" t="str">
        <f>C162</f>
        <v>~/cdd/olddocs/Formas/CNWI-HMRS (Recursos Humanos)/CNWI-HMRS-F005 Examen Teorico.xls</v>
      </c>
      <c r="Q162" s="51" t="str">
        <f>E162</f>
        <v>xls</v>
      </c>
      <c r="R162" s="51"/>
      <c r="S162" s="51"/>
      <c r="T162" s="51"/>
      <c r="U162" s="51"/>
      <c r="V162" s="51"/>
      <c r="W162" s="51"/>
      <c r="X162" s="51"/>
      <c r="Y162" s="51"/>
      <c r="Z162" s="51"/>
      <c r="AA162" s="51"/>
      <c r="AB162" s="51"/>
      <c r="AC162" s="51"/>
      <c r="AD162" s="51"/>
      <c r="AG162" t="s">
        <v>28</v>
      </c>
      <c r="AH162" s="51"/>
      <c r="AI162" s="51"/>
    </row>
    <row r="163" spans="2:35">
      <c r="B163" t="s">
        <v>566</v>
      </c>
      <c r="C163" t="s">
        <v>2989</v>
      </c>
      <c r="D163">
        <v>5</v>
      </c>
      <c r="E163" t="s">
        <v>2792</v>
      </c>
      <c r="F163">
        <v>5</v>
      </c>
      <c r="G163">
        <v>12</v>
      </c>
      <c r="H163">
        <v>16</v>
      </c>
      <c r="I163" t="s">
        <v>568</v>
      </c>
      <c r="J163" s="51">
        <v>40627</v>
      </c>
      <c r="K163" t="s">
        <v>27</v>
      </c>
      <c r="L163" t="s">
        <v>552</v>
      </c>
      <c r="M163">
        <v>3</v>
      </c>
      <c r="N163" t="str">
        <f>L163</f>
        <v>NAM\MA9710</v>
      </c>
      <c r="O163" s="51">
        <f>J163</f>
        <v>40627</v>
      </c>
      <c r="P163" s="51" t="str">
        <f>C163</f>
        <v>~/cdd/olddocs/Formas/CNWI-HMRS (Recursos Humanos)/CNWI-HMRS-F006 Solicitud de capacitacion.xls</v>
      </c>
      <c r="Q163" s="51" t="str">
        <f>E163</f>
        <v>xls</v>
      </c>
      <c r="R163" s="51"/>
      <c r="S163" s="51"/>
      <c r="T163" s="51"/>
      <c r="U163" s="51"/>
      <c r="V163" s="51"/>
      <c r="W163" s="51"/>
      <c r="X163" s="51"/>
      <c r="Y163" s="51"/>
      <c r="Z163" s="51"/>
      <c r="AA163" s="51"/>
      <c r="AB163" s="51"/>
      <c r="AC163" s="51"/>
      <c r="AD163" s="51"/>
      <c r="AG163" t="s">
        <v>28</v>
      </c>
      <c r="AH163" s="51"/>
      <c r="AI163" s="51"/>
    </row>
    <row r="164" spans="2:35">
      <c r="B164" t="s">
        <v>858</v>
      </c>
      <c r="C164" t="s">
        <v>2990</v>
      </c>
      <c r="D164">
        <v>5</v>
      </c>
      <c r="E164" t="s">
        <v>2790</v>
      </c>
      <c r="F164">
        <v>5</v>
      </c>
      <c r="G164">
        <v>12</v>
      </c>
      <c r="H164">
        <v>16</v>
      </c>
      <c r="I164" t="s">
        <v>859</v>
      </c>
      <c r="J164" s="51">
        <v>41197</v>
      </c>
      <c r="K164" t="s">
        <v>159</v>
      </c>
      <c r="L164" t="s">
        <v>855</v>
      </c>
      <c r="M164">
        <v>3</v>
      </c>
      <c r="N164" t="str">
        <f>L164</f>
        <v>NAM\MB0433</v>
      </c>
      <c r="O164" s="51">
        <f>J164</f>
        <v>41197</v>
      </c>
      <c r="P164" s="51" t="str">
        <f>C164</f>
        <v>~/cdd/olddocs/Formas/CNWI-HMRS (Recursos Humanos)/CNWI-HMRS-F007 Rev  C FORMATO TIEMPO EXTRA.xlsx</v>
      </c>
      <c r="Q164" s="51" t="str">
        <f>E164</f>
        <v>xlsx</v>
      </c>
      <c r="R164" s="51"/>
      <c r="S164" s="51"/>
      <c r="T164" s="51"/>
      <c r="U164" s="51"/>
      <c r="V164" s="51"/>
      <c r="W164" s="51"/>
      <c r="X164" s="51"/>
      <c r="Y164" s="51"/>
      <c r="Z164" s="51"/>
      <c r="AA164" s="51"/>
      <c r="AB164" s="51"/>
      <c r="AC164" s="51"/>
      <c r="AD164" s="51"/>
      <c r="AG164" t="s">
        <v>28</v>
      </c>
      <c r="AH164" s="51"/>
      <c r="AI164" s="51"/>
    </row>
    <row r="165" spans="2:35">
      <c r="B165" t="s">
        <v>569</v>
      </c>
      <c r="C165" t="s">
        <v>2991</v>
      </c>
      <c r="D165">
        <v>5</v>
      </c>
      <c r="E165" t="s">
        <v>2792</v>
      </c>
      <c r="F165">
        <v>5</v>
      </c>
      <c r="G165">
        <v>12</v>
      </c>
      <c r="H165">
        <v>16</v>
      </c>
      <c r="I165" t="s">
        <v>570</v>
      </c>
      <c r="J165" s="51">
        <v>40648</v>
      </c>
      <c r="K165" t="s">
        <v>27</v>
      </c>
      <c r="L165" t="s">
        <v>552</v>
      </c>
      <c r="M165">
        <v>3</v>
      </c>
      <c r="N165" t="str">
        <f>L165</f>
        <v>NAM\MA9710</v>
      </c>
      <c r="O165" s="51">
        <f>J165</f>
        <v>40648</v>
      </c>
      <c r="P165" s="51" t="str">
        <f>C165</f>
        <v>~/cdd/olddocs/Formas/CNWI-HMRS (Recursos Humanos)/CNWI-HMRS-F008 Permiso al personal .xls</v>
      </c>
      <c r="Q165" s="51" t="str">
        <f>E165</f>
        <v>xls</v>
      </c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G165" t="s">
        <v>28</v>
      </c>
      <c r="AH165" s="51"/>
      <c r="AI165" s="51"/>
    </row>
    <row r="166" spans="2:35">
      <c r="B166" t="s">
        <v>571</v>
      </c>
      <c r="C166" t="s">
        <v>2992</v>
      </c>
      <c r="D166">
        <v>5</v>
      </c>
      <c r="E166" t="s">
        <v>2794</v>
      </c>
      <c r="F166">
        <v>5</v>
      </c>
      <c r="G166">
        <v>12</v>
      </c>
      <c r="H166">
        <v>16</v>
      </c>
      <c r="I166" t="s">
        <v>572</v>
      </c>
      <c r="J166" s="51" t="s">
        <v>573</v>
      </c>
      <c r="K166" t="s">
        <v>27</v>
      </c>
      <c r="L166" t="s">
        <v>552</v>
      </c>
      <c r="M166">
        <v>3</v>
      </c>
      <c r="N166" t="str">
        <f>L166</f>
        <v>NAM\MA9710</v>
      </c>
      <c r="O166" s="51" t="str">
        <f>J166</f>
        <v>04/25/2011</v>
      </c>
      <c r="P166" s="51" t="str">
        <f>C166</f>
        <v>~/cdd/olddocs/Formas/CNWI-HMRS (Recursos Humanos)/CNWI-HMRS-F009 Control de Herramienta.doc</v>
      </c>
      <c r="Q166" s="51" t="str">
        <f>E166</f>
        <v>doc</v>
      </c>
      <c r="R166" s="51"/>
      <c r="S166" s="51"/>
      <c r="T166" s="51"/>
      <c r="U166" s="51"/>
      <c r="V166" s="51"/>
      <c r="W166" s="51"/>
      <c r="X166" s="51"/>
      <c r="Y166" s="51"/>
      <c r="Z166" s="51"/>
      <c r="AA166" s="51"/>
      <c r="AB166" s="51"/>
      <c r="AC166" s="51"/>
      <c r="AD166" s="51"/>
      <c r="AG166" t="s">
        <v>28</v>
      </c>
      <c r="AH166" s="51"/>
      <c r="AI166" s="51"/>
    </row>
    <row r="167" spans="2:35">
      <c r="B167" t="s">
        <v>574</v>
      </c>
      <c r="C167" t="s">
        <v>2993</v>
      </c>
      <c r="D167">
        <v>5</v>
      </c>
      <c r="E167" t="s">
        <v>2794</v>
      </c>
      <c r="F167">
        <v>5</v>
      </c>
      <c r="G167">
        <v>12</v>
      </c>
      <c r="H167">
        <v>16</v>
      </c>
      <c r="I167" t="s">
        <v>575</v>
      </c>
      <c r="J167" s="51" t="s">
        <v>573</v>
      </c>
      <c r="K167" t="s">
        <v>27</v>
      </c>
      <c r="L167" t="s">
        <v>552</v>
      </c>
      <c r="M167">
        <v>3</v>
      </c>
      <c r="N167" t="str">
        <f>L167</f>
        <v>NAM\MA9710</v>
      </c>
      <c r="O167" s="51" t="str">
        <f>J167</f>
        <v>04/25/2011</v>
      </c>
      <c r="P167" s="51" t="str">
        <f>C167</f>
        <v>~/cdd/olddocs/Formas/CNWI-HMRS (Recursos Humanos)/CNWI-HMRS-F010 Control Credencial.doc</v>
      </c>
      <c r="Q167" s="51" t="str">
        <f>E167</f>
        <v>doc</v>
      </c>
      <c r="R167" s="51"/>
      <c r="S167" s="51"/>
      <c r="T167" s="51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  <c r="AG167" t="s">
        <v>28</v>
      </c>
      <c r="AH167" s="51"/>
      <c r="AI167" s="51"/>
    </row>
    <row r="168" spans="2:35">
      <c r="B168" t="s">
        <v>860</v>
      </c>
      <c r="C168" t="s">
        <v>3946</v>
      </c>
      <c r="D168">
        <v>5</v>
      </c>
      <c r="E168" t="s">
        <v>2790</v>
      </c>
      <c r="F168">
        <v>5</v>
      </c>
      <c r="G168">
        <v>12</v>
      </c>
      <c r="H168">
        <v>16</v>
      </c>
      <c r="I168" t="s">
        <v>861</v>
      </c>
      <c r="J168" s="51">
        <v>41171</v>
      </c>
      <c r="K168" t="s">
        <v>38</v>
      </c>
      <c r="L168" t="s">
        <v>855</v>
      </c>
      <c r="M168">
        <v>3</v>
      </c>
      <c r="N168" t="str">
        <f>L168</f>
        <v>NAM\MB0433</v>
      </c>
      <c r="O168" s="51">
        <f>J168</f>
        <v>41171</v>
      </c>
      <c r="P168" s="51" t="str">
        <f>C168</f>
        <v>~/cdd/olddocs/CN-HMRS (Recursos Humanos)/FORMAS/CNWI-HMRS-F011 Rev. D Requisicion de Personal .xlsx</v>
      </c>
      <c r="Q168" s="51" t="str">
        <f>E168</f>
        <v>xlsx</v>
      </c>
      <c r="R168" s="51"/>
      <c r="S168" s="51"/>
      <c r="T168" s="51"/>
      <c r="U168" s="51"/>
      <c r="V168" s="51"/>
      <c r="W168" s="51"/>
      <c r="X168" s="51"/>
      <c r="Y168" s="51"/>
      <c r="Z168" s="51"/>
      <c r="AA168" s="51"/>
      <c r="AB168" s="51"/>
      <c r="AC168" s="51"/>
      <c r="AD168" s="51"/>
      <c r="AG168" t="s">
        <v>28</v>
      </c>
      <c r="AH168" s="51"/>
      <c r="AI168" s="51"/>
    </row>
    <row r="169" spans="2:35">
      <c r="B169" t="s">
        <v>576</v>
      </c>
      <c r="C169" t="s">
        <v>2994</v>
      </c>
      <c r="D169">
        <v>5</v>
      </c>
      <c r="E169" t="s">
        <v>2790</v>
      </c>
      <c r="F169">
        <v>5</v>
      </c>
      <c r="G169">
        <v>12</v>
      </c>
      <c r="H169">
        <v>16</v>
      </c>
      <c r="I169" t="s">
        <v>577</v>
      </c>
      <c r="J169" s="51">
        <v>40739</v>
      </c>
      <c r="K169" t="s">
        <v>27</v>
      </c>
      <c r="L169" t="s">
        <v>552</v>
      </c>
      <c r="M169">
        <v>3</v>
      </c>
      <c r="N169" t="str">
        <f>L169</f>
        <v>NAM\MA9710</v>
      </c>
      <c r="O169" s="51">
        <f>J169</f>
        <v>40739</v>
      </c>
      <c r="P169" s="51" t="str">
        <f>C169</f>
        <v>~/cdd/olddocs/Formas/CNWI-HMRS (Recursos Humanos)/CNWI-HMRS-F012 Inventario de Capacitacion de proceso.xlsx</v>
      </c>
      <c r="Q169" s="51" t="str">
        <f>E169</f>
        <v>xlsx</v>
      </c>
      <c r="R169" s="51"/>
      <c r="S169" s="51"/>
      <c r="T169" s="51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  <c r="AG169" t="s">
        <v>28</v>
      </c>
      <c r="AH169" s="51"/>
      <c r="AI169" s="51"/>
    </row>
    <row r="170" spans="2:35">
      <c r="B170" t="s">
        <v>578</v>
      </c>
      <c r="C170" t="s">
        <v>2995</v>
      </c>
      <c r="D170">
        <v>5</v>
      </c>
      <c r="E170" t="s">
        <v>2792</v>
      </c>
      <c r="F170">
        <v>5</v>
      </c>
      <c r="G170">
        <v>12</v>
      </c>
      <c r="H170">
        <v>16</v>
      </c>
      <c r="I170" t="s">
        <v>579</v>
      </c>
      <c r="J170" s="51">
        <v>40785</v>
      </c>
      <c r="K170" t="s">
        <v>27</v>
      </c>
      <c r="L170" t="s">
        <v>552</v>
      </c>
      <c r="M170">
        <v>3</v>
      </c>
      <c r="N170" t="str">
        <f>L170</f>
        <v>NAM\MA9710</v>
      </c>
      <c r="O170" s="51">
        <f>J170</f>
        <v>40785</v>
      </c>
      <c r="P170" s="51" t="str">
        <f>C170</f>
        <v>~/cdd/olddocs/Formas/CNWI-HMRS (Recursos Humanos)/CNWI-HMRS-F013 Formato de MODIFICACION AL PERSONAL.xls</v>
      </c>
      <c r="Q170" s="51" t="str">
        <f>E170</f>
        <v>xls</v>
      </c>
      <c r="R170" s="51"/>
      <c r="S170" s="51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G170" t="s">
        <v>28</v>
      </c>
      <c r="AH170" s="51"/>
      <c r="AI170" s="51"/>
    </row>
    <row r="171" spans="2:35">
      <c r="B171" t="s">
        <v>580</v>
      </c>
      <c r="C171" t="s">
        <v>2996</v>
      </c>
      <c r="D171">
        <v>5</v>
      </c>
      <c r="E171" t="s">
        <v>2797</v>
      </c>
      <c r="F171">
        <v>5</v>
      </c>
      <c r="G171">
        <v>12</v>
      </c>
      <c r="H171">
        <v>16</v>
      </c>
      <c r="I171" t="s">
        <v>581</v>
      </c>
      <c r="J171" s="51">
        <v>40836</v>
      </c>
      <c r="K171" t="s">
        <v>27</v>
      </c>
      <c r="L171" t="s">
        <v>552</v>
      </c>
      <c r="M171">
        <v>3</v>
      </c>
      <c r="N171" t="str">
        <f>L171</f>
        <v>NAM\MA9710</v>
      </c>
      <c r="O171" s="51">
        <f>J171</f>
        <v>40836</v>
      </c>
      <c r="P171" s="51" t="str">
        <f>C171</f>
        <v>~/cdd/olddocs/Formas/CNWI-HMRS (Recursos Humanos)/CNWI-HMRS-F014 REGISTRO DE AMONESTACION VERBAL.docx</v>
      </c>
      <c r="Q171" s="51" t="str">
        <f>E171</f>
        <v>docx</v>
      </c>
      <c r="R171" s="51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G171" t="s">
        <v>28</v>
      </c>
      <c r="AH171" s="51"/>
      <c r="AI171" s="51"/>
    </row>
    <row r="172" spans="2:35">
      <c r="B172" t="s">
        <v>582</v>
      </c>
      <c r="C172" t="s">
        <v>2997</v>
      </c>
      <c r="D172">
        <v>5</v>
      </c>
      <c r="E172" t="s">
        <v>2790</v>
      </c>
      <c r="F172">
        <v>5</v>
      </c>
      <c r="G172">
        <v>12</v>
      </c>
      <c r="H172">
        <v>18</v>
      </c>
      <c r="I172" t="s">
        <v>583</v>
      </c>
      <c r="J172" s="51">
        <v>40903</v>
      </c>
      <c r="K172" t="s">
        <v>27</v>
      </c>
      <c r="L172" t="s">
        <v>552</v>
      </c>
      <c r="M172">
        <v>3</v>
      </c>
      <c r="N172" t="str">
        <f>L172</f>
        <v>NAM\MA9710</v>
      </c>
      <c r="O172" s="51">
        <f>J172</f>
        <v>40903</v>
      </c>
      <c r="P172" s="51" t="str">
        <f>C172</f>
        <v>~/cdd/olddocs/Formas/CNWI-HMRS (Recursos Humanos)/CNWI-HMRS-F015 Formato  DNC.xlsx</v>
      </c>
      <c r="Q172" s="51" t="str">
        <f>E172</f>
        <v>xlsx</v>
      </c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G172" t="s">
        <v>28</v>
      </c>
      <c r="AH172" s="51"/>
      <c r="AI172" s="51"/>
    </row>
    <row r="173" spans="2:35">
      <c r="B173" t="s">
        <v>584</v>
      </c>
      <c r="C173" t="s">
        <v>2998</v>
      </c>
      <c r="D173">
        <v>5</v>
      </c>
      <c r="E173" t="s">
        <v>2790</v>
      </c>
      <c r="F173">
        <v>5</v>
      </c>
      <c r="G173">
        <v>12</v>
      </c>
      <c r="H173">
        <v>18</v>
      </c>
      <c r="I173" t="s">
        <v>585</v>
      </c>
      <c r="J173" s="51">
        <v>40925</v>
      </c>
      <c r="K173" t="s">
        <v>27</v>
      </c>
      <c r="L173" t="s">
        <v>552</v>
      </c>
      <c r="M173">
        <v>3</v>
      </c>
      <c r="N173" t="str">
        <f>L173</f>
        <v>NAM\MA9710</v>
      </c>
      <c r="O173" s="51">
        <f>J173</f>
        <v>40925</v>
      </c>
      <c r="P173" s="51" t="str">
        <f>C173</f>
        <v>~/cdd/olddocs/Formas/CNWI-HMRS (Recursos Humanos)/CNWI-HMRS-F016 Formato  Evaluación Operadores.xlsx</v>
      </c>
      <c r="Q173" s="51" t="str">
        <f>E173</f>
        <v>xlsx</v>
      </c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G173" t="s">
        <v>28</v>
      </c>
      <c r="AH173" s="51"/>
      <c r="AI173" s="51"/>
    </row>
    <row r="174" spans="2:35">
      <c r="B174" t="s">
        <v>586</v>
      </c>
      <c r="C174" t="s">
        <v>2999</v>
      </c>
      <c r="D174">
        <v>5</v>
      </c>
      <c r="E174" t="s">
        <v>2790</v>
      </c>
      <c r="F174">
        <v>5</v>
      </c>
      <c r="G174">
        <v>12</v>
      </c>
      <c r="H174">
        <v>18</v>
      </c>
      <c r="I174" t="s">
        <v>587</v>
      </c>
      <c r="J174" s="51">
        <v>40955</v>
      </c>
      <c r="K174" t="s">
        <v>27</v>
      </c>
      <c r="L174" t="s">
        <v>552</v>
      </c>
      <c r="M174">
        <v>3</v>
      </c>
      <c r="N174" t="str">
        <f>L174</f>
        <v>NAM\MA9710</v>
      </c>
      <c r="O174" s="51">
        <f>J174</f>
        <v>40955</v>
      </c>
      <c r="P174" s="51" t="str">
        <f>C174</f>
        <v>~/cdd/olddocs/Formas/CNWI-HMRS (Recursos Humanos)/CNWI-HMRS-F017 Constancia de entrenamiento.xlsx</v>
      </c>
      <c r="Q174" s="51" t="str">
        <f>E174</f>
        <v>xlsx</v>
      </c>
      <c r="R174" s="51"/>
      <c r="S174" s="51"/>
      <c r="T174" s="51"/>
      <c r="U174" s="51"/>
      <c r="V174" s="51"/>
      <c r="W174" s="51"/>
      <c r="X174" s="51"/>
      <c r="Y174" s="51"/>
      <c r="Z174" s="51"/>
      <c r="AA174" s="51"/>
      <c r="AB174" s="51"/>
      <c r="AC174" s="51"/>
      <c r="AD174" s="51"/>
      <c r="AG174" t="s">
        <v>28</v>
      </c>
      <c r="AH174" s="51"/>
      <c r="AI174" s="51"/>
    </row>
    <row r="175" spans="2:35">
      <c r="B175" t="s">
        <v>862</v>
      </c>
      <c r="C175" t="s">
        <v>3000</v>
      </c>
      <c r="D175">
        <v>5</v>
      </c>
      <c r="E175" t="s">
        <v>2790</v>
      </c>
      <c r="F175">
        <v>5</v>
      </c>
      <c r="G175">
        <v>12</v>
      </c>
      <c r="H175">
        <v>18</v>
      </c>
      <c r="I175" t="s">
        <v>863</v>
      </c>
      <c r="J175" s="51">
        <v>41038</v>
      </c>
      <c r="K175" t="s">
        <v>27</v>
      </c>
      <c r="L175" t="s">
        <v>855</v>
      </c>
      <c r="M175">
        <v>3</v>
      </c>
      <c r="N175" t="str">
        <f>L175</f>
        <v>NAM\MB0433</v>
      </c>
      <c r="O175" s="51">
        <f>J175</f>
        <v>41038</v>
      </c>
      <c r="P175" s="51" t="str">
        <f>C175</f>
        <v>~/cdd/olddocs/Formas/CNWI-HMRS (Recursos Humanos)/CNWI-HMRS-F018 Matriz de entrenamiento.xlsx</v>
      </c>
      <c r="Q175" s="51" t="str">
        <f>E175</f>
        <v>xlsx</v>
      </c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G175" t="s">
        <v>28</v>
      </c>
      <c r="AH175" s="51"/>
      <c r="AI175" s="51"/>
    </row>
    <row r="176" spans="2:35">
      <c r="B176" t="s">
        <v>864</v>
      </c>
      <c r="C176" t="s">
        <v>3867</v>
      </c>
      <c r="D176">
        <v>5</v>
      </c>
      <c r="E176" t="s">
        <v>2793</v>
      </c>
      <c r="F176">
        <v>5</v>
      </c>
      <c r="G176">
        <v>12</v>
      </c>
      <c r="H176">
        <v>18</v>
      </c>
      <c r="I176" t="s">
        <v>865</v>
      </c>
      <c r="J176" s="51">
        <v>41171</v>
      </c>
      <c r="K176" t="s">
        <v>27</v>
      </c>
      <c r="L176" t="s">
        <v>855</v>
      </c>
      <c r="M176">
        <v>3</v>
      </c>
      <c r="N176" t="str">
        <f>L176</f>
        <v>NAM\MB0433</v>
      </c>
      <c r="O176" s="51">
        <f>J176</f>
        <v>41171</v>
      </c>
      <c r="P176" s="51" t="str">
        <f>C176</f>
        <v>~cdd/olddocs/Formas/CNWI-HMRS (Recursos Humanos)/CNWI-HMRS-F019 Rev. A Organigrama.pptx</v>
      </c>
      <c r="Q176" s="51" t="str">
        <f>E176</f>
        <v>pptx</v>
      </c>
      <c r="R176" s="51"/>
      <c r="S176" s="51"/>
      <c r="T176" s="51"/>
      <c r="U176" s="51"/>
      <c r="V176" s="51"/>
      <c r="W176" s="51"/>
      <c r="X176" s="51"/>
      <c r="Y176" s="51"/>
      <c r="Z176" s="51"/>
      <c r="AA176" s="51"/>
      <c r="AB176" s="51"/>
      <c r="AC176" s="51"/>
      <c r="AD176" s="51"/>
      <c r="AG176" t="s">
        <v>28</v>
      </c>
      <c r="AH176" s="51"/>
      <c r="AI176" s="51"/>
    </row>
    <row r="177" spans="2:35">
      <c r="B177" t="s">
        <v>866</v>
      </c>
      <c r="C177" t="s">
        <v>3923</v>
      </c>
      <c r="D177">
        <v>5</v>
      </c>
      <c r="E177" t="s">
        <v>2790</v>
      </c>
      <c r="F177">
        <v>5</v>
      </c>
      <c r="G177">
        <v>12</v>
      </c>
      <c r="H177">
        <v>18</v>
      </c>
      <c r="I177" t="s">
        <v>867</v>
      </c>
      <c r="J177" s="51">
        <v>41171</v>
      </c>
      <c r="K177" t="s">
        <v>27</v>
      </c>
      <c r="L177" t="s">
        <v>855</v>
      </c>
      <c r="M177">
        <v>3</v>
      </c>
      <c r="N177" t="str">
        <f>L177</f>
        <v>NAM\MB0433</v>
      </c>
      <c r="O177" s="51">
        <f>J177</f>
        <v>41171</v>
      </c>
      <c r="P177" s="51" t="str">
        <f>C177</f>
        <v>~/cdd/olddocs/CN-HMRS (Recursos Humanos)/FORMAS/CNWI-HMRS-F020 Rev. A Evaluación de Entrevistas.xlsx</v>
      </c>
      <c r="Q177" s="51" t="str">
        <f>E177</f>
        <v>xlsx</v>
      </c>
      <c r="R177" s="51"/>
      <c r="S177" s="51"/>
      <c r="T177" s="51"/>
      <c r="U177" s="51"/>
      <c r="V177" s="51"/>
      <c r="W177" s="51"/>
      <c r="X177" s="51"/>
      <c r="Y177" s="51"/>
      <c r="Z177" s="51"/>
      <c r="AA177" s="51"/>
      <c r="AB177" s="51"/>
      <c r="AC177" s="51"/>
      <c r="AD177" s="51"/>
      <c r="AG177" t="s">
        <v>28</v>
      </c>
      <c r="AH177" s="51"/>
      <c r="AI177" s="51"/>
    </row>
    <row r="178" spans="2:35">
      <c r="B178" t="s">
        <v>868</v>
      </c>
      <c r="C178" t="s">
        <v>3924</v>
      </c>
      <c r="D178">
        <v>5</v>
      </c>
      <c r="E178" t="s">
        <v>2790</v>
      </c>
      <c r="F178">
        <v>5</v>
      </c>
      <c r="G178">
        <v>12</v>
      </c>
      <c r="H178">
        <v>18</v>
      </c>
      <c r="I178" t="s">
        <v>869</v>
      </c>
      <c r="J178" s="51">
        <v>41171</v>
      </c>
      <c r="K178" t="s">
        <v>27</v>
      </c>
      <c r="L178" t="s">
        <v>855</v>
      </c>
      <c r="M178">
        <v>3</v>
      </c>
      <c r="N178" t="str">
        <f>L178</f>
        <v>NAM\MB0433</v>
      </c>
      <c r="O178" s="51">
        <f>J178</f>
        <v>41171</v>
      </c>
      <c r="P178" s="51" t="str">
        <f>C178</f>
        <v>~/cdd/olddocs/CN-HMRS (Recursos Humanos)/FORMAS/CNWI-HMRS-F021 Rev. A Solicitud de aplicacion para vacante ineterna.xlsx</v>
      </c>
      <c r="Q178" s="51" t="str">
        <f>E178</f>
        <v>xlsx</v>
      </c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G178" t="s">
        <v>28</v>
      </c>
      <c r="AH178" s="51"/>
      <c r="AI178" s="51"/>
    </row>
    <row r="179" spans="2:35">
      <c r="B179" t="s">
        <v>870</v>
      </c>
      <c r="C179" t="s">
        <v>3925</v>
      </c>
      <c r="D179">
        <v>5</v>
      </c>
      <c r="E179" t="s">
        <v>2790</v>
      </c>
      <c r="F179">
        <v>5</v>
      </c>
      <c r="G179">
        <v>12</v>
      </c>
      <c r="H179">
        <v>18</v>
      </c>
      <c r="I179" t="s">
        <v>871</v>
      </c>
      <c r="J179" s="51">
        <v>41192</v>
      </c>
      <c r="K179" t="s">
        <v>27</v>
      </c>
      <c r="L179" t="s">
        <v>855</v>
      </c>
      <c r="M179">
        <v>3</v>
      </c>
      <c r="N179" t="str">
        <f>L179</f>
        <v>NAM\MB0433</v>
      </c>
      <c r="O179" s="51">
        <f>J179</f>
        <v>41192</v>
      </c>
      <c r="P179" s="51" t="str">
        <f>C179</f>
        <v>~/cdd/olddocs/CN-HMRS (Recursos Humanos)/FORMAS/CNWI-HMRS-F022 Rev. A HOJA DE VERIFICACION DE RENUNCIA TERMINACION.xlsx</v>
      </c>
      <c r="Q179" s="51" t="str">
        <f>E179</f>
        <v>xlsx</v>
      </c>
      <c r="R179" s="51"/>
      <c r="S179" s="51"/>
      <c r="T179" s="51"/>
      <c r="U179" s="51"/>
      <c r="V179" s="51"/>
      <c r="W179" s="51"/>
      <c r="X179" s="51"/>
      <c r="Y179" s="51"/>
      <c r="Z179" s="51"/>
      <c r="AA179" s="51"/>
      <c r="AB179" s="51"/>
      <c r="AC179" s="51"/>
      <c r="AD179" s="51"/>
      <c r="AG179" t="s">
        <v>28</v>
      </c>
      <c r="AH179" s="51"/>
      <c r="AI179" s="51"/>
    </row>
    <row r="180" spans="2:35">
      <c r="B180" t="s">
        <v>1499</v>
      </c>
      <c r="C180" t="s">
        <v>3326</v>
      </c>
      <c r="D180">
        <v>4</v>
      </c>
      <c r="E180" t="s">
        <v>2791</v>
      </c>
      <c r="F180">
        <v>17</v>
      </c>
      <c r="I180" t="s">
        <v>1502</v>
      </c>
      <c r="J180" s="51">
        <v>41197</v>
      </c>
      <c r="K180" t="s">
        <v>46</v>
      </c>
      <c r="L180" t="s">
        <v>1504</v>
      </c>
      <c r="M180">
        <v>3</v>
      </c>
      <c r="N180" t="str">
        <f>L180</f>
        <v>NAM\MB5781</v>
      </c>
      <c r="O180" s="51">
        <f>J180</f>
        <v>41197</v>
      </c>
      <c r="P180" s="51" t="str">
        <f>C180</f>
        <v>~/cdd/olddocs/Instructivos/CNWI-LEAN/CNWI-LEAN-0001 Proceso de mejora continua.pdf</v>
      </c>
      <c r="Q180" s="51" t="str">
        <f>E180</f>
        <v>pdf</v>
      </c>
      <c r="R180" s="51"/>
      <c r="S180" s="51"/>
      <c r="T180" s="51"/>
      <c r="U180" s="51"/>
      <c r="V180" s="51"/>
      <c r="W180" s="51"/>
      <c r="X180" s="51"/>
      <c r="Y180" s="51"/>
      <c r="Z180" s="51"/>
      <c r="AA180" s="51"/>
      <c r="AB180" s="51"/>
      <c r="AC180" s="51"/>
      <c r="AD180" s="51"/>
      <c r="AG180" t="s">
        <v>28</v>
      </c>
      <c r="AH180" s="51"/>
      <c r="AI180" s="51"/>
    </row>
    <row r="181" spans="2:35">
      <c r="B181" t="s">
        <v>1517</v>
      </c>
      <c r="C181" t="s">
        <v>3906</v>
      </c>
      <c r="D181">
        <v>4</v>
      </c>
      <c r="E181" t="s">
        <v>2791</v>
      </c>
      <c r="F181">
        <v>14</v>
      </c>
      <c r="I181" t="s">
        <v>1518</v>
      </c>
      <c r="J181" s="51">
        <v>41099</v>
      </c>
      <c r="K181" t="s">
        <v>742</v>
      </c>
      <c r="L181" t="s">
        <v>1520</v>
      </c>
      <c r="M181">
        <v>3</v>
      </c>
      <c r="N181" t="str">
        <f>L181</f>
        <v>NAM\A09DF</v>
      </c>
      <c r="O181" s="51">
        <f>J181</f>
        <v>41099</v>
      </c>
      <c r="P181" s="51" t="str">
        <f>C181</f>
        <v>~cdd/olddocs/Instructivos/CNWI-MTTO/CNWI-MTTO-0001 Procedimiento de Mantenimiento.pdf</v>
      </c>
      <c r="Q181" s="51" t="str">
        <f>E181</f>
        <v>pdf</v>
      </c>
      <c r="R181" s="51"/>
      <c r="S181" s="51"/>
      <c r="T181" s="51"/>
      <c r="U181" s="51"/>
      <c r="V181" s="51"/>
      <c r="W181" s="51"/>
      <c r="X181" s="51"/>
      <c r="Y181" s="51"/>
      <c r="Z181" s="51"/>
      <c r="AA181" s="51"/>
      <c r="AB181" s="51"/>
      <c r="AC181" s="51"/>
      <c r="AD181" s="51"/>
      <c r="AG181" t="s">
        <v>28</v>
      </c>
      <c r="AH181" s="51"/>
      <c r="AI181" s="51"/>
    </row>
    <row r="182" spans="2:35">
      <c r="B182" t="s">
        <v>1521</v>
      </c>
      <c r="C182" t="s">
        <v>3907</v>
      </c>
      <c r="D182">
        <v>4</v>
      </c>
      <c r="E182" t="s">
        <v>2791</v>
      </c>
      <c r="F182">
        <v>14</v>
      </c>
      <c r="I182" t="s">
        <v>1522</v>
      </c>
      <c r="J182" s="51">
        <v>40984</v>
      </c>
      <c r="K182" t="s">
        <v>38</v>
      </c>
      <c r="L182" t="s">
        <v>1520</v>
      </c>
      <c r="M182">
        <v>3</v>
      </c>
      <c r="N182" t="str">
        <f>L182</f>
        <v>NAM\A09DF</v>
      </c>
      <c r="O182" s="51">
        <f>J182</f>
        <v>40984</v>
      </c>
      <c r="P182" s="51" t="str">
        <f>C182</f>
        <v>~cdd/olddocs/Instructivos/CNWI-MTTO/CNWI-MTTO-0002 Almacen de refacicones y suplementos.pdf</v>
      </c>
      <c r="Q182" s="51" t="str">
        <f>E182</f>
        <v>pdf</v>
      </c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G182" t="s">
        <v>28</v>
      </c>
      <c r="AH182" s="51"/>
      <c r="AI182" s="51"/>
    </row>
    <row r="183" spans="2:35">
      <c r="B183" t="s">
        <v>1523</v>
      </c>
      <c r="C183" t="s">
        <v>3908</v>
      </c>
      <c r="D183">
        <v>4</v>
      </c>
      <c r="E183" t="s">
        <v>2794</v>
      </c>
      <c r="F183">
        <v>14</v>
      </c>
      <c r="I183" t="s">
        <v>1524</v>
      </c>
      <c r="J183" s="51">
        <v>41088</v>
      </c>
      <c r="K183" t="s">
        <v>27</v>
      </c>
      <c r="L183" t="s">
        <v>1520</v>
      </c>
      <c r="M183">
        <v>3</v>
      </c>
      <c r="N183" t="str">
        <f>L183</f>
        <v>NAM\A09DF</v>
      </c>
      <c r="O183" s="51">
        <f>J183</f>
        <v>41088</v>
      </c>
      <c r="P183" s="51" t="str">
        <f>C183</f>
        <v>~cdd/olddocs/Instructivos/CNWI-MTTO/CNWI-MTTO-0003 Rev. A Mantenimiento atonomo.doc</v>
      </c>
      <c r="Q183" s="51" t="str">
        <f>E183</f>
        <v>doc</v>
      </c>
      <c r="R183" s="51"/>
      <c r="S183" s="51"/>
      <c r="T183" s="51"/>
      <c r="U183" s="51"/>
      <c r="V183" s="51"/>
      <c r="W183" s="51"/>
      <c r="X183" s="51"/>
      <c r="Y183" s="51"/>
      <c r="Z183" s="51"/>
      <c r="AA183" s="51"/>
      <c r="AB183" s="51"/>
      <c r="AC183" s="51"/>
      <c r="AD183" s="51"/>
      <c r="AG183" t="s">
        <v>28</v>
      </c>
      <c r="AH183" s="51"/>
      <c r="AI183" s="51"/>
    </row>
    <row r="184" spans="2:35">
      <c r="B184" t="s">
        <v>1536</v>
      </c>
      <c r="C184" t="s">
        <v>3001</v>
      </c>
      <c r="D184">
        <v>5</v>
      </c>
      <c r="E184" t="s">
        <v>2794</v>
      </c>
      <c r="F184">
        <v>5</v>
      </c>
      <c r="G184">
        <v>12</v>
      </c>
      <c r="H184">
        <v>18</v>
      </c>
      <c r="I184" t="s">
        <v>1537</v>
      </c>
      <c r="J184" s="51">
        <v>40582</v>
      </c>
      <c r="K184" t="s">
        <v>27</v>
      </c>
      <c r="L184" t="s">
        <v>1520</v>
      </c>
      <c r="M184">
        <v>3</v>
      </c>
      <c r="N184" t="str">
        <f>L184</f>
        <v>NAM\A09DF</v>
      </c>
      <c r="O184" s="51">
        <f>J184</f>
        <v>40582</v>
      </c>
      <c r="P184" s="51" t="str">
        <f>C184</f>
        <v>~/cdd/olddocs/Formas/CNWI-MTTO (Mantenimiento)/CNWI-MTTO-F001 Boleta de Control de equipo.doc</v>
      </c>
      <c r="Q184" s="51" t="str">
        <f>E184</f>
        <v>doc</v>
      </c>
      <c r="R184" s="51"/>
      <c r="S184" s="51"/>
      <c r="T184" s="51"/>
      <c r="U184" s="51"/>
      <c r="V184" s="51"/>
      <c r="W184" s="51"/>
      <c r="X184" s="51"/>
      <c r="Y184" s="51"/>
      <c r="Z184" s="51"/>
      <c r="AA184" s="51"/>
      <c r="AB184" s="51"/>
      <c r="AC184" s="51"/>
      <c r="AD184" s="51"/>
      <c r="AG184" t="s">
        <v>28</v>
      </c>
      <c r="AH184" s="51"/>
      <c r="AI184" s="51"/>
    </row>
    <row r="185" spans="2:35">
      <c r="B185" t="s">
        <v>1538</v>
      </c>
      <c r="C185" t="s">
        <v>3002</v>
      </c>
      <c r="D185">
        <v>5</v>
      </c>
      <c r="E185" t="s">
        <v>2792</v>
      </c>
      <c r="F185">
        <v>5</v>
      </c>
      <c r="G185">
        <v>12</v>
      </c>
      <c r="H185">
        <v>18</v>
      </c>
      <c r="I185" t="s">
        <v>1539</v>
      </c>
      <c r="J185" s="51">
        <v>40788</v>
      </c>
      <c r="K185" t="s">
        <v>27</v>
      </c>
      <c r="L185" t="s">
        <v>1520</v>
      </c>
      <c r="M185">
        <v>3</v>
      </c>
      <c r="N185" t="str">
        <f>L185</f>
        <v>NAM\A09DF</v>
      </c>
      <c r="O185" s="51">
        <f>J185</f>
        <v>40788</v>
      </c>
      <c r="P185" s="51" t="str">
        <f>C185</f>
        <v>~/cdd/olddocs/Formas/CNWI-MTTO (Mantenimiento)/CNWI-MTTO-F002 inventario de moldes.xls</v>
      </c>
      <c r="Q185" s="51" t="str">
        <f>E185</f>
        <v>xls</v>
      </c>
      <c r="R185" s="51"/>
      <c r="S185" s="51"/>
      <c r="T185" s="51"/>
      <c r="U185" s="51"/>
      <c r="V185" s="51"/>
      <c r="W185" s="51"/>
      <c r="X185" s="51"/>
      <c r="Y185" s="51"/>
      <c r="Z185" s="51"/>
      <c r="AA185" s="51"/>
      <c r="AB185" s="51"/>
      <c r="AC185" s="51"/>
      <c r="AD185" s="51"/>
      <c r="AG185" t="s">
        <v>28</v>
      </c>
      <c r="AH185" s="51"/>
      <c r="AI185" s="51"/>
    </row>
    <row r="186" spans="2:35">
      <c r="B186" t="s">
        <v>1540</v>
      </c>
      <c r="C186" t="s">
        <v>3003</v>
      </c>
      <c r="D186">
        <v>5</v>
      </c>
      <c r="E186" t="s">
        <v>2792</v>
      </c>
      <c r="F186">
        <v>5</v>
      </c>
      <c r="G186">
        <v>12</v>
      </c>
      <c r="H186">
        <v>18</v>
      </c>
      <c r="I186" t="s">
        <v>1541</v>
      </c>
      <c r="J186" s="51">
        <v>40788</v>
      </c>
      <c r="K186" t="s">
        <v>27</v>
      </c>
      <c r="L186" t="s">
        <v>1520</v>
      </c>
      <c r="M186">
        <v>3</v>
      </c>
      <c r="N186" t="str">
        <f>L186</f>
        <v>NAM\A09DF</v>
      </c>
      <c r="O186" s="51">
        <f>J186</f>
        <v>40788</v>
      </c>
      <c r="P186" s="51" t="str">
        <f>C186</f>
        <v>~/cdd/olddocs/Formas/CNWI-MTTO (Mantenimiento)/CNWI-MTTO-F003 LISTADO DE MAQUINAS.xls</v>
      </c>
      <c r="Q186" s="51" t="str">
        <f>E186</f>
        <v>xls</v>
      </c>
      <c r="R186" s="51"/>
      <c r="S186" s="51"/>
      <c r="T186" s="51"/>
      <c r="U186" s="51"/>
      <c r="V186" s="51"/>
      <c r="W186" s="51"/>
      <c r="X186" s="51"/>
      <c r="Y186" s="51"/>
      <c r="Z186" s="51"/>
      <c r="AA186" s="51"/>
      <c r="AB186" s="51"/>
      <c r="AC186" s="51"/>
      <c r="AD186" s="51"/>
      <c r="AG186" t="s">
        <v>28</v>
      </c>
      <c r="AH186" s="51"/>
      <c r="AI186" s="51"/>
    </row>
    <row r="187" spans="2:35">
      <c r="B187" t="s">
        <v>1542</v>
      </c>
      <c r="C187" t="s">
        <v>3004</v>
      </c>
      <c r="D187">
        <v>5</v>
      </c>
      <c r="E187" t="s">
        <v>2792</v>
      </c>
      <c r="F187">
        <v>5</v>
      </c>
      <c r="G187">
        <v>12</v>
      </c>
      <c r="H187">
        <v>18</v>
      </c>
      <c r="I187" t="s">
        <v>1543</v>
      </c>
      <c r="J187" s="51">
        <v>40788</v>
      </c>
      <c r="K187" t="s">
        <v>27</v>
      </c>
      <c r="L187" t="s">
        <v>1520</v>
      </c>
      <c r="M187">
        <v>3</v>
      </c>
      <c r="N187" t="str">
        <f>L187</f>
        <v>NAM\A09DF</v>
      </c>
      <c r="O187" s="51">
        <f>J187</f>
        <v>40788</v>
      </c>
      <c r="P187" s="51" t="str">
        <f>C187</f>
        <v>~/cdd/olddocs/Formas/CNWI-MTTO (Mantenimiento)/CNWI-MTTO-F004  Calendario Anual de Mantenimiento Preventivo.xls</v>
      </c>
      <c r="Q187" s="51" t="str">
        <f>E187</f>
        <v>xls</v>
      </c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G187" t="s">
        <v>28</v>
      </c>
      <c r="AH187" s="51"/>
      <c r="AI187" s="51"/>
    </row>
    <row r="188" spans="2:35">
      <c r="B188" t="s">
        <v>1544</v>
      </c>
      <c r="C188" t="s">
        <v>3005</v>
      </c>
      <c r="D188">
        <v>5</v>
      </c>
      <c r="E188" t="s">
        <v>2792</v>
      </c>
      <c r="F188">
        <v>5</v>
      </c>
      <c r="G188">
        <v>12</v>
      </c>
      <c r="H188">
        <v>18</v>
      </c>
      <c r="I188" t="s">
        <v>1545</v>
      </c>
      <c r="J188" s="51" t="s">
        <v>1546</v>
      </c>
      <c r="K188" t="s">
        <v>27</v>
      </c>
      <c r="L188" t="s">
        <v>1520</v>
      </c>
      <c r="M188">
        <v>3</v>
      </c>
      <c r="N188" t="str">
        <f>L188</f>
        <v>NAM\A09DF</v>
      </c>
      <c r="O188" s="51" t="str">
        <f>J188</f>
        <v>22/2/2011</v>
      </c>
      <c r="P188" s="51" t="str">
        <f>C188</f>
        <v>~/cdd/olddocs/Formas/CNWI-MTTO (Mantenimiento)/CNWI-MTTO-F006 LISTADO DE SUPLEM Y PARTES.xls</v>
      </c>
      <c r="Q188" s="51" t="str">
        <f>E188</f>
        <v>xls</v>
      </c>
      <c r="R188" s="51"/>
      <c r="S188" s="51"/>
      <c r="T188" s="51"/>
      <c r="U188" s="51"/>
      <c r="V188" s="51"/>
      <c r="W188" s="51"/>
      <c r="X188" s="51"/>
      <c r="Y188" s="51"/>
      <c r="Z188" s="51"/>
      <c r="AA188" s="51"/>
      <c r="AB188" s="51"/>
      <c r="AC188" s="51"/>
      <c r="AD188" s="51"/>
      <c r="AG188" t="s">
        <v>28</v>
      </c>
      <c r="AH188" s="51"/>
      <c r="AI188" s="51"/>
    </row>
    <row r="189" spans="2:35">
      <c r="B189" t="s">
        <v>1547</v>
      </c>
      <c r="C189" t="s">
        <v>3006</v>
      </c>
      <c r="D189">
        <v>5</v>
      </c>
      <c r="E189" t="s">
        <v>2792</v>
      </c>
      <c r="F189">
        <v>5</v>
      </c>
      <c r="G189">
        <v>12</v>
      </c>
      <c r="H189">
        <v>18</v>
      </c>
      <c r="I189" t="s">
        <v>1548</v>
      </c>
      <c r="J189" s="51">
        <v>40725</v>
      </c>
      <c r="K189" t="s">
        <v>159</v>
      </c>
      <c r="L189" t="s">
        <v>1520</v>
      </c>
      <c r="M189">
        <v>3</v>
      </c>
      <c r="N189" t="str">
        <f>L189</f>
        <v>NAM\A09DF</v>
      </c>
      <c r="O189" s="51">
        <f>J189</f>
        <v>40725</v>
      </c>
      <c r="P189" s="51" t="str">
        <f>C189</f>
        <v>~/cdd/olddocs/Formas/CNWI-MTTO (Mantenimiento)/CNWI-MTTO-F008 Orden de Trabajo para Mantenimineto.xls</v>
      </c>
      <c r="Q189" s="51" t="str">
        <f>E189</f>
        <v>xls</v>
      </c>
      <c r="R189" s="51"/>
      <c r="S189" s="51"/>
      <c r="T189" s="51"/>
      <c r="U189" s="51"/>
      <c r="V189" s="51"/>
      <c r="W189" s="51"/>
      <c r="X189" s="51"/>
      <c r="Y189" s="51"/>
      <c r="Z189" s="51"/>
      <c r="AA189" s="51"/>
      <c r="AB189" s="51"/>
      <c r="AC189" s="51"/>
      <c r="AD189" s="51"/>
      <c r="AG189" t="s">
        <v>28</v>
      </c>
      <c r="AH189" s="51"/>
      <c r="AI189" s="51"/>
    </row>
    <row r="190" spans="2:35">
      <c r="B190" t="s">
        <v>1549</v>
      </c>
      <c r="C190" t="s">
        <v>3007</v>
      </c>
      <c r="D190">
        <v>5</v>
      </c>
      <c r="E190" t="s">
        <v>2794</v>
      </c>
      <c r="F190">
        <v>5</v>
      </c>
      <c r="G190">
        <v>12</v>
      </c>
      <c r="H190">
        <v>18</v>
      </c>
      <c r="I190" t="s">
        <v>1550</v>
      </c>
      <c r="J190" s="51" t="s">
        <v>1546</v>
      </c>
      <c r="K190" t="s">
        <v>27</v>
      </c>
      <c r="L190" t="s">
        <v>1520</v>
      </c>
      <c r="M190">
        <v>3</v>
      </c>
      <c r="N190" t="str">
        <f>L190</f>
        <v>NAM\A09DF</v>
      </c>
      <c r="O190" s="51" t="str">
        <f>J190</f>
        <v>22/2/2011</v>
      </c>
      <c r="P190" s="51" t="str">
        <f>C190</f>
        <v>~/cdd/olddocs/Formas/CNWI-MTTO (Mantenimiento)/CNWI-MTTO-F010 Etiqueta de Mantenimiento.doc</v>
      </c>
      <c r="Q190" s="51" t="str">
        <f>E190</f>
        <v>doc</v>
      </c>
      <c r="R190" s="51"/>
      <c r="S190" s="51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  <c r="AG190" t="s">
        <v>28</v>
      </c>
      <c r="AH190" s="51"/>
      <c r="AI190" s="51"/>
    </row>
    <row r="191" spans="2:35">
      <c r="B191" t="s">
        <v>1551</v>
      </c>
      <c r="C191" t="s">
        <v>3008</v>
      </c>
      <c r="D191">
        <v>5</v>
      </c>
      <c r="E191" t="s">
        <v>2792</v>
      </c>
      <c r="F191">
        <v>5</v>
      </c>
      <c r="G191">
        <v>12</v>
      </c>
      <c r="H191">
        <v>18</v>
      </c>
      <c r="I191" t="s">
        <v>1552</v>
      </c>
      <c r="J191" s="51">
        <v>40653</v>
      </c>
      <c r="K191" t="s">
        <v>27</v>
      </c>
      <c r="L191" t="s">
        <v>1520</v>
      </c>
      <c r="M191">
        <v>3</v>
      </c>
      <c r="N191" t="str">
        <f>L191</f>
        <v>NAM\A09DF</v>
      </c>
      <c r="O191" s="51">
        <f>J191</f>
        <v>40653</v>
      </c>
      <c r="P191" s="51" t="str">
        <f>C191</f>
        <v>~/cdd/olddocs/Formas/CNWI-MTTO (Mantenimiento)/CNWI-MTTO-F011 Registro de Mantenimiento Preventivo.xls</v>
      </c>
      <c r="Q191" s="51" t="str">
        <f>E191</f>
        <v>xls</v>
      </c>
      <c r="R191" s="51"/>
      <c r="S191" s="51"/>
      <c r="T191" s="51"/>
      <c r="U191" s="51"/>
      <c r="V191" s="51"/>
      <c r="W191" s="51"/>
      <c r="X191" s="51"/>
      <c r="Y191" s="51"/>
      <c r="Z191" s="51"/>
      <c r="AA191" s="51"/>
      <c r="AB191" s="51"/>
      <c r="AC191" s="51"/>
      <c r="AD191" s="51"/>
      <c r="AG191" t="s">
        <v>28</v>
      </c>
      <c r="AH191" s="51"/>
      <c r="AI191" s="51"/>
    </row>
    <row r="192" spans="2:35">
      <c r="B192" t="s">
        <v>1553</v>
      </c>
      <c r="C192" t="s">
        <v>3009</v>
      </c>
      <c r="D192">
        <v>5</v>
      </c>
      <c r="E192" t="s">
        <v>2792</v>
      </c>
      <c r="F192">
        <v>5</v>
      </c>
      <c r="G192">
        <v>12</v>
      </c>
      <c r="H192">
        <v>20</v>
      </c>
      <c r="I192" t="s">
        <v>1554</v>
      </c>
      <c r="J192" s="51">
        <v>40660</v>
      </c>
      <c r="K192" t="s">
        <v>27</v>
      </c>
      <c r="L192" t="s">
        <v>1520</v>
      </c>
      <c r="M192">
        <v>3</v>
      </c>
      <c r="N192" t="str">
        <f>L192</f>
        <v>NAM\A09DF</v>
      </c>
      <c r="O192" s="51">
        <f>J192</f>
        <v>40660</v>
      </c>
      <c r="P192" s="51" t="str">
        <f>C192</f>
        <v>~/cdd/olddocs/Formas/CNWI-MTTO (Mantenimiento)/CNWI-MTTO-F012 suplementos y partes.xls</v>
      </c>
      <c r="Q192" s="51" t="str">
        <f>E192</f>
        <v>xls</v>
      </c>
      <c r="R192" s="51"/>
      <c r="S192" s="51"/>
      <c r="T192" s="51"/>
      <c r="U192" s="51"/>
      <c r="V192" s="51"/>
      <c r="W192" s="51"/>
      <c r="X192" s="51"/>
      <c r="Y192" s="51"/>
      <c r="Z192" s="51"/>
      <c r="AA192" s="51"/>
      <c r="AB192" s="51"/>
      <c r="AC192" s="51"/>
      <c r="AD192" s="51"/>
      <c r="AG192" t="s">
        <v>28</v>
      </c>
      <c r="AH192" s="51"/>
      <c r="AI192" s="51"/>
    </row>
    <row r="193" spans="2:35">
      <c r="B193" t="s">
        <v>1555</v>
      </c>
      <c r="C193" t="s">
        <v>3010</v>
      </c>
      <c r="D193">
        <v>5</v>
      </c>
      <c r="E193" t="s">
        <v>2794</v>
      </c>
      <c r="F193">
        <v>5</v>
      </c>
      <c r="G193">
        <v>12</v>
      </c>
      <c r="H193">
        <v>20</v>
      </c>
      <c r="I193" t="s">
        <v>1556</v>
      </c>
      <c r="J193" s="51">
        <v>40596</v>
      </c>
      <c r="K193" t="s">
        <v>27</v>
      </c>
      <c r="L193" t="s">
        <v>1520</v>
      </c>
      <c r="M193">
        <v>3</v>
      </c>
      <c r="N193" t="str">
        <f>L193</f>
        <v>NAM\A09DF</v>
      </c>
      <c r="O193" s="51">
        <f>J193</f>
        <v>40596</v>
      </c>
      <c r="P193" s="51" t="str">
        <f>C193</f>
        <v>~/cdd/olddocs/Formas/CNWI-MTTO (Mantenimiento)/CNWI-MTTO-F013 Boleta de Control de Materiales.doc</v>
      </c>
      <c r="Q193" s="51" t="str">
        <f>E193</f>
        <v>doc</v>
      </c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G193" t="s">
        <v>28</v>
      </c>
      <c r="AH193" s="51"/>
      <c r="AI193" s="51"/>
    </row>
    <row r="194" spans="2:35">
      <c r="B194" t="s">
        <v>1557</v>
      </c>
      <c r="C194" t="s">
        <v>3011</v>
      </c>
      <c r="D194">
        <v>5</v>
      </c>
      <c r="E194" t="s">
        <v>2792</v>
      </c>
      <c r="F194">
        <v>5</v>
      </c>
      <c r="G194">
        <v>6</v>
      </c>
      <c r="H194">
        <v>14</v>
      </c>
      <c r="I194" t="s">
        <v>1558</v>
      </c>
      <c r="J194" s="51">
        <v>40792</v>
      </c>
      <c r="K194" t="s">
        <v>159</v>
      </c>
      <c r="L194" t="s">
        <v>1520</v>
      </c>
      <c r="M194">
        <v>3</v>
      </c>
      <c r="N194" t="str">
        <f>L194</f>
        <v>NAM\A09DF</v>
      </c>
      <c r="O194" s="51">
        <f>J194</f>
        <v>40792</v>
      </c>
      <c r="P194" s="51" t="str">
        <f>C194</f>
        <v>~/cdd/olddocs/Formas/CNWI-MTTO (Mantenimiento)/CNWI-MTTO-F014 Inventario de Quimicos.xls</v>
      </c>
      <c r="Q194" s="51" t="str">
        <f>E194</f>
        <v>xls</v>
      </c>
      <c r="R194" s="51"/>
      <c r="S194" s="51"/>
      <c r="T194" s="51"/>
      <c r="U194" s="51"/>
      <c r="V194" s="51"/>
      <c r="W194" s="51"/>
      <c r="X194" s="51"/>
      <c r="Y194" s="51"/>
      <c r="Z194" s="51"/>
      <c r="AA194" s="51"/>
      <c r="AB194" s="51"/>
      <c r="AC194" s="51"/>
      <c r="AD194" s="51"/>
      <c r="AG194" t="s">
        <v>28</v>
      </c>
      <c r="AH194" s="51"/>
      <c r="AI194" s="51"/>
    </row>
    <row r="195" spans="2:35">
      <c r="B195" t="s">
        <v>1559</v>
      </c>
      <c r="C195" t="s">
        <v>3012</v>
      </c>
      <c r="D195">
        <v>5</v>
      </c>
      <c r="E195" t="s">
        <v>2792</v>
      </c>
      <c r="F195">
        <v>5</v>
      </c>
      <c r="G195">
        <v>6</v>
      </c>
      <c r="H195">
        <v>14</v>
      </c>
      <c r="I195" t="s">
        <v>1560</v>
      </c>
      <c r="J195" s="51">
        <v>40777</v>
      </c>
      <c r="K195" t="s">
        <v>46</v>
      </c>
      <c r="L195" t="s">
        <v>1520</v>
      </c>
      <c r="M195">
        <v>3</v>
      </c>
      <c r="N195" t="str">
        <f>L195</f>
        <v>NAM\A09DF</v>
      </c>
      <c r="O195" s="51">
        <f>J195</f>
        <v>40777</v>
      </c>
      <c r="P195" s="51" t="str">
        <f>C195</f>
        <v>~/cdd/olddocs/Formas/CNWI-MTTO (Mantenimiento)/CNWI-MTTO-F015 Revicion de temperatura Quimicos.xls</v>
      </c>
      <c r="Q195" s="51" t="str">
        <f>E195</f>
        <v>xls</v>
      </c>
      <c r="R195" s="51"/>
      <c r="S195" s="51"/>
      <c r="T195" s="51"/>
      <c r="U195" s="51"/>
      <c r="V195" s="51"/>
      <c r="W195" s="51"/>
      <c r="X195" s="51"/>
      <c r="Y195" s="51"/>
      <c r="Z195" s="51"/>
      <c r="AA195" s="51"/>
      <c r="AB195" s="51"/>
      <c r="AC195" s="51"/>
      <c r="AD195" s="51"/>
      <c r="AG195" t="s">
        <v>28</v>
      </c>
      <c r="AH195" s="51"/>
      <c r="AI195" s="51"/>
    </row>
    <row r="196" spans="2:35">
      <c r="B196" t="s">
        <v>1561</v>
      </c>
      <c r="C196" t="s">
        <v>3013</v>
      </c>
      <c r="D196">
        <v>5</v>
      </c>
      <c r="E196" t="s">
        <v>2792</v>
      </c>
      <c r="F196">
        <v>5</v>
      </c>
      <c r="G196">
        <v>6</v>
      </c>
      <c r="H196">
        <v>14</v>
      </c>
      <c r="I196" t="s">
        <v>1562</v>
      </c>
      <c r="J196" s="51">
        <v>40772</v>
      </c>
      <c r="K196" t="s">
        <v>27</v>
      </c>
      <c r="L196" t="s">
        <v>1520</v>
      </c>
      <c r="M196">
        <v>3</v>
      </c>
      <c r="N196" t="str">
        <f>L196</f>
        <v>NAM\A09DF</v>
      </c>
      <c r="O196" s="51">
        <f>J196</f>
        <v>40772</v>
      </c>
      <c r="P196" s="51" t="str">
        <f>C196</f>
        <v>~/cdd/olddocs/Formas/CNWI-MTTO (Mantenimiento)/CNWI-MTTO-F016 Mantenimiento Preventivo a Moldes.xls</v>
      </c>
      <c r="Q196" s="51" t="str">
        <f>E196</f>
        <v>xls</v>
      </c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G196" t="s">
        <v>28</v>
      </c>
      <c r="AH196" s="51"/>
      <c r="AI196" s="51"/>
    </row>
    <row r="197" spans="2:35">
      <c r="B197" t="s">
        <v>1563</v>
      </c>
      <c r="C197" t="s">
        <v>3014</v>
      </c>
      <c r="D197">
        <v>5</v>
      </c>
      <c r="E197" t="s">
        <v>2792</v>
      </c>
      <c r="F197">
        <v>5</v>
      </c>
      <c r="G197">
        <v>6</v>
      </c>
      <c r="H197">
        <v>14</v>
      </c>
      <c r="I197" t="s">
        <v>1564</v>
      </c>
      <c r="J197" s="51">
        <v>40938</v>
      </c>
      <c r="K197" t="s">
        <v>27</v>
      </c>
      <c r="L197" t="s">
        <v>1520</v>
      </c>
      <c r="M197">
        <v>3</v>
      </c>
      <c r="N197" t="str">
        <f>L197</f>
        <v>NAM\A09DF</v>
      </c>
      <c r="O197" s="51">
        <f>J197</f>
        <v>40938</v>
      </c>
      <c r="P197" s="51" t="str">
        <f>C197</f>
        <v>~/cdd/olddocs/Formas/CNWI-MTTO (Mantenimiento)/CNWI-MTTO-F017 Inventario Mensual de Suplementos y Partes.xls</v>
      </c>
      <c r="Q197" s="51" t="str">
        <f>E197</f>
        <v>xls</v>
      </c>
      <c r="R197" s="51"/>
      <c r="S197" s="51"/>
      <c r="T197" s="51"/>
      <c r="U197" s="51"/>
      <c r="V197" s="51"/>
      <c r="W197" s="51"/>
      <c r="X197" s="51"/>
      <c r="Y197" s="51"/>
      <c r="Z197" s="51"/>
      <c r="AA197" s="51"/>
      <c r="AB197" s="51"/>
      <c r="AC197" s="51"/>
      <c r="AD197" s="51"/>
      <c r="AG197" t="s">
        <v>28</v>
      </c>
      <c r="AH197" s="51"/>
      <c r="AI197" s="51"/>
    </row>
    <row r="198" spans="2:35">
      <c r="B198" t="s">
        <v>1565</v>
      </c>
      <c r="C198" t="s">
        <v>3015</v>
      </c>
      <c r="D198">
        <v>5</v>
      </c>
      <c r="E198" t="s">
        <v>2792</v>
      </c>
      <c r="F198">
        <v>5</v>
      </c>
      <c r="G198">
        <v>6</v>
      </c>
      <c r="H198">
        <v>14</v>
      </c>
      <c r="I198" t="s">
        <v>1566</v>
      </c>
      <c r="J198" s="51">
        <v>40939</v>
      </c>
      <c r="K198" t="s">
        <v>27</v>
      </c>
      <c r="L198" t="s">
        <v>1520</v>
      </c>
      <c r="M198">
        <v>3</v>
      </c>
      <c r="N198" t="str">
        <f>L198</f>
        <v>NAM\A09DF</v>
      </c>
      <c r="O198" s="51">
        <f>J198</f>
        <v>40939</v>
      </c>
      <c r="P198" s="51" t="str">
        <f>C198</f>
        <v>~/cdd/olddocs/Formas/CNWI-MTTO (Mantenimiento)/CNWI-MTTO-F018 Inspeccion de Montacargas Electrico.xls</v>
      </c>
      <c r="Q198" s="51" t="str">
        <f>E198</f>
        <v>xls</v>
      </c>
      <c r="R198" s="51"/>
      <c r="S198" s="51"/>
      <c r="T198" s="51"/>
      <c r="U198" s="51"/>
      <c r="V198" s="51"/>
      <c r="W198" s="51"/>
      <c r="X198" s="51"/>
      <c r="Y198" s="51"/>
      <c r="Z198" s="51"/>
      <c r="AA198" s="51"/>
      <c r="AB198" s="51"/>
      <c r="AC198" s="51"/>
      <c r="AD198" s="51"/>
      <c r="AG198" t="s">
        <v>28</v>
      </c>
      <c r="AH198" s="51"/>
      <c r="AI198" s="51"/>
    </row>
    <row r="199" spans="2:35">
      <c r="B199" t="s">
        <v>1567</v>
      </c>
      <c r="C199" t="s">
        <v>3016</v>
      </c>
      <c r="D199">
        <v>5</v>
      </c>
      <c r="E199" t="s">
        <v>2792</v>
      </c>
      <c r="F199">
        <v>5</v>
      </c>
      <c r="G199">
        <v>6</v>
      </c>
      <c r="H199">
        <v>14</v>
      </c>
      <c r="I199" t="s">
        <v>1568</v>
      </c>
      <c r="J199" s="51">
        <v>40974</v>
      </c>
      <c r="K199" t="s">
        <v>46</v>
      </c>
      <c r="L199" t="s">
        <v>1520</v>
      </c>
      <c r="M199">
        <v>3</v>
      </c>
      <c r="N199" t="str">
        <f>L199</f>
        <v>NAM\A09DF</v>
      </c>
      <c r="O199" s="51">
        <f>J199</f>
        <v>40974</v>
      </c>
      <c r="P199" s="51" t="str">
        <f>C199</f>
        <v>~/cdd/olddocs/Formas/CNWI-MTTO (Mantenimiento)/CNWI-MTTO-F019 REGISTRO DE TEMPERATURA DE ALMACENAMIENTO DE QUIMICOS.xls</v>
      </c>
      <c r="Q199" s="51" t="str">
        <f>E199</f>
        <v>xls</v>
      </c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G199" t="s">
        <v>28</v>
      </c>
      <c r="AH199" s="51"/>
      <c r="AI199" s="51"/>
    </row>
    <row r="200" spans="2:35">
      <c r="B200" t="s">
        <v>1569</v>
      </c>
      <c r="C200" t="s">
        <v>3017</v>
      </c>
      <c r="D200">
        <v>5</v>
      </c>
      <c r="E200" t="s">
        <v>2792</v>
      </c>
      <c r="F200">
        <v>5</v>
      </c>
      <c r="G200">
        <v>6</v>
      </c>
      <c r="H200">
        <v>14</v>
      </c>
      <c r="I200" t="s">
        <v>1570</v>
      </c>
      <c r="J200" s="51">
        <v>40941</v>
      </c>
      <c r="K200" t="s">
        <v>27</v>
      </c>
      <c r="L200" t="s">
        <v>1520</v>
      </c>
      <c r="M200">
        <v>3</v>
      </c>
      <c r="N200" t="str">
        <f>L200</f>
        <v>NAM\A09DF</v>
      </c>
      <c r="O200" s="51">
        <f>J200</f>
        <v>40941</v>
      </c>
      <c r="P200" s="51" t="str">
        <f>C200</f>
        <v>~/cdd/olddocs/Formas/CNWI-MTTO (Mantenimiento)/CNWI-MTTO-F020 Inspeccion de Plataforma elevadora.xls</v>
      </c>
      <c r="Q200" s="51" t="str">
        <f>E200</f>
        <v>xls</v>
      </c>
      <c r="R200" s="51"/>
      <c r="S200" s="51"/>
      <c r="T200" s="51"/>
      <c r="U200" s="51"/>
      <c r="V200" s="51"/>
      <c r="W200" s="51"/>
      <c r="X200" s="51"/>
      <c r="Y200" s="51"/>
      <c r="Z200" s="51"/>
      <c r="AA200" s="51"/>
      <c r="AB200" s="51"/>
      <c r="AC200" s="51"/>
      <c r="AD200" s="51"/>
      <c r="AG200" t="s">
        <v>28</v>
      </c>
      <c r="AH200" s="51"/>
      <c r="AI200" s="51"/>
    </row>
    <row r="201" spans="2:35">
      <c r="B201" t="s">
        <v>1571</v>
      </c>
      <c r="C201" t="s">
        <v>3018</v>
      </c>
      <c r="D201">
        <v>5</v>
      </c>
      <c r="E201" t="s">
        <v>2792</v>
      </c>
      <c r="F201">
        <v>5</v>
      </c>
      <c r="G201">
        <v>6</v>
      </c>
      <c r="H201">
        <v>14</v>
      </c>
      <c r="I201" t="s">
        <v>1572</v>
      </c>
      <c r="J201" s="51">
        <v>40970</v>
      </c>
      <c r="K201" t="s">
        <v>27</v>
      </c>
      <c r="L201" t="s">
        <v>1520</v>
      </c>
      <c r="M201">
        <v>3</v>
      </c>
      <c r="N201" t="str">
        <f>L201</f>
        <v>NAM\A09DF</v>
      </c>
      <c r="O201" s="51">
        <f>J201</f>
        <v>40970</v>
      </c>
      <c r="P201" s="51" t="str">
        <f>C201</f>
        <v>~/cdd/olddocs/Formas/CNWI-MTTO (Mantenimiento)/CNWI-MTTO-F021 Plan de actividades Mecanicos.xls</v>
      </c>
      <c r="Q201" s="51" t="str">
        <f>E201</f>
        <v>xls</v>
      </c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/>
      <c r="AC201" s="51"/>
      <c r="AD201" s="51"/>
      <c r="AG201" t="s">
        <v>28</v>
      </c>
      <c r="AH201" s="51"/>
      <c r="AI201" s="51"/>
    </row>
    <row r="202" spans="2:35">
      <c r="B202" t="s">
        <v>1573</v>
      </c>
      <c r="C202" t="s">
        <v>3019</v>
      </c>
      <c r="D202">
        <v>5</v>
      </c>
      <c r="E202" t="s">
        <v>2793</v>
      </c>
      <c r="F202">
        <v>5</v>
      </c>
      <c r="G202">
        <v>6</v>
      </c>
      <c r="H202">
        <v>14</v>
      </c>
      <c r="I202" t="s">
        <v>1574</v>
      </c>
      <c r="J202" s="51">
        <v>40982</v>
      </c>
      <c r="K202" t="s">
        <v>27</v>
      </c>
      <c r="L202" t="s">
        <v>1520</v>
      </c>
      <c r="M202">
        <v>3</v>
      </c>
      <c r="N202" t="str">
        <f>L202</f>
        <v>NAM\A09DF</v>
      </c>
      <c r="O202" s="51">
        <f>J202</f>
        <v>40982</v>
      </c>
      <c r="P202" s="51" t="str">
        <f>C202</f>
        <v>~/cdd/olddocs/Formas/CNWI-MTTO (Mantenimiento)/CNWI-MTTO-F022 Rev. A ETIQUETA DE IDENTIFICACION PARA  EQUIPO EN REPARACION.pptx</v>
      </c>
      <c r="Q202" s="51" t="str">
        <f>E202</f>
        <v>pptx</v>
      </c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G202" t="s">
        <v>28</v>
      </c>
      <c r="AH202" s="51"/>
      <c r="AI202" s="51"/>
    </row>
    <row r="203" spans="2:35">
      <c r="B203" t="s">
        <v>499</v>
      </c>
      <c r="C203" t="s">
        <v>3868</v>
      </c>
      <c r="D203">
        <v>5</v>
      </c>
      <c r="E203" t="s">
        <v>2790</v>
      </c>
      <c r="F203">
        <v>5</v>
      </c>
      <c r="G203">
        <v>6</v>
      </c>
      <c r="H203">
        <v>14</v>
      </c>
      <c r="I203" t="s">
        <v>500</v>
      </c>
      <c r="J203" s="51">
        <v>41037</v>
      </c>
      <c r="K203" t="s">
        <v>27</v>
      </c>
      <c r="L203" t="s">
        <v>438</v>
      </c>
      <c r="M203">
        <v>3</v>
      </c>
      <c r="N203" t="str">
        <f>L203</f>
        <v>NAM\D24B6</v>
      </c>
      <c r="O203" s="51">
        <f>J203</f>
        <v>41037</v>
      </c>
      <c r="P203" s="51" t="str">
        <f>C203</f>
        <v>~cdd/olddocs/Formas/CNWI-MTTO (Mantenimiento)/CNWI-MTTO-F023 Set up de moldes Moorpark.xlsx</v>
      </c>
      <c r="Q203" s="51" t="str">
        <f>E203</f>
        <v>xlsx</v>
      </c>
      <c r="R203" s="51"/>
      <c r="S203" s="51"/>
      <c r="T203" s="51"/>
      <c r="U203" s="51"/>
      <c r="V203" s="51"/>
      <c r="W203" s="51"/>
      <c r="X203" s="51"/>
      <c r="Y203" s="51"/>
      <c r="Z203" s="51"/>
      <c r="AA203" s="51"/>
      <c r="AB203" s="51"/>
      <c r="AC203" s="51"/>
      <c r="AD203" s="51"/>
      <c r="AG203" t="s">
        <v>28</v>
      </c>
      <c r="AH203" s="51"/>
      <c r="AI203" s="51"/>
    </row>
    <row r="204" spans="2:35">
      <c r="B204" t="s">
        <v>465</v>
      </c>
      <c r="C204" t="s">
        <v>3869</v>
      </c>
      <c r="D204">
        <v>5</v>
      </c>
      <c r="E204" t="s">
        <v>2790</v>
      </c>
      <c r="F204">
        <v>14</v>
      </c>
      <c r="I204" t="s">
        <v>467</v>
      </c>
      <c r="J204" s="51">
        <v>41037</v>
      </c>
      <c r="K204" t="s">
        <v>27</v>
      </c>
      <c r="L204" t="s">
        <v>438</v>
      </c>
      <c r="M204">
        <v>3</v>
      </c>
      <c r="N204" t="str">
        <f>L204</f>
        <v>NAM\D24B6</v>
      </c>
      <c r="O204" s="51">
        <f>J204</f>
        <v>41037</v>
      </c>
      <c r="P204" s="51" t="str">
        <f>C204</f>
        <v>~cdd/olddocs/Formas/CNWI-MTTO (Mantenimiento)/CNWI-MTTO-F024 Set up de moldes de Micromini.xlsx</v>
      </c>
      <c r="Q204" s="51" t="str">
        <f>E204</f>
        <v>xlsx</v>
      </c>
      <c r="R204" s="51"/>
      <c r="S204" s="51"/>
      <c r="T204" s="51"/>
      <c r="U204" s="51"/>
      <c r="V204" s="51"/>
      <c r="W204" s="51"/>
      <c r="X204" s="51"/>
      <c r="Y204" s="51"/>
      <c r="Z204" s="51"/>
      <c r="AA204" s="51"/>
      <c r="AB204" s="51"/>
      <c r="AC204" s="51"/>
      <c r="AD204" s="51"/>
      <c r="AG204" t="s">
        <v>28</v>
      </c>
      <c r="AH204" s="51"/>
      <c r="AI204" s="51"/>
    </row>
    <row r="205" spans="2:35">
      <c r="B205" t="s">
        <v>2410</v>
      </c>
      <c r="C205" t="s">
        <v>3020</v>
      </c>
      <c r="D205">
        <v>5</v>
      </c>
      <c r="E205" t="s">
        <v>2790</v>
      </c>
      <c r="F205">
        <v>14</v>
      </c>
      <c r="I205" t="s">
        <v>2411</v>
      </c>
      <c r="J205" s="51">
        <v>41039</v>
      </c>
      <c r="K205" t="s">
        <v>27</v>
      </c>
      <c r="L205" t="s">
        <v>2412</v>
      </c>
      <c r="M205">
        <v>3</v>
      </c>
      <c r="N205" t="str">
        <f>L205</f>
        <v>NAM\MB4451</v>
      </c>
      <c r="O205" s="51">
        <f>J205</f>
        <v>41039</v>
      </c>
      <c r="P205" s="51" t="str">
        <f>C205</f>
        <v>~/cdd/olddocs/Formas/CNWI-MTTO (Mantenimiento)/CNWI-MTTO-F025 Tarjetas rojas y verdes.xlsx</v>
      </c>
      <c r="Q205" s="51" t="str">
        <f>E205</f>
        <v>xlsx</v>
      </c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G205" t="s">
        <v>28</v>
      </c>
      <c r="AH205" s="51"/>
      <c r="AI205" s="51"/>
    </row>
    <row r="206" spans="2:35">
      <c r="B206" t="s">
        <v>2413</v>
      </c>
      <c r="C206" t="s">
        <v>3870</v>
      </c>
      <c r="D206">
        <v>5</v>
      </c>
      <c r="E206" t="s">
        <v>2790</v>
      </c>
      <c r="F206">
        <v>14</v>
      </c>
      <c r="I206" t="s">
        <v>2414</v>
      </c>
      <c r="J206" s="51">
        <v>41060</v>
      </c>
      <c r="K206" t="s">
        <v>27</v>
      </c>
      <c r="L206" t="s">
        <v>2412</v>
      </c>
      <c r="M206">
        <v>3</v>
      </c>
      <c r="N206" t="str">
        <f>L206</f>
        <v>NAM\MB4451</v>
      </c>
      <c r="O206" s="51">
        <f>J206</f>
        <v>41060</v>
      </c>
      <c r="P206" s="51" t="str">
        <f>C206</f>
        <v>~cdd/olddocs/Formas/CNWI-MTTO (Mantenimiento)/CNWI-MTTO-F026 Rev. A Tarjetas rojas.xlsx</v>
      </c>
      <c r="Q206" s="51" t="str">
        <f>E206</f>
        <v>xlsx</v>
      </c>
      <c r="R206" s="51"/>
      <c r="S206" s="51"/>
      <c r="T206" s="51"/>
      <c r="U206" s="51"/>
      <c r="V206" s="51"/>
      <c r="W206" s="51"/>
      <c r="X206" s="51"/>
      <c r="Y206" s="51"/>
      <c r="Z206" s="51"/>
      <c r="AA206" s="51"/>
      <c r="AB206" s="51"/>
      <c r="AC206" s="51"/>
      <c r="AD206" s="51"/>
      <c r="AG206" t="s">
        <v>28</v>
      </c>
      <c r="AH206" s="51"/>
      <c r="AI206" s="51"/>
    </row>
    <row r="207" spans="2:35">
      <c r="B207" t="s">
        <v>1525</v>
      </c>
      <c r="C207" t="s">
        <v>3871</v>
      </c>
      <c r="D207">
        <v>5</v>
      </c>
      <c r="E207" t="s">
        <v>2790</v>
      </c>
      <c r="F207">
        <v>14</v>
      </c>
      <c r="I207" t="s">
        <v>1526</v>
      </c>
      <c r="J207" s="51">
        <v>41072</v>
      </c>
      <c r="K207" t="s">
        <v>27</v>
      </c>
      <c r="L207" t="s">
        <v>1520</v>
      </c>
      <c r="M207">
        <v>3</v>
      </c>
      <c r="N207" t="str">
        <f>L207</f>
        <v>NAM\A09DF</v>
      </c>
      <c r="O207" s="51">
        <f>J207</f>
        <v>41072</v>
      </c>
      <c r="P207" s="51" t="str">
        <f>C207</f>
        <v>~cdd/olddocs/Formas/CNWI-MTTO (Mantenimiento)/CNWI-MTTO-F027 Parametros de referencia para moldeadora AHI TOP 3 y 4.xlsx</v>
      </c>
      <c r="Q207" s="51" t="str">
        <f>E207</f>
        <v>xlsx</v>
      </c>
      <c r="R207" s="51"/>
      <c r="S207" s="51"/>
      <c r="T207" s="51"/>
      <c r="U207" s="51"/>
      <c r="V207" s="51"/>
      <c r="W207" s="51"/>
      <c r="X207" s="51"/>
      <c r="Y207" s="51"/>
      <c r="Z207" s="51"/>
      <c r="AA207" s="51"/>
      <c r="AB207" s="51"/>
      <c r="AC207" s="51"/>
      <c r="AD207" s="51"/>
      <c r="AG207" t="s">
        <v>28</v>
      </c>
      <c r="AH207" s="51"/>
      <c r="AI207" s="51"/>
    </row>
    <row r="208" spans="2:35">
      <c r="B208" t="s">
        <v>2415</v>
      </c>
      <c r="C208" t="s">
        <v>3872</v>
      </c>
      <c r="D208">
        <v>5</v>
      </c>
      <c r="E208" t="s">
        <v>2792</v>
      </c>
      <c r="F208">
        <v>14</v>
      </c>
      <c r="I208" t="s">
        <v>2416</v>
      </c>
      <c r="J208" s="51">
        <v>41086</v>
      </c>
      <c r="K208" t="s">
        <v>27</v>
      </c>
      <c r="L208" t="s">
        <v>2412</v>
      </c>
      <c r="M208">
        <v>3</v>
      </c>
      <c r="N208" t="str">
        <f>L208</f>
        <v>NAM\MB4451</v>
      </c>
      <c r="O208" s="51">
        <f>J208</f>
        <v>41086</v>
      </c>
      <c r="P208" s="51" t="str">
        <f>C208</f>
        <v>~cdd/olddocs/Formas/CNWI-MTTO (Mantenimiento)/CNWI-MTTO-F028 Rev A  TPM universal.xls</v>
      </c>
      <c r="Q208" s="51" t="str">
        <f>E208</f>
        <v>xls</v>
      </c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G208" t="s">
        <v>28</v>
      </c>
      <c r="AH208" s="51"/>
      <c r="AI208" s="51"/>
    </row>
    <row r="209" spans="2:35">
      <c r="B209" t="s">
        <v>1527</v>
      </c>
      <c r="C209" t="s">
        <v>3021</v>
      </c>
      <c r="D209">
        <v>5</v>
      </c>
      <c r="E209" t="s">
        <v>2791</v>
      </c>
      <c r="F209">
        <v>14</v>
      </c>
      <c r="I209" t="s">
        <v>1528</v>
      </c>
      <c r="J209" s="51">
        <v>41115</v>
      </c>
      <c r="K209" t="s">
        <v>27</v>
      </c>
      <c r="L209" t="s">
        <v>1520</v>
      </c>
      <c r="M209">
        <v>3</v>
      </c>
      <c r="N209" t="str">
        <f>L209</f>
        <v>NAM\A09DF</v>
      </c>
      <c r="O209" s="51">
        <f>J209</f>
        <v>41115</v>
      </c>
      <c r="P209" s="51" t="str">
        <f>C209</f>
        <v>~/cdd/olddocs/Formas/CNWI-MTTO (Mantenimiento)/CNWI-MTTO-F029 Revisión de despojadoras Schleuniger.pdf</v>
      </c>
      <c r="Q209" s="51" t="str">
        <f>E209</f>
        <v>pdf</v>
      </c>
      <c r="R209" s="51"/>
      <c r="S209" s="51"/>
      <c r="T209" s="51"/>
      <c r="U209" s="51"/>
      <c r="V209" s="51"/>
      <c r="W209" s="51"/>
      <c r="X209" s="51"/>
      <c r="Y209" s="51"/>
      <c r="Z209" s="51"/>
      <c r="AA209" s="51"/>
      <c r="AB209" s="51"/>
      <c r="AC209" s="51"/>
      <c r="AD209" s="51"/>
      <c r="AG209" t="s">
        <v>28</v>
      </c>
      <c r="AH209" s="51"/>
      <c r="AI209" s="51"/>
    </row>
    <row r="210" spans="2:35">
      <c r="B210" t="s">
        <v>1529</v>
      </c>
      <c r="C210" t="s">
        <v>3873</v>
      </c>
      <c r="D210">
        <v>5</v>
      </c>
      <c r="E210" t="s">
        <v>2791</v>
      </c>
      <c r="F210">
        <v>14</v>
      </c>
      <c r="I210" t="s">
        <v>1530</v>
      </c>
      <c r="J210" s="51">
        <v>41145</v>
      </c>
      <c r="K210" t="s">
        <v>27</v>
      </c>
      <c r="L210" t="s">
        <v>1520</v>
      </c>
      <c r="M210">
        <v>3</v>
      </c>
      <c r="N210" t="str">
        <f>L210</f>
        <v>NAM\A09DF</v>
      </c>
      <c r="O210" s="51">
        <f>J210</f>
        <v>41145</v>
      </c>
      <c r="P210" s="51" t="str">
        <f>C210</f>
        <v>~cdd/olddocs/Formas/CNWI-MTTO (Mantenimiento)/CNWI-MTTO-F030 Entregas tool crip.pdf</v>
      </c>
      <c r="Q210" s="51" t="str">
        <f>E210</f>
        <v>pdf</v>
      </c>
      <c r="R210" s="51"/>
      <c r="S210" s="51"/>
      <c r="T210" s="51"/>
      <c r="U210" s="51"/>
      <c r="V210" s="51"/>
      <c r="W210" s="51"/>
      <c r="X210" s="51"/>
      <c r="Y210" s="51"/>
      <c r="Z210" s="51"/>
      <c r="AA210" s="51"/>
      <c r="AB210" s="51"/>
      <c r="AC210" s="51"/>
      <c r="AD210" s="51"/>
      <c r="AG210" t="s">
        <v>28</v>
      </c>
      <c r="AH210" s="51"/>
      <c r="AI210" s="51"/>
    </row>
    <row r="211" spans="2:35">
      <c r="B211" t="s">
        <v>614</v>
      </c>
      <c r="C211" t="s">
        <v>3022</v>
      </c>
      <c r="D211">
        <v>5</v>
      </c>
      <c r="E211" t="s">
        <v>2791</v>
      </c>
      <c r="F211">
        <v>14</v>
      </c>
      <c r="I211" t="s">
        <v>615</v>
      </c>
      <c r="J211" s="51">
        <v>41155</v>
      </c>
      <c r="K211" t="s">
        <v>27</v>
      </c>
      <c r="L211" t="s">
        <v>605</v>
      </c>
      <c r="M211">
        <v>3</v>
      </c>
      <c r="N211" t="str">
        <f>L211</f>
        <v>NA/MB1049</v>
      </c>
      <c r="O211" s="51">
        <f>J211</f>
        <v>41155</v>
      </c>
      <c r="P211" s="51" t="str">
        <f>C211</f>
        <v>~/cdd/olddocs/Formas/CNWI-MTTO (Mantenimiento)/CNWI-MTTO-F031 Entrega y recibo de moldes.pdf</v>
      </c>
      <c r="Q211" s="51" t="str">
        <f>E211</f>
        <v>pdf</v>
      </c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G211" t="s">
        <v>28</v>
      </c>
      <c r="AH211" s="51"/>
      <c r="AI211" s="51"/>
    </row>
    <row r="212" spans="2:35">
      <c r="B212" t="s">
        <v>527</v>
      </c>
      <c r="C212" t="s">
        <v>3909</v>
      </c>
      <c r="D212">
        <v>4</v>
      </c>
      <c r="E212" t="s">
        <v>2791</v>
      </c>
      <c r="F212">
        <v>6</v>
      </c>
      <c r="G212">
        <v>16</v>
      </c>
      <c r="I212" t="s">
        <v>530</v>
      </c>
      <c r="J212" s="51">
        <v>41122</v>
      </c>
      <c r="K212" t="s">
        <v>27</v>
      </c>
      <c r="L212" t="s">
        <v>532</v>
      </c>
      <c r="M212">
        <v>3</v>
      </c>
      <c r="N212" t="str">
        <f>L212</f>
        <v>NAM\MB0615</v>
      </c>
      <c r="O212" s="51">
        <f>J212</f>
        <v>41122</v>
      </c>
      <c r="P212" s="51" t="str">
        <f>C212</f>
        <v>~cdd/olddocs/Instructivos/CNWI-PLLN/CNWI-PLNN-0001 Running MRP On Sap doc.pdf</v>
      </c>
      <c r="Q212" s="51" t="str">
        <f>E212</f>
        <v>pdf</v>
      </c>
      <c r="R212" s="51"/>
      <c r="S212" s="51"/>
      <c r="T212" s="51"/>
      <c r="U212" s="51"/>
      <c r="V212" s="51"/>
      <c r="W212" s="51"/>
      <c r="X212" s="51"/>
      <c r="Y212" s="51"/>
      <c r="Z212" s="51"/>
      <c r="AA212" s="51"/>
      <c r="AB212" s="51"/>
      <c r="AC212" s="51"/>
      <c r="AD212" s="51"/>
      <c r="AG212" t="s">
        <v>28</v>
      </c>
      <c r="AH212" s="51"/>
      <c r="AI212" s="51"/>
    </row>
    <row r="213" spans="2:35">
      <c r="B213" t="s">
        <v>1575</v>
      </c>
      <c r="C213" t="s">
        <v>3023</v>
      </c>
      <c r="D213">
        <v>5</v>
      </c>
      <c r="E213" t="s">
        <v>2792</v>
      </c>
      <c r="F213">
        <v>6</v>
      </c>
      <c r="G213">
        <v>16</v>
      </c>
      <c r="I213" t="s">
        <v>1576</v>
      </c>
      <c r="J213" s="51">
        <v>40640</v>
      </c>
      <c r="K213" t="s">
        <v>27</v>
      </c>
      <c r="L213" t="s">
        <v>1578</v>
      </c>
      <c r="M213">
        <v>3</v>
      </c>
      <c r="N213" t="str">
        <f>L213</f>
        <v>NAM\C7NEP</v>
      </c>
      <c r="O213" s="51">
        <f>J213</f>
        <v>40640</v>
      </c>
      <c r="P213" s="51" t="str">
        <f>C213</f>
        <v>~/cdd/olddocs/Formas/CNWI-PLNN (Planeacion )/CNWI-PLNN-F001 CUST REQ  PGI REPORT .xls</v>
      </c>
      <c r="Q213" s="51" t="str">
        <f>E213</f>
        <v>xls</v>
      </c>
      <c r="R213" s="51"/>
      <c r="S213" s="51"/>
      <c r="T213" s="51"/>
      <c r="U213" s="51"/>
      <c r="V213" s="51"/>
      <c r="W213" s="51"/>
      <c r="X213" s="51"/>
      <c r="Y213" s="51"/>
      <c r="Z213" s="51"/>
      <c r="AA213" s="51"/>
      <c r="AB213" s="51"/>
      <c r="AC213" s="51"/>
      <c r="AD213" s="51"/>
      <c r="AE213">
        <v>40640</v>
      </c>
      <c r="AG213" t="s">
        <v>28</v>
      </c>
      <c r="AH213" s="51"/>
      <c r="AI213" s="51"/>
    </row>
    <row r="214" spans="2:35">
      <c r="B214" t="s">
        <v>1579</v>
      </c>
      <c r="C214" t="s">
        <v>3024</v>
      </c>
      <c r="D214">
        <v>5</v>
      </c>
      <c r="E214" t="s">
        <v>2790</v>
      </c>
      <c r="F214">
        <v>6</v>
      </c>
      <c r="G214">
        <v>16</v>
      </c>
      <c r="I214" t="s">
        <v>1580</v>
      </c>
      <c r="J214" s="51">
        <v>40640</v>
      </c>
      <c r="K214" t="s">
        <v>27</v>
      </c>
      <c r="L214" t="s">
        <v>1578</v>
      </c>
      <c r="M214">
        <v>3</v>
      </c>
      <c r="N214" t="str">
        <f>L214</f>
        <v>NAM\C7NEP</v>
      </c>
      <c r="O214" s="51">
        <f>J214</f>
        <v>40640</v>
      </c>
      <c r="P214" s="51" t="str">
        <f>C214</f>
        <v>~/cdd/olddocs/Formas/CNWI-PLNN (Planeacion )/CNWI-PLNN-F002 MasterSchedule.xlsx</v>
      </c>
      <c r="Q214" s="51" t="str">
        <f>E214</f>
        <v>xlsx</v>
      </c>
      <c r="R214" s="51"/>
      <c r="S214" s="51"/>
      <c r="T214" s="51"/>
      <c r="U214" s="51"/>
      <c r="V214" s="51"/>
      <c r="W214" s="51"/>
      <c r="X214" s="51"/>
      <c r="Y214" s="51"/>
      <c r="Z214" s="51"/>
      <c r="AA214" s="51"/>
      <c r="AB214" s="51"/>
      <c r="AC214" s="51"/>
      <c r="AD214" s="51"/>
      <c r="AG214" t="s">
        <v>28</v>
      </c>
      <c r="AH214" s="51"/>
      <c r="AI214" s="51"/>
    </row>
    <row r="215" spans="2:35">
      <c r="B215" t="s">
        <v>1474</v>
      </c>
      <c r="C215" t="s">
        <v>3327</v>
      </c>
      <c r="D215">
        <v>4</v>
      </c>
      <c r="E215" t="s">
        <v>2791</v>
      </c>
      <c r="F215">
        <v>6</v>
      </c>
      <c r="G215">
        <v>15</v>
      </c>
      <c r="I215" t="s">
        <v>1476</v>
      </c>
      <c r="J215" s="51">
        <v>40722</v>
      </c>
      <c r="K215" t="s">
        <v>46</v>
      </c>
      <c r="L215" t="s">
        <v>1478</v>
      </c>
      <c r="M215">
        <v>3</v>
      </c>
      <c r="N215" t="str">
        <f>L215</f>
        <v>NAM\DEB51</v>
      </c>
      <c r="O215" s="51">
        <f>J215</f>
        <v>40722</v>
      </c>
      <c r="P215" s="51" t="str">
        <f>C215</f>
        <v>~/cdd/olddocs/Instructivos/CNWI-PRCS/CNWI-PRCS-0001 Compras MRO nogales.pdf</v>
      </c>
      <c r="Q215" s="51" t="str">
        <f>E215</f>
        <v>pdf</v>
      </c>
      <c r="R215" s="51"/>
      <c r="S215" s="51"/>
      <c r="T215" s="51"/>
      <c r="U215" s="51"/>
      <c r="V215" s="51"/>
      <c r="W215" s="51"/>
      <c r="X215" s="51"/>
      <c r="Y215" s="51"/>
      <c r="Z215" s="51"/>
      <c r="AA215" s="51"/>
      <c r="AB215" s="51"/>
      <c r="AC215" s="51"/>
      <c r="AD215" s="51"/>
      <c r="AG215" t="s">
        <v>28</v>
      </c>
      <c r="AH215" s="51"/>
      <c r="AI215" s="51"/>
    </row>
    <row r="216" spans="2:35">
      <c r="B216" t="s">
        <v>1867</v>
      </c>
      <c r="C216" t="s">
        <v>3328</v>
      </c>
      <c r="D216">
        <v>4</v>
      </c>
      <c r="E216" t="s">
        <v>2791</v>
      </c>
      <c r="F216">
        <v>6</v>
      </c>
      <c r="G216">
        <v>15</v>
      </c>
      <c r="I216" t="s">
        <v>1868</v>
      </c>
      <c r="J216" s="51">
        <v>40640</v>
      </c>
      <c r="K216" t="s">
        <v>27</v>
      </c>
      <c r="L216" t="s">
        <v>1870</v>
      </c>
      <c r="M216">
        <v>3</v>
      </c>
      <c r="N216" t="str">
        <f>L216</f>
        <v>NAM\BD5C8</v>
      </c>
      <c r="O216" s="51">
        <f>J216</f>
        <v>40640</v>
      </c>
      <c r="P216" s="51" t="str">
        <f>C216</f>
        <v>~/cdd/olddocs/Instructivos/CNWI-PRCS/CNWI-PRCS-0002 Fabricacion de orden del cliente.pdf</v>
      </c>
      <c r="Q216" s="51" t="str">
        <f>E216</f>
        <v>pdf</v>
      </c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G216" t="s">
        <v>28</v>
      </c>
      <c r="AH216" s="51"/>
      <c r="AI216" s="51"/>
    </row>
    <row r="217" spans="2:35">
      <c r="B217" t="s">
        <v>1871</v>
      </c>
      <c r="C217" t="s">
        <v>3329</v>
      </c>
      <c r="D217">
        <v>4</v>
      </c>
      <c r="E217" t="s">
        <v>2791</v>
      </c>
      <c r="F217">
        <v>6</v>
      </c>
      <c r="G217">
        <v>15</v>
      </c>
      <c r="I217" t="s">
        <v>1872</v>
      </c>
      <c r="J217" s="51">
        <v>40697</v>
      </c>
      <c r="K217" t="s">
        <v>27</v>
      </c>
      <c r="L217" t="s">
        <v>1870</v>
      </c>
      <c r="M217">
        <v>3</v>
      </c>
      <c r="N217" t="str">
        <f>L217</f>
        <v>NAM\BD5C8</v>
      </c>
      <c r="O217" s="51">
        <f>J217</f>
        <v>40697</v>
      </c>
      <c r="P217" s="51" t="str">
        <f>C217</f>
        <v>~/cdd/olddocs/Instructivos/CNWI-PRCS/CNWI-PRCS-0003 Instructivo de compras.pdf</v>
      </c>
      <c r="Q217" s="51" t="str">
        <f>E217</f>
        <v>pdf</v>
      </c>
      <c r="R217" s="51"/>
      <c r="S217" s="51"/>
      <c r="T217" s="51"/>
      <c r="U217" s="51"/>
      <c r="V217" s="51"/>
      <c r="W217" s="51"/>
      <c r="X217" s="51"/>
      <c r="Y217" s="51"/>
      <c r="Z217" s="51"/>
      <c r="AA217" s="51"/>
      <c r="AB217" s="51"/>
      <c r="AC217" s="51"/>
      <c r="AD217" s="51"/>
      <c r="AG217" t="s">
        <v>28</v>
      </c>
      <c r="AH217" s="51"/>
      <c r="AI217" s="51"/>
    </row>
    <row r="218" spans="2:35">
      <c r="B218" t="s">
        <v>1873</v>
      </c>
      <c r="C218" t="s">
        <v>3329</v>
      </c>
      <c r="D218">
        <v>4</v>
      </c>
      <c r="E218" t="s">
        <v>2791</v>
      </c>
      <c r="F218">
        <v>6</v>
      </c>
      <c r="G218">
        <v>15</v>
      </c>
      <c r="I218" t="s">
        <v>1874</v>
      </c>
      <c r="J218" s="51">
        <v>41162</v>
      </c>
      <c r="K218" t="s">
        <v>27</v>
      </c>
      <c r="L218" t="s">
        <v>1870</v>
      </c>
      <c r="M218">
        <v>3</v>
      </c>
      <c r="N218" t="str">
        <f>L218</f>
        <v>NAM\BD5C8</v>
      </c>
      <c r="O218" s="51">
        <f>J218</f>
        <v>41162</v>
      </c>
      <c r="P218" s="51" t="str">
        <f>C218</f>
        <v>~/cdd/olddocs/Instructivos/CNWI-PRCS/CNWI-PRCS-0003 Instructivo de compras.pdf</v>
      </c>
      <c r="Q218" s="51" t="str">
        <f>E218</f>
        <v>pdf</v>
      </c>
      <c r="R218" s="51"/>
      <c r="S218" s="51"/>
      <c r="T218" s="51"/>
      <c r="U218" s="51"/>
      <c r="V218" s="51"/>
      <c r="W218" s="51"/>
      <c r="X218" s="51"/>
      <c r="Y218" s="51"/>
      <c r="Z218" s="51"/>
      <c r="AA218" s="51"/>
      <c r="AB218" s="51"/>
      <c r="AC218" s="51"/>
      <c r="AD218" s="51"/>
      <c r="AG218" t="s">
        <v>28</v>
      </c>
      <c r="AH218" s="51"/>
      <c r="AI218" s="51"/>
    </row>
    <row r="219" spans="2:35">
      <c r="B219" t="s">
        <v>1875</v>
      </c>
      <c r="C219" t="s">
        <v>3330</v>
      </c>
      <c r="D219">
        <v>4</v>
      </c>
      <c r="E219" t="s">
        <v>2791</v>
      </c>
      <c r="F219">
        <v>6</v>
      </c>
      <c r="G219">
        <v>15</v>
      </c>
      <c r="I219" t="s">
        <v>1876</v>
      </c>
      <c r="J219" s="51">
        <v>41162</v>
      </c>
      <c r="K219" t="s">
        <v>27</v>
      </c>
      <c r="L219" t="s">
        <v>1870</v>
      </c>
      <c r="M219">
        <v>3</v>
      </c>
      <c r="N219" t="str">
        <f>L219</f>
        <v>NAM\BD5C8</v>
      </c>
      <c r="O219" s="51">
        <f>J219</f>
        <v>41162</v>
      </c>
      <c r="P219" s="51" t="str">
        <f>C219</f>
        <v>~/cdd/olddocs/Instructivos/CNWI-PRCS/CNWI-PRCS-0005  Extender numeros de parte a 1016.pdf</v>
      </c>
      <c r="Q219" s="51" t="str">
        <f>E219</f>
        <v>pdf</v>
      </c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G219" t="s">
        <v>28</v>
      </c>
      <c r="AH219" s="51"/>
      <c r="AI219" s="51"/>
    </row>
    <row r="220" spans="2:35">
      <c r="B220" t="s">
        <v>1877</v>
      </c>
      <c r="C220" t="s">
        <v>3910</v>
      </c>
      <c r="D220">
        <v>4</v>
      </c>
      <c r="E220" t="s">
        <v>2797</v>
      </c>
      <c r="F220">
        <v>6</v>
      </c>
      <c r="G220">
        <v>15</v>
      </c>
      <c r="I220" t="s">
        <v>1878</v>
      </c>
      <c r="J220" s="51">
        <v>41148</v>
      </c>
      <c r="K220" t="s">
        <v>27</v>
      </c>
      <c r="L220" t="s">
        <v>1870</v>
      </c>
      <c r="M220">
        <v>3</v>
      </c>
      <c r="N220" t="str">
        <f>L220</f>
        <v>NAM\BD5C8</v>
      </c>
      <c r="O220" s="51">
        <f>J220</f>
        <v>41148</v>
      </c>
      <c r="P220" s="51" t="str">
        <f>C220</f>
        <v>~cdd/olddocs/Instructivos/CNWI-PRCS/CNWI-PRCS-0006   Rev. A  Mantenimiento de numeros de parte.docx</v>
      </c>
      <c r="Q220" s="51" t="str">
        <f>E220</f>
        <v>docx</v>
      </c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G220" t="s">
        <v>28</v>
      </c>
      <c r="AH220" s="51"/>
      <c r="AI220" s="51"/>
    </row>
    <row r="221" spans="2:35">
      <c r="B221" t="s">
        <v>1879</v>
      </c>
      <c r="C221" t="s">
        <v>3911</v>
      </c>
      <c r="D221">
        <v>4</v>
      </c>
      <c r="E221" t="s">
        <v>2797</v>
      </c>
      <c r="F221">
        <v>6</v>
      </c>
      <c r="G221">
        <v>15</v>
      </c>
      <c r="I221" t="s">
        <v>1880</v>
      </c>
      <c r="J221" s="51">
        <v>41148</v>
      </c>
      <c r="K221" t="s">
        <v>27</v>
      </c>
      <c r="L221" t="s">
        <v>1870</v>
      </c>
      <c r="M221">
        <v>3</v>
      </c>
      <c r="N221" t="str">
        <f>L221</f>
        <v>NAM\BD5C8</v>
      </c>
      <c r="O221" s="51">
        <f>J221</f>
        <v>41148</v>
      </c>
      <c r="P221" s="51" t="str">
        <f>C221</f>
        <v>~cdd/olddocs/Instructivos/CNWI-PRCS/CNWI-PRCS-0007  Rev. A  Generar orden de Materia Prima.docx</v>
      </c>
      <c r="Q221" s="51" t="str">
        <f>E221</f>
        <v>docx</v>
      </c>
      <c r="R221" s="51"/>
      <c r="S221" s="51"/>
      <c r="T221" s="51"/>
      <c r="U221" s="51"/>
      <c r="V221" s="51"/>
      <c r="W221" s="51"/>
      <c r="X221" s="51"/>
      <c r="Y221" s="51"/>
      <c r="Z221" s="51"/>
      <c r="AA221" s="51"/>
      <c r="AB221" s="51"/>
      <c r="AC221" s="51"/>
      <c r="AD221" s="51"/>
      <c r="AG221" t="s">
        <v>28</v>
      </c>
      <c r="AH221" s="51"/>
      <c r="AI221" s="51"/>
    </row>
    <row r="222" spans="2:35">
      <c r="B222" t="s">
        <v>1881</v>
      </c>
      <c r="C222" t="s">
        <v>3912</v>
      </c>
      <c r="D222">
        <v>4</v>
      </c>
      <c r="E222" t="s">
        <v>2797</v>
      </c>
      <c r="F222">
        <v>6</v>
      </c>
      <c r="G222">
        <v>15</v>
      </c>
      <c r="I222" t="s">
        <v>1882</v>
      </c>
      <c r="J222" s="51">
        <v>41207</v>
      </c>
      <c r="K222" t="s">
        <v>27</v>
      </c>
      <c r="L222" t="s">
        <v>1870</v>
      </c>
      <c r="M222">
        <v>3</v>
      </c>
      <c r="N222" t="str">
        <f>L222</f>
        <v>NAM\BD5C8</v>
      </c>
      <c r="O222" s="51">
        <f>J222</f>
        <v>41207</v>
      </c>
      <c r="P222" s="51" t="str">
        <f>C222</f>
        <v>~cdd/olddocs/Instructivos/CNWI-PRCS/CNWI-PRCS-0008  Rev.A Nogales Inbound Routing Guide - WI.docx</v>
      </c>
      <c r="Q222" s="51" t="str">
        <f>E222</f>
        <v>docx</v>
      </c>
      <c r="R222" s="51"/>
      <c r="S222" s="51"/>
      <c r="T222" s="51"/>
      <c r="U222" s="51"/>
      <c r="V222" s="51"/>
      <c r="W222" s="51"/>
      <c r="X222" s="51"/>
      <c r="Y222" s="51"/>
      <c r="Z222" s="51"/>
      <c r="AA222" s="51"/>
      <c r="AB222" s="51"/>
      <c r="AC222" s="51"/>
      <c r="AD222" s="51"/>
      <c r="AG222" t="s">
        <v>28</v>
      </c>
      <c r="AH222" s="51"/>
      <c r="AI222" s="51"/>
    </row>
    <row r="223" spans="2:35">
      <c r="B223" t="s">
        <v>1479</v>
      </c>
      <c r="C223" t="s">
        <v>3025</v>
      </c>
      <c r="D223">
        <v>5</v>
      </c>
      <c r="E223" t="s">
        <v>2792</v>
      </c>
      <c r="F223">
        <v>6</v>
      </c>
      <c r="G223">
        <v>15</v>
      </c>
      <c r="I223" t="s">
        <v>1480</v>
      </c>
      <c r="J223" s="51">
        <v>40563</v>
      </c>
      <c r="K223" t="s">
        <v>27</v>
      </c>
      <c r="L223" t="s">
        <v>1478</v>
      </c>
      <c r="M223">
        <v>3</v>
      </c>
      <c r="N223" t="str">
        <f>L223</f>
        <v>NAM\DEB51</v>
      </c>
      <c r="O223" s="51">
        <f>J223</f>
        <v>40563</v>
      </c>
      <c r="P223" s="51" t="str">
        <f>C223</f>
        <v>~/cdd/olddocs/Formas/CNWI-PRCS (compras)/CNWI-PRCS-F002 Formato de orden de compra .xls</v>
      </c>
      <c r="Q223" s="51" t="str">
        <f>E223</f>
        <v>xls</v>
      </c>
      <c r="R223" s="51"/>
      <c r="S223" s="51"/>
      <c r="T223" s="51"/>
      <c r="U223" s="51"/>
      <c r="V223" s="51"/>
      <c r="W223" s="51"/>
      <c r="X223" s="51"/>
      <c r="Y223" s="51"/>
      <c r="Z223" s="51"/>
      <c r="AA223" s="51"/>
      <c r="AB223" s="51"/>
      <c r="AC223" s="51"/>
      <c r="AD223" s="51"/>
      <c r="AG223" t="s">
        <v>28</v>
      </c>
      <c r="AH223" s="51"/>
      <c r="AI223" s="51"/>
    </row>
    <row r="224" spans="2:35">
      <c r="B224" t="s">
        <v>1481</v>
      </c>
      <c r="C224" t="s">
        <v>3026</v>
      </c>
      <c r="D224">
        <v>5</v>
      </c>
      <c r="E224" t="s">
        <v>2792</v>
      </c>
      <c r="F224">
        <v>6</v>
      </c>
      <c r="G224">
        <v>15</v>
      </c>
      <c r="I224" t="s">
        <v>1482</v>
      </c>
      <c r="J224" s="51">
        <v>40597</v>
      </c>
      <c r="K224" t="s">
        <v>27</v>
      </c>
      <c r="L224" t="s">
        <v>1478</v>
      </c>
      <c r="M224">
        <v>3</v>
      </c>
      <c r="N224" t="str">
        <f>L224</f>
        <v>NAM\DEB51</v>
      </c>
      <c r="O224" s="51">
        <f>J224</f>
        <v>40597</v>
      </c>
      <c r="P224" s="51" t="str">
        <f>C224</f>
        <v>~/cdd/olddocs/Formas/CNWI-PRCS (compras)/CNWI-PRCS-F003 Formato de Sol  de pago.xls</v>
      </c>
      <c r="Q224" s="51" t="str">
        <f>E224</f>
        <v>xls</v>
      </c>
      <c r="R224" s="51"/>
      <c r="S224" s="51"/>
      <c r="T224" s="51"/>
      <c r="U224" s="51"/>
      <c r="V224" s="51"/>
      <c r="W224" s="51"/>
      <c r="X224" s="51"/>
      <c r="Y224" s="51"/>
      <c r="Z224" s="51"/>
      <c r="AA224" s="51"/>
      <c r="AB224" s="51"/>
      <c r="AC224" s="51"/>
      <c r="AD224" s="51"/>
      <c r="AG224" t="s">
        <v>28</v>
      </c>
      <c r="AH224" s="51"/>
      <c r="AI224" s="51"/>
    </row>
    <row r="225" spans="2:35">
      <c r="B225" t="s">
        <v>1483</v>
      </c>
      <c r="C225" t="s">
        <v>3027</v>
      </c>
      <c r="D225">
        <v>5</v>
      </c>
      <c r="E225" t="s">
        <v>2798</v>
      </c>
      <c r="F225">
        <v>6</v>
      </c>
      <c r="G225">
        <v>15</v>
      </c>
      <c r="I225" t="s">
        <v>1484</v>
      </c>
      <c r="J225" s="51">
        <v>40610</v>
      </c>
      <c r="K225" t="s">
        <v>27</v>
      </c>
      <c r="L225" t="s">
        <v>1478</v>
      </c>
      <c r="M225">
        <v>3</v>
      </c>
      <c r="N225" t="str">
        <f>L225</f>
        <v>NAM\DEB51</v>
      </c>
      <c r="O225" s="51">
        <f>J225</f>
        <v>40610</v>
      </c>
      <c r="P225" s="51" t="str">
        <f>C225</f>
        <v>~/cdd/olddocs/Formas/CNWI-PRCS (compras)/CNWI-PRCS-F004 Alta Proveedores .XLS</v>
      </c>
      <c r="Q225" s="51" t="str">
        <f>E225</f>
        <v>XLS</v>
      </c>
      <c r="R225" s="51"/>
      <c r="S225" s="51"/>
      <c r="T225" s="51"/>
      <c r="U225" s="51"/>
      <c r="V225" s="51"/>
      <c r="W225" s="51"/>
      <c r="X225" s="51"/>
      <c r="Y225" s="51"/>
      <c r="Z225" s="51"/>
      <c r="AA225" s="51"/>
      <c r="AB225" s="51"/>
      <c r="AC225" s="51"/>
      <c r="AD225" s="51"/>
      <c r="AG225" t="s">
        <v>28</v>
      </c>
      <c r="AH225" s="51"/>
      <c r="AI225" s="51"/>
    </row>
    <row r="226" spans="2:35">
      <c r="B226" t="s">
        <v>1485</v>
      </c>
      <c r="C226" t="s">
        <v>3028</v>
      </c>
      <c r="D226">
        <v>5</v>
      </c>
      <c r="E226" t="s">
        <v>2797</v>
      </c>
      <c r="F226">
        <v>6</v>
      </c>
      <c r="G226">
        <v>15</v>
      </c>
      <c r="I226" t="s">
        <v>1486</v>
      </c>
      <c r="J226" s="51">
        <v>40631</v>
      </c>
      <c r="K226" t="s">
        <v>27</v>
      </c>
      <c r="L226" t="s">
        <v>1478</v>
      </c>
      <c r="M226">
        <v>3</v>
      </c>
      <c r="N226" t="str">
        <f>L226</f>
        <v>NAM\DEB51</v>
      </c>
      <c r="O226" s="51">
        <f>J226</f>
        <v>40631</v>
      </c>
      <c r="P226" s="51" t="str">
        <f>C226</f>
        <v>~/cdd/olddocs/Formas/CNWI-PRCS (compras)/CNWI-PRCS-F005 QUALITY CLAUSES.docx</v>
      </c>
      <c r="Q226" s="51" t="str">
        <f>E226</f>
        <v>docx</v>
      </c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G226" t="s">
        <v>28</v>
      </c>
      <c r="AH226" s="51"/>
      <c r="AI226" s="51"/>
    </row>
    <row r="227" spans="2:35">
      <c r="B227" t="s">
        <v>1487</v>
      </c>
      <c r="C227" t="s">
        <v>3029</v>
      </c>
      <c r="D227">
        <v>5</v>
      </c>
      <c r="E227" t="s">
        <v>2792</v>
      </c>
      <c r="F227">
        <v>6</v>
      </c>
      <c r="G227">
        <v>15</v>
      </c>
      <c r="I227" t="s">
        <v>1488</v>
      </c>
      <c r="J227" s="51">
        <v>40658</v>
      </c>
      <c r="K227" t="s">
        <v>27</v>
      </c>
      <c r="L227" t="s">
        <v>1478</v>
      </c>
      <c r="M227">
        <v>3</v>
      </c>
      <c r="N227" t="str">
        <f>L227</f>
        <v>NAM\DEB51</v>
      </c>
      <c r="O227" s="51">
        <f>J227</f>
        <v>40658</v>
      </c>
      <c r="P227" s="51" t="str">
        <f>C227</f>
        <v>~/cdd/olddocs/Formas/CNWI-PRCS (compras)/CNWI-PRCS-F006 Vendors autorizados.xls</v>
      </c>
      <c r="Q227" s="51" t="str">
        <f>E227</f>
        <v>xls</v>
      </c>
      <c r="R227" s="51"/>
      <c r="S227" s="51"/>
      <c r="T227" s="51"/>
      <c r="U227" s="51"/>
      <c r="V227" s="51"/>
      <c r="W227" s="51"/>
      <c r="X227" s="51"/>
      <c r="Y227" s="51"/>
      <c r="Z227" s="51"/>
      <c r="AA227" s="51"/>
      <c r="AB227" s="51"/>
      <c r="AC227" s="51"/>
      <c r="AD227" s="51"/>
      <c r="AG227" t="s">
        <v>28</v>
      </c>
      <c r="AH227" s="51"/>
      <c r="AI227" s="51"/>
    </row>
    <row r="228" spans="2:35">
      <c r="B228" t="s">
        <v>1489</v>
      </c>
      <c r="C228" t="s">
        <v>3030</v>
      </c>
      <c r="D228">
        <v>5</v>
      </c>
      <c r="E228" t="s">
        <v>2791</v>
      </c>
      <c r="F228">
        <v>6</v>
      </c>
      <c r="G228">
        <v>15</v>
      </c>
      <c r="I228" t="s">
        <v>1490</v>
      </c>
      <c r="J228" s="51">
        <v>40631</v>
      </c>
      <c r="K228" t="s">
        <v>27</v>
      </c>
      <c r="L228" t="s">
        <v>1478</v>
      </c>
      <c r="M228">
        <v>3</v>
      </c>
      <c r="N228" t="str">
        <f>L228</f>
        <v>NAM\DEB51</v>
      </c>
      <c r="O228" s="51">
        <f>J228</f>
        <v>40631</v>
      </c>
      <c r="P228" s="51" t="str">
        <f>C228</f>
        <v>~/cdd/olddocs/Formas/CNWI-PRCS (compras)/CNWI-PRCS-F007 Proveedores Aprovados MRO.pdf</v>
      </c>
      <c r="Q228" s="51" t="str">
        <f>E228</f>
        <v>pdf</v>
      </c>
      <c r="R228" s="51"/>
      <c r="S228" s="51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  <c r="AG228" t="s">
        <v>28</v>
      </c>
      <c r="AH228" s="51"/>
      <c r="AI228" s="51"/>
    </row>
    <row r="229" spans="2:35">
      <c r="B229" t="s">
        <v>1491</v>
      </c>
      <c r="C229" t="s">
        <v>3031</v>
      </c>
      <c r="D229">
        <v>5</v>
      </c>
      <c r="E229" t="s">
        <v>2792</v>
      </c>
      <c r="F229">
        <v>6</v>
      </c>
      <c r="G229">
        <v>15</v>
      </c>
      <c r="I229" t="s">
        <v>1492</v>
      </c>
      <c r="J229" s="51">
        <v>40940</v>
      </c>
      <c r="K229" t="s">
        <v>27</v>
      </c>
      <c r="L229" t="s">
        <v>1478</v>
      </c>
      <c r="M229">
        <v>3</v>
      </c>
      <c r="N229" t="str">
        <f>L229</f>
        <v>NAM\DEB51</v>
      </c>
      <c r="O229" s="51">
        <f>J229</f>
        <v>40940</v>
      </c>
      <c r="P229" s="51" t="str">
        <f>C229</f>
        <v>~/cdd/olddocs/Formas/CNWI-PRCS (compras)/CNWI-PRCS-F008 Evaluacion de Proveedores MRO.xls</v>
      </c>
      <c r="Q229" s="51" t="str">
        <f>E229</f>
        <v>xls</v>
      </c>
      <c r="R229" s="51"/>
      <c r="S229" s="51"/>
      <c r="T229" s="51"/>
      <c r="U229" s="51"/>
      <c r="V229" s="51"/>
      <c r="W229" s="51"/>
      <c r="X229" s="51"/>
      <c r="Y229" s="51"/>
      <c r="Z229" s="51"/>
      <c r="AA229" s="51"/>
      <c r="AB229" s="51"/>
      <c r="AC229" s="51"/>
      <c r="AD229" s="51"/>
      <c r="AG229" t="s">
        <v>28</v>
      </c>
      <c r="AH229" s="51"/>
      <c r="AI229" s="51"/>
    </row>
    <row r="230" spans="2:35">
      <c r="B230" t="s">
        <v>1493</v>
      </c>
      <c r="C230" t="s">
        <v>3032</v>
      </c>
      <c r="D230">
        <v>5</v>
      </c>
      <c r="E230" t="s">
        <v>2792</v>
      </c>
      <c r="F230">
        <v>6</v>
      </c>
      <c r="G230">
        <v>15</v>
      </c>
      <c r="I230" t="s">
        <v>1494</v>
      </c>
      <c r="J230" s="51">
        <v>40940</v>
      </c>
      <c r="K230" t="s">
        <v>27</v>
      </c>
      <c r="L230" t="s">
        <v>1478</v>
      </c>
      <c r="M230">
        <v>3</v>
      </c>
      <c r="N230" t="str">
        <f>L230</f>
        <v>NAM\DEB51</v>
      </c>
      <c r="O230" s="51">
        <f>J230</f>
        <v>40940</v>
      </c>
      <c r="P230" s="51" t="str">
        <f>C230</f>
        <v>~/cdd/olddocs/Formas/CNWI-PRCS (compras)/CNWI-PRCS-F009 Listado de evaluacion de proveedores MRO.xls</v>
      </c>
      <c r="Q230" s="51" t="str">
        <f>E230</f>
        <v>xls</v>
      </c>
      <c r="R230" s="51"/>
      <c r="S230" s="51"/>
      <c r="T230" s="51"/>
      <c r="U230" s="51"/>
      <c r="V230" s="51"/>
      <c r="W230" s="51"/>
      <c r="X230" s="51"/>
      <c r="Y230" s="51"/>
      <c r="Z230" s="51"/>
      <c r="AA230" s="51"/>
      <c r="AB230" s="51"/>
      <c r="AC230" s="51"/>
      <c r="AD230" s="51"/>
      <c r="AG230" t="s">
        <v>28</v>
      </c>
      <c r="AH230" s="51"/>
      <c r="AI230" s="51"/>
    </row>
    <row r="231" spans="2:35">
      <c r="B231" t="s">
        <v>1495</v>
      </c>
      <c r="C231" t="s">
        <v>3033</v>
      </c>
      <c r="D231">
        <v>5</v>
      </c>
      <c r="E231" t="s">
        <v>2792</v>
      </c>
      <c r="F231">
        <v>6</v>
      </c>
      <c r="G231">
        <v>15</v>
      </c>
      <c r="I231" t="s">
        <v>1496</v>
      </c>
      <c r="J231" s="51">
        <v>40813</v>
      </c>
      <c r="K231" t="s">
        <v>27</v>
      </c>
      <c r="L231" t="s">
        <v>1478</v>
      </c>
      <c r="M231">
        <v>3</v>
      </c>
      <c r="N231" t="str">
        <f>L231</f>
        <v>NAM\DEB51</v>
      </c>
      <c r="O231" s="51">
        <f>J231</f>
        <v>40813</v>
      </c>
      <c r="P231" s="51" t="str">
        <f>C231</f>
        <v>~/cdd/olddocs/Formas/CNWI-PRCS (compras)/CNWI-PRCS-F010  Inventory Approval Process.xls</v>
      </c>
      <c r="Q231" s="51" t="str">
        <f>E231</f>
        <v>xls</v>
      </c>
      <c r="R231" s="51"/>
      <c r="S231" s="51"/>
      <c r="T231" s="51"/>
      <c r="U231" s="51"/>
      <c r="V231" s="51"/>
      <c r="W231" s="51"/>
      <c r="X231" s="51"/>
      <c r="Y231" s="51"/>
      <c r="Z231" s="51"/>
      <c r="AA231" s="51"/>
      <c r="AB231" s="51"/>
      <c r="AC231" s="51"/>
      <c r="AD231" s="51"/>
      <c r="AG231" t="s">
        <v>28</v>
      </c>
      <c r="AH231" s="51"/>
      <c r="AI231" s="51"/>
    </row>
    <row r="232" spans="2:35">
      <c r="B232" t="s">
        <v>2324</v>
      </c>
      <c r="C232" t="s">
        <v>3034</v>
      </c>
      <c r="D232">
        <v>5</v>
      </c>
      <c r="E232" t="s">
        <v>2792</v>
      </c>
      <c r="F232">
        <v>5</v>
      </c>
      <c r="I232" t="s">
        <v>2326</v>
      </c>
      <c r="J232" s="51">
        <v>41053</v>
      </c>
      <c r="K232" t="s">
        <v>38</v>
      </c>
      <c r="L232" t="s">
        <v>2284</v>
      </c>
      <c r="M232">
        <v>3</v>
      </c>
      <c r="N232" t="str">
        <f>L232</f>
        <v>NAM\MA6689</v>
      </c>
      <c r="O232" s="51">
        <f>J232</f>
        <v>41053</v>
      </c>
      <c r="P232" s="51" t="str">
        <f>C232</f>
        <v>~/cdd/olddocs/Formas/CNWI-PROD ( Produccion )/CNWI-PROD-F001 Curado de partes de Horneado.xls</v>
      </c>
      <c r="Q232" s="51" t="str">
        <f>E232</f>
        <v>xls</v>
      </c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G232" t="s">
        <v>28</v>
      </c>
      <c r="AH232" s="51"/>
      <c r="AI232" s="51"/>
    </row>
    <row r="233" spans="2:35">
      <c r="B233" t="s">
        <v>2327</v>
      </c>
      <c r="C233" t="s">
        <v>3036</v>
      </c>
      <c r="D233">
        <v>5</v>
      </c>
      <c r="E233" t="s">
        <v>2792</v>
      </c>
      <c r="F233">
        <v>5</v>
      </c>
      <c r="I233" t="s">
        <v>2328</v>
      </c>
      <c r="J233" s="51">
        <v>40645</v>
      </c>
      <c r="K233" t="s">
        <v>27</v>
      </c>
      <c r="L233" t="s">
        <v>2284</v>
      </c>
      <c r="M233">
        <v>3</v>
      </c>
      <c r="N233" t="str">
        <f>L233</f>
        <v>NAM\MA6689</v>
      </c>
      <c r="O233" s="51">
        <f>J233</f>
        <v>40645</v>
      </c>
      <c r="P233" s="51" t="str">
        <f>C233</f>
        <v>~/cdd/olddocs/Formas/CNWI-PROD ( Produccion )/CNWI-PROD-F002 ETIQUETA ITRON .xls</v>
      </c>
      <c r="Q233" s="51" t="str">
        <f>E233</f>
        <v>xls</v>
      </c>
      <c r="R233" s="51"/>
      <c r="S233" s="51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  <c r="AG233" t="s">
        <v>28</v>
      </c>
      <c r="AH233" s="51"/>
      <c r="AI233" s="51"/>
    </row>
    <row r="234" spans="2:35">
      <c r="B234" t="s">
        <v>2329</v>
      </c>
      <c r="C234" t="s">
        <v>3037</v>
      </c>
      <c r="D234">
        <v>5</v>
      </c>
      <c r="E234" t="s">
        <v>2792</v>
      </c>
      <c r="F234">
        <v>5</v>
      </c>
      <c r="I234" t="s">
        <v>2330</v>
      </c>
      <c r="J234" s="51">
        <v>40645</v>
      </c>
      <c r="K234" t="s">
        <v>27</v>
      </c>
      <c r="L234" t="s">
        <v>2284</v>
      </c>
      <c r="M234">
        <v>3</v>
      </c>
      <c r="N234" t="str">
        <f>L234</f>
        <v>NAM\MA6689</v>
      </c>
      <c r="O234" s="51">
        <f>J234</f>
        <v>40645</v>
      </c>
      <c r="P234" s="51" t="str">
        <f>C234</f>
        <v>~/cdd/olddocs/Formas/CNWI-PROD ( Produccion )/CNWI-PROD-F003 ETIQUETAS AMSAFE.xls</v>
      </c>
      <c r="Q234" s="51" t="str">
        <f>E234</f>
        <v>xls</v>
      </c>
      <c r="R234" s="51"/>
      <c r="S234" s="51"/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  <c r="AG234" t="s">
        <v>28</v>
      </c>
      <c r="AH234" s="51"/>
      <c r="AI234" s="51"/>
    </row>
    <row r="235" spans="2:35">
      <c r="B235" t="s">
        <v>2331</v>
      </c>
      <c r="C235" t="s">
        <v>3038</v>
      </c>
      <c r="D235">
        <v>5</v>
      </c>
      <c r="E235" t="s">
        <v>2794</v>
      </c>
      <c r="F235">
        <v>5</v>
      </c>
      <c r="I235" t="s">
        <v>2332</v>
      </c>
      <c r="J235" s="51">
        <v>40651</v>
      </c>
      <c r="K235" t="s">
        <v>27</v>
      </c>
      <c r="L235" t="s">
        <v>2284</v>
      </c>
      <c r="M235">
        <v>3</v>
      </c>
      <c r="N235" t="str">
        <f>L235</f>
        <v>NAM\MA6689</v>
      </c>
      <c r="O235" s="51">
        <f>J235</f>
        <v>40651</v>
      </c>
      <c r="P235" s="51" t="str">
        <f>C235</f>
        <v>~/cdd/olddocs/Formas/CNWI-PROD ( Produccion )/CNWI-PROD-F004 lot control traveler.doc</v>
      </c>
      <c r="Q235" s="51" t="str">
        <f>E235</f>
        <v>doc</v>
      </c>
      <c r="R235" s="51"/>
      <c r="S235" s="51"/>
      <c r="T235" s="51"/>
      <c r="U235" s="51"/>
      <c r="V235" s="51"/>
      <c r="W235" s="51"/>
      <c r="X235" s="51"/>
      <c r="Y235" s="51"/>
      <c r="Z235" s="51"/>
      <c r="AA235" s="51"/>
      <c r="AB235" s="51"/>
      <c r="AC235" s="51"/>
      <c r="AD235" s="51"/>
      <c r="AG235" t="s">
        <v>28</v>
      </c>
      <c r="AH235" s="51"/>
      <c r="AI235" s="51"/>
    </row>
    <row r="236" spans="2:35">
      <c r="B236" t="s">
        <v>2333</v>
      </c>
      <c r="C236" t="s">
        <v>3039</v>
      </c>
      <c r="D236">
        <v>5</v>
      </c>
      <c r="E236" t="s">
        <v>2792</v>
      </c>
      <c r="F236">
        <v>5</v>
      </c>
      <c r="I236" t="s">
        <v>2334</v>
      </c>
      <c r="J236" s="51" t="s">
        <v>503</v>
      </c>
      <c r="K236" t="s">
        <v>46</v>
      </c>
      <c r="L236" t="s">
        <v>2284</v>
      </c>
      <c r="M236">
        <v>3</v>
      </c>
      <c r="N236" t="str">
        <f>L236</f>
        <v>NAM\MA6689</v>
      </c>
      <c r="O236" s="51" t="str">
        <f>J236</f>
        <v>04/21/2011</v>
      </c>
      <c r="P236" s="51" t="str">
        <f>C236</f>
        <v>~/cdd/olddocs/Formas/CNWI-PROD ( Produccion )/CNWI-PROD-F005 Wire pro viking division.xls</v>
      </c>
      <c r="Q236" s="51" t="str">
        <f>E236</f>
        <v>xls</v>
      </c>
      <c r="R236" s="51"/>
      <c r="S236" s="51"/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51"/>
      <c r="AG236" t="s">
        <v>28</v>
      </c>
      <c r="AH236" s="51"/>
      <c r="AI236" s="51"/>
    </row>
    <row r="237" spans="2:35">
      <c r="B237" t="s">
        <v>2335</v>
      </c>
      <c r="C237" t="s">
        <v>3040</v>
      </c>
      <c r="D237">
        <v>5</v>
      </c>
      <c r="E237" t="s">
        <v>2792</v>
      </c>
      <c r="F237">
        <v>5</v>
      </c>
      <c r="I237" t="s">
        <v>2336</v>
      </c>
      <c r="J237" s="51">
        <v>41057</v>
      </c>
      <c r="K237" t="s">
        <v>159</v>
      </c>
      <c r="L237" t="s">
        <v>2284</v>
      </c>
      <c r="M237">
        <v>3</v>
      </c>
      <c r="N237" t="str">
        <f>L237</f>
        <v>NAM\MA6689</v>
      </c>
      <c r="O237" s="51">
        <f>J237</f>
        <v>41057</v>
      </c>
      <c r="P237" s="51" t="str">
        <f>C237</f>
        <v>~/cdd/olddocs/Formas/CNWI-PROD ( Produccion )/CNWI-PROD-F006 Temperatura y tiempos de curado.xls</v>
      </c>
      <c r="Q237" s="51" t="str">
        <f>E237</f>
        <v>xls</v>
      </c>
      <c r="R237" s="51"/>
      <c r="S237" s="51"/>
      <c r="T237" s="51"/>
      <c r="U237" s="51"/>
      <c r="V237" s="51"/>
      <c r="W237" s="51"/>
      <c r="X237" s="51"/>
      <c r="Y237" s="51"/>
      <c r="Z237" s="51"/>
      <c r="AA237" s="51"/>
      <c r="AB237" s="51"/>
      <c r="AC237" s="51"/>
      <c r="AD237" s="51"/>
      <c r="AG237" t="s">
        <v>28</v>
      </c>
      <c r="AH237" s="51"/>
      <c r="AI237" s="51"/>
    </row>
    <row r="238" spans="2:35">
      <c r="B238" t="s">
        <v>2337</v>
      </c>
      <c r="C238" t="s">
        <v>3041</v>
      </c>
      <c r="D238">
        <v>5</v>
      </c>
      <c r="E238" t="s">
        <v>2792</v>
      </c>
      <c r="F238">
        <v>5</v>
      </c>
      <c r="I238" t="s">
        <v>2338</v>
      </c>
      <c r="J238" s="51" t="s">
        <v>573</v>
      </c>
      <c r="K238" t="s">
        <v>27</v>
      </c>
      <c r="L238" t="s">
        <v>2284</v>
      </c>
      <c r="M238">
        <v>3</v>
      </c>
      <c r="N238" t="str">
        <f>L238</f>
        <v>NAM\MA6689</v>
      </c>
      <c r="O238" s="51" t="str">
        <f>J238</f>
        <v>04/25/2011</v>
      </c>
      <c r="P238" s="51" t="str">
        <f>C238</f>
        <v>~/cdd/olddocs/Formas/CNWI-PROD ( Produccion )/CNWI-PROD-F007 Temperaturas de moldeado.xls</v>
      </c>
      <c r="Q238" s="51" t="str">
        <f>E238</f>
        <v>xls</v>
      </c>
      <c r="R238" s="51"/>
      <c r="S238" s="51"/>
      <c r="T238" s="51"/>
      <c r="U238" s="51"/>
      <c r="V238" s="51"/>
      <c r="W238" s="51"/>
      <c r="X238" s="51"/>
      <c r="Y238" s="51"/>
      <c r="Z238" s="51"/>
      <c r="AA238" s="51"/>
      <c r="AB238" s="51"/>
      <c r="AC238" s="51"/>
      <c r="AD238" s="51"/>
      <c r="AG238" t="s">
        <v>28</v>
      </c>
      <c r="AH238" s="51"/>
      <c r="AI238" s="51"/>
    </row>
    <row r="239" spans="2:35">
      <c r="B239" t="s">
        <v>2339</v>
      </c>
      <c r="C239" t="s">
        <v>3042</v>
      </c>
      <c r="D239">
        <v>5</v>
      </c>
      <c r="E239" t="s">
        <v>2792</v>
      </c>
      <c r="F239">
        <v>5</v>
      </c>
      <c r="I239" t="s">
        <v>2340</v>
      </c>
      <c r="J239" s="51">
        <v>40668</v>
      </c>
      <c r="K239" t="s">
        <v>27</v>
      </c>
      <c r="L239" t="s">
        <v>2284</v>
      </c>
      <c r="M239">
        <v>3</v>
      </c>
      <c r="N239" t="str">
        <f>L239</f>
        <v>NAM\MA6689</v>
      </c>
      <c r="O239" s="51">
        <f>J239</f>
        <v>40668</v>
      </c>
      <c r="P239" s="51" t="str">
        <f>C239</f>
        <v>~/cdd/olddocs/Formas/CNWI-PROD ( Produccion )/CNWI-PROD-F008 ETIQUETA bacc`s.xls</v>
      </c>
      <c r="Q239" s="51" t="str">
        <f>E239</f>
        <v>xls</v>
      </c>
      <c r="R239" s="51"/>
      <c r="S239" s="51"/>
      <c r="T239" s="51"/>
      <c r="U239" s="51"/>
      <c r="V239" s="51"/>
      <c r="W239" s="51"/>
      <c r="X239" s="51"/>
      <c r="Y239" s="51"/>
      <c r="Z239" s="51"/>
      <c r="AA239" s="51"/>
      <c r="AB239" s="51"/>
      <c r="AC239" s="51"/>
      <c r="AD239" s="51"/>
      <c r="AG239" t="s">
        <v>28</v>
      </c>
      <c r="AH239" s="51"/>
      <c r="AI239" s="51"/>
    </row>
    <row r="240" spans="2:35">
      <c r="B240" t="s">
        <v>2341</v>
      </c>
      <c r="C240" t="s">
        <v>3043</v>
      </c>
      <c r="D240">
        <v>5</v>
      </c>
      <c r="E240" t="s">
        <v>2792</v>
      </c>
      <c r="F240">
        <v>5</v>
      </c>
      <c r="I240" t="s">
        <v>2342</v>
      </c>
      <c r="J240" s="51">
        <v>40668</v>
      </c>
      <c r="K240" t="s">
        <v>27</v>
      </c>
      <c r="L240" t="s">
        <v>2284</v>
      </c>
      <c r="M240">
        <v>3</v>
      </c>
      <c r="N240" t="str">
        <f>L240</f>
        <v>NAM\MA6689</v>
      </c>
      <c r="O240" s="51">
        <f>J240</f>
        <v>40668</v>
      </c>
      <c r="P240" s="51" t="str">
        <f>C240</f>
        <v>~/cdd/olddocs/Formas/CNWI-PROD ( Produccion )/CNWI-PROD-F009 Etiqueta bacc´s 1.xls</v>
      </c>
      <c r="Q240" s="51" t="str">
        <f>E240</f>
        <v>xls</v>
      </c>
      <c r="R240" s="51"/>
      <c r="S240" s="51"/>
      <c r="T240" s="51"/>
      <c r="U240" s="51"/>
      <c r="V240" s="51"/>
      <c r="W240" s="51"/>
      <c r="X240" s="51"/>
      <c r="Y240" s="51"/>
      <c r="Z240" s="51"/>
      <c r="AA240" s="51"/>
      <c r="AB240" s="51"/>
      <c r="AC240" s="51"/>
      <c r="AD240" s="51"/>
      <c r="AG240" t="s">
        <v>28</v>
      </c>
      <c r="AH240" s="51"/>
      <c r="AI240" s="51"/>
    </row>
    <row r="241" spans="2:35">
      <c r="B241" t="s">
        <v>2343</v>
      </c>
      <c r="C241" t="s">
        <v>3044</v>
      </c>
      <c r="D241">
        <v>5</v>
      </c>
      <c r="E241" t="s">
        <v>2792</v>
      </c>
      <c r="F241">
        <v>5</v>
      </c>
      <c r="I241" t="s">
        <v>2344</v>
      </c>
      <c r="J241" s="51">
        <v>40668</v>
      </c>
      <c r="K241" t="s">
        <v>27</v>
      </c>
      <c r="L241" t="s">
        <v>2284</v>
      </c>
      <c r="M241">
        <v>3</v>
      </c>
      <c r="N241" t="str">
        <f>L241</f>
        <v>NAM\MA6689</v>
      </c>
      <c r="O241" s="51">
        <f>J241</f>
        <v>40668</v>
      </c>
      <c r="P241" s="51" t="str">
        <f>C241</f>
        <v>~/cdd/olddocs/Formas/CNWI-PROD ( Produccion )/CNWI-PROD-F010 ETIQUETA CONTACTO.xls</v>
      </c>
      <c r="Q241" s="51" t="str">
        <f>E241</f>
        <v>xls</v>
      </c>
      <c r="R241" s="51"/>
      <c r="S241" s="51"/>
      <c r="T241" s="51"/>
      <c r="U241" s="51"/>
      <c r="V241" s="51"/>
      <c r="W241" s="51"/>
      <c r="X241" s="51"/>
      <c r="Y241" s="51"/>
      <c r="Z241" s="51"/>
      <c r="AA241" s="51"/>
      <c r="AB241" s="51"/>
      <c r="AC241" s="51"/>
      <c r="AD241" s="51"/>
      <c r="AG241" t="s">
        <v>28</v>
      </c>
      <c r="AH241" s="51"/>
      <c r="AI241" s="51"/>
    </row>
    <row r="242" spans="2:35">
      <c r="B242" t="s">
        <v>2345</v>
      </c>
      <c r="C242" t="s">
        <v>3045</v>
      </c>
      <c r="D242">
        <v>5</v>
      </c>
      <c r="E242" t="s">
        <v>2792</v>
      </c>
      <c r="F242">
        <v>5</v>
      </c>
      <c r="I242" t="s">
        <v>2346</v>
      </c>
      <c r="J242" s="51">
        <v>40668</v>
      </c>
      <c r="K242" t="s">
        <v>27</v>
      </c>
      <c r="L242" t="s">
        <v>2284</v>
      </c>
      <c r="M242">
        <v>3</v>
      </c>
      <c r="N242" t="str">
        <f>L242</f>
        <v>NAM\MA6689</v>
      </c>
      <c r="O242" s="51">
        <f>J242</f>
        <v>40668</v>
      </c>
      <c r="P242" s="51" t="str">
        <f>C242</f>
        <v>~/cdd/olddocs/Formas/CNWI-PROD ( Produccion )/CNWI-PROD-F011 Etiqueta lighting 2370.xls</v>
      </c>
      <c r="Q242" s="51" t="str">
        <f>E242</f>
        <v>xls</v>
      </c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/>
      <c r="AC242" s="51"/>
      <c r="AD242" s="51"/>
      <c r="AG242" t="s">
        <v>28</v>
      </c>
      <c r="AH242" s="51"/>
      <c r="AI242" s="51"/>
    </row>
    <row r="243" spans="2:35">
      <c r="B243" t="s">
        <v>2347</v>
      </c>
      <c r="C243" t="s">
        <v>3046</v>
      </c>
      <c r="D243">
        <v>5</v>
      </c>
      <c r="E243" t="s">
        <v>2790</v>
      </c>
      <c r="F243">
        <v>5</v>
      </c>
      <c r="I243" t="s">
        <v>2348</v>
      </c>
      <c r="J243" s="51">
        <v>40668</v>
      </c>
      <c r="K243" t="s">
        <v>46</v>
      </c>
      <c r="L243" t="s">
        <v>2284</v>
      </c>
      <c r="M243">
        <v>3</v>
      </c>
      <c r="N243" t="str">
        <f>L243</f>
        <v>NAM\MA6689</v>
      </c>
      <c r="O243" s="51">
        <f>J243</f>
        <v>40668</v>
      </c>
      <c r="P243" s="51" t="str">
        <f>C243</f>
        <v>~/cdd/olddocs/Formas/CNWI-PROD ( Produccion )/CNWI-PROD-F012 Etiqueta lighting 3004.xlsx</v>
      </c>
      <c r="Q243" s="51" t="str">
        <f>E243</f>
        <v>xlsx</v>
      </c>
      <c r="R243" s="51"/>
      <c r="S243" s="51"/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  <c r="AG243" t="s">
        <v>28</v>
      </c>
      <c r="AH243" s="51"/>
      <c r="AI243" s="51"/>
    </row>
    <row r="244" spans="2:35">
      <c r="B244" t="s">
        <v>2349</v>
      </c>
      <c r="C244" t="s">
        <v>3047</v>
      </c>
      <c r="D244">
        <v>5</v>
      </c>
      <c r="E244" t="s">
        <v>2792</v>
      </c>
      <c r="F244">
        <v>5</v>
      </c>
      <c r="I244" t="s">
        <v>2350</v>
      </c>
      <c r="J244" s="51">
        <v>40668</v>
      </c>
      <c r="K244" t="s">
        <v>46</v>
      </c>
      <c r="L244" t="s">
        <v>2284</v>
      </c>
      <c r="M244">
        <v>3</v>
      </c>
      <c r="N244" t="str">
        <f>L244</f>
        <v>NAM\MA6689</v>
      </c>
      <c r="O244" s="51">
        <f>J244</f>
        <v>40668</v>
      </c>
      <c r="P244" s="51" t="str">
        <f>C244</f>
        <v>~/cdd/olddocs/Formas/CNWI-PROD ( Produccion )/CNWI-PROD-F013 Etiqueta macdonalds.xls</v>
      </c>
      <c r="Q244" s="51" t="str">
        <f>E244</f>
        <v>xls</v>
      </c>
      <c r="R244" s="51"/>
      <c r="S244" s="51"/>
      <c r="T244" s="51"/>
      <c r="U244" s="51"/>
      <c r="V244" s="51"/>
      <c r="W244" s="51"/>
      <c r="X244" s="51"/>
      <c r="Y244" s="51"/>
      <c r="Z244" s="51"/>
      <c r="AA244" s="51"/>
      <c r="AB244" s="51"/>
      <c r="AC244" s="51"/>
      <c r="AD244" s="51"/>
      <c r="AG244" t="s">
        <v>28</v>
      </c>
      <c r="AH244" s="51"/>
      <c r="AI244" s="51"/>
    </row>
    <row r="245" spans="2:35">
      <c r="B245" t="s">
        <v>2351</v>
      </c>
      <c r="C245" t="s">
        <v>3048</v>
      </c>
      <c r="D245">
        <v>5</v>
      </c>
      <c r="E245" t="s">
        <v>2792</v>
      </c>
      <c r="F245">
        <v>5</v>
      </c>
      <c r="I245" t="s">
        <v>2352</v>
      </c>
      <c r="J245" s="51">
        <v>40668</v>
      </c>
      <c r="K245" t="s">
        <v>46</v>
      </c>
      <c r="L245" t="s">
        <v>2284</v>
      </c>
      <c r="M245">
        <v>3</v>
      </c>
      <c r="N245" t="str">
        <f>L245</f>
        <v>NAM\MA6689</v>
      </c>
      <c r="O245" s="51">
        <f>J245</f>
        <v>40668</v>
      </c>
      <c r="P245" s="51" t="str">
        <f>C245</f>
        <v>~/cdd/olddocs/Formas/CNWI-PROD ( Produccion )/CNWI-PROD-F014 Etiqueta relays.xls</v>
      </c>
      <c r="Q245" s="51" t="str">
        <f>E245</f>
        <v>xls</v>
      </c>
      <c r="R245" s="51"/>
      <c r="S245" s="51"/>
      <c r="T245" s="51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  <c r="AG245" t="s">
        <v>28</v>
      </c>
      <c r="AH245" s="51"/>
      <c r="AI245" s="51"/>
    </row>
    <row r="246" spans="2:35">
      <c r="B246" t="s">
        <v>2353</v>
      </c>
      <c r="C246" t="s">
        <v>3035</v>
      </c>
      <c r="D246">
        <v>5</v>
      </c>
      <c r="E246" t="s">
        <v>2792</v>
      </c>
      <c r="F246">
        <v>5</v>
      </c>
      <c r="I246" t="s">
        <v>2354</v>
      </c>
      <c r="J246" s="51">
        <v>40668</v>
      </c>
      <c r="K246" t="s">
        <v>46</v>
      </c>
      <c r="L246" t="s">
        <v>2284</v>
      </c>
      <c r="M246">
        <v>3</v>
      </c>
      <c r="N246" t="str">
        <f>L246</f>
        <v>NAM\MA6689</v>
      </c>
      <c r="O246" s="51">
        <f>J246</f>
        <v>40668</v>
      </c>
      <c r="P246" s="51" t="str">
        <f>C246</f>
        <v>~/cdd/olddocs/Formas/CNWI-PROD ( Produccion )/CNWI-PROD-F0015 Etiqueta relays1.xls</v>
      </c>
      <c r="Q246" s="51" t="str">
        <f>E246</f>
        <v>xls</v>
      </c>
      <c r="R246" s="51"/>
      <c r="S246" s="51"/>
      <c r="T246" s="51"/>
      <c r="U246" s="51"/>
      <c r="V246" s="51"/>
      <c r="W246" s="51"/>
      <c r="X246" s="51"/>
      <c r="Y246" s="51"/>
      <c r="Z246" s="51"/>
      <c r="AA246" s="51"/>
      <c r="AB246" s="51"/>
      <c r="AC246" s="51"/>
      <c r="AD246" s="51"/>
      <c r="AG246" t="s">
        <v>28</v>
      </c>
      <c r="AH246" s="51"/>
      <c r="AI246" s="51"/>
    </row>
    <row r="247" spans="2:35">
      <c r="B247" t="s">
        <v>2355</v>
      </c>
      <c r="C247" t="s">
        <v>3049</v>
      </c>
      <c r="D247">
        <v>5</v>
      </c>
      <c r="E247" t="s">
        <v>2792</v>
      </c>
      <c r="F247">
        <v>5</v>
      </c>
      <c r="I247" t="s">
        <v>2356</v>
      </c>
      <c r="J247" s="51">
        <v>40668</v>
      </c>
      <c r="K247" t="s">
        <v>46</v>
      </c>
      <c r="L247" t="s">
        <v>2284</v>
      </c>
      <c r="M247">
        <v>3</v>
      </c>
      <c r="N247" t="str">
        <f>L247</f>
        <v>NAM\MA6689</v>
      </c>
      <c r="O247" s="51">
        <f>J247</f>
        <v>40668</v>
      </c>
      <c r="P247" s="51" t="str">
        <f>C247</f>
        <v>~/cdd/olddocs/Formas/CNWI-PROD ( Produccion )/CNWI-PROD-F016 Etiqueta relays 2.xls</v>
      </c>
      <c r="Q247" s="51" t="str">
        <f>E247</f>
        <v>xls</v>
      </c>
      <c r="R247" s="51"/>
      <c r="S247" s="51"/>
      <c r="T247" s="51"/>
      <c r="U247" s="51"/>
      <c r="V247" s="51"/>
      <c r="W247" s="51"/>
      <c r="X247" s="51"/>
      <c r="Y247" s="51"/>
      <c r="Z247" s="51"/>
      <c r="AA247" s="51"/>
      <c r="AB247" s="51"/>
      <c r="AC247" s="51"/>
      <c r="AD247" s="51"/>
      <c r="AG247" t="s">
        <v>28</v>
      </c>
      <c r="AH247" s="51"/>
      <c r="AI247" s="51"/>
    </row>
    <row r="248" spans="2:35">
      <c r="B248" t="s">
        <v>2357</v>
      </c>
      <c r="C248" t="s">
        <v>3050</v>
      </c>
      <c r="D248">
        <v>5</v>
      </c>
      <c r="E248" t="s">
        <v>2792</v>
      </c>
      <c r="F248">
        <v>5</v>
      </c>
      <c r="I248" t="s">
        <v>2358</v>
      </c>
      <c r="J248" s="51">
        <v>40668</v>
      </c>
      <c r="K248" t="s">
        <v>46</v>
      </c>
      <c r="L248" t="s">
        <v>2284</v>
      </c>
      <c r="M248">
        <v>3</v>
      </c>
      <c r="N248" t="str">
        <f>L248</f>
        <v>NAM\MA6689</v>
      </c>
      <c r="O248" s="51">
        <f>J248</f>
        <v>40668</v>
      </c>
      <c r="P248" s="51" t="str">
        <f>C248</f>
        <v>~/cdd/olddocs/Formas/CNWI-PROD ( Produccion )/CNWI-PROD-F017 Etiqueta relays 3.xls</v>
      </c>
      <c r="Q248" s="51" t="str">
        <f>E248</f>
        <v>xls</v>
      </c>
      <c r="R248" s="51"/>
      <c r="S248" s="51"/>
      <c r="T248" s="51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  <c r="AG248" t="s">
        <v>28</v>
      </c>
      <c r="AH248" s="51"/>
      <c r="AI248" s="51"/>
    </row>
    <row r="249" spans="2:35">
      <c r="B249" t="s">
        <v>2359</v>
      </c>
      <c r="C249" t="s">
        <v>3051</v>
      </c>
      <c r="D249">
        <v>5</v>
      </c>
      <c r="E249" t="s">
        <v>2792</v>
      </c>
      <c r="F249">
        <v>5</v>
      </c>
      <c r="I249" t="s">
        <v>2360</v>
      </c>
      <c r="J249" s="51">
        <v>40668</v>
      </c>
      <c r="K249" t="s">
        <v>46</v>
      </c>
      <c r="L249" t="s">
        <v>2284</v>
      </c>
      <c r="M249">
        <v>3</v>
      </c>
      <c r="N249" t="str">
        <f>L249</f>
        <v>NAM\MA6689</v>
      </c>
      <c r="O249" s="51">
        <f>J249</f>
        <v>40668</v>
      </c>
      <c r="P249" s="51" t="str">
        <f>C249</f>
        <v>~/cdd/olddocs/Formas/CNWI-PROD ( Produccion )/CNWI-PROD-F018 Etiqueta relays 4.xls</v>
      </c>
      <c r="Q249" s="51" t="str">
        <f>E249</f>
        <v>xls</v>
      </c>
      <c r="R249" s="51"/>
      <c r="S249" s="51"/>
      <c r="T249" s="51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  <c r="AG249" t="s">
        <v>28</v>
      </c>
      <c r="AH249" s="51"/>
      <c r="AI249" s="51"/>
    </row>
    <row r="250" spans="2:35">
      <c r="B250" t="s">
        <v>2361</v>
      </c>
      <c r="C250" t="s">
        <v>3052</v>
      </c>
      <c r="D250">
        <v>5</v>
      </c>
      <c r="E250" t="s">
        <v>2792</v>
      </c>
      <c r="F250">
        <v>5</v>
      </c>
      <c r="I250" t="s">
        <v>2362</v>
      </c>
      <c r="J250" s="51">
        <v>40668</v>
      </c>
      <c r="K250" t="s">
        <v>46</v>
      </c>
      <c r="L250" t="s">
        <v>2284</v>
      </c>
      <c r="M250">
        <v>3</v>
      </c>
      <c r="N250" t="str">
        <f>L250</f>
        <v>NAM\MA6689</v>
      </c>
      <c r="O250" s="51">
        <f>J250</f>
        <v>40668</v>
      </c>
      <c r="P250" s="51" t="str">
        <f>C250</f>
        <v>~/cdd/olddocs/Formas/CNWI-PROD ( Produccion )/CNWI-PROD-F019 Etiqueta relays 5.xls</v>
      </c>
      <c r="Q250" s="51" t="str">
        <f>E250</f>
        <v>xls</v>
      </c>
      <c r="R250" s="51"/>
      <c r="S250" s="51"/>
      <c r="T250" s="51"/>
      <c r="U250" s="51"/>
      <c r="V250" s="51"/>
      <c r="W250" s="51"/>
      <c r="X250" s="51"/>
      <c r="Y250" s="51"/>
      <c r="Z250" s="51"/>
      <c r="AA250" s="51"/>
      <c r="AB250" s="51"/>
      <c r="AC250" s="51"/>
      <c r="AD250" s="51"/>
      <c r="AG250" t="s">
        <v>28</v>
      </c>
      <c r="AH250" s="51"/>
      <c r="AI250" s="51"/>
    </row>
    <row r="251" spans="2:35">
      <c r="B251" t="s">
        <v>2363</v>
      </c>
      <c r="C251" t="s">
        <v>3053</v>
      </c>
      <c r="D251">
        <v>5</v>
      </c>
      <c r="E251" t="s">
        <v>2792</v>
      </c>
      <c r="F251">
        <v>5</v>
      </c>
      <c r="I251" t="s">
        <v>2364</v>
      </c>
      <c r="J251" s="51">
        <v>40668</v>
      </c>
      <c r="K251" t="s">
        <v>46</v>
      </c>
      <c r="L251" t="s">
        <v>2284</v>
      </c>
      <c r="M251">
        <v>3</v>
      </c>
      <c r="N251" t="str">
        <f>L251</f>
        <v>NAM\MA6689</v>
      </c>
      <c r="O251" s="51">
        <f>J251</f>
        <v>40668</v>
      </c>
      <c r="P251" s="51" t="str">
        <f>C251</f>
        <v>~/cdd/olddocs/Formas/CNWI-PROD ( Produccion )/CNWI-PROD-F020 Etiqueta relays 6.xls</v>
      </c>
      <c r="Q251" s="51" t="str">
        <f>E251</f>
        <v>xls</v>
      </c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G251" t="s">
        <v>28</v>
      </c>
      <c r="AH251" s="51"/>
      <c r="AI251" s="51"/>
    </row>
    <row r="252" spans="2:35">
      <c r="B252" t="s">
        <v>2365</v>
      </c>
      <c r="C252" t="s">
        <v>3054</v>
      </c>
      <c r="D252">
        <v>5</v>
      </c>
      <c r="E252" t="s">
        <v>2792</v>
      </c>
      <c r="F252">
        <v>5</v>
      </c>
      <c r="I252" t="s">
        <v>2366</v>
      </c>
      <c r="J252" s="51">
        <v>40668</v>
      </c>
      <c r="K252" t="s">
        <v>46</v>
      </c>
      <c r="L252" t="s">
        <v>2284</v>
      </c>
      <c r="M252">
        <v>3</v>
      </c>
      <c r="N252" t="str">
        <f>L252</f>
        <v>NAM\MA6689</v>
      </c>
      <c r="O252" s="51">
        <f>J252</f>
        <v>40668</v>
      </c>
      <c r="P252" s="51" t="str">
        <f>C252</f>
        <v>~/cdd/olddocs/Formas/CNWI-PROD ( Produccion )/CNWI-PROD-F021 Etiqueta relays 7.xls</v>
      </c>
      <c r="Q252" s="51" t="str">
        <f>E252</f>
        <v>xls</v>
      </c>
      <c r="R252" s="51"/>
      <c r="S252" s="51"/>
      <c r="T252" s="51"/>
      <c r="U252" s="51"/>
      <c r="V252" s="51"/>
      <c r="W252" s="51"/>
      <c r="X252" s="51"/>
      <c r="Y252" s="51"/>
      <c r="Z252" s="51"/>
      <c r="AA252" s="51"/>
      <c r="AB252" s="51"/>
      <c r="AC252" s="51"/>
      <c r="AD252" s="51"/>
      <c r="AG252" t="s">
        <v>28</v>
      </c>
      <c r="AH252" s="51"/>
      <c r="AI252" s="51"/>
    </row>
    <row r="253" spans="2:35">
      <c r="B253" t="s">
        <v>2367</v>
      </c>
      <c r="C253" t="s">
        <v>3055</v>
      </c>
      <c r="D253">
        <v>5</v>
      </c>
      <c r="E253" t="s">
        <v>2792</v>
      </c>
      <c r="F253">
        <v>5</v>
      </c>
      <c r="I253" t="s">
        <v>2368</v>
      </c>
      <c r="J253" s="51">
        <v>40668</v>
      </c>
      <c r="K253" t="s">
        <v>27</v>
      </c>
      <c r="L253" t="s">
        <v>2284</v>
      </c>
      <c r="M253">
        <v>3</v>
      </c>
      <c r="N253" t="str">
        <f>L253</f>
        <v>NAM\MA6689</v>
      </c>
      <c r="O253" s="51">
        <f>J253</f>
        <v>40668</v>
      </c>
      <c r="P253" s="51" t="str">
        <f>C253</f>
        <v>~/cdd/olddocs/Formas/CNWI-PROD ( Produccion )/CNWI-PROD-F022 Etiqueta relays 8.xls</v>
      </c>
      <c r="Q253" s="51" t="str">
        <f>E253</f>
        <v>xls</v>
      </c>
      <c r="R253" s="51"/>
      <c r="S253" s="51"/>
      <c r="T253" s="51"/>
      <c r="U253" s="51"/>
      <c r="V253" s="51"/>
      <c r="W253" s="51"/>
      <c r="X253" s="51"/>
      <c r="Y253" s="51"/>
      <c r="Z253" s="51"/>
      <c r="AA253" s="51"/>
      <c r="AB253" s="51"/>
      <c r="AC253" s="51"/>
      <c r="AD253" s="51"/>
      <c r="AG253" t="s">
        <v>28</v>
      </c>
      <c r="AH253" s="51"/>
      <c r="AI253" s="51"/>
    </row>
    <row r="254" spans="2:35">
      <c r="B254" t="s">
        <v>2369</v>
      </c>
      <c r="C254" t="s">
        <v>3056</v>
      </c>
      <c r="D254">
        <v>5</v>
      </c>
      <c r="E254" t="s">
        <v>2792</v>
      </c>
      <c r="F254">
        <v>5</v>
      </c>
      <c r="I254" t="s">
        <v>2370</v>
      </c>
      <c r="J254" s="51">
        <v>40668</v>
      </c>
      <c r="K254" t="s">
        <v>27</v>
      </c>
      <c r="L254" t="s">
        <v>2284</v>
      </c>
      <c r="M254">
        <v>3</v>
      </c>
      <c r="N254" t="str">
        <f>L254</f>
        <v>NAM\MA6689</v>
      </c>
      <c r="O254" s="51">
        <f>J254</f>
        <v>40668</v>
      </c>
      <c r="P254" s="51" t="str">
        <f>C254</f>
        <v>~/cdd/olddocs/Formas/CNWI-PROD ( Produccion )/CNWI-PROD-F023 Etiqueta relays 9.xls</v>
      </c>
      <c r="Q254" s="51" t="str">
        <f>E254</f>
        <v>xls</v>
      </c>
      <c r="R254" s="51"/>
      <c r="S254" s="51"/>
      <c r="T254" s="51"/>
      <c r="U254" s="51"/>
      <c r="V254" s="51"/>
      <c r="W254" s="51"/>
      <c r="X254" s="51"/>
      <c r="Y254" s="51"/>
      <c r="Z254" s="51"/>
      <c r="AA254" s="51"/>
      <c r="AB254" s="51"/>
      <c r="AC254" s="51"/>
      <c r="AD254" s="51"/>
      <c r="AG254" t="s">
        <v>28</v>
      </c>
      <c r="AH254" s="51"/>
      <c r="AI254" s="51"/>
    </row>
    <row r="255" spans="2:35">
      <c r="B255" t="s">
        <v>2371</v>
      </c>
      <c r="C255" t="s">
        <v>3057</v>
      </c>
      <c r="D255">
        <v>5</v>
      </c>
      <c r="E255" t="s">
        <v>2792</v>
      </c>
      <c r="F255">
        <v>5</v>
      </c>
      <c r="I255" t="s">
        <v>2372</v>
      </c>
      <c r="J255" s="51">
        <v>40668</v>
      </c>
      <c r="K255" t="s">
        <v>27</v>
      </c>
      <c r="L255" t="s">
        <v>2284</v>
      </c>
      <c r="M255">
        <v>3</v>
      </c>
      <c r="N255" t="str">
        <f>L255</f>
        <v>NAM\MA6689</v>
      </c>
      <c r="O255" s="51">
        <f>J255</f>
        <v>40668</v>
      </c>
      <c r="P255" s="51" t="str">
        <f>C255</f>
        <v>~/cdd/olddocs/Formas/CNWI-PROD ( Produccion )/CNWI-PROD-F024 Etiqueta salem.xls</v>
      </c>
      <c r="Q255" s="51" t="str">
        <f>E255</f>
        <v>xls</v>
      </c>
      <c r="R255" s="51"/>
      <c r="S255" s="51"/>
      <c r="T255" s="51"/>
      <c r="U255" s="51"/>
      <c r="V255" s="51"/>
      <c r="W255" s="51"/>
      <c r="X255" s="51"/>
      <c r="Y255" s="51"/>
      <c r="Z255" s="51"/>
      <c r="AA255" s="51"/>
      <c r="AB255" s="51"/>
      <c r="AC255" s="51"/>
      <c r="AD255" s="51"/>
      <c r="AG255" t="s">
        <v>28</v>
      </c>
      <c r="AH255" s="51"/>
      <c r="AI255" s="51"/>
    </row>
    <row r="256" spans="2:35">
      <c r="B256" t="s">
        <v>2373</v>
      </c>
      <c r="C256" t="s">
        <v>3058</v>
      </c>
      <c r="D256">
        <v>5</v>
      </c>
      <c r="E256" t="s">
        <v>2792</v>
      </c>
      <c r="F256">
        <v>5</v>
      </c>
      <c r="I256" t="s">
        <v>2374</v>
      </c>
      <c r="J256" s="51">
        <v>40668</v>
      </c>
      <c r="K256" t="s">
        <v>27</v>
      </c>
      <c r="L256" t="s">
        <v>2284</v>
      </c>
      <c r="M256">
        <v>3</v>
      </c>
      <c r="N256" t="str">
        <f>L256</f>
        <v>NAM\MA6689</v>
      </c>
      <c r="O256" s="51">
        <f>J256</f>
        <v>40668</v>
      </c>
      <c r="P256" s="51" t="str">
        <f>C256</f>
        <v>~/cdd/olddocs/Formas/CNWI-PROD ( Produccion )/CNWI-PROD-F025 Etiqueta single wire.xls</v>
      </c>
      <c r="Q256" s="51" t="str">
        <f>E256</f>
        <v>xls</v>
      </c>
      <c r="R256" s="51"/>
      <c r="S256" s="51"/>
      <c r="T256" s="51"/>
      <c r="U256" s="51"/>
      <c r="V256" s="51"/>
      <c r="W256" s="51"/>
      <c r="X256" s="51"/>
      <c r="Y256" s="51"/>
      <c r="Z256" s="51"/>
      <c r="AA256" s="51"/>
      <c r="AB256" s="51"/>
      <c r="AC256" s="51"/>
      <c r="AD256" s="51"/>
      <c r="AG256" t="s">
        <v>28</v>
      </c>
      <c r="AH256" s="51"/>
      <c r="AI256" s="51"/>
    </row>
    <row r="257" spans="2:35">
      <c r="B257" t="s">
        <v>2375</v>
      </c>
      <c r="C257" t="s">
        <v>3059</v>
      </c>
      <c r="D257">
        <v>5</v>
      </c>
      <c r="E257" t="s">
        <v>2792</v>
      </c>
      <c r="F257">
        <v>5</v>
      </c>
      <c r="I257" t="s">
        <v>2376</v>
      </c>
      <c r="J257" s="51">
        <v>40668</v>
      </c>
      <c r="K257" t="s">
        <v>27</v>
      </c>
      <c r="L257" t="s">
        <v>2284</v>
      </c>
      <c r="M257">
        <v>3</v>
      </c>
      <c r="N257" t="str">
        <f>L257</f>
        <v>NAM\MA6689</v>
      </c>
      <c r="O257" s="51">
        <f>J257</f>
        <v>40668</v>
      </c>
      <c r="P257" s="51" t="str">
        <f>C257</f>
        <v>~/cdd/olddocs/Formas/CNWI-PROD ( Produccion )/CNWI-PROD-F026 Etiqueta snap lock.xls</v>
      </c>
      <c r="Q257" s="51" t="str">
        <f>E257</f>
        <v>xls</v>
      </c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G257" t="s">
        <v>28</v>
      </c>
      <c r="AH257" s="51"/>
      <c r="AI257" s="51"/>
    </row>
    <row r="258" spans="2:35">
      <c r="B258" t="s">
        <v>2377</v>
      </c>
      <c r="C258" t="s">
        <v>3060</v>
      </c>
      <c r="D258">
        <v>5</v>
      </c>
      <c r="E258" t="s">
        <v>2792</v>
      </c>
      <c r="F258">
        <v>5</v>
      </c>
      <c r="I258" t="s">
        <v>2378</v>
      </c>
      <c r="J258" s="51">
        <v>40668</v>
      </c>
      <c r="K258" t="s">
        <v>27</v>
      </c>
      <c r="L258" t="s">
        <v>2284</v>
      </c>
      <c r="M258">
        <v>3</v>
      </c>
      <c r="N258" t="str">
        <f>L258</f>
        <v>NAM\MA6689</v>
      </c>
      <c r="O258" s="51">
        <f>J258</f>
        <v>40668</v>
      </c>
      <c r="P258" s="51" t="str">
        <f>C258</f>
        <v>~/cdd/olddocs/Formas/CNWI-PROD ( Produccion )/CNWI-PROD-F027 Etiqueta snap lock &amp; three wire splice.xls</v>
      </c>
      <c r="Q258" s="51" t="str">
        <f>E258</f>
        <v>xls</v>
      </c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G258" t="s">
        <v>28</v>
      </c>
      <c r="AH258" s="51"/>
      <c r="AI258" s="51"/>
    </row>
    <row r="259" spans="2:35">
      <c r="B259" t="s">
        <v>2379</v>
      </c>
      <c r="C259" t="s">
        <v>3061</v>
      </c>
      <c r="D259">
        <v>5</v>
      </c>
      <c r="E259" t="s">
        <v>2792</v>
      </c>
      <c r="F259">
        <v>5</v>
      </c>
      <c r="I259" t="s">
        <v>2380</v>
      </c>
      <c r="J259" s="51">
        <v>40668</v>
      </c>
      <c r="K259" t="s">
        <v>27</v>
      </c>
      <c r="L259" t="s">
        <v>2284</v>
      </c>
      <c r="M259">
        <v>3</v>
      </c>
      <c r="N259" t="str">
        <f>L259</f>
        <v>NAM\MA6689</v>
      </c>
      <c r="O259" s="51">
        <f>J259</f>
        <v>40668</v>
      </c>
      <c r="P259" s="51" t="str">
        <f>C259</f>
        <v>~/cdd/olddocs/Formas/CNWI-PROD ( Produccion )/CNWI-PROD-F028 Etiqueta thorkom.xls</v>
      </c>
      <c r="Q259" s="51" t="str">
        <f>E259</f>
        <v>xls</v>
      </c>
      <c r="R259" s="51"/>
      <c r="S259" s="51"/>
      <c r="T259" s="51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  <c r="AG259" t="s">
        <v>28</v>
      </c>
      <c r="AH259" s="51"/>
      <c r="AI259" s="51"/>
    </row>
    <row r="260" spans="2:35">
      <c r="B260" t="s">
        <v>2381</v>
      </c>
      <c r="C260" t="s">
        <v>3062</v>
      </c>
      <c r="D260">
        <v>5</v>
      </c>
      <c r="E260" t="s">
        <v>2792</v>
      </c>
      <c r="F260">
        <v>5</v>
      </c>
      <c r="I260" t="s">
        <v>2382</v>
      </c>
      <c r="J260" s="51">
        <v>40668</v>
      </c>
      <c r="K260" t="s">
        <v>46</v>
      </c>
      <c r="L260" t="s">
        <v>2284</v>
      </c>
      <c r="M260">
        <v>3</v>
      </c>
      <c r="N260" t="str">
        <f>L260</f>
        <v>NAM\MA6689</v>
      </c>
      <c r="O260" s="51">
        <f>J260</f>
        <v>40668</v>
      </c>
      <c r="P260" s="51" t="str">
        <f>C260</f>
        <v>~/cdd/olddocs/Formas/CNWI-PROD ( Produccion )/CNWI-PROD-F029  Etiqueta tracks.xls</v>
      </c>
      <c r="Q260" s="51" t="str">
        <f>E260</f>
        <v>xls</v>
      </c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G260" t="s">
        <v>28</v>
      </c>
      <c r="AH260" s="51"/>
      <c r="AI260" s="51"/>
    </row>
    <row r="261" spans="2:35">
      <c r="B261" t="s">
        <v>2383</v>
      </c>
      <c r="C261" t="s">
        <v>3063</v>
      </c>
      <c r="D261">
        <v>5</v>
      </c>
      <c r="E261" t="s">
        <v>2792</v>
      </c>
      <c r="F261">
        <v>5</v>
      </c>
      <c r="I261" t="s">
        <v>2384</v>
      </c>
      <c r="J261" s="51">
        <v>40668</v>
      </c>
      <c r="K261" t="s">
        <v>27</v>
      </c>
      <c r="L261" t="s">
        <v>2284</v>
      </c>
      <c r="M261">
        <v>3</v>
      </c>
      <c r="N261" t="str">
        <f>L261</f>
        <v>NAM\MA6689</v>
      </c>
      <c r="O261" s="51">
        <f>J261</f>
        <v>40668</v>
      </c>
      <c r="P261" s="51" t="str">
        <f>C261</f>
        <v>~/cdd/olddocs/Formas/CNWI-PROD ( Produccion )/CNWI-PROD-F030  Etiqueta tracks 1.xls</v>
      </c>
      <c r="Q261" s="51" t="str">
        <f>E261</f>
        <v>xls</v>
      </c>
      <c r="R261" s="51"/>
      <c r="S261" s="51"/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  <c r="AG261" t="s">
        <v>28</v>
      </c>
      <c r="AH261" s="51"/>
      <c r="AI261" s="51"/>
    </row>
    <row r="262" spans="2:35">
      <c r="B262" t="s">
        <v>2385</v>
      </c>
      <c r="C262" t="s">
        <v>3064</v>
      </c>
      <c r="D262">
        <v>5</v>
      </c>
      <c r="E262" t="s">
        <v>2792</v>
      </c>
      <c r="F262">
        <v>5</v>
      </c>
      <c r="I262" t="s">
        <v>2386</v>
      </c>
      <c r="J262" s="51">
        <v>40668</v>
      </c>
      <c r="K262" t="s">
        <v>27</v>
      </c>
      <c r="L262" t="s">
        <v>2284</v>
      </c>
      <c r="M262">
        <v>3</v>
      </c>
      <c r="N262" t="str">
        <f>L262</f>
        <v>NAM\MA6689</v>
      </c>
      <c r="O262" s="51">
        <f>J262</f>
        <v>40668</v>
      </c>
      <c r="P262" s="51" t="str">
        <f>C262</f>
        <v>~/cdd/olddocs/Formas/CNWI-PROD ( Produccion )/CNWI-PROD-F031 Etiqueta variado lifters,rieles.xls</v>
      </c>
      <c r="Q262" s="51" t="str">
        <f>E262</f>
        <v>xls</v>
      </c>
      <c r="R262" s="51"/>
      <c r="S262" s="51"/>
      <c r="T262" s="51"/>
      <c r="U262" s="51"/>
      <c r="V262" s="51"/>
      <c r="W262" s="51"/>
      <c r="X262" s="51"/>
      <c r="Y262" s="51"/>
      <c r="Z262" s="51"/>
      <c r="AA262" s="51"/>
      <c r="AB262" s="51"/>
      <c r="AC262" s="51"/>
      <c r="AD262" s="51"/>
      <c r="AG262" t="s">
        <v>28</v>
      </c>
      <c r="AH262" s="51"/>
      <c r="AI262" s="51"/>
    </row>
    <row r="263" spans="2:35">
      <c r="B263" t="s">
        <v>2387</v>
      </c>
      <c r="C263" t="s">
        <v>3065</v>
      </c>
      <c r="D263">
        <v>5</v>
      </c>
      <c r="E263" t="s">
        <v>2792</v>
      </c>
      <c r="F263">
        <v>5</v>
      </c>
      <c r="I263" t="s">
        <v>2388</v>
      </c>
      <c r="J263" s="51">
        <v>40668</v>
      </c>
      <c r="K263" t="s">
        <v>27</v>
      </c>
      <c r="L263" t="s">
        <v>2284</v>
      </c>
      <c r="M263">
        <v>3</v>
      </c>
      <c r="N263" t="str">
        <f>L263</f>
        <v>NAM\MA6689</v>
      </c>
      <c r="O263" s="51">
        <f>J263</f>
        <v>40668</v>
      </c>
      <c r="P263" s="51" t="str">
        <f>C263</f>
        <v>~/cdd/olddocs/Formas/CNWI-PROD ( Produccion )/CNWI-PROD-F032 ETIQUETAS 557`s.xls</v>
      </c>
      <c r="Q263" s="51" t="str">
        <f>E263</f>
        <v>xls</v>
      </c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G263" t="s">
        <v>28</v>
      </c>
      <c r="AH263" s="51"/>
      <c r="AI263" s="51"/>
    </row>
    <row r="264" spans="2:35">
      <c r="B264" t="s">
        <v>2389</v>
      </c>
      <c r="C264" t="s">
        <v>3066</v>
      </c>
      <c r="D264">
        <v>5</v>
      </c>
      <c r="E264" t="s">
        <v>2792</v>
      </c>
      <c r="F264">
        <v>5</v>
      </c>
      <c r="I264" t="s">
        <v>2390</v>
      </c>
      <c r="J264" s="51">
        <v>40852</v>
      </c>
      <c r="K264" t="s">
        <v>27</v>
      </c>
      <c r="L264" t="s">
        <v>2284</v>
      </c>
      <c r="M264">
        <v>3</v>
      </c>
      <c r="N264" t="str">
        <f>L264</f>
        <v>NAM\MA6689</v>
      </c>
      <c r="O264" s="51">
        <f>J264</f>
        <v>40852</v>
      </c>
      <c r="P264" s="51" t="str">
        <f>C264</f>
        <v>~/cdd/olddocs/Formas/CNWI-PROD ( Produccion )/CNWI-PROD-F033 Move Ticket.xls</v>
      </c>
      <c r="Q264" s="51" t="str">
        <f>E264</f>
        <v>xls</v>
      </c>
      <c r="R264" s="51"/>
      <c r="S264" s="51"/>
      <c r="T264" s="51"/>
      <c r="U264" s="51"/>
      <c r="V264" s="51"/>
      <c r="W264" s="51"/>
      <c r="X264" s="51"/>
      <c r="Y264" s="51"/>
      <c r="Z264" s="51"/>
      <c r="AA264" s="51"/>
      <c r="AB264" s="51"/>
      <c r="AC264" s="51"/>
      <c r="AD264" s="51"/>
      <c r="AG264" t="s">
        <v>28</v>
      </c>
      <c r="AH264" s="51"/>
      <c r="AI264" s="51"/>
    </row>
    <row r="265" spans="2:35">
      <c r="B265" t="s">
        <v>2391</v>
      </c>
      <c r="C265" t="s">
        <v>3067</v>
      </c>
      <c r="D265">
        <v>5</v>
      </c>
      <c r="E265" t="s">
        <v>2792</v>
      </c>
      <c r="F265">
        <v>5</v>
      </c>
      <c r="I265" t="s">
        <v>2392</v>
      </c>
      <c r="J265" s="51" t="s">
        <v>2393</v>
      </c>
      <c r="K265" t="s">
        <v>27</v>
      </c>
      <c r="L265" t="s">
        <v>2284</v>
      </c>
      <c r="M265">
        <v>3</v>
      </c>
      <c r="N265" t="str">
        <f>L265</f>
        <v>NAM\MA6689</v>
      </c>
      <c r="O265" s="51" t="str">
        <f>J265</f>
        <v>05/16/2011</v>
      </c>
      <c r="P265" s="51" t="str">
        <f>C265</f>
        <v>~/cdd/olddocs/Formas/CNWI-PROD ( Produccion )/CNWI-PROD-F034 tiempo retrabajo.xls</v>
      </c>
      <c r="Q265" s="51" t="str">
        <f>E265</f>
        <v>xls</v>
      </c>
      <c r="R265" s="51"/>
      <c r="S265" s="51"/>
      <c r="T265" s="51"/>
      <c r="U265" s="51"/>
      <c r="V265" s="51"/>
      <c r="W265" s="51"/>
      <c r="X265" s="51"/>
      <c r="Y265" s="51"/>
      <c r="Z265" s="51"/>
      <c r="AA265" s="51"/>
      <c r="AB265" s="51"/>
      <c r="AC265" s="51"/>
      <c r="AD265" s="51"/>
      <c r="AG265" t="s">
        <v>28</v>
      </c>
      <c r="AH265" s="51"/>
      <c r="AI265" s="51"/>
    </row>
    <row r="266" spans="2:35">
      <c r="B266" t="s">
        <v>2394</v>
      </c>
      <c r="C266" t="s">
        <v>3068</v>
      </c>
      <c r="D266">
        <v>5</v>
      </c>
      <c r="E266" t="s">
        <v>2792</v>
      </c>
      <c r="F266">
        <v>5</v>
      </c>
      <c r="I266" t="s">
        <v>2395</v>
      </c>
      <c r="J266" s="51">
        <v>40737</v>
      </c>
      <c r="K266" t="s">
        <v>27</v>
      </c>
      <c r="L266" t="s">
        <v>2284</v>
      </c>
      <c r="M266">
        <v>3</v>
      </c>
      <c r="N266" t="str">
        <f>L266</f>
        <v>NAM\MA6689</v>
      </c>
      <c r="O266" s="51">
        <f>J266</f>
        <v>40737</v>
      </c>
      <c r="P266" s="51" t="str">
        <f>C266</f>
        <v>~/cdd/olddocs/Formas/CNWI-PROD ( Produccion )/CNWI-PROD-F035 Pareto de informacion diaria.xls</v>
      </c>
      <c r="Q266" s="51" t="str">
        <f>E266</f>
        <v>xls</v>
      </c>
      <c r="R266" s="51"/>
      <c r="S266" s="51"/>
      <c r="T266" s="51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  <c r="AG266" t="s">
        <v>28</v>
      </c>
      <c r="AH266" s="51"/>
      <c r="AI266" s="51"/>
    </row>
    <row r="267" spans="2:35">
      <c r="B267" t="s">
        <v>2396</v>
      </c>
      <c r="C267" t="s">
        <v>3069</v>
      </c>
      <c r="D267">
        <v>5</v>
      </c>
      <c r="E267" t="s">
        <v>2792</v>
      </c>
      <c r="F267">
        <v>5</v>
      </c>
      <c r="I267" t="s">
        <v>2397</v>
      </c>
      <c r="J267" s="51">
        <v>40752</v>
      </c>
      <c r="K267" t="s">
        <v>27</v>
      </c>
      <c r="L267" t="s">
        <v>2284</v>
      </c>
      <c r="M267">
        <v>3</v>
      </c>
      <c r="N267" t="str">
        <f>L267</f>
        <v>NAM\MA6689</v>
      </c>
      <c r="O267" s="51">
        <f>J267</f>
        <v>40752</v>
      </c>
      <c r="P267" s="51" t="str">
        <f>C267</f>
        <v>~/cdd/olddocs/Formas/CNWI-PROD ( Produccion )/CNWI-PROD-F036 REPORTE DE MICROMINI PROBLEMAS DIARIOS.xls</v>
      </c>
      <c r="Q267" s="51" t="str">
        <f>E267</f>
        <v>xls</v>
      </c>
      <c r="R267" s="51"/>
      <c r="S267" s="51"/>
      <c r="T267" s="51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  <c r="AG267" t="s">
        <v>28</v>
      </c>
      <c r="AH267" s="51"/>
      <c r="AI267" s="51"/>
    </row>
    <row r="268" spans="2:35">
      <c r="B268" t="s">
        <v>2398</v>
      </c>
      <c r="C268" t="s">
        <v>3070</v>
      </c>
      <c r="D268">
        <v>5</v>
      </c>
      <c r="E268" t="s">
        <v>2792</v>
      </c>
      <c r="F268">
        <v>5</v>
      </c>
      <c r="I268" t="s">
        <v>2399</v>
      </c>
      <c r="J268" s="51">
        <v>40820</v>
      </c>
      <c r="K268" t="s">
        <v>27</v>
      </c>
      <c r="L268" t="s">
        <v>2284</v>
      </c>
      <c r="M268">
        <v>3</v>
      </c>
      <c r="N268" t="str">
        <f>L268</f>
        <v>NAM\MA6689</v>
      </c>
      <c r="O268" s="51">
        <f>J268</f>
        <v>40820</v>
      </c>
      <c r="P268" s="51" t="str">
        <f>C268</f>
        <v>~/cdd/olddocs/Formas/CNWI-PROD ( Produccion )/CNWI-PROD-F037 Gemba walk.xls</v>
      </c>
      <c r="Q268" s="51" t="str">
        <f>E268</f>
        <v>xls</v>
      </c>
      <c r="R268" s="51"/>
      <c r="S268" s="51"/>
      <c r="T268" s="51"/>
      <c r="U268" s="51"/>
      <c r="V268" s="51"/>
      <c r="W268" s="51"/>
      <c r="X268" s="51"/>
      <c r="Y268" s="51"/>
      <c r="Z268" s="51"/>
      <c r="AA268" s="51"/>
      <c r="AB268" s="51"/>
      <c r="AC268" s="51"/>
      <c r="AD268" s="51"/>
      <c r="AG268" t="s">
        <v>28</v>
      </c>
      <c r="AH268" s="51"/>
      <c r="AI268" s="51"/>
    </row>
    <row r="269" spans="2:35">
      <c r="B269" t="s">
        <v>2400</v>
      </c>
      <c r="C269" t="s">
        <v>3071</v>
      </c>
      <c r="D269">
        <v>5</v>
      </c>
      <c r="E269" t="s">
        <v>2790</v>
      </c>
      <c r="F269">
        <v>5</v>
      </c>
      <c r="I269" t="s">
        <v>2401</v>
      </c>
      <c r="J269" s="51">
        <v>40836</v>
      </c>
      <c r="K269" t="s">
        <v>27</v>
      </c>
      <c r="L269" t="s">
        <v>2284</v>
      </c>
      <c r="M269">
        <v>3</v>
      </c>
      <c r="N269" t="str">
        <f>L269</f>
        <v>NAM\MA6689</v>
      </c>
      <c r="O269" s="51">
        <f>J269</f>
        <v>40836</v>
      </c>
      <c r="P269" s="51" t="str">
        <f>C269</f>
        <v>~/cdd/olddocs/Formas/CNWI-PROD ( Produccion )/CNWI-PROD-F038 HORA X HORA Off .xlsx</v>
      </c>
      <c r="Q269" s="51" t="str">
        <f>E269</f>
        <v>xlsx</v>
      </c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G269" t="s">
        <v>28</v>
      </c>
      <c r="AH269" s="51"/>
      <c r="AI269" s="51"/>
    </row>
    <row r="270" spans="2:35">
      <c r="B270" t="s">
        <v>2402</v>
      </c>
      <c r="C270" t="s">
        <v>3072</v>
      </c>
      <c r="D270">
        <v>5</v>
      </c>
      <c r="E270" t="s">
        <v>2793</v>
      </c>
      <c r="F270">
        <v>5</v>
      </c>
      <c r="I270" t="s">
        <v>2403</v>
      </c>
      <c r="J270" s="51">
        <v>40836</v>
      </c>
      <c r="K270" t="s">
        <v>27</v>
      </c>
      <c r="L270" t="s">
        <v>2284</v>
      </c>
      <c r="M270">
        <v>3</v>
      </c>
      <c r="N270" t="str">
        <f>L270</f>
        <v>NAM\MA6689</v>
      </c>
      <c r="O270" s="51">
        <f>J270</f>
        <v>40836</v>
      </c>
      <c r="P270" s="51" t="str">
        <f>C270</f>
        <v>~/cdd/olddocs/Formas/CNWI-PROD ( Produccion )/CNWI-PROD-F039 FORMATO PRODUCTIVIDAD.pptx</v>
      </c>
      <c r="Q270" s="51" t="str">
        <f>E270</f>
        <v>pptx</v>
      </c>
      <c r="R270" s="51"/>
      <c r="S270" s="51"/>
      <c r="T270" s="51"/>
      <c r="U270" s="51"/>
      <c r="V270" s="51"/>
      <c r="W270" s="51"/>
      <c r="X270" s="51"/>
      <c r="Y270" s="51"/>
      <c r="Z270" s="51"/>
      <c r="AA270" s="51"/>
      <c r="AB270" s="51"/>
      <c r="AC270" s="51"/>
      <c r="AD270" s="51"/>
      <c r="AG270" t="s">
        <v>28</v>
      </c>
      <c r="AH270" s="51"/>
      <c r="AI270" s="51"/>
    </row>
    <row r="271" spans="2:35">
      <c r="B271" t="s">
        <v>2404</v>
      </c>
      <c r="C271" t="s">
        <v>3073</v>
      </c>
      <c r="D271">
        <v>5</v>
      </c>
      <c r="E271" t="s">
        <v>2792</v>
      </c>
      <c r="F271">
        <v>5</v>
      </c>
      <c r="I271" t="s">
        <v>2405</v>
      </c>
      <c r="J271" s="51">
        <v>40836</v>
      </c>
      <c r="K271" t="s">
        <v>27</v>
      </c>
      <c r="L271" t="s">
        <v>2284</v>
      </c>
      <c r="M271">
        <v>3</v>
      </c>
      <c r="N271" t="str">
        <f>L271</f>
        <v>NAM\MA6689</v>
      </c>
      <c r="O271" s="51">
        <f>J271</f>
        <v>40836</v>
      </c>
      <c r="P271" s="51" t="str">
        <f>C271</f>
        <v>~/cdd/olddocs/Formas/CNWI-PROD ( Produccion )/CNWI-PROD-F040 Past Due.xls</v>
      </c>
      <c r="Q271" s="51" t="str">
        <f>E271</f>
        <v>xls</v>
      </c>
      <c r="R271" s="51"/>
      <c r="S271" s="51"/>
      <c r="T271" s="51"/>
      <c r="U271" s="51"/>
      <c r="V271" s="51"/>
      <c r="W271" s="51"/>
      <c r="X271" s="51"/>
      <c r="Y271" s="51"/>
      <c r="Z271" s="51"/>
      <c r="AA271" s="51"/>
      <c r="AB271" s="51"/>
      <c r="AC271" s="51"/>
      <c r="AD271" s="51"/>
      <c r="AG271" t="s">
        <v>28</v>
      </c>
      <c r="AH271" s="51"/>
      <c r="AI271" s="51"/>
    </row>
    <row r="272" spans="2:35">
      <c r="B272" t="s">
        <v>278</v>
      </c>
      <c r="C272" t="s">
        <v>3331</v>
      </c>
      <c r="D272">
        <v>4</v>
      </c>
      <c r="E272" t="s">
        <v>2791</v>
      </c>
      <c r="F272">
        <v>9</v>
      </c>
      <c r="I272" t="s">
        <v>279</v>
      </c>
      <c r="J272" s="51">
        <v>40948</v>
      </c>
      <c r="K272" t="s">
        <v>46</v>
      </c>
      <c r="L272" t="s">
        <v>222</v>
      </c>
      <c r="M272">
        <v>3</v>
      </c>
      <c r="N272" t="str">
        <f>L272</f>
        <v>NAM\MA9769</v>
      </c>
      <c r="O272" s="51">
        <f>J272</f>
        <v>40948</v>
      </c>
      <c r="P272" s="51" t="str">
        <f>C272</f>
        <v>~/cdd/olddocs/Instructivos/CNWI-QAAS/CNWI-QAAS-0001 Responsabilidad Gerencial.pdf</v>
      </c>
      <c r="Q272" s="51" t="str">
        <f>E272</f>
        <v>pdf</v>
      </c>
      <c r="R272" s="51"/>
      <c r="S272" s="51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  <c r="AG272" t="s">
        <v>28</v>
      </c>
      <c r="AH272" s="51"/>
      <c r="AI272" s="51"/>
    </row>
    <row r="273" spans="2:35">
      <c r="B273" t="s">
        <v>2213</v>
      </c>
      <c r="C273" t="s">
        <v>3332</v>
      </c>
      <c r="D273">
        <v>4</v>
      </c>
      <c r="E273" t="s">
        <v>2791</v>
      </c>
      <c r="F273">
        <v>9</v>
      </c>
      <c r="I273" t="s">
        <v>2214</v>
      </c>
      <c r="J273" s="51">
        <v>41043</v>
      </c>
      <c r="K273" t="s">
        <v>27</v>
      </c>
      <c r="L273" t="s">
        <v>2063</v>
      </c>
      <c r="M273">
        <v>3</v>
      </c>
      <c r="N273" t="str">
        <f>L273</f>
        <v>NAM\MB2117</v>
      </c>
      <c r="O273" s="51">
        <f>J273</f>
        <v>41043</v>
      </c>
      <c r="P273" s="51" t="str">
        <f>C273</f>
        <v>~/cdd/olddocs/Instructivos/CNWI-QAAS/CNWI-QAAS-0002 Control de sellos auditores.pdf</v>
      </c>
      <c r="Q273" s="51" t="str">
        <f>E273</f>
        <v>pdf</v>
      </c>
      <c r="R273" s="51"/>
      <c r="S273" s="51"/>
      <c r="T273" s="51"/>
      <c r="U273" s="51"/>
      <c r="V273" s="51"/>
      <c r="W273" s="51"/>
      <c r="X273" s="51"/>
      <c r="Y273" s="51"/>
      <c r="Z273" s="51"/>
      <c r="AA273" s="51"/>
      <c r="AB273" s="51"/>
      <c r="AC273" s="51"/>
      <c r="AD273" s="51"/>
      <c r="AG273" t="s">
        <v>28</v>
      </c>
      <c r="AH273" s="51"/>
      <c r="AI273" s="51"/>
    </row>
    <row r="274" spans="2:35">
      <c r="B274" t="s">
        <v>1160</v>
      </c>
      <c r="C274" t="s">
        <v>3333</v>
      </c>
      <c r="D274">
        <v>4</v>
      </c>
      <c r="E274" t="s">
        <v>2791</v>
      </c>
      <c r="F274">
        <v>9</v>
      </c>
      <c r="I274" t="s">
        <v>1161</v>
      </c>
      <c r="J274" s="51">
        <v>40974</v>
      </c>
      <c r="K274" t="s">
        <v>159</v>
      </c>
      <c r="L274" t="s">
        <v>1157</v>
      </c>
      <c r="M274">
        <v>3</v>
      </c>
      <c r="N274" t="str">
        <f>L274</f>
        <v>NAM\F13B6</v>
      </c>
      <c r="O274" s="51">
        <f>J274</f>
        <v>40974</v>
      </c>
      <c r="P274" s="51" t="str">
        <f>C274</f>
        <v>~/cdd/olddocs/Instructivos/CNWI-QAAS/CNWI-QAAS-0003 Calibracion.pdf</v>
      </c>
      <c r="Q274" s="51" t="str">
        <f>E274</f>
        <v>pdf</v>
      </c>
      <c r="R274" s="51"/>
      <c r="S274" s="51"/>
      <c r="T274" s="51"/>
      <c r="U274" s="51"/>
      <c r="V274" s="51"/>
      <c r="W274" s="51"/>
      <c r="X274" s="51"/>
      <c r="Y274" s="51"/>
      <c r="Z274" s="51"/>
      <c r="AA274" s="51"/>
      <c r="AB274" s="51"/>
      <c r="AC274" s="51"/>
      <c r="AD274" s="51"/>
      <c r="AG274" t="s">
        <v>28</v>
      </c>
      <c r="AH274" s="51"/>
      <c r="AI274" s="51"/>
    </row>
    <row r="275" spans="2:35">
      <c r="B275" t="s">
        <v>280</v>
      </c>
      <c r="C275" t="s">
        <v>3334</v>
      </c>
      <c r="D275">
        <v>4</v>
      </c>
      <c r="E275" t="s">
        <v>2791</v>
      </c>
      <c r="F275">
        <v>9</v>
      </c>
      <c r="I275" t="s">
        <v>281</v>
      </c>
      <c r="J275" s="51">
        <v>41065</v>
      </c>
      <c r="K275" t="s">
        <v>38</v>
      </c>
      <c r="L275" t="s">
        <v>222</v>
      </c>
      <c r="M275">
        <v>3</v>
      </c>
      <c r="N275" t="str">
        <f>L275</f>
        <v>NAM\MA9769</v>
      </c>
      <c r="O275" s="51">
        <f>J275</f>
        <v>41065</v>
      </c>
      <c r="P275" s="51" t="str">
        <f>C275</f>
        <v>~/cdd/olddocs/Instructivos/CNWI-QAAS/CNWI-QAAS-0004 Protocolo de Validacion.pdf</v>
      </c>
      <c r="Q275" s="51" t="str">
        <f>E275</f>
        <v>pdf</v>
      </c>
      <c r="R275" s="51"/>
      <c r="S275" s="51"/>
      <c r="T275" s="51"/>
      <c r="U275" s="51"/>
      <c r="V275" s="51"/>
      <c r="W275" s="51"/>
      <c r="X275" s="51"/>
      <c r="Y275" s="51"/>
      <c r="Z275" s="51"/>
      <c r="AA275" s="51"/>
      <c r="AB275" s="51"/>
      <c r="AC275" s="51"/>
      <c r="AD275" s="51"/>
      <c r="AG275" t="s">
        <v>28</v>
      </c>
      <c r="AH275" s="51"/>
      <c r="AI275" s="51"/>
    </row>
    <row r="276" spans="2:35">
      <c r="B276" t="s">
        <v>517</v>
      </c>
      <c r="C276" t="s">
        <v>3335</v>
      </c>
      <c r="D276">
        <v>4</v>
      </c>
      <c r="E276" t="s">
        <v>2791</v>
      </c>
      <c r="F276">
        <v>9</v>
      </c>
      <c r="I276" t="s">
        <v>518</v>
      </c>
      <c r="J276" s="51">
        <v>40967</v>
      </c>
      <c r="K276" t="s">
        <v>27</v>
      </c>
      <c r="L276" t="s">
        <v>520</v>
      </c>
      <c r="M276">
        <v>3</v>
      </c>
      <c r="N276" t="str">
        <f>L276</f>
        <v>NAM\AD508</v>
      </c>
      <c r="O276" s="51">
        <f>J276</f>
        <v>40967</v>
      </c>
      <c r="P276" s="51" t="str">
        <f>C276</f>
        <v>~/cdd/olddocs/Instructivos/CNWI-QAAS/CNWI-QAAS-0005 Sistema Escalacion de problemas.pdf</v>
      </c>
      <c r="Q276" s="51" t="str">
        <f>E276</f>
        <v>pdf</v>
      </c>
      <c r="R276" s="51"/>
      <c r="S276" s="51"/>
      <c r="T276" s="51"/>
      <c r="U276" s="51"/>
      <c r="V276" s="51"/>
      <c r="W276" s="51"/>
      <c r="X276" s="51"/>
      <c r="Y276" s="51"/>
      <c r="Z276" s="51"/>
      <c r="AA276" s="51"/>
      <c r="AB276" s="51"/>
      <c r="AC276" s="51"/>
      <c r="AD276" s="51"/>
      <c r="AG276" t="s">
        <v>28</v>
      </c>
      <c r="AH276" s="51"/>
      <c r="AI276" s="51"/>
    </row>
    <row r="277" spans="2:35">
      <c r="B277" t="s">
        <v>1106</v>
      </c>
      <c r="C277" t="s">
        <v>3336</v>
      </c>
      <c r="D277">
        <v>4</v>
      </c>
      <c r="E277" t="s">
        <v>2791</v>
      </c>
      <c r="F277">
        <v>9</v>
      </c>
      <c r="I277" t="s">
        <v>1107</v>
      </c>
      <c r="J277" s="51">
        <v>41204</v>
      </c>
      <c r="K277" t="s">
        <v>38</v>
      </c>
      <c r="L277" t="s">
        <v>1109</v>
      </c>
      <c r="M277">
        <v>3</v>
      </c>
      <c r="N277" t="str">
        <f>L277</f>
        <v>NAM\MB2116</v>
      </c>
      <c r="O277" s="51">
        <f>J277</f>
        <v>41204</v>
      </c>
      <c r="P277" s="51" t="str">
        <f>C277</f>
        <v>~/cdd/olddocs/Instructivos/CNWI-QAAS/CNWI-QAAS-0006  Proceso de area de MRB.pdf</v>
      </c>
      <c r="Q277" s="51" t="str">
        <f>E277</f>
        <v>pdf</v>
      </c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G277" t="s">
        <v>28</v>
      </c>
      <c r="AH277" s="51"/>
      <c r="AI277" s="51"/>
    </row>
    <row r="278" spans="2:35">
      <c r="B278" t="s">
        <v>282</v>
      </c>
      <c r="C278" t="s">
        <v>3337</v>
      </c>
      <c r="D278">
        <v>4</v>
      </c>
      <c r="E278" t="s">
        <v>2791</v>
      </c>
      <c r="F278">
        <v>9</v>
      </c>
      <c r="I278" t="s">
        <v>283</v>
      </c>
      <c r="J278" s="51">
        <v>40968</v>
      </c>
      <c r="K278" t="s">
        <v>27</v>
      </c>
      <c r="L278" t="s">
        <v>222</v>
      </c>
      <c r="M278">
        <v>3</v>
      </c>
      <c r="N278" t="str">
        <f>L278</f>
        <v>NAM\MA9769</v>
      </c>
      <c r="O278" s="51">
        <f>J278</f>
        <v>40968</v>
      </c>
      <c r="P278" s="51" t="str">
        <f>C278</f>
        <v>~/cdd/olddocs/Instructivos/CNWI-QAAS/CNWI-QAAS-0008 Diagrama de tortugas.pdf</v>
      </c>
      <c r="Q278" s="51" t="str">
        <f>E278</f>
        <v>pdf</v>
      </c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G278" t="s">
        <v>28</v>
      </c>
      <c r="AH278" s="51"/>
      <c r="AI278" s="51"/>
    </row>
    <row r="279" spans="2:35">
      <c r="B279" t="s">
        <v>1110</v>
      </c>
      <c r="C279" t="s">
        <v>3338</v>
      </c>
      <c r="D279">
        <v>4</v>
      </c>
      <c r="E279" t="s">
        <v>2791</v>
      </c>
      <c r="F279">
        <v>9</v>
      </c>
      <c r="I279" t="s">
        <v>1111</v>
      </c>
      <c r="J279" s="51">
        <v>41204</v>
      </c>
      <c r="K279" t="s">
        <v>261</v>
      </c>
      <c r="L279" t="s">
        <v>1109</v>
      </c>
      <c r="M279">
        <v>3</v>
      </c>
      <c r="N279" t="str">
        <f>L279</f>
        <v>NAM\MB2116</v>
      </c>
      <c r="O279" s="51">
        <f>J279</f>
        <v>41204</v>
      </c>
      <c r="P279" s="51" t="str">
        <f>C279</f>
        <v>~/cdd/olddocs/Instructivos/CNWI-QAAS/CNWI-QAAS-0009  Inspeccion de Entrada.pdf</v>
      </c>
      <c r="Q279" s="51" t="str">
        <f>E279</f>
        <v>pdf</v>
      </c>
      <c r="R279" s="51"/>
      <c r="S279" s="51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G279" t="s">
        <v>28</v>
      </c>
      <c r="AH279" s="51"/>
      <c r="AI279" s="51"/>
    </row>
    <row r="280" spans="2:35">
      <c r="B280" t="s">
        <v>284</v>
      </c>
      <c r="C280" t="s">
        <v>3339</v>
      </c>
      <c r="D280">
        <v>4</v>
      </c>
      <c r="E280" t="s">
        <v>2791</v>
      </c>
      <c r="F280">
        <v>9</v>
      </c>
      <c r="I280" t="s">
        <v>285</v>
      </c>
      <c r="J280" s="51">
        <v>40961</v>
      </c>
      <c r="K280" t="s">
        <v>46</v>
      </c>
      <c r="L280" t="s">
        <v>222</v>
      </c>
      <c r="M280">
        <v>3</v>
      </c>
      <c r="N280" t="str">
        <f>L280</f>
        <v>NAM\MA9769</v>
      </c>
      <c r="O280" s="51">
        <f>J280</f>
        <v>40961</v>
      </c>
      <c r="P280" s="51" t="str">
        <f>C280</f>
        <v>~/cdd/olddocs/Instructivos/CNWI-QAAS/CNWI-QAAS-0010 Proc. gral de inspeccion.pdf</v>
      </c>
      <c r="Q280" s="51" t="str">
        <f>E280</f>
        <v>pdf</v>
      </c>
      <c r="R280" s="51"/>
      <c r="S280" s="51"/>
      <c r="T280" s="51"/>
      <c r="U280" s="51"/>
      <c r="V280" s="51"/>
      <c r="W280" s="51"/>
      <c r="X280" s="51"/>
      <c r="Y280" s="51"/>
      <c r="Z280" s="51"/>
      <c r="AA280" s="51"/>
      <c r="AB280" s="51"/>
      <c r="AC280" s="51"/>
      <c r="AD280" s="51"/>
      <c r="AG280" t="s">
        <v>28</v>
      </c>
      <c r="AH280" s="51"/>
      <c r="AI280" s="51"/>
    </row>
    <row r="281" spans="2:35">
      <c r="B281" t="s">
        <v>286</v>
      </c>
      <c r="C281" t="s">
        <v>3340</v>
      </c>
      <c r="D281">
        <v>4</v>
      </c>
      <c r="E281" t="s">
        <v>2791</v>
      </c>
      <c r="F281">
        <v>9</v>
      </c>
      <c r="I281" t="s">
        <v>287</v>
      </c>
      <c r="J281" s="51">
        <v>40837</v>
      </c>
      <c r="K281" t="s">
        <v>27</v>
      </c>
      <c r="L281" t="s">
        <v>222</v>
      </c>
      <c r="M281">
        <v>3</v>
      </c>
      <c r="N281" t="str">
        <f>L281</f>
        <v>NAM\MA9769</v>
      </c>
      <c r="O281" s="51">
        <f>J281</f>
        <v>40837</v>
      </c>
      <c r="P281" s="51" t="str">
        <f>C281</f>
        <v>~/cdd/olddocs/Instructivos/CNWI-QAAS/CNWI-QAAS-0011 Propiedad del cliente.pdf</v>
      </c>
      <c r="Q281" s="51" t="str">
        <f>E281</f>
        <v>pdf</v>
      </c>
      <c r="R281" s="51"/>
      <c r="S281" s="51"/>
      <c r="T281" s="51"/>
      <c r="U281" s="51"/>
      <c r="V281" s="51"/>
      <c r="W281" s="51"/>
      <c r="X281" s="51"/>
      <c r="Y281" s="51"/>
      <c r="Z281" s="51"/>
      <c r="AA281" s="51"/>
      <c r="AB281" s="51"/>
      <c r="AC281" s="51"/>
      <c r="AD281" s="51"/>
      <c r="AG281" t="s">
        <v>28</v>
      </c>
      <c r="AH281" s="51"/>
      <c r="AI281" s="51"/>
    </row>
    <row r="282" spans="2:35">
      <c r="B282" t="s">
        <v>288</v>
      </c>
      <c r="C282" t="s">
        <v>3341</v>
      </c>
      <c r="D282">
        <v>4</v>
      </c>
      <c r="E282" t="s">
        <v>2791</v>
      </c>
      <c r="F282">
        <v>9</v>
      </c>
      <c r="I282" t="s">
        <v>289</v>
      </c>
      <c r="J282" s="51">
        <v>40961</v>
      </c>
      <c r="K282" t="s">
        <v>46</v>
      </c>
      <c r="L282" t="s">
        <v>222</v>
      </c>
      <c r="M282">
        <v>3</v>
      </c>
      <c r="N282" t="str">
        <f>L282</f>
        <v>NAM\MA9769</v>
      </c>
      <c r="O282" s="51">
        <f>J282</f>
        <v>40961</v>
      </c>
      <c r="P282" s="51" t="str">
        <f>C282</f>
        <v>~/cdd/olddocs/Instructivos/CNWI-QAAS/CNWI-QAAS-0012 Flujo de Proceso de Inspeccion P-Itron RCPT  y PLUG.pdf</v>
      </c>
      <c r="Q282" s="51" t="str">
        <f>E282</f>
        <v>pdf</v>
      </c>
      <c r="R282" s="51"/>
      <c r="S282" s="51"/>
      <c r="T282" s="51"/>
      <c r="U282" s="51"/>
      <c r="V282" s="51"/>
      <c r="W282" s="51"/>
      <c r="X282" s="51"/>
      <c r="Y282" s="51"/>
      <c r="Z282" s="51"/>
      <c r="AA282" s="51"/>
      <c r="AB282" s="51"/>
      <c r="AC282" s="51"/>
      <c r="AD282" s="51"/>
      <c r="AG282" t="s">
        <v>28</v>
      </c>
      <c r="AH282" s="51"/>
      <c r="AI282" s="51"/>
    </row>
    <row r="283" spans="2:35">
      <c r="B283" t="s">
        <v>290</v>
      </c>
      <c r="C283" t="s">
        <v>3342</v>
      </c>
      <c r="D283">
        <v>4</v>
      </c>
      <c r="E283" t="s">
        <v>2791</v>
      </c>
      <c r="F283">
        <v>9</v>
      </c>
      <c r="I283" t="s">
        <v>291</v>
      </c>
      <c r="J283" s="51">
        <v>41057</v>
      </c>
      <c r="K283" t="s">
        <v>27</v>
      </c>
      <c r="L283" t="s">
        <v>222</v>
      </c>
      <c r="M283">
        <v>3</v>
      </c>
      <c r="N283" t="str">
        <f>L283</f>
        <v>NAM\MA9769</v>
      </c>
      <c r="O283" s="51">
        <f>J283</f>
        <v>41057</v>
      </c>
      <c r="P283" s="51" t="str">
        <f>C283</f>
        <v>~/cdd/olddocs/Instructivos/CNWI-QAAS/CNWI-QAAS-0013 Proceso de auditoria de productos UL.pdf</v>
      </c>
      <c r="Q283" s="51" t="str">
        <f>E283</f>
        <v>pdf</v>
      </c>
      <c r="R283" s="51"/>
      <c r="S283" s="51"/>
      <c r="T283" s="51"/>
      <c r="U283" s="51"/>
      <c r="V283" s="51"/>
      <c r="W283" s="51"/>
      <c r="X283" s="51"/>
      <c r="Y283" s="51"/>
      <c r="Z283" s="51"/>
      <c r="AA283" s="51"/>
      <c r="AB283" s="51"/>
      <c r="AC283" s="51"/>
      <c r="AD283" s="51"/>
      <c r="AG283" t="s">
        <v>28</v>
      </c>
      <c r="AH283" s="51"/>
      <c r="AI283" s="51"/>
    </row>
    <row r="284" spans="2:35">
      <c r="B284" t="s">
        <v>292</v>
      </c>
      <c r="C284" t="s">
        <v>3343</v>
      </c>
      <c r="D284">
        <v>4</v>
      </c>
      <c r="E284" t="s">
        <v>2791</v>
      </c>
      <c r="F284">
        <v>9</v>
      </c>
      <c r="I284" t="s">
        <v>293</v>
      </c>
      <c r="J284" s="51">
        <v>40995</v>
      </c>
      <c r="K284" t="s">
        <v>27</v>
      </c>
      <c r="L284" t="s">
        <v>222</v>
      </c>
      <c r="M284">
        <v>3</v>
      </c>
      <c r="N284" t="str">
        <f>L284</f>
        <v>NAM\MA9769</v>
      </c>
      <c r="O284" s="51">
        <f>J284</f>
        <v>40995</v>
      </c>
      <c r="P284" s="51" t="str">
        <f>C284</f>
        <v>~/cdd/olddocs/Instructivos/CNWI-QAAS/CNWI-QAAS-0014 Proceso outsourcing.pdf</v>
      </c>
      <c r="Q284" s="51" t="str">
        <f>E284</f>
        <v>pdf</v>
      </c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G284" t="s">
        <v>28</v>
      </c>
      <c r="AH284" s="51"/>
      <c r="AI284" s="51"/>
    </row>
    <row r="285" spans="2:35">
      <c r="B285" t="s">
        <v>294</v>
      </c>
      <c r="C285" t="s">
        <v>3913</v>
      </c>
      <c r="D285">
        <v>4</v>
      </c>
      <c r="E285" t="s">
        <v>2791</v>
      </c>
      <c r="F285">
        <v>9</v>
      </c>
      <c r="I285" t="s">
        <v>295</v>
      </c>
      <c r="J285" s="51">
        <v>40970</v>
      </c>
      <c r="K285" t="s">
        <v>27</v>
      </c>
      <c r="L285" t="s">
        <v>222</v>
      </c>
      <c r="M285">
        <v>3</v>
      </c>
      <c r="N285" t="str">
        <f>L285</f>
        <v>NAM\MA9769</v>
      </c>
      <c r="O285" s="51">
        <f>J285</f>
        <v>40970</v>
      </c>
      <c r="P285" s="51" t="str">
        <f>C285</f>
        <v>~cdd/olddocs/Instructivos/CNWI-QAAS/CNWI-QAAS-0015 Management Risks Process.pdf</v>
      </c>
      <c r="Q285" s="51" t="str">
        <f>E285</f>
        <v>pdf</v>
      </c>
      <c r="R285" s="51"/>
      <c r="S285" s="51"/>
      <c r="T285" s="51"/>
      <c r="U285" s="51"/>
      <c r="V285" s="51"/>
      <c r="W285" s="51"/>
      <c r="X285" s="51"/>
      <c r="Y285" s="51"/>
      <c r="Z285" s="51"/>
      <c r="AA285" s="51"/>
      <c r="AB285" s="51"/>
      <c r="AC285" s="51"/>
      <c r="AD285" s="51"/>
      <c r="AG285" t="s">
        <v>28</v>
      </c>
      <c r="AH285" s="51"/>
      <c r="AI285" s="51"/>
    </row>
    <row r="286" spans="2:35">
      <c r="B286" t="s">
        <v>296</v>
      </c>
      <c r="C286" t="s">
        <v>3344</v>
      </c>
      <c r="D286">
        <v>4</v>
      </c>
      <c r="E286" t="s">
        <v>2791</v>
      </c>
      <c r="F286">
        <v>9</v>
      </c>
      <c r="I286" t="s">
        <v>297</v>
      </c>
      <c r="J286" s="51">
        <v>40590</v>
      </c>
      <c r="K286" t="s">
        <v>27</v>
      </c>
      <c r="L286" t="s">
        <v>222</v>
      </c>
      <c r="M286">
        <v>3</v>
      </c>
      <c r="N286" t="str">
        <f>L286</f>
        <v>NAM\MA9769</v>
      </c>
      <c r="O286" s="51">
        <f>J286</f>
        <v>40590</v>
      </c>
      <c r="P286" s="51" t="str">
        <f>C286</f>
        <v>~/cdd/olddocs/Instructivos/CNWI-QAAS/CNWI-QAAS-0016 Captura de boletas Sistema SAP.pdf</v>
      </c>
      <c r="Q286" s="51" t="str">
        <f>E286</f>
        <v>pdf</v>
      </c>
      <c r="R286" s="51"/>
      <c r="S286" s="51"/>
      <c r="T286" s="51"/>
      <c r="U286" s="51"/>
      <c r="V286" s="51"/>
      <c r="W286" s="51"/>
      <c r="X286" s="51"/>
      <c r="Y286" s="51"/>
      <c r="Z286" s="51"/>
      <c r="AA286" s="51"/>
      <c r="AB286" s="51"/>
      <c r="AC286" s="51"/>
      <c r="AD286" s="51"/>
      <c r="AG286" t="s">
        <v>28</v>
      </c>
      <c r="AH286" s="51"/>
      <c r="AI286" s="51"/>
    </row>
    <row r="287" spans="2:35">
      <c r="B287" t="s">
        <v>1162</v>
      </c>
      <c r="C287" t="s">
        <v>3345</v>
      </c>
      <c r="D287">
        <v>4</v>
      </c>
      <c r="E287" t="s">
        <v>2791</v>
      </c>
      <c r="F287">
        <v>9</v>
      </c>
      <c r="I287" t="s">
        <v>1163</v>
      </c>
      <c r="J287" s="51">
        <v>40745</v>
      </c>
      <c r="K287" t="s">
        <v>27</v>
      </c>
      <c r="L287" t="s">
        <v>1157</v>
      </c>
      <c r="M287">
        <v>3</v>
      </c>
      <c r="N287" t="str">
        <f>L287</f>
        <v>NAM\F13B6</v>
      </c>
      <c r="O287" s="51">
        <f>J287</f>
        <v>40745</v>
      </c>
      <c r="P287" s="51" t="str">
        <f>C287</f>
        <v>~/cdd/olddocs/Instructivos/CNWI-QAAS/CNWI-QAAS-0017 Base de datos Calibracion.pdf</v>
      </c>
      <c r="Q287" s="51" t="str">
        <f>E287</f>
        <v>pdf</v>
      </c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G287" t="s">
        <v>28</v>
      </c>
      <c r="AH287" s="51"/>
      <c r="AI287" s="51"/>
    </row>
    <row r="288" spans="2:35">
      <c r="B288" t="s">
        <v>1164</v>
      </c>
      <c r="C288" t="s">
        <v>3346</v>
      </c>
      <c r="D288">
        <v>4</v>
      </c>
      <c r="E288" t="s">
        <v>2791</v>
      </c>
      <c r="F288">
        <v>9</v>
      </c>
      <c r="I288" t="s">
        <v>1165</v>
      </c>
      <c r="J288" s="51">
        <v>40745</v>
      </c>
      <c r="K288" t="s">
        <v>27</v>
      </c>
      <c r="L288" t="s">
        <v>1157</v>
      </c>
      <c r="M288">
        <v>3</v>
      </c>
      <c r="N288" t="str">
        <f>L288</f>
        <v>NAM\F13B6</v>
      </c>
      <c r="O288" s="51">
        <f>J288</f>
        <v>40745</v>
      </c>
      <c r="P288" s="51" t="str">
        <f>C288</f>
        <v>~/cdd/olddocs/Instructivos/CNWI-QAAS/CNWI-QAAS-0018 calibracion de basculas.pdf</v>
      </c>
      <c r="Q288" s="51" t="str">
        <f>E288</f>
        <v>pdf</v>
      </c>
      <c r="R288" s="51"/>
      <c r="S288" s="51"/>
      <c r="T288" s="51"/>
      <c r="U288" s="51"/>
      <c r="V288" s="51"/>
      <c r="W288" s="51"/>
      <c r="X288" s="51"/>
      <c r="Y288" s="51"/>
      <c r="Z288" s="51"/>
      <c r="AA288" s="51"/>
      <c r="AB288" s="51"/>
      <c r="AC288" s="51"/>
      <c r="AD288" s="51"/>
      <c r="AG288" t="s">
        <v>28</v>
      </c>
      <c r="AH288" s="51"/>
      <c r="AI288" s="51"/>
    </row>
    <row r="289" spans="2:35">
      <c r="B289" t="s">
        <v>1166</v>
      </c>
      <c r="C289" t="s">
        <v>3347</v>
      </c>
      <c r="D289">
        <v>4</v>
      </c>
      <c r="E289" t="s">
        <v>2791</v>
      </c>
      <c r="F289">
        <v>9</v>
      </c>
      <c r="I289" t="s">
        <v>1167</v>
      </c>
      <c r="J289" s="51">
        <v>40745</v>
      </c>
      <c r="K289" t="s">
        <v>27</v>
      </c>
      <c r="L289" t="s">
        <v>1157</v>
      </c>
      <c r="M289">
        <v>3</v>
      </c>
      <c r="N289" t="str">
        <f>L289</f>
        <v>NAM\F13B6</v>
      </c>
      <c r="O289" s="51">
        <f>J289</f>
        <v>40745</v>
      </c>
      <c r="P289" s="51" t="str">
        <f>C289</f>
        <v>~/cdd/olddocs/Instructivos/CNWI-QAAS/CNWI-QAAS-0019 Calibracion micrometros.pdf</v>
      </c>
      <c r="Q289" s="51" t="str">
        <f>E289</f>
        <v>pdf</v>
      </c>
      <c r="R289" s="51"/>
      <c r="S289" s="51"/>
      <c r="T289" s="51"/>
      <c r="U289" s="51"/>
      <c r="V289" s="51"/>
      <c r="W289" s="51"/>
      <c r="X289" s="51"/>
      <c r="Y289" s="51"/>
      <c r="Z289" s="51"/>
      <c r="AA289" s="51"/>
      <c r="AB289" s="51"/>
      <c r="AC289" s="51"/>
      <c r="AD289" s="51"/>
      <c r="AG289" t="s">
        <v>28</v>
      </c>
      <c r="AH289" s="51"/>
      <c r="AI289" s="51"/>
    </row>
    <row r="290" spans="2:35">
      <c r="B290" t="s">
        <v>1168</v>
      </c>
      <c r="C290" t="s">
        <v>3348</v>
      </c>
      <c r="D290">
        <v>4</v>
      </c>
      <c r="E290" t="s">
        <v>2791</v>
      </c>
      <c r="F290">
        <v>9</v>
      </c>
      <c r="I290" t="s">
        <v>1169</v>
      </c>
      <c r="J290" s="51">
        <v>40745</v>
      </c>
      <c r="K290" t="s">
        <v>27</v>
      </c>
      <c r="L290" t="s">
        <v>1157</v>
      </c>
      <c r="M290">
        <v>3</v>
      </c>
      <c r="N290" t="str">
        <f>L290</f>
        <v>NAM\F13B6</v>
      </c>
      <c r="O290" s="51">
        <f>J290</f>
        <v>40745</v>
      </c>
      <c r="P290" s="51" t="str">
        <f>C290</f>
        <v>~/cdd/olddocs/Instructivos/CNWI-QAAS/CNWI-QAAS-0020 calibracion Basculas.pdf</v>
      </c>
      <c r="Q290" s="51" t="str">
        <f>E290</f>
        <v>pdf</v>
      </c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G290" t="s">
        <v>28</v>
      </c>
      <c r="AH290" s="51"/>
      <c r="AI290" s="51"/>
    </row>
    <row r="291" spans="2:35">
      <c r="B291" t="s">
        <v>2034</v>
      </c>
      <c r="C291" t="s">
        <v>3349</v>
      </c>
      <c r="D291">
        <v>4</v>
      </c>
      <c r="E291" t="s">
        <v>2791</v>
      </c>
      <c r="F291">
        <v>9</v>
      </c>
      <c r="I291" t="s">
        <v>2035</v>
      </c>
      <c r="J291" s="51">
        <v>41057</v>
      </c>
      <c r="K291" t="s">
        <v>159</v>
      </c>
      <c r="L291" t="s">
        <v>1888</v>
      </c>
      <c r="M291">
        <v>3</v>
      </c>
      <c r="N291" t="str">
        <f>L291</f>
        <v>NAM\MA7784</v>
      </c>
      <c r="O291" s="51">
        <f>J291</f>
        <v>41057</v>
      </c>
      <c r="P291" s="51" t="str">
        <f>C291</f>
        <v>~/cdd/olddocs/Instructivos/CNWI-QAAS/CNWI-QAAS-0021  Procedimiento Scrap.pdf</v>
      </c>
      <c r="Q291" s="51" t="str">
        <f>E291</f>
        <v>pdf</v>
      </c>
      <c r="R291" s="51"/>
      <c r="S291" s="51"/>
      <c r="T291" s="51"/>
      <c r="U291" s="51"/>
      <c r="V291" s="51"/>
      <c r="W291" s="51"/>
      <c r="X291" s="51"/>
      <c r="Y291" s="51"/>
      <c r="Z291" s="51"/>
      <c r="AA291" s="51"/>
      <c r="AB291" s="51"/>
      <c r="AC291" s="51"/>
      <c r="AD291" s="51"/>
      <c r="AG291" t="s">
        <v>28</v>
      </c>
      <c r="AH291" s="51"/>
      <c r="AI291" s="51"/>
    </row>
    <row r="292" spans="2:35">
      <c r="B292" t="s">
        <v>2215</v>
      </c>
      <c r="C292" t="s">
        <v>3914</v>
      </c>
      <c r="D292">
        <v>4</v>
      </c>
      <c r="E292" t="s">
        <v>2791</v>
      </c>
      <c r="F292">
        <v>9</v>
      </c>
      <c r="I292" t="s">
        <v>2216</v>
      </c>
      <c r="J292" s="51">
        <v>41107</v>
      </c>
      <c r="K292" t="s">
        <v>38</v>
      </c>
      <c r="L292" t="s">
        <v>2063</v>
      </c>
      <c r="M292">
        <v>3</v>
      </c>
      <c r="N292" t="str">
        <f>L292</f>
        <v>NAM\MB2117</v>
      </c>
      <c r="O292" s="51">
        <f>J292</f>
        <v>41107</v>
      </c>
      <c r="P292" s="51" t="str">
        <f>C292</f>
        <v>~cdd/olddocs/Instructivos/CNWI-QAAS/CNWI-QAAS-0022  Instructivo de llenado Certificado.pdf</v>
      </c>
      <c r="Q292" s="51" t="str">
        <f>E292</f>
        <v>pdf</v>
      </c>
      <c r="R292" s="51"/>
      <c r="S292" s="51"/>
      <c r="T292" s="51"/>
      <c r="U292" s="51"/>
      <c r="V292" s="51"/>
      <c r="W292" s="51"/>
      <c r="X292" s="51"/>
      <c r="Y292" s="51"/>
      <c r="Z292" s="51"/>
      <c r="AA292" s="51"/>
      <c r="AB292" s="51"/>
      <c r="AC292" s="51"/>
      <c r="AD292" s="51"/>
      <c r="AG292" t="s">
        <v>28</v>
      </c>
      <c r="AH292" s="51"/>
      <c r="AI292" s="51"/>
    </row>
    <row r="293" spans="2:35">
      <c r="B293" t="s">
        <v>1112</v>
      </c>
      <c r="C293" t="s">
        <v>3350</v>
      </c>
      <c r="D293">
        <v>4</v>
      </c>
      <c r="E293" t="s">
        <v>2791</v>
      </c>
      <c r="F293">
        <v>9</v>
      </c>
      <c r="I293" t="s">
        <v>1113</v>
      </c>
      <c r="J293" s="51">
        <v>41201</v>
      </c>
      <c r="K293" t="s">
        <v>159</v>
      </c>
      <c r="L293" t="s">
        <v>1109</v>
      </c>
      <c r="M293">
        <v>3</v>
      </c>
      <c r="N293" t="str">
        <f>L293</f>
        <v>NAM\MB2116</v>
      </c>
      <c r="O293" s="51">
        <f>J293</f>
        <v>41201</v>
      </c>
      <c r="P293" s="51" t="str">
        <f>C293</f>
        <v>~/cdd/olddocs/Instructivos/CNWI-QAAS/CNWI-QAAS-0023  Instruccion de RMA's  _ Spanish _.pdf</v>
      </c>
      <c r="Q293" s="51" t="str">
        <f>E293</f>
        <v>pdf</v>
      </c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G293" t="s">
        <v>28</v>
      </c>
      <c r="AH293" s="51"/>
      <c r="AI293" s="51"/>
    </row>
    <row r="294" spans="2:35">
      <c r="B294" t="s">
        <v>1114</v>
      </c>
      <c r="C294" t="s">
        <v>3351</v>
      </c>
      <c r="D294">
        <v>4</v>
      </c>
      <c r="E294" t="s">
        <v>2791</v>
      </c>
      <c r="F294">
        <v>9</v>
      </c>
      <c r="I294" t="s">
        <v>1115</v>
      </c>
      <c r="J294" s="51">
        <v>41053</v>
      </c>
      <c r="K294" t="s">
        <v>27</v>
      </c>
      <c r="L294" t="s">
        <v>1109</v>
      </c>
      <c r="M294">
        <v>3</v>
      </c>
      <c r="N294" t="str">
        <f>L294</f>
        <v>NAM\MB2116</v>
      </c>
      <c r="O294" s="51">
        <f>J294</f>
        <v>41053</v>
      </c>
      <c r="P294" s="51" t="str">
        <f>C294</f>
        <v>~/cdd/olddocs/Instructivos/CNWI-QAAS/CNWI-QAAS-0024 Procedimiento para recall de productos.pdf</v>
      </c>
      <c r="Q294" s="51" t="str">
        <f>E294</f>
        <v>pdf</v>
      </c>
      <c r="R294" s="51"/>
      <c r="S294" s="51"/>
      <c r="T294" s="51"/>
      <c r="U294" s="51"/>
      <c r="V294" s="51"/>
      <c r="W294" s="51"/>
      <c r="X294" s="51"/>
      <c r="Y294" s="51"/>
      <c r="Z294" s="51"/>
      <c r="AA294" s="51"/>
      <c r="AB294" s="51"/>
      <c r="AC294" s="51"/>
      <c r="AD294" s="51"/>
      <c r="AG294" t="s">
        <v>28</v>
      </c>
      <c r="AH294" s="51"/>
      <c r="AI294" s="51"/>
    </row>
    <row r="295" spans="2:35">
      <c r="B295" t="s">
        <v>1116</v>
      </c>
      <c r="C295" t="s">
        <v>3352</v>
      </c>
      <c r="D295">
        <v>4</v>
      </c>
      <c r="E295" t="s">
        <v>2791</v>
      </c>
      <c r="F295">
        <v>9</v>
      </c>
      <c r="I295" t="s">
        <v>1117</v>
      </c>
      <c r="J295" s="51">
        <v>41204</v>
      </c>
      <c r="K295" t="s">
        <v>46</v>
      </c>
      <c r="L295" t="s">
        <v>1109</v>
      </c>
      <c r="M295">
        <v>3</v>
      </c>
      <c r="N295" t="str">
        <f>L295</f>
        <v>NAM\MB2116</v>
      </c>
      <c r="O295" s="51">
        <f>J295</f>
        <v>41204</v>
      </c>
      <c r="P295" s="51" t="str">
        <f>C295</f>
        <v>~/cdd/olddocs/Instructivos/CNWI-QAAS/CNWI-QAAS-0025  Validacion de componentes.pdf</v>
      </c>
      <c r="Q295" s="51" t="str">
        <f>E295</f>
        <v>pdf</v>
      </c>
      <c r="R295" s="51"/>
      <c r="S295" s="51"/>
      <c r="T295" s="51"/>
      <c r="U295" s="51"/>
      <c r="V295" s="51"/>
      <c r="W295" s="51"/>
      <c r="X295" s="51"/>
      <c r="Y295" s="51"/>
      <c r="Z295" s="51"/>
      <c r="AA295" s="51"/>
      <c r="AB295" s="51"/>
      <c r="AC295" s="51"/>
      <c r="AD295" s="51"/>
      <c r="AG295" t="s">
        <v>28</v>
      </c>
      <c r="AH295" s="51"/>
      <c r="AI295" s="51"/>
    </row>
    <row r="296" spans="2:35">
      <c r="B296" t="s">
        <v>298</v>
      </c>
      <c r="C296" t="s">
        <v>3353</v>
      </c>
      <c r="D296">
        <v>4</v>
      </c>
      <c r="E296" t="s">
        <v>2791</v>
      </c>
      <c r="F296">
        <v>9</v>
      </c>
      <c r="I296" t="s">
        <v>299</v>
      </c>
      <c r="J296" s="51">
        <v>40834</v>
      </c>
      <c r="K296" t="s">
        <v>27</v>
      </c>
      <c r="L296" t="s">
        <v>222</v>
      </c>
      <c r="M296">
        <v>3</v>
      </c>
      <c r="N296" t="str">
        <f>L296</f>
        <v>NAM\MA9769</v>
      </c>
      <c r="O296" s="51">
        <f>J296</f>
        <v>40834</v>
      </c>
      <c r="P296" s="51" t="str">
        <f>C296</f>
        <v>~/cdd/olddocs/Instructivos/CNWI-QAAS/CNWI-QAAS-0026 Identificacion y Rastreabilidad del producto.pdf</v>
      </c>
      <c r="Q296" s="51" t="str">
        <f>E296</f>
        <v>pdf</v>
      </c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G296" t="s">
        <v>28</v>
      </c>
      <c r="AH296" s="51"/>
      <c r="AI296" s="51"/>
    </row>
    <row r="297" spans="2:35">
      <c r="B297" t="s">
        <v>1170</v>
      </c>
      <c r="C297" t="s">
        <v>3354</v>
      </c>
      <c r="D297">
        <v>4</v>
      </c>
      <c r="E297" t="s">
        <v>2794</v>
      </c>
      <c r="F297">
        <v>9</v>
      </c>
      <c r="I297" t="s">
        <v>3779</v>
      </c>
      <c r="J297" s="51">
        <v>40856</v>
      </c>
      <c r="K297" t="s">
        <v>27</v>
      </c>
      <c r="L297" t="s">
        <v>1157</v>
      </c>
      <c r="M297">
        <v>3</v>
      </c>
      <c r="N297" t="str">
        <f>L297</f>
        <v>NAM\F13B6</v>
      </c>
      <c r="O297" s="51">
        <f>J297</f>
        <v>40856</v>
      </c>
      <c r="P297" s="51" t="str">
        <f>C297</f>
        <v>~/cdd/olddocs/Instructivos/CNWI-QAAS/CNWI-QAAS-0027 Rev. A Flujo de proceso de inspeccion de engomado bacc65xx.doc</v>
      </c>
      <c r="Q297" s="51" t="str">
        <f>E297</f>
        <v>doc</v>
      </c>
      <c r="R297" s="51"/>
      <c r="S297" s="51"/>
      <c r="T297" s="51"/>
      <c r="U297" s="51"/>
      <c r="V297" s="51"/>
      <c r="W297" s="51"/>
      <c r="X297" s="51"/>
      <c r="Y297" s="51"/>
      <c r="Z297" s="51"/>
      <c r="AA297" s="51"/>
      <c r="AB297" s="51"/>
      <c r="AC297" s="51"/>
      <c r="AD297" s="51"/>
      <c r="AG297" t="s">
        <v>28</v>
      </c>
      <c r="AH297" s="51"/>
      <c r="AI297" s="51"/>
    </row>
    <row r="298" spans="2:35">
      <c r="B298" t="s">
        <v>1172</v>
      </c>
      <c r="C298" t="s">
        <v>3355</v>
      </c>
      <c r="D298">
        <v>4</v>
      </c>
      <c r="E298" t="s">
        <v>2791</v>
      </c>
      <c r="F298">
        <v>9</v>
      </c>
      <c r="I298" t="s">
        <v>1173</v>
      </c>
      <c r="J298" s="51">
        <v>40849</v>
      </c>
      <c r="K298" t="s">
        <v>27</v>
      </c>
      <c r="L298" t="s">
        <v>1157</v>
      </c>
      <c r="M298">
        <v>3</v>
      </c>
      <c r="N298" t="str">
        <f>L298</f>
        <v>NAM\F13B6</v>
      </c>
      <c r="O298" s="51">
        <f>J298</f>
        <v>40849</v>
      </c>
      <c r="P298" s="51" t="str">
        <f>C298</f>
        <v>~/cdd/olddocs/Instructivos/CNWI-QAAS/CNWI-QAAS-0028 Flujo de Inspeccion en Ensamble.pdf</v>
      </c>
      <c r="Q298" s="51" t="str">
        <f>E298</f>
        <v>pdf</v>
      </c>
      <c r="R298" s="51"/>
      <c r="S298" s="51"/>
      <c r="T298" s="51"/>
      <c r="U298" s="51"/>
      <c r="V298" s="51"/>
      <c r="W298" s="51"/>
      <c r="X298" s="51"/>
      <c r="Y298" s="51"/>
      <c r="Z298" s="51"/>
      <c r="AA298" s="51"/>
      <c r="AB298" s="51"/>
      <c r="AC298" s="51"/>
      <c r="AD298" s="51"/>
      <c r="AG298" t="s">
        <v>28</v>
      </c>
      <c r="AH298" s="51"/>
      <c r="AI298" s="51"/>
    </row>
    <row r="299" spans="2:35">
      <c r="B299" t="s">
        <v>2036</v>
      </c>
      <c r="C299" t="s">
        <v>3942</v>
      </c>
      <c r="D299">
        <v>4</v>
      </c>
      <c r="E299" t="s">
        <v>2797</v>
      </c>
      <c r="F299">
        <v>9</v>
      </c>
      <c r="I299" t="s">
        <v>2037</v>
      </c>
      <c r="J299" s="51">
        <v>41065</v>
      </c>
      <c r="K299" t="s">
        <v>27</v>
      </c>
      <c r="L299" t="s">
        <v>1888</v>
      </c>
      <c r="M299">
        <v>3</v>
      </c>
      <c r="N299" t="str">
        <f>L299</f>
        <v>NAM\MA7784</v>
      </c>
      <c r="O299" s="51">
        <f>J299</f>
        <v>41065</v>
      </c>
      <c r="P299" s="51" t="str">
        <f>C299</f>
        <v>~/cdd/olddocs/CN-QAAS (Aseguranza de calidad)/WI/CNWI-QAAS-0029 Rev. A Procedimiento para cerrar en SAP las notificaciones de Customer Complaints.docx</v>
      </c>
      <c r="Q299" s="51" t="str">
        <f>E299</f>
        <v>docx</v>
      </c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G299" t="s">
        <v>28</v>
      </c>
      <c r="AH299" s="51"/>
      <c r="AI299" s="51"/>
    </row>
    <row r="300" spans="2:35">
      <c r="B300" t="s">
        <v>1174</v>
      </c>
      <c r="C300" t="s">
        <v>3356</v>
      </c>
      <c r="D300">
        <v>4</v>
      </c>
      <c r="E300" t="s">
        <v>2791</v>
      </c>
      <c r="F300">
        <v>9</v>
      </c>
      <c r="I300" t="s">
        <v>1175</v>
      </c>
      <c r="J300" s="51">
        <v>40850</v>
      </c>
      <c r="K300" t="s">
        <v>27</v>
      </c>
      <c r="L300" t="s">
        <v>1157</v>
      </c>
      <c r="M300">
        <v>3</v>
      </c>
      <c r="N300" t="str">
        <f>L300</f>
        <v>NAM\F13B6</v>
      </c>
      <c r="O300" s="51">
        <f>J300</f>
        <v>40850</v>
      </c>
      <c r="P300" s="51" t="str">
        <f>C300</f>
        <v>~/cdd/olddocs/Instructivos/CNWI-QAAS/CNWI-QAAS-0030 liberacion de equipo.pdf</v>
      </c>
      <c r="Q300" s="51" t="str">
        <f>E300</f>
        <v>pdf</v>
      </c>
      <c r="R300" s="51"/>
      <c r="S300" s="51"/>
      <c r="T300" s="51"/>
      <c r="U300" s="51"/>
      <c r="V300" s="51"/>
      <c r="W300" s="51"/>
      <c r="X300" s="51"/>
      <c r="Y300" s="51"/>
      <c r="Z300" s="51"/>
      <c r="AA300" s="51"/>
      <c r="AB300" s="51"/>
      <c r="AC300" s="51"/>
      <c r="AD300" s="51"/>
      <c r="AG300" t="s">
        <v>28</v>
      </c>
      <c r="AH300" s="51"/>
      <c r="AI300" s="51"/>
    </row>
    <row r="301" spans="2:35">
      <c r="B301" t="s">
        <v>1176</v>
      </c>
      <c r="C301" t="s">
        <v>3357</v>
      </c>
      <c r="D301">
        <v>4</v>
      </c>
      <c r="E301" t="s">
        <v>2791</v>
      </c>
      <c r="F301">
        <v>9</v>
      </c>
      <c r="I301" t="s">
        <v>1177</v>
      </c>
      <c r="J301" s="51">
        <v>40863</v>
      </c>
      <c r="K301" t="s">
        <v>27</v>
      </c>
      <c r="L301" t="s">
        <v>1157</v>
      </c>
      <c r="M301">
        <v>3</v>
      </c>
      <c r="N301" t="str">
        <f>L301</f>
        <v>NAM\F13B6</v>
      </c>
      <c r="O301" s="51">
        <f>J301</f>
        <v>40863</v>
      </c>
      <c r="P301" s="51" t="str">
        <f>C301</f>
        <v>~/cdd/olddocs/Instructivos/CNWI-QAAS/CNWI-QAAS-0031 Calibracion de Verniers.pdf</v>
      </c>
      <c r="Q301" s="51" t="str">
        <f>E301</f>
        <v>pdf</v>
      </c>
      <c r="R301" s="51"/>
      <c r="S301" s="51"/>
      <c r="T301" s="51"/>
      <c r="U301" s="51"/>
      <c r="V301" s="51"/>
      <c r="W301" s="51"/>
      <c r="X301" s="51"/>
      <c r="Y301" s="51"/>
      <c r="Z301" s="51"/>
      <c r="AA301" s="51"/>
      <c r="AB301" s="51"/>
      <c r="AC301" s="51"/>
      <c r="AD301" s="51"/>
      <c r="AG301" t="s">
        <v>28</v>
      </c>
      <c r="AH301" s="51"/>
      <c r="AI301" s="51"/>
    </row>
    <row r="302" spans="2:35">
      <c r="B302" t="s">
        <v>1178</v>
      </c>
      <c r="C302" t="s">
        <v>3358</v>
      </c>
      <c r="D302">
        <v>4</v>
      </c>
      <c r="E302" t="s">
        <v>2791</v>
      </c>
      <c r="F302">
        <v>9</v>
      </c>
      <c r="I302" t="s">
        <v>1179</v>
      </c>
      <c r="J302" s="51">
        <v>40871</v>
      </c>
      <c r="K302" t="s">
        <v>27</v>
      </c>
      <c r="L302" t="s">
        <v>1157</v>
      </c>
      <c r="M302">
        <v>3</v>
      </c>
      <c r="N302" t="str">
        <f>L302</f>
        <v>NAM\F13B6</v>
      </c>
      <c r="O302" s="51">
        <f>J302</f>
        <v>40871</v>
      </c>
      <c r="P302" s="51" t="str">
        <f>C302</f>
        <v>~/cdd/olddocs/Instructivos/CNWI-QAAS/CNWI-QAAS-0032 Instructivo de calibracion de  hornos.pdf</v>
      </c>
      <c r="Q302" s="51" t="str">
        <f>E302</f>
        <v>pdf</v>
      </c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G302" t="s">
        <v>28</v>
      </c>
      <c r="AH302" s="51"/>
      <c r="AI302" s="51"/>
    </row>
    <row r="303" spans="2:35">
      <c r="B303" t="s">
        <v>2038</v>
      </c>
      <c r="C303" t="s">
        <v>3943</v>
      </c>
      <c r="D303">
        <v>4</v>
      </c>
      <c r="E303" t="s">
        <v>2797</v>
      </c>
      <c r="F303">
        <v>9</v>
      </c>
      <c r="I303" t="s">
        <v>2039</v>
      </c>
      <c r="J303" s="51">
        <v>41248</v>
      </c>
      <c r="K303" t="s">
        <v>27</v>
      </c>
      <c r="L303" t="s">
        <v>1888</v>
      </c>
      <c r="M303">
        <v>3</v>
      </c>
      <c r="N303" t="str">
        <f>L303</f>
        <v>NAM\MA7784</v>
      </c>
      <c r="O303" s="51">
        <f>J303</f>
        <v>41248</v>
      </c>
      <c r="P303" s="51" t="str">
        <f>C303</f>
        <v>~/cdd/olddocs/CN-QAAS (Aseguranza de calidad)/WI/CNWI-QAAS-0033 Rev. A Customer satisfaction process.docx</v>
      </c>
      <c r="Q303" s="51" t="str">
        <f>E303</f>
        <v>docx</v>
      </c>
      <c r="R303" s="51"/>
      <c r="S303" s="51"/>
      <c r="T303" s="51"/>
      <c r="U303" s="51"/>
      <c r="V303" s="51"/>
      <c r="W303" s="51"/>
      <c r="X303" s="51"/>
      <c r="Y303" s="51"/>
      <c r="Z303" s="51"/>
      <c r="AA303" s="51"/>
      <c r="AB303" s="51"/>
      <c r="AC303" s="51"/>
      <c r="AD303" s="51"/>
      <c r="AG303" t="s">
        <v>28</v>
      </c>
      <c r="AH303" s="51"/>
      <c r="AI303" s="51"/>
    </row>
    <row r="304" spans="2:35">
      <c r="B304" t="s">
        <v>1180</v>
      </c>
      <c r="C304" t="s">
        <v>3359</v>
      </c>
      <c r="D304">
        <v>4</v>
      </c>
      <c r="E304" t="s">
        <v>2791</v>
      </c>
      <c r="F304">
        <v>9</v>
      </c>
      <c r="I304" t="s">
        <v>1181</v>
      </c>
      <c r="J304" s="51">
        <v>40884</v>
      </c>
      <c r="K304" t="s">
        <v>27</v>
      </c>
      <c r="L304" t="s">
        <v>1157</v>
      </c>
      <c r="M304">
        <v>3</v>
      </c>
      <c r="N304" t="str">
        <f>L304</f>
        <v>NAM\F13B6</v>
      </c>
      <c r="O304" s="51">
        <f>J304</f>
        <v>40884</v>
      </c>
      <c r="P304" s="51" t="str">
        <f>C304</f>
        <v>~/cdd/olddocs/Instructivos/CNWI-QAAS/CNWI-QAAS-0034 Calibracion de Indicadores.pdf</v>
      </c>
      <c r="Q304" s="51" t="str">
        <f>E304</f>
        <v>pdf</v>
      </c>
      <c r="R304" s="51"/>
      <c r="S304" s="51"/>
      <c r="T304" s="51"/>
      <c r="U304" s="51"/>
      <c r="V304" s="51"/>
      <c r="W304" s="51"/>
      <c r="X304" s="51"/>
      <c r="Y304" s="51"/>
      <c r="Z304" s="51"/>
      <c r="AA304" s="51"/>
      <c r="AB304" s="51"/>
      <c r="AC304" s="51"/>
      <c r="AD304" s="51"/>
      <c r="AG304" t="s">
        <v>28</v>
      </c>
      <c r="AH304" s="51"/>
      <c r="AI304" s="51"/>
    </row>
    <row r="305" spans="2:35">
      <c r="B305" t="s">
        <v>300</v>
      </c>
      <c r="C305" t="s">
        <v>3360</v>
      </c>
      <c r="D305">
        <v>4</v>
      </c>
      <c r="E305" t="s">
        <v>2791</v>
      </c>
      <c r="F305">
        <v>9</v>
      </c>
      <c r="I305" t="s">
        <v>301</v>
      </c>
      <c r="J305" s="51">
        <v>40912</v>
      </c>
      <c r="K305" t="s">
        <v>27</v>
      </c>
      <c r="L305" t="s">
        <v>222</v>
      </c>
      <c r="M305">
        <v>3</v>
      </c>
      <c r="N305" t="str">
        <f>L305</f>
        <v>NAM\MA9769</v>
      </c>
      <c r="O305" s="51">
        <f>J305</f>
        <v>40912</v>
      </c>
      <c r="P305" s="51" t="str">
        <f>C305</f>
        <v>~/cdd/olddocs/Instructivos/CNWI-QAAS/CNWI-QAAS-0035 Requerimientos Aeroespacial para ins. FIA.pdf</v>
      </c>
      <c r="Q305" s="51" t="str">
        <f>E305</f>
        <v>pdf</v>
      </c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G305" t="s">
        <v>28</v>
      </c>
      <c r="AH305" s="51"/>
      <c r="AI305" s="51"/>
    </row>
    <row r="306" spans="2:35">
      <c r="B306" t="s">
        <v>2217</v>
      </c>
      <c r="C306" t="s">
        <v>3915</v>
      </c>
      <c r="D306">
        <v>4</v>
      </c>
      <c r="E306" t="s">
        <v>2791</v>
      </c>
      <c r="F306">
        <v>9</v>
      </c>
      <c r="I306" t="s">
        <v>2218</v>
      </c>
      <c r="J306" s="51">
        <v>41197</v>
      </c>
      <c r="K306" t="s">
        <v>46</v>
      </c>
      <c r="L306" t="s">
        <v>2063</v>
      </c>
      <c r="M306">
        <v>3</v>
      </c>
      <c r="N306" t="str">
        <f>L306</f>
        <v>NAM\MB2117</v>
      </c>
      <c r="O306" s="51">
        <f>J306</f>
        <v>41197</v>
      </c>
      <c r="P306" s="51" t="str">
        <f>C306</f>
        <v>~cdd/olddocs/Instructivos/CNWI-QAAS/CNWI-QAAS-0036  Procedimiento para Control Plan.pdf</v>
      </c>
      <c r="Q306" s="51" t="str">
        <f>E306</f>
        <v>pdf</v>
      </c>
      <c r="R306" s="51"/>
      <c r="S306" s="51"/>
      <c r="T306" s="51"/>
      <c r="U306" s="51"/>
      <c r="V306" s="51"/>
      <c r="W306" s="51"/>
      <c r="X306" s="51"/>
      <c r="Y306" s="51"/>
      <c r="Z306" s="51"/>
      <c r="AA306" s="51"/>
      <c r="AB306" s="51"/>
      <c r="AC306" s="51"/>
      <c r="AD306" s="51"/>
      <c r="AG306" t="s">
        <v>28</v>
      </c>
      <c r="AH306" s="51"/>
      <c r="AI306" s="51"/>
    </row>
    <row r="307" spans="2:35">
      <c r="B307" t="s">
        <v>1182</v>
      </c>
      <c r="C307" t="s">
        <v>3361</v>
      </c>
      <c r="D307">
        <v>4</v>
      </c>
      <c r="E307" t="s">
        <v>2791</v>
      </c>
      <c r="F307">
        <v>9</v>
      </c>
      <c r="I307" t="s">
        <v>1183</v>
      </c>
      <c r="J307" s="51">
        <v>40941</v>
      </c>
      <c r="K307" t="s">
        <v>27</v>
      </c>
      <c r="L307" t="s">
        <v>1157</v>
      </c>
      <c r="M307">
        <v>3</v>
      </c>
      <c r="N307" t="str">
        <f>L307</f>
        <v>NAM\F13B6</v>
      </c>
      <c r="O307" s="51">
        <f>J307</f>
        <v>40941</v>
      </c>
      <c r="P307" s="51" t="str">
        <f>C307</f>
        <v>~/cdd/olddocs/Instructivos/CNWI-QAAS/CNWI-QAAS-0037 registro y reastrabilidad de boletas de scrap.pdf</v>
      </c>
      <c r="Q307" s="51" t="str">
        <f>E307</f>
        <v>pdf</v>
      </c>
      <c r="R307" s="51"/>
      <c r="S307" s="51"/>
      <c r="T307" s="51"/>
      <c r="U307" s="51"/>
      <c r="V307" s="51"/>
      <c r="W307" s="51"/>
      <c r="X307" s="51"/>
      <c r="Y307" s="51"/>
      <c r="Z307" s="51"/>
      <c r="AA307" s="51"/>
      <c r="AB307" s="51"/>
      <c r="AC307" s="51"/>
      <c r="AD307" s="51"/>
      <c r="AG307" t="s">
        <v>28</v>
      </c>
      <c r="AH307" s="51"/>
      <c r="AI307" s="51"/>
    </row>
    <row r="308" spans="2:35">
      <c r="B308" t="s">
        <v>1184</v>
      </c>
      <c r="C308" t="s">
        <v>3916</v>
      </c>
      <c r="D308">
        <v>4</v>
      </c>
      <c r="E308" t="s">
        <v>2791</v>
      </c>
      <c r="F308">
        <v>9</v>
      </c>
      <c r="I308" t="s">
        <v>1185</v>
      </c>
      <c r="J308" s="51">
        <v>40962</v>
      </c>
      <c r="K308" t="s">
        <v>27</v>
      </c>
      <c r="L308" t="s">
        <v>1157</v>
      </c>
      <c r="M308">
        <v>3</v>
      </c>
      <c r="N308" t="str">
        <f>L308</f>
        <v>NAM\F13B6</v>
      </c>
      <c r="O308" s="51">
        <f>J308</f>
        <v>40962</v>
      </c>
      <c r="P308" s="51" t="str">
        <f>C308</f>
        <v>~cdd/olddocs/Instructivos/CNWI-QAAS/CNWI-QAAS-0038 Inst. para reporte SAP MB51.pdf</v>
      </c>
      <c r="Q308" s="51" t="str">
        <f>E308</f>
        <v>pdf</v>
      </c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G308" t="s">
        <v>28</v>
      </c>
      <c r="AH308" s="51"/>
      <c r="AI308" s="51"/>
    </row>
    <row r="309" spans="2:35">
      <c r="B309" t="s">
        <v>2219</v>
      </c>
      <c r="C309" t="s">
        <v>3362</v>
      </c>
      <c r="D309">
        <v>4</v>
      </c>
      <c r="E309" t="s">
        <v>2791</v>
      </c>
      <c r="F309">
        <v>9</v>
      </c>
      <c r="I309" t="s">
        <v>2220</v>
      </c>
      <c r="J309" s="51">
        <v>40960</v>
      </c>
      <c r="K309" t="s">
        <v>27</v>
      </c>
      <c r="L309" t="s">
        <v>2063</v>
      </c>
      <c r="M309">
        <v>3</v>
      </c>
      <c r="N309" t="str">
        <f>L309</f>
        <v>NAM\MB2117</v>
      </c>
      <c r="O309" s="51">
        <f>J309</f>
        <v>40960</v>
      </c>
      <c r="P309" s="51" t="str">
        <f>C309</f>
        <v>~/cdd/olddocs/Instructivos/CNWI-QAAS/CNWI-QAAS-0039 Protocolo de liberacion de moldeo.pdf</v>
      </c>
      <c r="Q309" s="51" t="str">
        <f>E309</f>
        <v>pdf</v>
      </c>
      <c r="R309" s="51"/>
      <c r="S309" s="51"/>
      <c r="T309" s="51"/>
      <c r="U309" s="51"/>
      <c r="V309" s="51"/>
      <c r="W309" s="51"/>
      <c r="X309" s="51"/>
      <c r="Y309" s="51"/>
      <c r="Z309" s="51"/>
      <c r="AA309" s="51"/>
      <c r="AB309" s="51"/>
      <c r="AC309" s="51"/>
      <c r="AD309" s="51"/>
      <c r="AG309" t="s">
        <v>28</v>
      </c>
      <c r="AH309" s="51"/>
      <c r="AI309" s="51"/>
    </row>
    <row r="310" spans="2:35">
      <c r="B310" t="s">
        <v>1186</v>
      </c>
      <c r="C310" t="s">
        <v>3363</v>
      </c>
      <c r="D310">
        <v>4</v>
      </c>
      <c r="E310" t="s">
        <v>2791</v>
      </c>
      <c r="F310">
        <v>9</v>
      </c>
      <c r="I310" t="s">
        <v>1187</v>
      </c>
      <c r="J310" s="51">
        <v>40988</v>
      </c>
      <c r="K310" t="s">
        <v>27</v>
      </c>
      <c r="L310" t="s">
        <v>1157</v>
      </c>
      <c r="M310">
        <v>3</v>
      </c>
      <c r="N310" t="str">
        <f>L310</f>
        <v>NAM\F13B6</v>
      </c>
      <c r="O310" s="51">
        <f>J310</f>
        <v>40988</v>
      </c>
      <c r="P310" s="51" t="str">
        <f>C310</f>
        <v>~/cdd/olddocs/Instructivos/CNWI-QAAS/CNWI-QAAS-0040 Procedimiento de prueba MS.pdf</v>
      </c>
      <c r="Q310" s="51" t="str">
        <f>E310</f>
        <v>pdf</v>
      </c>
      <c r="R310" s="51"/>
      <c r="S310" s="51"/>
      <c r="T310" s="51"/>
      <c r="U310" s="51"/>
      <c r="V310" s="51"/>
      <c r="W310" s="51"/>
      <c r="X310" s="51"/>
      <c r="Y310" s="51"/>
      <c r="Z310" s="51"/>
      <c r="AA310" s="51"/>
      <c r="AB310" s="51"/>
      <c r="AC310" s="51"/>
      <c r="AD310" s="51"/>
      <c r="AG310" t="s">
        <v>28</v>
      </c>
      <c r="AH310" s="51"/>
      <c r="AI310" s="51"/>
    </row>
    <row r="311" spans="2:35">
      <c r="B311" t="s">
        <v>1839</v>
      </c>
      <c r="C311" t="s">
        <v>3917</v>
      </c>
      <c r="D311">
        <v>4</v>
      </c>
      <c r="E311" t="s">
        <v>2791</v>
      </c>
      <c r="F311">
        <v>9</v>
      </c>
      <c r="I311" t="s">
        <v>1840</v>
      </c>
      <c r="J311" s="51">
        <v>40998</v>
      </c>
      <c r="K311" t="s">
        <v>27</v>
      </c>
      <c r="L311" t="s">
        <v>1584</v>
      </c>
      <c r="M311">
        <v>3</v>
      </c>
      <c r="N311" t="str">
        <f>L311</f>
        <v>NAM\A8070</v>
      </c>
      <c r="O311" s="51">
        <f>J311</f>
        <v>40998</v>
      </c>
      <c r="P311" s="51" t="str">
        <f>C311</f>
        <v>~cdd/olddocs/Instructivos/CNWI-QAAS/CNWI-QAAS-0041  Proceso de auditoria out of box.pdf</v>
      </c>
      <c r="Q311" s="51" t="str">
        <f>E311</f>
        <v>pdf</v>
      </c>
      <c r="R311" s="51"/>
      <c r="S311" s="51"/>
      <c r="T311" s="51"/>
      <c r="U311" s="51"/>
      <c r="V311" s="51"/>
      <c r="W311" s="51"/>
      <c r="X311" s="51"/>
      <c r="Y311" s="51"/>
      <c r="Z311" s="51"/>
      <c r="AA311" s="51"/>
      <c r="AB311" s="51"/>
      <c r="AC311" s="51"/>
      <c r="AD311" s="51"/>
      <c r="AG311" t="s">
        <v>28</v>
      </c>
      <c r="AH311" s="51"/>
      <c r="AI311" s="51"/>
    </row>
    <row r="312" spans="2:35">
      <c r="B312" t="s">
        <v>2221</v>
      </c>
      <c r="C312" t="s">
        <v>3364</v>
      </c>
      <c r="D312">
        <v>4</v>
      </c>
      <c r="E312" t="s">
        <v>2791</v>
      </c>
      <c r="F312">
        <v>9</v>
      </c>
      <c r="I312" t="s">
        <v>2222</v>
      </c>
      <c r="J312" s="51">
        <v>41172</v>
      </c>
      <c r="K312" t="s">
        <v>27</v>
      </c>
      <c r="L312" t="s">
        <v>2063</v>
      </c>
      <c r="M312">
        <v>3</v>
      </c>
      <c r="N312" t="str">
        <f>L312</f>
        <v>NAM\MB2117</v>
      </c>
      <c r="O312" s="51">
        <f>J312</f>
        <v>41172</v>
      </c>
      <c r="P312" s="51" t="str">
        <f>C312</f>
        <v>~/cdd/olddocs/Instructivos/CNWI-QAAS/CNWI-QAAS-0042 Procedimiento para Prueba de Impacto.pdf</v>
      </c>
      <c r="Q312" s="51" t="str">
        <f>E312</f>
        <v>pdf</v>
      </c>
      <c r="R312" s="51"/>
      <c r="S312" s="51"/>
      <c r="T312" s="51"/>
      <c r="U312" s="51"/>
      <c r="V312" s="51"/>
      <c r="W312" s="51"/>
      <c r="X312" s="51"/>
      <c r="Y312" s="51"/>
      <c r="Z312" s="51"/>
      <c r="AA312" s="51"/>
      <c r="AB312" s="51"/>
      <c r="AC312" s="51"/>
      <c r="AD312" s="51"/>
      <c r="AG312" t="s">
        <v>28</v>
      </c>
      <c r="AH312" s="51"/>
      <c r="AI312" s="51"/>
    </row>
    <row r="313" spans="2:35">
      <c r="B313" t="s">
        <v>1863</v>
      </c>
      <c r="C313" t="s">
        <v>3365</v>
      </c>
      <c r="D313">
        <v>4</v>
      </c>
      <c r="E313" t="s">
        <v>2791</v>
      </c>
      <c r="F313">
        <v>9</v>
      </c>
      <c r="I313" t="s">
        <v>1864</v>
      </c>
      <c r="J313" s="51">
        <v>41025</v>
      </c>
      <c r="K313" t="s">
        <v>27</v>
      </c>
      <c r="L313" t="s">
        <v>1866</v>
      </c>
      <c r="M313">
        <v>3</v>
      </c>
      <c r="N313" t="str">
        <f>L313</f>
        <v>NAM\MB0982</v>
      </c>
      <c r="O313" s="51">
        <f>J313</f>
        <v>41025</v>
      </c>
      <c r="P313" s="51" t="str">
        <f>C313</f>
        <v>~/cdd/olddocs/Instructivos/CNWI-QAAS/CNWI-QAAS-0043 Uso de base de datos de etiquetas (GMLabels).pdf</v>
      </c>
      <c r="Q313" s="51" t="str">
        <f>E313</f>
        <v>pdf</v>
      </c>
      <c r="R313" s="51"/>
      <c r="S313" s="51"/>
      <c r="T313" s="51"/>
      <c r="U313" s="51"/>
      <c r="V313" s="51"/>
      <c r="W313" s="51"/>
      <c r="X313" s="51"/>
      <c r="Y313" s="51"/>
      <c r="Z313" s="51"/>
      <c r="AA313" s="51"/>
      <c r="AB313" s="51"/>
      <c r="AC313" s="51"/>
      <c r="AD313" s="51"/>
      <c r="AG313" t="s">
        <v>28</v>
      </c>
      <c r="AH313" s="51"/>
      <c r="AI313" s="51"/>
    </row>
    <row r="314" spans="2:35">
      <c r="B314" t="s">
        <v>2040</v>
      </c>
      <c r="C314" t="s">
        <v>3918</v>
      </c>
      <c r="D314">
        <v>4</v>
      </c>
      <c r="E314" t="s">
        <v>2791</v>
      </c>
      <c r="F314">
        <v>9</v>
      </c>
      <c r="I314" t="s">
        <v>2041</v>
      </c>
      <c r="J314" s="51">
        <v>41075</v>
      </c>
      <c r="K314" t="s">
        <v>27</v>
      </c>
      <c r="L314" t="s">
        <v>1888</v>
      </c>
      <c r="M314">
        <v>3</v>
      </c>
      <c r="N314" t="str">
        <f>L314</f>
        <v>NAM\MA7784</v>
      </c>
      <c r="O314" s="51">
        <f>J314</f>
        <v>41075</v>
      </c>
      <c r="P314" s="51" t="str">
        <f>C314</f>
        <v>~cdd/olddocs/Instructivos/CNWI-QAAS/CNWI-QAAS-0045  Cerrar acción correctiva con Notificacion (Sap).pdf</v>
      </c>
      <c r="Q314" s="51" t="str">
        <f>E314</f>
        <v>pdf</v>
      </c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G314" t="s">
        <v>28</v>
      </c>
      <c r="AH314" s="51"/>
      <c r="AI314" s="51"/>
    </row>
    <row r="315" spans="2:35">
      <c r="B315" t="s">
        <v>2042</v>
      </c>
      <c r="C315" t="s">
        <v>3919</v>
      </c>
      <c r="D315">
        <v>4</v>
      </c>
      <c r="E315" t="s">
        <v>2791</v>
      </c>
      <c r="F315">
        <v>9</v>
      </c>
      <c r="I315" t="s">
        <v>2043</v>
      </c>
      <c r="J315" s="51">
        <v>41137</v>
      </c>
      <c r="K315" t="s">
        <v>46</v>
      </c>
      <c r="L315" t="s">
        <v>1888</v>
      </c>
      <c r="M315">
        <v>3</v>
      </c>
      <c r="N315" t="str">
        <f>L315</f>
        <v>NAM\MA7784</v>
      </c>
      <c r="O315" s="51">
        <f>J315</f>
        <v>41137</v>
      </c>
      <c r="P315" s="51" t="str">
        <f>C315</f>
        <v>~cdd/olddocs/Instructivos/CNWI-QAAS/CNWI-QAAS-0046 Rev. B Reporte de PPM's Externos y RMA's.pdf</v>
      </c>
      <c r="Q315" s="51" t="str">
        <f>E315</f>
        <v>pdf</v>
      </c>
      <c r="R315" s="51"/>
      <c r="S315" s="51"/>
      <c r="T315" s="51"/>
      <c r="U315" s="51"/>
      <c r="V315" s="51"/>
      <c r="W315" s="51"/>
      <c r="X315" s="51"/>
      <c r="Y315" s="51"/>
      <c r="Z315" s="51"/>
      <c r="AA315" s="51"/>
      <c r="AB315" s="51"/>
      <c r="AC315" s="51"/>
      <c r="AD315" s="51"/>
      <c r="AG315" t="s">
        <v>28</v>
      </c>
      <c r="AH315" s="51"/>
      <c r="AI315" s="51"/>
    </row>
    <row r="316" spans="2:35">
      <c r="B316" t="s">
        <v>302</v>
      </c>
      <c r="C316" t="s">
        <v>3920</v>
      </c>
      <c r="D316">
        <v>4</v>
      </c>
      <c r="E316" t="s">
        <v>2794</v>
      </c>
      <c r="F316">
        <v>9</v>
      </c>
      <c r="I316" t="s">
        <v>303</v>
      </c>
      <c r="J316" s="51">
        <v>41141</v>
      </c>
      <c r="K316" t="s">
        <v>27</v>
      </c>
      <c r="L316" t="s">
        <v>222</v>
      </c>
      <c r="M316">
        <v>3</v>
      </c>
      <c r="N316" t="str">
        <f>L316</f>
        <v>NAM\MA9769</v>
      </c>
      <c r="O316" s="51">
        <f>J316</f>
        <v>41141</v>
      </c>
      <c r="P316" s="51" t="str">
        <f>C316</f>
        <v>~cdd/olddocs/Instructivos/CNWI-QAAS/CNWI-QAAS-0047 Proceso de auditporia en capas (LPA).doc</v>
      </c>
      <c r="Q316" s="51" t="str">
        <f>E316</f>
        <v>doc</v>
      </c>
      <c r="R316" s="51"/>
      <c r="S316" s="51"/>
      <c r="T316" s="51"/>
      <c r="U316" s="51"/>
      <c r="V316" s="51"/>
      <c r="W316" s="51"/>
      <c r="X316" s="51"/>
      <c r="Y316" s="51"/>
      <c r="Z316" s="51"/>
      <c r="AA316" s="51"/>
      <c r="AB316" s="51"/>
      <c r="AC316" s="51"/>
      <c r="AD316" s="51"/>
      <c r="AG316" t="s">
        <v>28</v>
      </c>
      <c r="AH316" s="51"/>
      <c r="AI316" s="51"/>
    </row>
    <row r="317" spans="2:35">
      <c r="B317" t="s">
        <v>1118</v>
      </c>
      <c r="C317" t="s">
        <v>3921</v>
      </c>
      <c r="D317">
        <v>4</v>
      </c>
      <c r="E317" t="s">
        <v>2791</v>
      </c>
      <c r="F317">
        <v>9</v>
      </c>
      <c r="I317" t="s">
        <v>1119</v>
      </c>
      <c r="J317" s="51">
        <v>41206</v>
      </c>
      <c r="K317" t="s">
        <v>27</v>
      </c>
      <c r="L317" t="s">
        <v>1109</v>
      </c>
      <c r="M317">
        <v>3</v>
      </c>
      <c r="N317" t="str">
        <f>L317</f>
        <v>NAM\MB2116</v>
      </c>
      <c r="O317" s="51">
        <f>J317</f>
        <v>41206</v>
      </c>
      <c r="P317" s="51" t="str">
        <f>C317</f>
        <v>~cdd/olddocs/Instructivos/CNWI-QAAS/CNWI-QAAS-0048  Proceso de Supplier Quality.pdf</v>
      </c>
      <c r="Q317" s="51" t="str">
        <f>E317</f>
        <v>pdf</v>
      </c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G317" t="s">
        <v>28</v>
      </c>
      <c r="AH317" s="51"/>
      <c r="AI317" s="51"/>
    </row>
    <row r="318" spans="2:35">
      <c r="B318" t="s">
        <v>1188</v>
      </c>
      <c r="C318" t="s">
        <v>3074</v>
      </c>
      <c r="D318">
        <v>5</v>
      </c>
      <c r="E318" t="s">
        <v>2792</v>
      </c>
      <c r="F318">
        <v>9</v>
      </c>
      <c r="I318" t="s">
        <v>1189</v>
      </c>
      <c r="J318" s="51">
        <v>40559</v>
      </c>
      <c r="K318" t="s">
        <v>46</v>
      </c>
      <c r="L318" t="s">
        <v>1157</v>
      </c>
      <c r="M318">
        <v>3</v>
      </c>
      <c r="N318" t="str">
        <f>L318</f>
        <v>NAM\F13B6</v>
      </c>
      <c r="O318" s="51">
        <f>J318</f>
        <v>40559</v>
      </c>
      <c r="P318" s="51" t="str">
        <f>C318</f>
        <v>~/cdd/olddocs/Formas/CNWI-QAAS (aseguranza de calidad)/CNWI-QAAS-F001 Record de Calibracion.xls</v>
      </c>
      <c r="Q318" s="51" t="str">
        <f>E318</f>
        <v>xls</v>
      </c>
      <c r="R318" s="51"/>
      <c r="S318" s="51"/>
      <c r="T318" s="51"/>
      <c r="U318" s="51"/>
      <c r="V318" s="51"/>
      <c r="W318" s="51"/>
      <c r="X318" s="51"/>
      <c r="Y318" s="51"/>
      <c r="Z318" s="51"/>
      <c r="AA318" s="51"/>
      <c r="AB318" s="51"/>
      <c r="AC318" s="51"/>
      <c r="AD318" s="51"/>
      <c r="AG318" t="s">
        <v>28</v>
      </c>
      <c r="AH318" s="51"/>
      <c r="AI318" s="51"/>
    </row>
    <row r="319" spans="2:35">
      <c r="B319" t="s">
        <v>304</v>
      </c>
      <c r="C319" t="s">
        <v>3931</v>
      </c>
      <c r="D319">
        <v>5</v>
      </c>
      <c r="E319" t="s">
        <v>2796</v>
      </c>
      <c r="F319">
        <v>9</v>
      </c>
      <c r="I319" t="s">
        <v>305</v>
      </c>
      <c r="J319" s="51">
        <v>40559</v>
      </c>
      <c r="K319" t="s">
        <v>38</v>
      </c>
      <c r="L319" t="s">
        <v>222</v>
      </c>
      <c r="M319">
        <v>3</v>
      </c>
      <c r="N319" t="str">
        <f>L319</f>
        <v>NAM\MA9769</v>
      </c>
      <c r="O319" s="51">
        <f>J319</f>
        <v>40559</v>
      </c>
      <c r="P319" s="51" t="str">
        <f>C319</f>
        <v>~/cdd/olddocs/CN-QAAS (Aseguranza de calidad)/FORMAS/CNWI-QAAS-002 Rev. D Formato para Instruccion de trabajo.ppt</v>
      </c>
      <c r="Q319" s="51" t="str">
        <f>E319</f>
        <v>ppt</v>
      </c>
      <c r="R319" s="51"/>
      <c r="S319" s="51"/>
      <c r="T319" s="51"/>
      <c r="U319" s="51"/>
      <c r="V319" s="51"/>
      <c r="W319" s="51"/>
      <c r="X319" s="51"/>
      <c r="Y319" s="51"/>
      <c r="Z319" s="51"/>
      <c r="AA319" s="51"/>
      <c r="AB319" s="51"/>
      <c r="AC319" s="51"/>
      <c r="AD319" s="51"/>
      <c r="AG319" t="s">
        <v>28</v>
      </c>
      <c r="AH319" s="51"/>
      <c r="AI319" s="51"/>
    </row>
    <row r="320" spans="2:35">
      <c r="B320" t="s">
        <v>306</v>
      </c>
      <c r="C320" t="s">
        <v>3075</v>
      </c>
      <c r="D320">
        <v>5</v>
      </c>
      <c r="E320" t="s">
        <v>2794</v>
      </c>
      <c r="F320">
        <v>9</v>
      </c>
      <c r="I320" t="s">
        <v>307</v>
      </c>
      <c r="J320" s="51">
        <v>41088</v>
      </c>
      <c r="K320" t="s">
        <v>159</v>
      </c>
      <c r="L320" t="s">
        <v>222</v>
      </c>
      <c r="M320">
        <v>3</v>
      </c>
      <c r="N320" t="str">
        <f>L320</f>
        <v>NAM\MA9769</v>
      </c>
      <c r="O320" s="51">
        <f>J320</f>
        <v>41088</v>
      </c>
      <c r="P320" s="51" t="str">
        <f>C320</f>
        <v>~/cdd/olddocs/Formas/CNWI-QAAS (aseguranza de calidad)/CNWI-QAAS-F003-C Formato oficial para control de documentos.doc</v>
      </c>
      <c r="Q320" s="51" t="str">
        <f>E320</f>
        <v>doc</v>
      </c>
      <c r="R320" s="51"/>
      <c r="S320" s="51"/>
      <c r="T320" s="51"/>
      <c r="U320" s="51"/>
      <c r="V320" s="51"/>
      <c r="W320" s="51"/>
      <c r="X320" s="51"/>
      <c r="Y320" s="51"/>
      <c r="Z320" s="51"/>
      <c r="AA320" s="51"/>
      <c r="AB320" s="51"/>
      <c r="AC320" s="51"/>
      <c r="AD320" s="51"/>
      <c r="AG320" t="s">
        <v>28</v>
      </c>
      <c r="AH320" s="51"/>
      <c r="AI320" s="51"/>
    </row>
    <row r="321" spans="2:35">
      <c r="B321" t="s">
        <v>2788</v>
      </c>
      <c r="C321" t="s">
        <v>3076</v>
      </c>
      <c r="D321">
        <v>5</v>
      </c>
      <c r="E321" t="s">
        <v>2792</v>
      </c>
      <c r="F321">
        <v>9</v>
      </c>
      <c r="I321" t="s">
        <v>2789</v>
      </c>
      <c r="J321" s="51">
        <v>40574</v>
      </c>
      <c r="K321" t="s">
        <v>27</v>
      </c>
      <c r="M321">
        <v>3</v>
      </c>
      <c r="N321">
        <f>L321</f>
        <v>0</v>
      </c>
      <c r="O321" s="51">
        <f>J321</f>
        <v>40574</v>
      </c>
      <c r="P321" s="51" t="str">
        <f>C321</f>
        <v>~/cdd/olddocs/Formas/CNWI-QAAS (aseguranza de calidad)/CNWI-QAAS-F004 Lista de Verificacion de AS9100.xls</v>
      </c>
      <c r="Q321" s="51" t="str">
        <f>E321</f>
        <v>xls</v>
      </c>
      <c r="R321" s="51"/>
      <c r="S321" s="51"/>
      <c r="T321" s="51"/>
      <c r="U321" s="51"/>
      <c r="V321" s="51"/>
      <c r="W321" s="51"/>
      <c r="X321" s="51"/>
      <c r="Y321" s="51"/>
      <c r="Z321" s="51"/>
      <c r="AA321" s="51"/>
      <c r="AB321" s="51"/>
      <c r="AC321" s="51"/>
      <c r="AD321" s="51"/>
      <c r="AG321" t="s">
        <v>28</v>
      </c>
      <c r="AH321" s="51"/>
      <c r="AI321" s="51"/>
    </row>
    <row r="322" spans="2:35">
      <c r="B322" t="s">
        <v>308</v>
      </c>
      <c r="C322" t="s">
        <v>3077</v>
      </c>
      <c r="D322">
        <v>5</v>
      </c>
      <c r="E322" t="s">
        <v>2790</v>
      </c>
      <c r="F322">
        <v>9</v>
      </c>
      <c r="I322" t="s">
        <v>309</v>
      </c>
      <c r="J322" s="51">
        <v>40575</v>
      </c>
      <c r="K322" t="s">
        <v>159</v>
      </c>
      <c r="L322" t="s">
        <v>222</v>
      </c>
      <c r="M322">
        <v>3</v>
      </c>
      <c r="N322" t="str">
        <f>L322</f>
        <v>NAM\MA9769</v>
      </c>
      <c r="O322" s="51">
        <f>J322</f>
        <v>40575</v>
      </c>
      <c r="P322" s="51" t="str">
        <f>C322</f>
        <v>~/cdd/olddocs/Formas/CNWI-QAAS (aseguranza de calidad)/CNWI-QAAS-F005 Corrective and Preventive Action Request.xlsx</v>
      </c>
      <c r="Q322" s="51" t="str">
        <f>E322</f>
        <v>xlsx</v>
      </c>
      <c r="R322" s="51"/>
      <c r="S322" s="51"/>
      <c r="T322" s="51"/>
      <c r="U322" s="51"/>
      <c r="V322" s="51"/>
      <c r="W322" s="51"/>
      <c r="X322" s="51"/>
      <c r="Y322" s="51"/>
      <c r="Z322" s="51"/>
      <c r="AA322" s="51"/>
      <c r="AB322" s="51"/>
      <c r="AC322" s="51"/>
      <c r="AD322" s="51"/>
      <c r="AG322" t="s">
        <v>28</v>
      </c>
      <c r="AH322" s="51"/>
      <c r="AI322" s="51"/>
    </row>
    <row r="323" spans="2:35">
      <c r="B323" t="s">
        <v>2417</v>
      </c>
      <c r="C323" t="s">
        <v>3078</v>
      </c>
      <c r="D323">
        <v>5</v>
      </c>
      <c r="E323" t="s">
        <v>2796</v>
      </c>
      <c r="F323">
        <v>9</v>
      </c>
      <c r="I323" t="s">
        <v>2418</v>
      </c>
      <c r="J323" s="51">
        <v>40584</v>
      </c>
      <c r="K323" t="s">
        <v>27</v>
      </c>
      <c r="L323" t="s">
        <v>2063</v>
      </c>
      <c r="M323">
        <v>3</v>
      </c>
      <c r="N323" t="str">
        <f>L323</f>
        <v>NAM\MB2117</v>
      </c>
      <c r="O323" s="51">
        <f>J323</f>
        <v>40584</v>
      </c>
      <c r="P323" s="51" t="str">
        <f>C323</f>
        <v>~/cdd/olddocs/Formas/CNWI-QAAS (aseguranza de calidad)/CNWI-QAAS-F007 Material no conformante .ppt</v>
      </c>
      <c r="Q323" s="51" t="str">
        <f>E323</f>
        <v>ppt</v>
      </c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G323" t="s">
        <v>28</v>
      </c>
      <c r="AH323" s="51"/>
      <c r="AI323" s="51"/>
    </row>
    <row r="324" spans="2:35">
      <c r="B324" t="s">
        <v>2420</v>
      </c>
      <c r="C324" t="s">
        <v>3079</v>
      </c>
      <c r="D324">
        <v>5</v>
      </c>
      <c r="E324" t="s">
        <v>2793</v>
      </c>
      <c r="F324">
        <v>9</v>
      </c>
      <c r="I324" t="s">
        <v>2421</v>
      </c>
      <c r="J324" s="51">
        <v>40777</v>
      </c>
      <c r="K324" t="s">
        <v>46</v>
      </c>
      <c r="L324" t="s">
        <v>2063</v>
      </c>
      <c r="M324">
        <v>3</v>
      </c>
      <c r="N324" t="str">
        <f>L324</f>
        <v>NAM\MB2117</v>
      </c>
      <c r="O324" s="51">
        <f>J324</f>
        <v>40777</v>
      </c>
      <c r="P324" s="51" t="str">
        <f>C324</f>
        <v>~/cdd/olddocs/Formas/CNWI-QAAS (aseguranza de calidad)/CNWI-QAAS-F008-A Liberacion primera pieza AMSAFE-SALEM-ENS.GRAL.pptx</v>
      </c>
      <c r="Q324" s="51" t="str">
        <f>E324</f>
        <v>pptx</v>
      </c>
      <c r="R324" s="51"/>
      <c r="S324" s="51"/>
      <c r="T324" s="51"/>
      <c r="U324" s="51"/>
      <c r="V324" s="51"/>
      <c r="W324" s="51"/>
      <c r="X324" s="51"/>
      <c r="Y324" s="51"/>
      <c r="Z324" s="51"/>
      <c r="AA324" s="51"/>
      <c r="AB324" s="51"/>
      <c r="AC324" s="51"/>
      <c r="AD324" s="51"/>
      <c r="AG324" t="s">
        <v>28</v>
      </c>
      <c r="AH324" s="51"/>
      <c r="AI324" s="51"/>
    </row>
    <row r="325" spans="2:35">
      <c r="B325" t="s">
        <v>2223</v>
      </c>
      <c r="C325" t="s">
        <v>3080</v>
      </c>
      <c r="D325">
        <v>5</v>
      </c>
      <c r="E325" t="s">
        <v>2793</v>
      </c>
      <c r="F325">
        <v>9</v>
      </c>
      <c r="I325" t="s">
        <v>2224</v>
      </c>
      <c r="J325" s="51">
        <v>40777</v>
      </c>
      <c r="K325" t="s">
        <v>46</v>
      </c>
      <c r="L325" t="s">
        <v>2063</v>
      </c>
      <c r="M325">
        <v>3</v>
      </c>
      <c r="N325" t="str">
        <f>L325</f>
        <v>NAM\MB2117</v>
      </c>
      <c r="O325" s="51">
        <f>J325</f>
        <v>40777</v>
      </c>
      <c r="P325" s="51" t="str">
        <f>C325</f>
        <v>~/cdd/olddocs/Formas/CNWI-QAAS (aseguranza de calidad)/CNWI-QAAS-F008-B Liberacion primera pieza CORTE.pptx</v>
      </c>
      <c r="Q325" s="51" t="str">
        <f>E325</f>
        <v>pptx</v>
      </c>
      <c r="R325" s="51"/>
      <c r="S325" s="51"/>
      <c r="T325" s="51"/>
      <c r="U325" s="51"/>
      <c r="V325" s="51"/>
      <c r="W325" s="51"/>
      <c r="X325" s="51"/>
      <c r="Y325" s="51"/>
      <c r="Z325" s="51"/>
      <c r="AA325" s="51"/>
      <c r="AB325" s="51"/>
      <c r="AC325" s="51"/>
      <c r="AD325" s="51"/>
      <c r="AG325" t="s">
        <v>28</v>
      </c>
      <c r="AH325" s="51"/>
      <c r="AI325" s="51"/>
    </row>
    <row r="326" spans="2:35">
      <c r="B326" t="s">
        <v>2225</v>
      </c>
      <c r="C326" t="s">
        <v>3081</v>
      </c>
      <c r="D326">
        <v>5</v>
      </c>
      <c r="E326" t="s">
        <v>2793</v>
      </c>
      <c r="F326">
        <v>9</v>
      </c>
      <c r="I326" t="s">
        <v>2226</v>
      </c>
      <c r="J326" s="51">
        <v>40777</v>
      </c>
      <c r="K326" t="s">
        <v>46</v>
      </c>
      <c r="L326" t="s">
        <v>2063</v>
      </c>
      <c r="M326">
        <v>3</v>
      </c>
      <c r="N326" t="str">
        <f>L326</f>
        <v>NAM\MB2117</v>
      </c>
      <c r="O326" s="51">
        <f>J326</f>
        <v>40777</v>
      </c>
      <c r="P326" s="51" t="str">
        <f>C326</f>
        <v>~/cdd/olddocs/Formas/CNWI-QAAS (aseguranza de calidad)/CNWI-QAAS-F008-C Liberacion primera pieza ENGOMADO.pptx</v>
      </c>
      <c r="Q326" s="51" t="str">
        <f>E326</f>
        <v>pptx</v>
      </c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G326" t="s">
        <v>28</v>
      </c>
      <c r="AH326" s="51"/>
      <c r="AI326" s="51"/>
    </row>
    <row r="327" spans="2:35">
      <c r="B327" t="s">
        <v>2227</v>
      </c>
      <c r="C327" t="s">
        <v>3082</v>
      </c>
      <c r="D327">
        <v>5</v>
      </c>
      <c r="E327" t="s">
        <v>2793</v>
      </c>
      <c r="F327">
        <v>9</v>
      </c>
      <c r="I327" t="s">
        <v>2228</v>
      </c>
      <c r="J327" s="51">
        <v>40777</v>
      </c>
      <c r="K327" t="s">
        <v>46</v>
      </c>
      <c r="L327" t="s">
        <v>2063</v>
      </c>
      <c r="M327">
        <v>3</v>
      </c>
      <c r="N327" t="str">
        <f>L327</f>
        <v>NAM\MB2117</v>
      </c>
      <c r="O327" s="51">
        <f>J327</f>
        <v>40777</v>
      </c>
      <c r="P327" s="51" t="str">
        <f>C327</f>
        <v>~/cdd/olddocs/Formas/CNWI-QAAS (aseguranza de calidad)/CNWI-QAAS-F008-D Liberacion primera pieza ITRON.pptx</v>
      </c>
      <c r="Q327" s="51" t="str">
        <f>E327</f>
        <v>pptx</v>
      </c>
      <c r="R327" s="51"/>
      <c r="S327" s="51"/>
      <c r="T327" s="51"/>
      <c r="U327" s="51"/>
      <c r="V327" s="51"/>
      <c r="W327" s="51"/>
      <c r="X327" s="51"/>
      <c r="Y327" s="51"/>
      <c r="Z327" s="51"/>
      <c r="AA327" s="51"/>
      <c r="AB327" s="51"/>
      <c r="AC327" s="51"/>
      <c r="AD327" s="51"/>
      <c r="AG327" t="s">
        <v>28</v>
      </c>
      <c r="AH327" s="51"/>
      <c r="AI327" s="51"/>
    </row>
    <row r="328" spans="2:35">
      <c r="B328" t="s">
        <v>1841</v>
      </c>
      <c r="C328" t="s">
        <v>3083</v>
      </c>
      <c r="D328">
        <v>5</v>
      </c>
      <c r="E328" t="s">
        <v>2793</v>
      </c>
      <c r="F328">
        <v>9</v>
      </c>
      <c r="I328" t="s">
        <v>1842</v>
      </c>
      <c r="J328" s="51">
        <v>40777</v>
      </c>
      <c r="K328" t="s">
        <v>46</v>
      </c>
      <c r="L328" t="s">
        <v>1584</v>
      </c>
      <c r="M328">
        <v>3</v>
      </c>
      <c r="N328" t="str">
        <f>L328</f>
        <v>NAM\A8070</v>
      </c>
      <c r="O328" s="51">
        <f>J328</f>
        <v>40777</v>
      </c>
      <c r="P328" s="51" t="str">
        <f>C328</f>
        <v>~/cdd/olddocs/Formas/CNWI-QAAS (aseguranza de calidad)/CNWI-QAAS-F008-E Liberacion primera pieza MICROMINI.pptx</v>
      </c>
      <c r="Q328" s="51" t="str">
        <f>E328</f>
        <v>pptx</v>
      </c>
      <c r="R328" s="51"/>
      <c r="S328" s="51"/>
      <c r="T328" s="51"/>
      <c r="U328" s="51"/>
      <c r="V328" s="51"/>
      <c r="W328" s="51"/>
      <c r="X328" s="51"/>
      <c r="Y328" s="51"/>
      <c r="Z328" s="51"/>
      <c r="AA328" s="51"/>
      <c r="AB328" s="51"/>
      <c r="AC328" s="51"/>
      <c r="AD328" s="51"/>
      <c r="AG328" t="s">
        <v>28</v>
      </c>
      <c r="AH328" s="51"/>
      <c r="AI328" s="51"/>
    </row>
    <row r="329" spans="2:35">
      <c r="B329" t="s">
        <v>2229</v>
      </c>
      <c r="C329" t="s">
        <v>3084</v>
      </c>
      <c r="D329">
        <v>5</v>
      </c>
      <c r="E329" t="s">
        <v>2793</v>
      </c>
      <c r="F329">
        <v>9</v>
      </c>
      <c r="I329" t="s">
        <v>2230</v>
      </c>
      <c r="J329" s="51">
        <v>40777</v>
      </c>
      <c r="K329" t="s">
        <v>46</v>
      </c>
      <c r="L329" t="s">
        <v>2063</v>
      </c>
      <c r="M329">
        <v>3</v>
      </c>
      <c r="N329" t="str">
        <f>L329</f>
        <v>NAM\MB2117</v>
      </c>
      <c r="O329" s="51">
        <f>J329</f>
        <v>40777</v>
      </c>
      <c r="P329" s="51" t="str">
        <f>C329</f>
        <v>~/cdd/olddocs/Formas/CNWI-QAAS (aseguranza de calidad)/CNWI-QAAS-F008-F Liberacion primera pieza MOLDEO.pptx</v>
      </c>
      <c r="Q329" s="51" t="str">
        <f>E329</f>
        <v>pptx</v>
      </c>
      <c r="R329" s="51"/>
      <c r="S329" s="51"/>
      <c r="T329" s="51"/>
      <c r="U329" s="51"/>
      <c r="V329" s="51"/>
      <c r="W329" s="51"/>
      <c r="X329" s="51"/>
      <c r="Y329" s="51"/>
      <c r="Z329" s="51"/>
      <c r="AA329" s="51"/>
      <c r="AB329" s="51"/>
      <c r="AC329" s="51"/>
      <c r="AD329" s="51"/>
      <c r="AG329" t="s">
        <v>28</v>
      </c>
      <c r="AH329" s="51"/>
      <c r="AI329" s="51"/>
    </row>
    <row r="330" spans="2:35">
      <c r="B330" t="s">
        <v>2231</v>
      </c>
      <c r="C330" t="s">
        <v>3085</v>
      </c>
      <c r="D330">
        <v>5</v>
      </c>
      <c r="E330" t="s">
        <v>2794</v>
      </c>
      <c r="F330">
        <v>9</v>
      </c>
      <c r="I330" t="s">
        <v>2232</v>
      </c>
      <c r="J330" s="51">
        <v>40998</v>
      </c>
      <c r="K330" t="s">
        <v>782</v>
      </c>
      <c r="L330" t="s">
        <v>2063</v>
      </c>
      <c r="M330">
        <v>3</v>
      </c>
      <c r="N330" t="str">
        <f>L330</f>
        <v>NAM\MB2117</v>
      </c>
      <c r="O330" s="51">
        <f>J330</f>
        <v>40998</v>
      </c>
      <c r="P330" s="51" t="str">
        <f>C330</f>
        <v>~/cdd/olddocs/Formas/CNWI-QAAS (aseguranza de calidad)/CNWI-QAAS-F009 Lista de verificacion Español.doc</v>
      </c>
      <c r="Q330" s="51" t="str">
        <f>E330</f>
        <v>doc</v>
      </c>
      <c r="R330" s="51"/>
      <c r="S330" s="51"/>
      <c r="T330" s="51"/>
      <c r="U330" s="51"/>
      <c r="V330" s="51"/>
      <c r="W330" s="51"/>
      <c r="X330" s="51"/>
      <c r="Y330" s="51"/>
      <c r="Z330" s="51"/>
      <c r="AA330" s="51"/>
      <c r="AB330" s="51"/>
      <c r="AC330" s="51"/>
      <c r="AD330" s="51"/>
      <c r="AG330" t="s">
        <v>28</v>
      </c>
      <c r="AH330" s="51"/>
      <c r="AI330" s="51"/>
    </row>
    <row r="331" spans="2:35">
      <c r="B331" t="s">
        <v>2044</v>
      </c>
      <c r="C331" t="s">
        <v>3086</v>
      </c>
      <c r="D331">
        <v>5</v>
      </c>
      <c r="E331" t="s">
        <v>2792</v>
      </c>
      <c r="F331">
        <v>9</v>
      </c>
      <c r="I331" t="s">
        <v>2045</v>
      </c>
      <c r="J331" s="51">
        <v>40590</v>
      </c>
      <c r="K331" t="s">
        <v>46</v>
      </c>
      <c r="L331" t="s">
        <v>1888</v>
      </c>
      <c r="M331">
        <v>3</v>
      </c>
      <c r="N331" t="str">
        <f>L331</f>
        <v>NAM\MA7784</v>
      </c>
      <c r="O331" s="51">
        <f>J331</f>
        <v>40590</v>
      </c>
      <c r="P331" s="51" t="str">
        <f>C331</f>
        <v>~/cdd/olddocs/Formas/CNWI-QAAS (aseguranza de calidad)/CNWI-QAAS-F010 Codigos de Scrap.xls</v>
      </c>
      <c r="Q331" s="51" t="str">
        <f>E331</f>
        <v>xls</v>
      </c>
      <c r="R331" s="51"/>
      <c r="S331" s="51"/>
      <c r="T331" s="51"/>
      <c r="U331" s="51"/>
      <c r="V331" s="51"/>
      <c r="W331" s="51"/>
      <c r="X331" s="51"/>
      <c r="Y331" s="51"/>
      <c r="Z331" s="51"/>
      <c r="AA331" s="51"/>
      <c r="AB331" s="51"/>
      <c r="AC331" s="51"/>
      <c r="AD331" s="51"/>
      <c r="AG331" t="s">
        <v>28</v>
      </c>
      <c r="AH331" s="51"/>
      <c r="AI331" s="51"/>
    </row>
    <row r="332" spans="2:35">
      <c r="B332" t="s">
        <v>2233</v>
      </c>
      <c r="C332" t="s">
        <v>3087</v>
      </c>
      <c r="D332">
        <v>5</v>
      </c>
      <c r="E332" t="s">
        <v>2792</v>
      </c>
      <c r="F332">
        <v>9</v>
      </c>
      <c r="I332" t="s">
        <v>2234</v>
      </c>
      <c r="J332" s="51">
        <v>40590</v>
      </c>
      <c r="K332" t="s">
        <v>27</v>
      </c>
      <c r="L332" t="s">
        <v>2063</v>
      </c>
      <c r="M332">
        <v>3</v>
      </c>
      <c r="N332" t="str">
        <f>L332</f>
        <v>NAM\MB2117</v>
      </c>
      <c r="O332" s="51">
        <f>J332</f>
        <v>40590</v>
      </c>
      <c r="P332" s="51" t="str">
        <f>C332</f>
        <v>~/cdd/olddocs/Formas/CNWI-QAAS (aseguranza de calidad)/CNWI-QAAS-F011 critical dimension sheet.xls</v>
      </c>
      <c r="Q332" s="51" t="str">
        <f>E332</f>
        <v>xls</v>
      </c>
      <c r="R332" s="51"/>
      <c r="S332" s="51"/>
      <c r="T332" s="51"/>
      <c r="U332" s="51"/>
      <c r="V332" s="51"/>
      <c r="W332" s="51"/>
      <c r="X332" s="51"/>
      <c r="Y332" s="51"/>
      <c r="Z332" s="51"/>
      <c r="AA332" s="51"/>
      <c r="AB332" s="51"/>
      <c r="AC332" s="51"/>
      <c r="AD332" s="51"/>
      <c r="AG332" t="s">
        <v>28</v>
      </c>
      <c r="AH332" s="51"/>
      <c r="AI332" s="51"/>
    </row>
    <row r="333" spans="2:35">
      <c r="B333" t="s">
        <v>2235</v>
      </c>
      <c r="C333" t="s">
        <v>3088</v>
      </c>
      <c r="D333">
        <v>5</v>
      </c>
      <c r="E333" t="s">
        <v>2792</v>
      </c>
      <c r="F333">
        <v>9</v>
      </c>
      <c r="I333" t="s">
        <v>2236</v>
      </c>
      <c r="J333" s="51">
        <v>40590</v>
      </c>
      <c r="K333" t="s">
        <v>27</v>
      </c>
      <c r="L333" t="s">
        <v>2063</v>
      </c>
      <c r="M333">
        <v>3</v>
      </c>
      <c r="N333" t="str">
        <f>L333</f>
        <v>NAM\MB2117</v>
      </c>
      <c r="O333" s="51">
        <f>J333</f>
        <v>40590</v>
      </c>
      <c r="P333" s="51" t="str">
        <f>C333</f>
        <v>~/cdd/olddocs/Formas/CNWI-QAAS (aseguranza de calidad)/CNWI-QAAS-F012 contact insertion force.xls</v>
      </c>
      <c r="Q333" s="51" t="str">
        <f>E333</f>
        <v>xls</v>
      </c>
      <c r="R333" s="51"/>
      <c r="S333" s="51"/>
      <c r="T333" s="51"/>
      <c r="U333" s="51"/>
      <c r="V333" s="51"/>
      <c r="W333" s="51"/>
      <c r="X333" s="51"/>
      <c r="Y333" s="51"/>
      <c r="Z333" s="51"/>
      <c r="AA333" s="51"/>
      <c r="AB333" s="51"/>
      <c r="AC333" s="51"/>
      <c r="AD333" s="51"/>
      <c r="AG333" t="s">
        <v>28</v>
      </c>
      <c r="AH333" s="51"/>
      <c r="AI333" s="51"/>
    </row>
    <row r="334" spans="2:35">
      <c r="B334" t="s">
        <v>2237</v>
      </c>
      <c r="C334" t="s">
        <v>3089</v>
      </c>
      <c r="D334">
        <v>5</v>
      </c>
      <c r="E334" t="s">
        <v>2794</v>
      </c>
      <c r="F334">
        <v>9</v>
      </c>
      <c r="I334" t="s">
        <v>2238</v>
      </c>
      <c r="J334" s="51">
        <v>40597</v>
      </c>
      <c r="K334" t="s">
        <v>27</v>
      </c>
      <c r="L334" t="s">
        <v>2063</v>
      </c>
      <c r="M334">
        <v>3</v>
      </c>
      <c r="N334" t="str">
        <f>L334</f>
        <v>NAM\MB2117</v>
      </c>
      <c r="O334" s="51">
        <f>J334</f>
        <v>40597</v>
      </c>
      <c r="P334" s="51" t="str">
        <f>C334</f>
        <v>~/cdd/olddocs/Formas/CNWI-QAAS (aseguranza de calidad)/CNWI-QAAS-F014 Reporte de Inspección Final.doc</v>
      </c>
      <c r="Q334" s="51" t="str">
        <f>E334</f>
        <v>doc</v>
      </c>
      <c r="R334" s="51"/>
      <c r="S334" s="51"/>
      <c r="T334" s="51"/>
      <c r="U334" s="51"/>
      <c r="V334" s="51"/>
      <c r="W334" s="51"/>
      <c r="X334" s="51"/>
      <c r="Y334" s="51"/>
      <c r="Z334" s="51"/>
      <c r="AA334" s="51"/>
      <c r="AB334" s="51"/>
      <c r="AC334" s="51"/>
      <c r="AD334" s="51"/>
      <c r="AG334" t="s">
        <v>28</v>
      </c>
      <c r="AH334" s="51"/>
      <c r="AI334" s="51"/>
    </row>
    <row r="335" spans="2:35">
      <c r="B335" t="s">
        <v>2046</v>
      </c>
      <c r="C335" t="s">
        <v>3090</v>
      </c>
      <c r="D335">
        <v>5</v>
      </c>
      <c r="E335" t="s">
        <v>2791</v>
      </c>
      <c r="F335">
        <v>9</v>
      </c>
      <c r="I335" t="s">
        <v>2047</v>
      </c>
      <c r="J335" s="51">
        <v>41089</v>
      </c>
      <c r="K335" t="s">
        <v>261</v>
      </c>
      <c r="L335" t="s">
        <v>1888</v>
      </c>
      <c r="M335">
        <v>3</v>
      </c>
      <c r="N335" t="str">
        <f>L335</f>
        <v>NAM\MA7784</v>
      </c>
      <c r="O335" s="51">
        <f>J335</f>
        <v>41089</v>
      </c>
      <c r="P335" s="51" t="str">
        <f>C335</f>
        <v>~/cdd/olddocs/Formas/CNWI-QAAS (aseguranza de calidad)/CNWI-QAAS-F015  Codigos de Defectos de Proceso.pdf</v>
      </c>
      <c r="Q335" s="51" t="str">
        <f>E335</f>
        <v>pdf</v>
      </c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G335" t="s">
        <v>28</v>
      </c>
      <c r="AH335" s="51"/>
      <c r="AI335" s="51"/>
    </row>
    <row r="336" spans="2:35">
      <c r="B336" t="s">
        <v>2239</v>
      </c>
      <c r="C336" t="s">
        <v>3091</v>
      </c>
      <c r="D336">
        <v>5</v>
      </c>
      <c r="E336" t="s">
        <v>2792</v>
      </c>
      <c r="F336">
        <v>9</v>
      </c>
      <c r="I336" t="s">
        <v>2240</v>
      </c>
      <c r="J336" s="51">
        <v>40597</v>
      </c>
      <c r="K336" t="s">
        <v>27</v>
      </c>
      <c r="L336" t="s">
        <v>2063</v>
      </c>
      <c r="M336">
        <v>3</v>
      </c>
      <c r="N336" t="str">
        <f>L336</f>
        <v>NAM\MB2117</v>
      </c>
      <c r="O336" s="51">
        <f>J336</f>
        <v>40597</v>
      </c>
      <c r="P336" s="51" t="str">
        <f>C336</f>
        <v>~/cdd/olddocs/Formas/CNWI-QAAS (aseguranza de calidad)/CNWI-QAAS-F016 Reporte de Inspección en Proceso Itron.xls</v>
      </c>
      <c r="Q336" s="51" t="str">
        <f>E336</f>
        <v>xls</v>
      </c>
      <c r="R336" s="51"/>
      <c r="S336" s="51"/>
      <c r="T336" s="51"/>
      <c r="U336" s="51"/>
      <c r="V336" s="51"/>
      <c r="W336" s="51"/>
      <c r="X336" s="51"/>
      <c r="Y336" s="51"/>
      <c r="Z336" s="51"/>
      <c r="AA336" s="51"/>
      <c r="AB336" s="51"/>
      <c r="AC336" s="51"/>
      <c r="AD336" s="51"/>
      <c r="AG336" t="s">
        <v>28</v>
      </c>
      <c r="AH336" s="51"/>
      <c r="AI336" s="51"/>
    </row>
    <row r="337" spans="2:35">
      <c r="B337" t="s">
        <v>2241</v>
      </c>
      <c r="C337" t="s">
        <v>3092</v>
      </c>
      <c r="D337">
        <v>5</v>
      </c>
      <c r="E337" t="s">
        <v>2794</v>
      </c>
      <c r="F337">
        <v>9</v>
      </c>
      <c r="I337" t="s">
        <v>2242</v>
      </c>
      <c r="J337" s="51">
        <v>40597</v>
      </c>
      <c r="K337" t="s">
        <v>27</v>
      </c>
      <c r="L337" t="s">
        <v>2063</v>
      </c>
      <c r="M337">
        <v>3</v>
      </c>
      <c r="N337" t="str">
        <f>L337</f>
        <v>NAM\MB2117</v>
      </c>
      <c r="O337" s="51">
        <f>J337</f>
        <v>40597</v>
      </c>
      <c r="P337" s="51" t="str">
        <f>C337</f>
        <v>~/cdd/olddocs/Formas/CNWI-QAAS (aseguranza de calidad)/CNWI-QAAS-F017  Insulation Resistence Test Data Sheet.doc</v>
      </c>
      <c r="Q337" s="51" t="str">
        <f>E337</f>
        <v>doc</v>
      </c>
      <c r="R337" s="51"/>
      <c r="S337" s="51"/>
      <c r="T337" s="51"/>
      <c r="U337" s="51"/>
      <c r="V337" s="51"/>
      <c r="W337" s="51"/>
      <c r="X337" s="51"/>
      <c r="Y337" s="51"/>
      <c r="Z337" s="51"/>
      <c r="AA337" s="51"/>
      <c r="AB337" s="51"/>
      <c r="AC337" s="51"/>
      <c r="AD337" s="51"/>
      <c r="AG337" t="s">
        <v>28</v>
      </c>
      <c r="AH337" s="51"/>
      <c r="AI337" s="51"/>
    </row>
    <row r="338" spans="2:35">
      <c r="B338" t="s">
        <v>2243</v>
      </c>
      <c r="C338" t="s">
        <v>3093</v>
      </c>
      <c r="D338">
        <v>5</v>
      </c>
      <c r="E338" t="s">
        <v>2792</v>
      </c>
      <c r="F338">
        <v>9</v>
      </c>
      <c r="I338" t="s">
        <v>2244</v>
      </c>
      <c r="J338" s="51">
        <v>40597</v>
      </c>
      <c r="K338" t="s">
        <v>27</v>
      </c>
      <c r="L338" t="s">
        <v>2063</v>
      </c>
      <c r="M338">
        <v>3</v>
      </c>
      <c r="N338" t="str">
        <f>L338</f>
        <v>NAM\MB2117</v>
      </c>
      <c r="O338" s="51">
        <f>J338</f>
        <v>40597</v>
      </c>
      <c r="P338" s="51" t="str">
        <f>C338</f>
        <v>~/cdd/olddocs/Formas/CNWI-QAAS (aseguranza de calidad)/CNWI-QAAS-F018 Reporte de Lectura de Prensas.xls</v>
      </c>
      <c r="Q338" s="51" t="str">
        <f>E338</f>
        <v>xls</v>
      </c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G338" t="s">
        <v>28</v>
      </c>
      <c r="AH338" s="51"/>
      <c r="AI338" s="51"/>
    </row>
    <row r="339" spans="2:35">
      <c r="B339" t="s">
        <v>1843</v>
      </c>
      <c r="C339" t="s">
        <v>3094</v>
      </c>
      <c r="D339">
        <v>5</v>
      </c>
      <c r="E339" t="s">
        <v>2792</v>
      </c>
      <c r="F339">
        <v>9</v>
      </c>
      <c r="I339" t="s">
        <v>1844</v>
      </c>
      <c r="J339" s="51">
        <v>40623</v>
      </c>
      <c r="K339" t="s">
        <v>46</v>
      </c>
      <c r="L339" t="s">
        <v>1584</v>
      </c>
      <c r="M339">
        <v>3</v>
      </c>
      <c r="N339" t="str">
        <f>L339</f>
        <v>NAM\A8070</v>
      </c>
      <c r="O339" s="51">
        <f>J339</f>
        <v>40623</v>
      </c>
      <c r="P339" s="51" t="str">
        <f>C339</f>
        <v>~/cdd/olddocs/Formas/CNWI-QAAS (aseguranza de calidad)/CNWI-QAAS-F019  reporte de prueba de jalon.xls</v>
      </c>
      <c r="Q339" s="51" t="str">
        <f>E339</f>
        <v>xls</v>
      </c>
      <c r="R339" s="51"/>
      <c r="S339" s="51"/>
      <c r="T339" s="51"/>
      <c r="U339" s="51"/>
      <c r="V339" s="51"/>
      <c r="W339" s="51"/>
      <c r="X339" s="51"/>
      <c r="Y339" s="51"/>
      <c r="Z339" s="51"/>
      <c r="AA339" s="51"/>
      <c r="AB339" s="51"/>
      <c r="AC339" s="51"/>
      <c r="AD339" s="51"/>
      <c r="AG339" t="s">
        <v>28</v>
      </c>
      <c r="AH339" s="51"/>
      <c r="AI339" s="51"/>
    </row>
    <row r="340" spans="2:35">
      <c r="B340" t="s">
        <v>310</v>
      </c>
      <c r="C340" t="s">
        <v>3095</v>
      </c>
      <c r="D340">
        <v>5</v>
      </c>
      <c r="E340" t="s">
        <v>2794</v>
      </c>
      <c r="F340">
        <v>9</v>
      </c>
      <c r="I340" t="s">
        <v>311</v>
      </c>
      <c r="J340" s="51">
        <v>40597</v>
      </c>
      <c r="K340" t="s">
        <v>27</v>
      </c>
      <c r="L340" t="s">
        <v>222</v>
      </c>
      <c r="M340">
        <v>3</v>
      </c>
      <c r="N340" t="str">
        <f>L340</f>
        <v>NAM\MA9769</v>
      </c>
      <c r="O340" s="51">
        <f>J340</f>
        <v>40597</v>
      </c>
      <c r="P340" s="51" t="str">
        <f>C340</f>
        <v>~/cdd/olddocs/Formas/CNWI-QAAS (aseguranza de calidad)/CNWI-QAAS-F020 Inspection Record Card.doc</v>
      </c>
      <c r="Q340" s="51" t="str">
        <f>E340</f>
        <v>doc</v>
      </c>
      <c r="R340" s="51"/>
      <c r="S340" s="51"/>
      <c r="T340" s="51"/>
      <c r="U340" s="51"/>
      <c r="V340" s="51"/>
      <c r="W340" s="51"/>
      <c r="X340" s="51"/>
      <c r="Y340" s="51"/>
      <c r="Z340" s="51"/>
      <c r="AA340" s="51"/>
      <c r="AB340" s="51"/>
      <c r="AC340" s="51"/>
      <c r="AD340" s="51"/>
      <c r="AG340" t="s">
        <v>28</v>
      </c>
      <c r="AH340" s="51"/>
      <c r="AI340" s="51"/>
    </row>
    <row r="341" spans="2:35">
      <c r="B341" t="s">
        <v>312</v>
      </c>
      <c r="C341" t="s">
        <v>3096</v>
      </c>
      <c r="D341">
        <v>5</v>
      </c>
      <c r="E341" t="s">
        <v>2790</v>
      </c>
      <c r="F341">
        <v>9</v>
      </c>
      <c r="I341" t="s">
        <v>313</v>
      </c>
      <c r="J341" s="51">
        <v>40598</v>
      </c>
      <c r="K341" t="s">
        <v>46</v>
      </c>
      <c r="L341" t="s">
        <v>222</v>
      </c>
      <c r="M341">
        <v>3</v>
      </c>
      <c r="N341" t="str">
        <f>L341</f>
        <v>NAM\MA9769</v>
      </c>
      <c r="O341" s="51">
        <f>J341</f>
        <v>40598</v>
      </c>
      <c r="P341" s="51" t="str">
        <f>C341</f>
        <v>~/cdd/olddocs/Formas/CNWI-QAAS (aseguranza de calidad)/CNWI-QAAS-F022 Lista Maestra de Documentos controlados (Cross reference).xlsx</v>
      </c>
      <c r="Q341" s="51" t="str">
        <f>E341</f>
        <v>xlsx</v>
      </c>
      <c r="R341" s="51"/>
      <c r="S341" s="51"/>
      <c r="T341" s="51"/>
      <c r="U341" s="51"/>
      <c r="V341" s="51"/>
      <c r="W341" s="51"/>
      <c r="X341" s="51"/>
      <c r="Y341" s="51"/>
      <c r="Z341" s="51"/>
      <c r="AA341" s="51"/>
      <c r="AB341" s="51"/>
      <c r="AC341" s="51"/>
      <c r="AD341" s="51"/>
      <c r="AG341" t="s">
        <v>28</v>
      </c>
      <c r="AH341" s="51"/>
      <c r="AI341" s="51"/>
    </row>
    <row r="342" spans="2:35">
      <c r="B342" t="s">
        <v>314</v>
      </c>
      <c r="C342" t="s">
        <v>3097</v>
      </c>
      <c r="D342">
        <v>5</v>
      </c>
      <c r="E342" t="s">
        <v>2792</v>
      </c>
      <c r="F342">
        <v>9</v>
      </c>
      <c r="I342" t="s">
        <v>315</v>
      </c>
      <c r="J342" s="51">
        <v>40599</v>
      </c>
      <c r="K342" t="s">
        <v>27</v>
      </c>
      <c r="L342" t="s">
        <v>222</v>
      </c>
      <c r="M342">
        <v>3</v>
      </c>
      <c r="N342" t="str">
        <f>L342</f>
        <v>NAM\MA9769</v>
      </c>
      <c r="O342" s="51">
        <f>J342</f>
        <v>40599</v>
      </c>
      <c r="P342" s="51" t="str">
        <f>C342</f>
        <v>~/cdd/olddocs/Formas/CNWI-QAAS (aseguranza de calidad)/CNWI-QAAS-F023 Bonding Process Certification Audit Log.xls</v>
      </c>
      <c r="Q342" s="51" t="str">
        <f>E342</f>
        <v>xls</v>
      </c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G342" t="s">
        <v>28</v>
      </c>
      <c r="AH342" s="51"/>
      <c r="AI342" s="51"/>
    </row>
    <row r="343" spans="2:35">
      <c r="B343" t="s">
        <v>316</v>
      </c>
      <c r="C343" t="s">
        <v>3098</v>
      </c>
      <c r="D343">
        <v>5</v>
      </c>
      <c r="E343" t="s">
        <v>2792</v>
      </c>
      <c r="F343">
        <v>9</v>
      </c>
      <c r="I343" t="s">
        <v>317</v>
      </c>
      <c r="J343" s="51">
        <v>40599</v>
      </c>
      <c r="K343" t="s">
        <v>27</v>
      </c>
      <c r="L343" t="s">
        <v>222</v>
      </c>
      <c r="M343">
        <v>3</v>
      </c>
      <c r="N343" t="str">
        <f>L343</f>
        <v>NAM\MA9769</v>
      </c>
      <c r="O343" s="51">
        <f>J343</f>
        <v>40599</v>
      </c>
      <c r="P343" s="51" t="str">
        <f>C343</f>
        <v>~/cdd/olddocs/Formas/CNWI-QAAS (aseguranza de calidad)/CNWI-QAAS-F024 Bonding Process Certification Audit Log .xls</v>
      </c>
      <c r="Q343" s="51" t="str">
        <f>E343</f>
        <v>xls</v>
      </c>
      <c r="R343" s="51"/>
      <c r="S343" s="51"/>
      <c r="T343" s="51"/>
      <c r="U343" s="51"/>
      <c r="V343" s="51"/>
      <c r="W343" s="51"/>
      <c r="X343" s="51"/>
      <c r="Y343" s="51"/>
      <c r="Z343" s="51"/>
      <c r="AA343" s="51"/>
      <c r="AB343" s="51"/>
      <c r="AC343" s="51"/>
      <c r="AD343" s="51"/>
      <c r="AG343" t="s">
        <v>28</v>
      </c>
      <c r="AH343" s="51"/>
      <c r="AI343" s="51"/>
    </row>
    <row r="344" spans="2:35">
      <c r="B344" t="s">
        <v>318</v>
      </c>
      <c r="C344" t="s">
        <v>3099</v>
      </c>
      <c r="D344">
        <v>5</v>
      </c>
      <c r="E344" t="s">
        <v>2790</v>
      </c>
      <c r="F344">
        <v>9</v>
      </c>
      <c r="I344" t="s">
        <v>319</v>
      </c>
      <c r="J344" s="51">
        <v>40604</v>
      </c>
      <c r="K344" t="s">
        <v>27</v>
      </c>
      <c r="L344" t="s">
        <v>222</v>
      </c>
      <c r="M344">
        <v>3</v>
      </c>
      <c r="N344" t="str">
        <f>L344</f>
        <v>NAM\MA9769</v>
      </c>
      <c r="O344" s="51">
        <f>J344</f>
        <v>40604</v>
      </c>
      <c r="P344" s="51" t="str">
        <f>C344</f>
        <v>~/cdd/olddocs/Formas/CNWI-QAAS (aseguranza de calidad)/CNWI-QAAS-F025 Layout Dimencional.xlsx</v>
      </c>
      <c r="Q344" s="51" t="str">
        <f>E344</f>
        <v>xlsx</v>
      </c>
      <c r="R344" s="51"/>
      <c r="S344" s="51"/>
      <c r="T344" s="51"/>
      <c r="U344" s="51"/>
      <c r="V344" s="51"/>
      <c r="W344" s="51"/>
      <c r="X344" s="51"/>
      <c r="Y344" s="51"/>
      <c r="Z344" s="51"/>
      <c r="AA344" s="51"/>
      <c r="AB344" s="51"/>
      <c r="AC344" s="51"/>
      <c r="AD344" s="51"/>
      <c r="AG344" t="s">
        <v>28</v>
      </c>
      <c r="AH344" s="51"/>
      <c r="AI344" s="51"/>
    </row>
    <row r="345" spans="2:35">
      <c r="B345" t="s">
        <v>320</v>
      </c>
      <c r="C345" t="s">
        <v>3100</v>
      </c>
      <c r="D345">
        <v>5</v>
      </c>
      <c r="E345" t="s">
        <v>2794</v>
      </c>
      <c r="F345">
        <v>9</v>
      </c>
      <c r="I345" t="s">
        <v>321</v>
      </c>
      <c r="J345" s="51">
        <v>40604</v>
      </c>
      <c r="K345" t="s">
        <v>46</v>
      </c>
      <c r="L345" t="s">
        <v>222</v>
      </c>
      <c r="M345">
        <v>3</v>
      </c>
      <c r="N345" t="str">
        <f>L345</f>
        <v>NAM\MA9769</v>
      </c>
      <c r="O345" s="51">
        <f>J345</f>
        <v>40604</v>
      </c>
      <c r="P345" s="51" t="str">
        <f>C345</f>
        <v>~/cdd/olddocs/Formas/CNWI-QAAS (aseguranza de calidad)/CNWI-QAAS-F026 Prueba Remachado.doc</v>
      </c>
      <c r="Q345" s="51" t="str">
        <f>E345</f>
        <v>doc</v>
      </c>
      <c r="R345" s="51"/>
      <c r="S345" s="51"/>
      <c r="T345" s="51"/>
      <c r="U345" s="51"/>
      <c r="V345" s="51"/>
      <c r="W345" s="51"/>
      <c r="X345" s="51"/>
      <c r="Y345" s="51"/>
      <c r="Z345" s="51"/>
      <c r="AA345" s="51"/>
      <c r="AB345" s="51"/>
      <c r="AC345" s="51"/>
      <c r="AD345" s="51"/>
      <c r="AG345" t="s">
        <v>28</v>
      </c>
      <c r="AH345" s="51"/>
      <c r="AI345" s="51"/>
    </row>
    <row r="346" spans="2:35">
      <c r="B346" t="s">
        <v>322</v>
      </c>
      <c r="C346" t="s">
        <v>3101</v>
      </c>
      <c r="D346">
        <v>5</v>
      </c>
      <c r="E346" t="s">
        <v>2794</v>
      </c>
      <c r="F346">
        <v>9</v>
      </c>
      <c r="I346" t="s">
        <v>323</v>
      </c>
      <c r="J346" s="51">
        <v>40603</v>
      </c>
      <c r="K346" t="s">
        <v>46</v>
      </c>
      <c r="L346" t="s">
        <v>222</v>
      </c>
      <c r="M346">
        <v>3</v>
      </c>
      <c r="N346" t="str">
        <f>L346</f>
        <v>NAM\MA9769</v>
      </c>
      <c r="O346" s="51">
        <f>J346</f>
        <v>40603</v>
      </c>
      <c r="P346" s="51" t="str">
        <f>C346</f>
        <v>~/cdd/olddocs/Formas/CNWI-QAAS (aseguranza de calidad)/CNWI-QAAS-F027 Lista de Verificacion Final.doc</v>
      </c>
      <c r="Q346" s="51" t="str">
        <f>E346</f>
        <v>doc</v>
      </c>
      <c r="R346" s="51"/>
      <c r="S346" s="51"/>
      <c r="T346" s="51"/>
      <c r="U346" s="51"/>
      <c r="V346" s="51"/>
      <c r="W346" s="51"/>
      <c r="X346" s="51"/>
      <c r="Y346" s="51"/>
      <c r="Z346" s="51"/>
      <c r="AA346" s="51"/>
      <c r="AB346" s="51"/>
      <c r="AC346" s="51"/>
      <c r="AD346" s="51"/>
      <c r="AG346" t="s">
        <v>28</v>
      </c>
      <c r="AH346" s="51"/>
      <c r="AI346" s="51"/>
    </row>
    <row r="347" spans="2:35">
      <c r="B347" t="s">
        <v>324</v>
      </c>
      <c r="C347" t="s">
        <v>3102</v>
      </c>
      <c r="D347">
        <v>5</v>
      </c>
      <c r="E347" t="s">
        <v>2792</v>
      </c>
      <c r="F347">
        <v>9</v>
      </c>
      <c r="I347" t="s">
        <v>325</v>
      </c>
      <c r="J347" s="51">
        <v>40604</v>
      </c>
      <c r="K347" t="s">
        <v>27</v>
      </c>
      <c r="L347" t="s">
        <v>222</v>
      </c>
      <c r="M347">
        <v>3</v>
      </c>
      <c r="N347" t="str">
        <f>L347</f>
        <v>NAM\MA9769</v>
      </c>
      <c r="O347" s="51">
        <f>J347</f>
        <v>40604</v>
      </c>
      <c r="P347" s="51" t="str">
        <f>C347</f>
        <v>~/cdd/olddocs/Formas/CNWI-QAAS (aseguranza de calidad)/CNWI-QAAS-F028 Histograma.xls</v>
      </c>
      <c r="Q347" s="51" t="str">
        <f>E347</f>
        <v>xls</v>
      </c>
      <c r="R347" s="51"/>
      <c r="S347" s="51"/>
      <c r="T347" s="51"/>
      <c r="U347" s="51"/>
      <c r="V347" s="51"/>
      <c r="W347" s="51"/>
      <c r="X347" s="51"/>
      <c r="Y347" s="51"/>
      <c r="Z347" s="51"/>
      <c r="AA347" s="51"/>
      <c r="AB347" s="51"/>
      <c r="AC347" s="51"/>
      <c r="AD347" s="51"/>
      <c r="AG347" t="s">
        <v>28</v>
      </c>
      <c r="AH347" s="51"/>
      <c r="AI347" s="51"/>
    </row>
    <row r="348" spans="2:35">
      <c r="B348" t="s">
        <v>2245</v>
      </c>
      <c r="C348" t="s">
        <v>3103</v>
      </c>
      <c r="D348">
        <v>5</v>
      </c>
      <c r="E348" t="s">
        <v>2792</v>
      </c>
      <c r="F348">
        <v>9</v>
      </c>
      <c r="I348" t="s">
        <v>2246</v>
      </c>
      <c r="J348" s="51">
        <v>40605</v>
      </c>
      <c r="K348" t="s">
        <v>27</v>
      </c>
      <c r="L348" t="s">
        <v>2063</v>
      </c>
      <c r="M348">
        <v>3</v>
      </c>
      <c r="N348" t="str">
        <f>L348</f>
        <v>NAM\MB2117</v>
      </c>
      <c r="O348" s="51">
        <f>J348</f>
        <v>40605</v>
      </c>
      <c r="P348" s="51" t="str">
        <f>C348</f>
        <v>~/cdd/olddocs/Formas/CNWI-QAAS (aseguranza de calidad)/CNWI-QAAS-F029 prue ba de conectores (AMC) .xls</v>
      </c>
      <c r="Q348" s="51" t="str">
        <f>E348</f>
        <v>xls</v>
      </c>
      <c r="R348" s="51"/>
      <c r="S348" s="51"/>
      <c r="T348" s="51"/>
      <c r="U348" s="51"/>
      <c r="V348" s="51"/>
      <c r="W348" s="51"/>
      <c r="X348" s="51"/>
      <c r="Y348" s="51"/>
      <c r="Z348" s="51"/>
      <c r="AA348" s="51"/>
      <c r="AB348" s="51"/>
      <c r="AC348" s="51"/>
      <c r="AD348" s="51"/>
      <c r="AG348" t="s">
        <v>28</v>
      </c>
      <c r="AH348" s="51"/>
      <c r="AI348" s="51"/>
    </row>
    <row r="349" spans="2:35">
      <c r="B349" t="s">
        <v>2247</v>
      </c>
      <c r="C349" t="s">
        <v>3104</v>
      </c>
      <c r="D349">
        <v>5</v>
      </c>
      <c r="E349" t="s">
        <v>2794</v>
      </c>
      <c r="F349">
        <v>9</v>
      </c>
      <c r="I349" t="s">
        <v>2248</v>
      </c>
      <c r="J349" s="51">
        <v>40605</v>
      </c>
      <c r="K349" t="s">
        <v>27</v>
      </c>
      <c r="L349" t="s">
        <v>2063</v>
      </c>
      <c r="M349">
        <v>3</v>
      </c>
      <c r="N349" t="str">
        <f>L349</f>
        <v>NAM\MB2117</v>
      </c>
      <c r="O349" s="51">
        <f>J349</f>
        <v>40605</v>
      </c>
      <c r="P349" s="51" t="str">
        <f>C349</f>
        <v>~/cdd/olddocs/Formas/CNWI-QAAS (aseguranza de calidad)/CNWI-QAAS-F030 Reporte de prueba de fuga)Mantener en ingles.doc</v>
      </c>
      <c r="Q349" s="51" t="str">
        <f>E349</f>
        <v>doc</v>
      </c>
      <c r="R349" s="51"/>
      <c r="S349" s="51"/>
      <c r="T349" s="51"/>
      <c r="U349" s="51"/>
      <c r="V349" s="51"/>
      <c r="W349" s="51"/>
      <c r="X349" s="51"/>
      <c r="Y349" s="51"/>
      <c r="Z349" s="51"/>
      <c r="AA349" s="51"/>
      <c r="AB349" s="51"/>
      <c r="AC349" s="51"/>
      <c r="AD349" s="51"/>
      <c r="AG349" t="s">
        <v>28</v>
      </c>
      <c r="AH349" s="51"/>
      <c r="AI349" s="51"/>
    </row>
    <row r="350" spans="2:35">
      <c r="B350" t="s">
        <v>326</v>
      </c>
      <c r="C350" t="s">
        <v>3105</v>
      </c>
      <c r="D350">
        <v>5</v>
      </c>
      <c r="E350" t="s">
        <v>2794</v>
      </c>
      <c r="F350">
        <v>9</v>
      </c>
      <c r="I350" t="s">
        <v>327</v>
      </c>
      <c r="J350" s="51">
        <v>40609</v>
      </c>
      <c r="K350" t="s">
        <v>27</v>
      </c>
      <c r="L350" t="s">
        <v>222</v>
      </c>
      <c r="M350">
        <v>3</v>
      </c>
      <c r="N350" t="str">
        <f>L350</f>
        <v>NAM\MA9769</v>
      </c>
      <c r="O350" s="51">
        <f>J350</f>
        <v>40609</v>
      </c>
      <c r="P350" s="51" t="str">
        <f>C350</f>
        <v>~/cdd/olddocs/Formas/CNWI-QAAS (aseguranza de calidad)/CNWI-QAAS-F031 C of C Nogales.doc</v>
      </c>
      <c r="Q350" s="51" t="str">
        <f>E350</f>
        <v>doc</v>
      </c>
      <c r="R350" s="51"/>
      <c r="S350" s="51"/>
      <c r="T350" s="51"/>
      <c r="U350" s="51"/>
      <c r="V350" s="51"/>
      <c r="W350" s="51"/>
      <c r="X350" s="51"/>
      <c r="Y350" s="51"/>
      <c r="Z350" s="51"/>
      <c r="AA350" s="51"/>
      <c r="AB350" s="51"/>
      <c r="AC350" s="51"/>
      <c r="AD350" s="51"/>
      <c r="AG350" t="s">
        <v>28</v>
      </c>
      <c r="AH350" s="51"/>
      <c r="AI350" s="51"/>
    </row>
    <row r="351" spans="2:35">
      <c r="B351" t="s">
        <v>328</v>
      </c>
      <c r="C351" t="s">
        <v>3106</v>
      </c>
      <c r="D351">
        <v>5</v>
      </c>
      <c r="E351" t="s">
        <v>2792</v>
      </c>
      <c r="F351">
        <v>9</v>
      </c>
      <c r="I351" t="s">
        <v>329</v>
      </c>
      <c r="J351" s="51">
        <v>40983</v>
      </c>
      <c r="K351" t="s">
        <v>27</v>
      </c>
      <c r="L351" t="s">
        <v>222</v>
      </c>
      <c r="M351">
        <v>3</v>
      </c>
      <c r="N351" t="str">
        <f>L351</f>
        <v>NAM\MA9769</v>
      </c>
      <c r="O351" s="51">
        <f>J351</f>
        <v>40983</v>
      </c>
      <c r="P351" s="51" t="str">
        <f>C351</f>
        <v>~/cdd/olddocs/Formas/CNWI-QAAS (aseguranza de calidad)/CNWI-QAAS-F032 Plan Anual de Auditoria.xls</v>
      </c>
      <c r="Q351" s="51" t="str">
        <f>E351</f>
        <v>xls</v>
      </c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G351" t="s">
        <v>28</v>
      </c>
      <c r="AH351" s="51"/>
      <c r="AI351" s="51"/>
    </row>
    <row r="352" spans="2:35">
      <c r="B352" t="s">
        <v>330</v>
      </c>
      <c r="C352" t="s">
        <v>3107</v>
      </c>
      <c r="D352">
        <v>5</v>
      </c>
      <c r="E352" t="s">
        <v>2792</v>
      </c>
      <c r="F352">
        <v>9</v>
      </c>
      <c r="I352" t="s">
        <v>331</v>
      </c>
      <c r="J352" s="51">
        <v>40609</v>
      </c>
      <c r="K352" t="s">
        <v>27</v>
      </c>
      <c r="L352" t="s">
        <v>222</v>
      </c>
      <c r="M352">
        <v>3</v>
      </c>
      <c r="N352" t="str">
        <f>L352</f>
        <v>NAM\MA9769</v>
      </c>
      <c r="O352" s="51">
        <f>J352</f>
        <v>40609</v>
      </c>
      <c r="P352" s="51" t="str">
        <f>C352</f>
        <v>~/cdd/olddocs/Formas/CNWI-QAAS (aseguranza de calidad)/CNWI-QAAS-F033 Auditores Internos y Procesos que pueden Auditar .xls</v>
      </c>
      <c r="Q352" s="51" t="str">
        <f>E352</f>
        <v>xls</v>
      </c>
      <c r="R352" s="51"/>
      <c r="S352" s="51"/>
      <c r="T352" s="51"/>
      <c r="U352" s="51"/>
      <c r="V352" s="51"/>
      <c r="W352" s="51"/>
      <c r="X352" s="51"/>
      <c r="Y352" s="51"/>
      <c r="Z352" s="51"/>
      <c r="AA352" s="51"/>
      <c r="AB352" s="51"/>
      <c r="AC352" s="51"/>
      <c r="AD352" s="51"/>
      <c r="AG352" t="s">
        <v>28</v>
      </c>
      <c r="AH352" s="51"/>
      <c r="AI352" s="51"/>
    </row>
    <row r="353" spans="2:35">
      <c r="B353" t="s">
        <v>332</v>
      </c>
      <c r="C353" t="s">
        <v>3108</v>
      </c>
      <c r="D353">
        <v>5</v>
      </c>
      <c r="E353" t="s">
        <v>2797</v>
      </c>
      <c r="F353">
        <v>9</v>
      </c>
      <c r="I353" t="s">
        <v>333</v>
      </c>
      <c r="J353" s="51">
        <v>40609</v>
      </c>
      <c r="K353" t="s">
        <v>27</v>
      </c>
      <c r="L353" t="s">
        <v>222</v>
      </c>
      <c r="M353">
        <v>3</v>
      </c>
      <c r="N353" t="str">
        <f>L353</f>
        <v>NAM\MA9769</v>
      </c>
      <c r="O353" s="51">
        <f>J353</f>
        <v>40609</v>
      </c>
      <c r="P353" s="51" t="str">
        <f>C353</f>
        <v>~/cdd/olddocs/Formas/CNWI-QAAS (aseguranza de calidad)/CNWI-QAAS-F034 Junta de Apertura- Cierre de Auditoria Interna.docx</v>
      </c>
      <c r="Q353" s="51" t="str">
        <f>E353</f>
        <v>docx</v>
      </c>
      <c r="R353" s="51"/>
      <c r="S353" s="51"/>
      <c r="T353" s="51"/>
      <c r="U353" s="51"/>
      <c r="V353" s="51"/>
      <c r="W353" s="51"/>
      <c r="X353" s="51"/>
      <c r="Y353" s="51"/>
      <c r="Z353" s="51"/>
      <c r="AA353" s="51"/>
      <c r="AB353" s="51"/>
      <c r="AC353" s="51"/>
      <c r="AD353" s="51"/>
      <c r="AG353" t="s">
        <v>28</v>
      </c>
      <c r="AH353" s="51"/>
      <c r="AI353" s="51"/>
    </row>
    <row r="354" spans="2:35">
      <c r="B354" t="s">
        <v>334</v>
      </c>
      <c r="C354" t="s">
        <v>3109</v>
      </c>
      <c r="D354">
        <v>5</v>
      </c>
      <c r="E354" t="s">
        <v>2790</v>
      </c>
      <c r="F354">
        <v>9</v>
      </c>
      <c r="I354" t="s">
        <v>335</v>
      </c>
      <c r="J354" s="51">
        <v>41000</v>
      </c>
      <c r="K354" t="s">
        <v>27</v>
      </c>
      <c r="L354" t="s">
        <v>222</v>
      </c>
      <c r="M354">
        <v>3</v>
      </c>
      <c r="N354" t="str">
        <f>L354</f>
        <v>NAM\MA9769</v>
      </c>
      <c r="O354" s="51">
        <f>J354</f>
        <v>41000</v>
      </c>
      <c r="P354" s="51" t="str">
        <f>C354</f>
        <v>~/cdd/olddocs/Formas/CNWI-QAAS (aseguranza de calidad)/CNWI-QAAS-F035 Agenda de Auditoria.xlsx</v>
      </c>
      <c r="Q354" s="51" t="str">
        <f>E354</f>
        <v>xlsx</v>
      </c>
      <c r="R354" s="51"/>
      <c r="S354" s="51"/>
      <c r="T354" s="51"/>
      <c r="U354" s="51"/>
      <c r="V354" s="51"/>
      <c r="W354" s="51"/>
      <c r="X354" s="51"/>
      <c r="Y354" s="51"/>
      <c r="Z354" s="51"/>
      <c r="AA354" s="51"/>
      <c r="AB354" s="51"/>
      <c r="AC354" s="51"/>
      <c r="AD354" s="51"/>
      <c r="AG354" t="s">
        <v>28</v>
      </c>
      <c r="AH354" s="51"/>
      <c r="AI354" s="51"/>
    </row>
    <row r="355" spans="2:35">
      <c r="B355" t="s">
        <v>336</v>
      </c>
      <c r="C355" t="s">
        <v>3110</v>
      </c>
      <c r="D355">
        <v>5</v>
      </c>
      <c r="E355" t="s">
        <v>2792</v>
      </c>
      <c r="F355">
        <v>9</v>
      </c>
      <c r="I355" t="s">
        <v>337</v>
      </c>
      <c r="J355" s="51">
        <v>40609</v>
      </c>
      <c r="K355" t="s">
        <v>27</v>
      </c>
      <c r="L355" t="s">
        <v>222</v>
      </c>
      <c r="M355">
        <v>3</v>
      </c>
      <c r="N355" t="str">
        <f>L355</f>
        <v>NAM\MA9769</v>
      </c>
      <c r="O355" s="51">
        <f>J355</f>
        <v>40609</v>
      </c>
      <c r="P355" s="51" t="str">
        <f>C355</f>
        <v>~/cdd/olddocs/Formas/CNWI-QAAS (aseguranza de calidad)/CNWI-QAAS-F036 CAR Log.xls</v>
      </c>
      <c r="Q355" s="51" t="str">
        <f>E355</f>
        <v>xls</v>
      </c>
      <c r="R355" s="51"/>
      <c r="S355" s="51"/>
      <c r="T355" s="51"/>
      <c r="U355" s="51"/>
      <c r="V355" s="51"/>
      <c r="W355" s="51"/>
      <c r="X355" s="51"/>
      <c r="Y355" s="51"/>
      <c r="Z355" s="51"/>
      <c r="AA355" s="51"/>
      <c r="AB355" s="51"/>
      <c r="AC355" s="51"/>
      <c r="AD355" s="51"/>
      <c r="AG355" t="s">
        <v>28</v>
      </c>
      <c r="AH355" s="51"/>
      <c r="AI355" s="51"/>
    </row>
    <row r="356" spans="2:35">
      <c r="B356" t="s">
        <v>338</v>
      </c>
      <c r="C356" t="s">
        <v>3111</v>
      </c>
      <c r="D356">
        <v>5</v>
      </c>
      <c r="E356" t="s">
        <v>2791</v>
      </c>
      <c r="F356">
        <v>9</v>
      </c>
      <c r="I356" t="s">
        <v>339</v>
      </c>
      <c r="J356" s="51">
        <v>41128</v>
      </c>
      <c r="K356" t="s">
        <v>38</v>
      </c>
      <c r="L356" t="s">
        <v>222</v>
      </c>
      <c r="M356">
        <v>3</v>
      </c>
      <c r="N356" t="str">
        <f>L356</f>
        <v>NAM\MA9769</v>
      </c>
      <c r="O356" s="51">
        <f>J356</f>
        <v>41128</v>
      </c>
      <c r="P356" s="51" t="str">
        <f>C356</f>
        <v>~/cdd/olddocs/Formas/CNWI-QAAS (aseguranza de calidad)/CNWI-QAAS-F037 Alerta de Calidad.pdf</v>
      </c>
      <c r="Q356" s="51" t="str">
        <f>E356</f>
        <v>pdf</v>
      </c>
      <c r="R356" s="51"/>
      <c r="S356" s="51"/>
      <c r="T356" s="51"/>
      <c r="U356" s="51"/>
      <c r="V356" s="51"/>
      <c r="W356" s="51"/>
      <c r="X356" s="51"/>
      <c r="Y356" s="51"/>
      <c r="Z356" s="51"/>
      <c r="AA356" s="51"/>
      <c r="AB356" s="51"/>
      <c r="AC356" s="51"/>
      <c r="AD356" s="51"/>
      <c r="AG356" t="s">
        <v>28</v>
      </c>
      <c r="AH356" s="51"/>
      <c r="AI356" s="51"/>
    </row>
    <row r="357" spans="2:35">
      <c r="B357" t="s">
        <v>340</v>
      </c>
      <c r="C357" t="s">
        <v>3112</v>
      </c>
      <c r="D357">
        <v>5</v>
      </c>
      <c r="E357" t="s">
        <v>2794</v>
      </c>
      <c r="F357">
        <v>9</v>
      </c>
      <c r="I357" t="s">
        <v>341</v>
      </c>
      <c r="J357" s="51">
        <v>40610</v>
      </c>
      <c r="K357" t="s">
        <v>27</v>
      </c>
      <c r="L357" t="s">
        <v>222</v>
      </c>
      <c r="M357">
        <v>3</v>
      </c>
      <c r="N357" t="str">
        <f>L357</f>
        <v>NAM\MA9769</v>
      </c>
      <c r="O357" s="51">
        <f>J357</f>
        <v>40610</v>
      </c>
      <c r="P357" s="51" t="str">
        <f>C357</f>
        <v>~/cdd/olddocs/Formas/CNWI-QAAS (aseguranza de calidad)/CNWI-QAAS-F038 reporte de discrepancia  (DR).doc</v>
      </c>
      <c r="Q357" s="51" t="str">
        <f>E357</f>
        <v>doc</v>
      </c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G357" t="s">
        <v>28</v>
      </c>
      <c r="AH357" s="51"/>
      <c r="AI357" s="51"/>
    </row>
    <row r="358" spans="2:35">
      <c r="B358" t="s">
        <v>342</v>
      </c>
      <c r="C358" t="s">
        <v>3113</v>
      </c>
      <c r="D358">
        <v>5</v>
      </c>
      <c r="E358" t="s">
        <v>2790</v>
      </c>
      <c r="F358">
        <v>9</v>
      </c>
      <c r="I358" t="s">
        <v>343</v>
      </c>
      <c r="J358" s="51">
        <v>40852</v>
      </c>
      <c r="K358" t="s">
        <v>27</v>
      </c>
      <c r="L358" t="s">
        <v>222</v>
      </c>
      <c r="M358">
        <v>3</v>
      </c>
      <c r="N358" t="str">
        <f>L358</f>
        <v>NAM\MA9769</v>
      </c>
      <c r="O358" s="51">
        <f>J358</f>
        <v>40852</v>
      </c>
      <c r="P358" s="51" t="str">
        <f>C358</f>
        <v>~/cdd/olddocs/Formas/CNWI-QAAS (aseguranza de calidad)/CNWI-QAAS-F040 AS9101_D Checklist.xlsx</v>
      </c>
      <c r="Q358" s="51" t="str">
        <f>E358</f>
        <v>xlsx</v>
      </c>
      <c r="R358" s="51"/>
      <c r="S358" s="51"/>
      <c r="T358" s="51"/>
      <c r="U358" s="51"/>
      <c r="V358" s="51"/>
      <c r="W358" s="51"/>
      <c r="X358" s="51"/>
      <c r="Y358" s="51"/>
      <c r="Z358" s="51"/>
      <c r="AA358" s="51"/>
      <c r="AB358" s="51"/>
      <c r="AC358" s="51"/>
      <c r="AD358" s="51"/>
      <c r="AG358" t="s">
        <v>28</v>
      </c>
      <c r="AH358" s="51"/>
      <c r="AI358" s="51"/>
    </row>
    <row r="359" spans="2:35">
      <c r="B359" t="s">
        <v>2249</v>
      </c>
      <c r="C359" t="s">
        <v>3114</v>
      </c>
      <c r="D359">
        <v>5</v>
      </c>
      <c r="E359" t="s">
        <v>2790</v>
      </c>
      <c r="F359">
        <v>9</v>
      </c>
      <c r="I359" t="s">
        <v>2250</v>
      </c>
      <c r="J359" s="51">
        <v>40611</v>
      </c>
      <c r="K359" t="s">
        <v>27</v>
      </c>
      <c r="L359" t="s">
        <v>2063</v>
      </c>
      <c r="M359">
        <v>3</v>
      </c>
      <c r="N359" t="str">
        <f>L359</f>
        <v>NAM\MB2117</v>
      </c>
      <c r="O359" s="51">
        <f>J359</f>
        <v>40611</v>
      </c>
      <c r="P359" s="51" t="str">
        <f>C359</f>
        <v>~/cdd/olddocs/Formas/CNWI-QAAS (aseguranza de calidad)/CNWI-QAAS-F042 FAI Forms.xlsx</v>
      </c>
      <c r="Q359" s="51" t="str">
        <f>E359</f>
        <v>xlsx</v>
      </c>
      <c r="R359" s="51"/>
      <c r="S359" s="51"/>
      <c r="T359" s="51"/>
      <c r="U359" s="51"/>
      <c r="V359" s="51"/>
      <c r="W359" s="51"/>
      <c r="X359" s="51"/>
      <c r="Y359" s="51"/>
      <c r="Z359" s="51"/>
      <c r="AA359" s="51"/>
      <c r="AB359" s="51"/>
      <c r="AC359" s="51"/>
      <c r="AD359" s="51"/>
      <c r="AG359" t="s">
        <v>28</v>
      </c>
      <c r="AH359" s="51"/>
      <c r="AI359" s="51"/>
    </row>
    <row r="360" spans="2:35">
      <c r="B360" t="s">
        <v>1100</v>
      </c>
      <c r="C360" t="s">
        <v>3115</v>
      </c>
      <c r="D360">
        <v>5</v>
      </c>
      <c r="E360" t="s">
        <v>2790</v>
      </c>
      <c r="F360">
        <v>9</v>
      </c>
      <c r="I360" t="s">
        <v>1101</v>
      </c>
      <c r="J360" s="51">
        <v>41142</v>
      </c>
      <c r="K360" t="s">
        <v>46</v>
      </c>
      <c r="L360" t="s">
        <v>880</v>
      </c>
      <c r="M360">
        <v>3</v>
      </c>
      <c r="N360" t="str">
        <f>L360</f>
        <v>NAM\MB3488</v>
      </c>
      <c r="O360" s="51">
        <f>J360</f>
        <v>41142</v>
      </c>
      <c r="P360" s="51" t="str">
        <f>C360</f>
        <v>~/cdd/olddocs/Formas/CNWI-QAAS (aseguranza de calidad)/CNWI-QAAS-F043  Flow Chart.xlsx</v>
      </c>
      <c r="Q360" s="51" t="str">
        <f>E360</f>
        <v>xlsx</v>
      </c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G360" t="s">
        <v>28</v>
      </c>
      <c r="AH360" s="51"/>
      <c r="AI360" s="51"/>
    </row>
    <row r="361" spans="2:35">
      <c r="B361" t="s">
        <v>1102</v>
      </c>
      <c r="C361" t="s">
        <v>3116</v>
      </c>
      <c r="D361">
        <v>5</v>
      </c>
      <c r="E361" t="s">
        <v>2790</v>
      </c>
      <c r="F361">
        <v>9</v>
      </c>
      <c r="I361" t="s">
        <v>1103</v>
      </c>
      <c r="J361" s="51">
        <v>41143</v>
      </c>
      <c r="K361" t="s">
        <v>159</v>
      </c>
      <c r="L361" t="s">
        <v>880</v>
      </c>
      <c r="M361">
        <v>3</v>
      </c>
      <c r="N361" t="str">
        <f>L361</f>
        <v>NAM\MB3488</v>
      </c>
      <c r="O361" s="51">
        <f>J361</f>
        <v>41143</v>
      </c>
      <c r="P361" s="51" t="str">
        <f>C361</f>
        <v>~/cdd/olddocs/Formas/CNWI-QAAS (aseguranza de calidad)/CNWI-QAAS-F044 Rev. C FMEA.xlsx</v>
      </c>
      <c r="Q361" s="51" t="str">
        <f>E361</f>
        <v>xlsx</v>
      </c>
      <c r="R361" s="51"/>
      <c r="S361" s="51"/>
      <c r="T361" s="51"/>
      <c r="U361" s="51"/>
      <c r="V361" s="51"/>
      <c r="W361" s="51"/>
      <c r="X361" s="51"/>
      <c r="Y361" s="51"/>
      <c r="Z361" s="51"/>
      <c r="AA361" s="51"/>
      <c r="AB361" s="51"/>
      <c r="AC361" s="51"/>
      <c r="AD361" s="51"/>
      <c r="AG361" t="s">
        <v>28</v>
      </c>
      <c r="AH361" s="51"/>
      <c r="AI361" s="51"/>
    </row>
    <row r="362" spans="2:35">
      <c r="B362" t="s">
        <v>1104</v>
      </c>
      <c r="C362" t="s">
        <v>3877</v>
      </c>
      <c r="D362">
        <v>5</v>
      </c>
      <c r="E362" t="s">
        <v>2790</v>
      </c>
      <c r="F362">
        <v>9</v>
      </c>
      <c r="I362" t="s">
        <v>1105</v>
      </c>
      <c r="J362" s="51">
        <v>41151</v>
      </c>
      <c r="K362" t="s">
        <v>261</v>
      </c>
      <c r="L362" t="s">
        <v>880</v>
      </c>
      <c r="M362">
        <v>3</v>
      </c>
      <c r="N362" t="str">
        <f>L362</f>
        <v>NAM\MB3488</v>
      </c>
      <c r="O362" s="51">
        <f>J362</f>
        <v>41151</v>
      </c>
      <c r="P362" s="51" t="str">
        <f>C362</f>
        <v>~cdd/olddocs/Formas/CNWI-QAAS (aseguranza de calidad)/CNWI-QAAS-F045 Rev. E Control Plan.xlsx</v>
      </c>
      <c r="Q362" s="51" t="str">
        <f>E362</f>
        <v>xlsx</v>
      </c>
      <c r="R362" s="51"/>
      <c r="S362" s="51"/>
      <c r="T362" s="51"/>
      <c r="U362" s="51"/>
      <c r="V362" s="51"/>
      <c r="W362" s="51"/>
      <c r="X362" s="51"/>
      <c r="Y362" s="51"/>
      <c r="Z362" s="51"/>
      <c r="AA362" s="51"/>
      <c r="AB362" s="51"/>
      <c r="AC362" s="51"/>
      <c r="AD362" s="51"/>
      <c r="AG362" t="s">
        <v>28</v>
      </c>
      <c r="AH362" s="51"/>
      <c r="AI362" s="51"/>
    </row>
    <row r="363" spans="2:35">
      <c r="B363" t="s">
        <v>2422</v>
      </c>
      <c r="C363" t="s">
        <v>3117</v>
      </c>
      <c r="D363">
        <v>5</v>
      </c>
      <c r="E363" t="s">
        <v>2790</v>
      </c>
      <c r="F363">
        <v>9</v>
      </c>
      <c r="I363" t="s">
        <v>2423</v>
      </c>
      <c r="J363" s="51">
        <v>40611</v>
      </c>
      <c r="K363" t="s">
        <v>27</v>
      </c>
      <c r="L363" t="s">
        <v>2063</v>
      </c>
      <c r="M363">
        <v>3</v>
      </c>
      <c r="N363" t="str">
        <f>L363</f>
        <v>NAM\MB2117</v>
      </c>
      <c r="O363" s="51">
        <f>J363</f>
        <v>40611</v>
      </c>
      <c r="P363" s="51" t="str">
        <f>C363</f>
        <v>~/cdd/olddocs/Formas/CNWI-QAAS (aseguranza de calidad)/CNWI-QAAS-F046 Dimensional Data Sheet .xlsx</v>
      </c>
      <c r="Q363" s="51" t="str">
        <f>E363</f>
        <v>xlsx</v>
      </c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G363" t="s">
        <v>28</v>
      </c>
      <c r="AH363" s="51"/>
      <c r="AI363" s="51"/>
    </row>
    <row r="364" spans="2:35">
      <c r="B364" t="s">
        <v>344</v>
      </c>
      <c r="C364" t="s">
        <v>3118</v>
      </c>
      <c r="D364">
        <v>5</v>
      </c>
      <c r="E364" t="s">
        <v>2790</v>
      </c>
      <c r="F364">
        <v>9</v>
      </c>
      <c r="I364" t="s">
        <v>345</v>
      </c>
      <c r="J364" s="51">
        <v>40611</v>
      </c>
      <c r="K364" t="s">
        <v>27</v>
      </c>
      <c r="L364" t="s">
        <v>222</v>
      </c>
      <c r="M364">
        <v>3</v>
      </c>
      <c r="N364" t="str">
        <f>L364</f>
        <v>NAM\MA9769</v>
      </c>
      <c r="O364" s="51">
        <f>J364</f>
        <v>40611</v>
      </c>
      <c r="P364" s="51" t="str">
        <f>C364</f>
        <v>~/cdd/olddocs/Formas/CNWI-QAAS (aseguranza de calidad)/CNWI-QAAS-F047 BOM.xlsx</v>
      </c>
      <c r="Q364" s="51" t="str">
        <f>E364</f>
        <v>xlsx</v>
      </c>
      <c r="R364" s="51"/>
      <c r="S364" s="51"/>
      <c r="T364" s="51"/>
      <c r="U364" s="51"/>
      <c r="V364" s="51"/>
      <c r="W364" s="51"/>
      <c r="X364" s="51"/>
      <c r="Y364" s="51"/>
      <c r="Z364" s="51"/>
      <c r="AA364" s="51"/>
      <c r="AB364" s="51"/>
      <c r="AC364" s="51"/>
      <c r="AD364" s="51"/>
      <c r="AG364" t="s">
        <v>28</v>
      </c>
      <c r="AH364" s="51"/>
      <c r="AI364" s="51"/>
    </row>
    <row r="365" spans="2:35">
      <c r="B365" t="s">
        <v>346</v>
      </c>
      <c r="C365" t="s">
        <v>3119</v>
      </c>
      <c r="D365">
        <v>5</v>
      </c>
      <c r="E365" t="s">
        <v>2792</v>
      </c>
      <c r="F365">
        <v>9</v>
      </c>
      <c r="I365" t="s">
        <v>347</v>
      </c>
      <c r="J365" s="51">
        <v>40612</v>
      </c>
      <c r="K365" t="s">
        <v>27</v>
      </c>
      <c r="L365" t="s">
        <v>222</v>
      </c>
      <c r="M365">
        <v>3</v>
      </c>
      <c r="N365" t="str">
        <f>L365</f>
        <v>NAM\MA9769</v>
      </c>
      <c r="O365" s="51">
        <f>J365</f>
        <v>40612</v>
      </c>
      <c r="P365" s="51" t="str">
        <f>C365</f>
        <v>~/cdd/olddocs/Formas/CNWI-QAAS (aseguranza de calidad)/CNWI-QAAS-F048 formato de entradas y salidas.xls</v>
      </c>
      <c r="Q365" s="51" t="str">
        <f>E365</f>
        <v>xls</v>
      </c>
      <c r="R365" s="51"/>
      <c r="S365" s="51"/>
      <c r="T365" s="51"/>
      <c r="U365" s="51"/>
      <c r="V365" s="51"/>
      <c r="W365" s="51"/>
      <c r="X365" s="51"/>
      <c r="Y365" s="51"/>
      <c r="Z365" s="51"/>
      <c r="AA365" s="51"/>
      <c r="AB365" s="51"/>
      <c r="AC365" s="51"/>
      <c r="AD365" s="51"/>
      <c r="AG365" t="s">
        <v>28</v>
      </c>
      <c r="AH365" s="51"/>
      <c r="AI365" s="51"/>
    </row>
    <row r="366" spans="2:35">
      <c r="B366" t="s">
        <v>2251</v>
      </c>
      <c r="C366" t="s">
        <v>3120</v>
      </c>
      <c r="D366">
        <v>5</v>
      </c>
      <c r="E366" t="s">
        <v>2790</v>
      </c>
      <c r="F366">
        <v>9</v>
      </c>
      <c r="I366" t="s">
        <v>2252</v>
      </c>
      <c r="J366" s="51">
        <v>40612</v>
      </c>
      <c r="K366" t="s">
        <v>27</v>
      </c>
      <c r="L366" t="s">
        <v>2063</v>
      </c>
      <c r="M366">
        <v>3</v>
      </c>
      <c r="N366" t="str">
        <f>L366</f>
        <v>NAM\MB2117</v>
      </c>
      <c r="O366" s="51">
        <f>J366</f>
        <v>40612</v>
      </c>
      <c r="P366" s="51" t="str">
        <f>C366</f>
        <v>~/cdd/olddocs/Formas/CNWI-QAAS (aseguranza de calidad)/CNWI-QAAS-F049 Forma para CPK's xlsx.xlsx</v>
      </c>
      <c r="Q366" s="51" t="str">
        <f>E366</f>
        <v>xlsx</v>
      </c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G366" t="s">
        <v>28</v>
      </c>
      <c r="AH366" s="51"/>
      <c r="AI366" s="51"/>
    </row>
    <row r="367" spans="2:35">
      <c r="B367" t="s">
        <v>1513</v>
      </c>
      <c r="C367" t="s">
        <v>3121</v>
      </c>
      <c r="D367">
        <v>5</v>
      </c>
      <c r="E367" t="s">
        <v>2790</v>
      </c>
      <c r="F367">
        <v>9</v>
      </c>
      <c r="I367" t="s">
        <v>1514</v>
      </c>
      <c r="J367" s="51">
        <v>40891</v>
      </c>
      <c r="K367" t="s">
        <v>46</v>
      </c>
      <c r="L367" t="s">
        <v>1504</v>
      </c>
      <c r="M367">
        <v>3</v>
      </c>
      <c r="N367" t="str">
        <f>L367</f>
        <v>NAM\MB5781</v>
      </c>
      <c r="O367" s="51">
        <f>J367</f>
        <v>40891</v>
      </c>
      <c r="P367" s="51" t="str">
        <f>C367</f>
        <v>~/cdd/olddocs/Formas/CNWI-QAAS (aseguranza de calidad)/CNWI-QAAS-F050 Formato de IMC.xlsx</v>
      </c>
      <c r="Q367" s="51" t="str">
        <f>E367</f>
        <v>xlsx</v>
      </c>
      <c r="R367" s="51"/>
      <c r="S367" s="51"/>
      <c r="T367" s="51"/>
      <c r="U367" s="51"/>
      <c r="V367" s="51"/>
      <c r="W367" s="51"/>
      <c r="X367" s="51"/>
      <c r="Y367" s="51"/>
      <c r="Z367" s="51"/>
      <c r="AA367" s="51"/>
      <c r="AB367" s="51"/>
      <c r="AC367" s="51"/>
      <c r="AD367" s="51"/>
      <c r="AG367" t="s">
        <v>28</v>
      </c>
      <c r="AH367" s="51"/>
      <c r="AI367" s="51"/>
    </row>
    <row r="368" spans="2:35">
      <c r="B368" t="s">
        <v>2253</v>
      </c>
      <c r="C368" t="s">
        <v>3122</v>
      </c>
      <c r="D368">
        <v>5</v>
      </c>
      <c r="E368" t="s">
        <v>2792</v>
      </c>
      <c r="F368">
        <v>9</v>
      </c>
      <c r="I368" t="s">
        <v>2254</v>
      </c>
      <c r="J368" s="51">
        <v>40612</v>
      </c>
      <c r="K368" t="s">
        <v>27</v>
      </c>
      <c r="L368" t="s">
        <v>2063</v>
      </c>
      <c r="M368">
        <v>3</v>
      </c>
      <c r="N368" t="str">
        <f>L368</f>
        <v>NAM\MB2117</v>
      </c>
      <c r="O368" s="51">
        <f>J368</f>
        <v>40612</v>
      </c>
      <c r="P368" s="51" t="str">
        <f>C368</f>
        <v>~/cdd/olddocs/Formas/CNWI-QAAS (aseguranza de calidad)/CNWI-QAAS-F051 formato de resumen de lotes rechazados.xls</v>
      </c>
      <c r="Q368" s="51" t="str">
        <f>E368</f>
        <v>xls</v>
      </c>
      <c r="R368" s="51"/>
      <c r="S368" s="51"/>
      <c r="T368" s="51"/>
      <c r="U368" s="51"/>
      <c r="V368" s="51"/>
      <c r="W368" s="51"/>
      <c r="X368" s="51"/>
      <c r="Y368" s="51"/>
      <c r="Z368" s="51"/>
      <c r="AA368" s="51"/>
      <c r="AB368" s="51"/>
      <c r="AC368" s="51"/>
      <c r="AD368" s="51"/>
      <c r="AG368" t="s">
        <v>28</v>
      </c>
      <c r="AH368" s="51"/>
      <c r="AI368" s="51"/>
    </row>
    <row r="369" spans="2:35">
      <c r="B369" t="s">
        <v>348</v>
      </c>
      <c r="C369" t="s">
        <v>3123</v>
      </c>
      <c r="D369">
        <v>5</v>
      </c>
      <c r="E369" t="s">
        <v>2792</v>
      </c>
      <c r="F369">
        <v>9</v>
      </c>
      <c r="I369" t="s">
        <v>349</v>
      </c>
      <c r="J369" s="51">
        <v>40612</v>
      </c>
      <c r="K369" t="s">
        <v>27</v>
      </c>
      <c r="L369" t="s">
        <v>222</v>
      </c>
      <c r="M369">
        <v>3</v>
      </c>
      <c r="N369" t="str">
        <f>L369</f>
        <v>NAM\MA9769</v>
      </c>
      <c r="O369" s="51">
        <f>J369</f>
        <v>40612</v>
      </c>
      <c r="P369" s="51" t="str">
        <f>C369</f>
        <v>~/cdd/olddocs/Formas/CNWI-QAAS (aseguranza de calidad)/CNWI-QAAS-F052 Schedule Management Review.xls</v>
      </c>
      <c r="Q369" s="51" t="str">
        <f>E369</f>
        <v>xls</v>
      </c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G369" t="s">
        <v>28</v>
      </c>
      <c r="AH369" s="51"/>
      <c r="AI369" s="51"/>
    </row>
    <row r="370" spans="2:35">
      <c r="B370" t="s">
        <v>350</v>
      </c>
      <c r="C370" t="s">
        <v>3124</v>
      </c>
      <c r="D370">
        <v>5</v>
      </c>
      <c r="E370" t="s">
        <v>2797</v>
      </c>
      <c r="F370">
        <v>9</v>
      </c>
      <c r="I370" t="s">
        <v>351</v>
      </c>
      <c r="J370" s="51">
        <v>40617</v>
      </c>
      <c r="K370" t="s">
        <v>27</v>
      </c>
      <c r="L370" t="s">
        <v>222</v>
      </c>
      <c r="M370">
        <v>3</v>
      </c>
      <c r="N370" t="str">
        <f>L370</f>
        <v>NAM\MA9769</v>
      </c>
      <c r="O370" s="51">
        <f>J370</f>
        <v>40617</v>
      </c>
      <c r="P370" s="51" t="str">
        <f>C370</f>
        <v>~/cdd/olddocs/Formas/CNWI-QAAS (aseguranza de calidad)/CNWI-QAAS-F054 Meeting Notice.docx</v>
      </c>
      <c r="Q370" s="51" t="str">
        <f>E370</f>
        <v>docx</v>
      </c>
      <c r="R370" s="51"/>
      <c r="S370" s="51"/>
      <c r="T370" s="51"/>
      <c r="U370" s="51"/>
      <c r="V370" s="51"/>
      <c r="W370" s="51"/>
      <c r="X370" s="51"/>
      <c r="Y370" s="51"/>
      <c r="Z370" s="51"/>
      <c r="AA370" s="51"/>
      <c r="AB370" s="51"/>
      <c r="AC370" s="51"/>
      <c r="AD370" s="51"/>
      <c r="AG370" t="s">
        <v>28</v>
      </c>
      <c r="AH370" s="51"/>
      <c r="AI370" s="51"/>
    </row>
    <row r="371" spans="2:35">
      <c r="B371" t="s">
        <v>352</v>
      </c>
      <c r="C371" t="s">
        <v>3125</v>
      </c>
      <c r="D371">
        <v>5</v>
      </c>
      <c r="E371" t="s">
        <v>2790</v>
      </c>
      <c r="F371">
        <v>9</v>
      </c>
      <c r="I371" t="s">
        <v>353</v>
      </c>
      <c r="J371" s="51">
        <v>40617</v>
      </c>
      <c r="K371" t="s">
        <v>27</v>
      </c>
      <c r="L371" t="s">
        <v>222</v>
      </c>
      <c r="M371">
        <v>3</v>
      </c>
      <c r="N371" t="str">
        <f>L371</f>
        <v>NAM\MA9769</v>
      </c>
      <c r="O371" s="51">
        <f>J371</f>
        <v>40617</v>
      </c>
      <c r="P371" s="51" t="str">
        <f>C371</f>
        <v>~/cdd/olddocs/Formas/CNWI-QAAS (aseguranza de calidad)/CNWI-QAAS-F055 DR Report ordenes de retrabajo  Recibidas Fuera Del SAP 2011.xlsx</v>
      </c>
      <c r="Q371" s="51" t="str">
        <f>E371</f>
        <v>xlsx</v>
      </c>
      <c r="R371" s="51"/>
      <c r="S371" s="51"/>
      <c r="T371" s="51"/>
      <c r="U371" s="51"/>
      <c r="V371" s="51"/>
      <c r="W371" s="51"/>
      <c r="X371" s="51"/>
      <c r="Y371" s="51"/>
      <c r="Z371" s="51"/>
      <c r="AA371" s="51"/>
      <c r="AB371" s="51"/>
      <c r="AC371" s="51"/>
      <c r="AD371" s="51"/>
      <c r="AG371" t="s">
        <v>28</v>
      </c>
      <c r="AH371" s="51"/>
      <c r="AI371" s="51"/>
    </row>
    <row r="372" spans="2:35">
      <c r="B372" t="s">
        <v>354</v>
      </c>
      <c r="C372" t="s">
        <v>3126</v>
      </c>
      <c r="D372">
        <v>5</v>
      </c>
      <c r="E372" t="s">
        <v>2790</v>
      </c>
      <c r="F372">
        <v>9</v>
      </c>
      <c r="I372" t="s">
        <v>355</v>
      </c>
      <c r="J372" s="51">
        <v>40617</v>
      </c>
      <c r="K372" t="s">
        <v>27</v>
      </c>
      <c r="L372" t="s">
        <v>222</v>
      </c>
      <c r="M372">
        <v>3</v>
      </c>
      <c r="N372" t="str">
        <f>L372</f>
        <v>NAM\MA9769</v>
      </c>
      <c r="O372" s="51">
        <f>J372</f>
        <v>40617</v>
      </c>
      <c r="P372" s="51" t="str">
        <f>C372</f>
        <v>~/cdd/olddocs/Formas/CNWI-QAAS (aseguranza de calidad)/CNWI-QAAS-F056 DR Reporte de retrabajo ordenes  Recibidas Dentro Del SAP 2011.xlsx</v>
      </c>
      <c r="Q372" s="51" t="str">
        <f>E372</f>
        <v>xlsx</v>
      </c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G372" t="s">
        <v>28</v>
      </c>
      <c r="AH372" s="51"/>
      <c r="AI372" s="51"/>
    </row>
    <row r="373" spans="2:35">
      <c r="B373" t="s">
        <v>356</v>
      </c>
      <c r="C373" t="s">
        <v>3127</v>
      </c>
      <c r="D373">
        <v>5</v>
      </c>
      <c r="E373" t="s">
        <v>2793</v>
      </c>
      <c r="F373">
        <v>9</v>
      </c>
      <c r="I373" t="s">
        <v>357</v>
      </c>
      <c r="J373" s="51">
        <v>40617</v>
      </c>
      <c r="K373" t="s">
        <v>27</v>
      </c>
      <c r="L373" t="s">
        <v>222</v>
      </c>
      <c r="M373">
        <v>3</v>
      </c>
      <c r="N373" t="str">
        <f>L373</f>
        <v>NAM\MA9769</v>
      </c>
      <c r="O373" s="51">
        <f>J373</f>
        <v>40617</v>
      </c>
      <c r="P373" s="51" t="str">
        <f>C373</f>
        <v>~/cdd/olddocs/Formas/CNWI-QAAS (aseguranza de calidad)/CNWI-QAAS-F057 Formato de presentacion al proveedor.pptx</v>
      </c>
      <c r="Q373" s="51" t="str">
        <f>E373</f>
        <v>pptx</v>
      </c>
      <c r="R373" s="51"/>
      <c r="S373" s="51"/>
      <c r="T373" s="51"/>
      <c r="U373" s="51"/>
      <c r="V373" s="51"/>
      <c r="W373" s="51"/>
      <c r="X373" s="51"/>
      <c r="Y373" s="51"/>
      <c r="Z373" s="51"/>
      <c r="AA373" s="51"/>
      <c r="AB373" s="51"/>
      <c r="AC373" s="51"/>
      <c r="AD373" s="51"/>
      <c r="AG373" t="s">
        <v>28</v>
      </c>
      <c r="AH373" s="51"/>
      <c r="AI373" s="51"/>
    </row>
    <row r="374" spans="2:35">
      <c r="B374" t="s">
        <v>358</v>
      </c>
      <c r="C374" t="s">
        <v>3128</v>
      </c>
      <c r="D374">
        <v>5</v>
      </c>
      <c r="E374" t="s">
        <v>2790</v>
      </c>
      <c r="F374">
        <v>9</v>
      </c>
      <c r="I374" t="s">
        <v>359</v>
      </c>
      <c r="J374" s="51">
        <v>40617</v>
      </c>
      <c r="K374" t="s">
        <v>27</v>
      </c>
      <c r="L374" t="s">
        <v>222</v>
      </c>
      <c r="M374">
        <v>3</v>
      </c>
      <c r="N374" t="str">
        <f>L374</f>
        <v>NAM\MA9769</v>
      </c>
      <c r="O374" s="51">
        <f>J374</f>
        <v>40617</v>
      </c>
      <c r="P374" s="51" t="str">
        <f>C374</f>
        <v>~/cdd/olddocs/Formas/CNWI-QAAS (aseguranza de calidad)/CNWI-QAAS-F058 Reporte DR2011.xlsx</v>
      </c>
      <c r="Q374" s="51" t="str">
        <f>E374</f>
        <v>xlsx</v>
      </c>
      <c r="R374" s="51"/>
      <c r="S374" s="51"/>
      <c r="T374" s="51"/>
      <c r="U374" s="51"/>
      <c r="V374" s="51"/>
      <c r="W374" s="51"/>
      <c r="X374" s="51"/>
      <c r="Y374" s="51"/>
      <c r="Z374" s="51"/>
      <c r="AA374" s="51"/>
      <c r="AB374" s="51"/>
      <c r="AC374" s="51"/>
      <c r="AD374" s="51"/>
      <c r="AG374" t="s">
        <v>28</v>
      </c>
      <c r="AH374" s="51"/>
      <c r="AI374" s="51"/>
    </row>
    <row r="375" spans="2:35">
      <c r="B375" t="s">
        <v>1845</v>
      </c>
      <c r="C375" t="s">
        <v>3129</v>
      </c>
      <c r="D375">
        <v>5</v>
      </c>
      <c r="E375" t="s">
        <v>2790</v>
      </c>
      <c r="F375">
        <v>9</v>
      </c>
      <c r="I375" t="s">
        <v>1846</v>
      </c>
      <c r="J375" s="51">
        <v>40617</v>
      </c>
      <c r="K375" t="s">
        <v>27</v>
      </c>
      <c r="L375" t="s">
        <v>1584</v>
      </c>
      <c r="M375">
        <v>3</v>
      </c>
      <c r="N375" t="str">
        <f>L375</f>
        <v>NAM\A8070</v>
      </c>
      <c r="O375" s="51">
        <f>J375</f>
        <v>40617</v>
      </c>
      <c r="P375" s="51" t="str">
        <f>C375</f>
        <v>~/cdd/olddocs/Formas/CNWI-QAAS (aseguranza de calidad)/CNWI-QAAS-F059 retrabajos micromini.xlsx</v>
      </c>
      <c r="Q375" s="51" t="str">
        <f>E375</f>
        <v>xlsx</v>
      </c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G375" t="s">
        <v>28</v>
      </c>
      <c r="AH375" s="51"/>
      <c r="AI375" s="51"/>
    </row>
    <row r="376" spans="2:35">
      <c r="B376" t="s">
        <v>2255</v>
      </c>
      <c r="C376" t="s">
        <v>3130</v>
      </c>
      <c r="D376">
        <v>5</v>
      </c>
      <c r="E376" t="s">
        <v>2790</v>
      </c>
      <c r="F376">
        <v>9</v>
      </c>
      <c r="I376" t="s">
        <v>2256</v>
      </c>
      <c r="J376" s="51">
        <v>40617</v>
      </c>
      <c r="K376" t="s">
        <v>27</v>
      </c>
      <c r="L376" t="s">
        <v>2063</v>
      </c>
      <c r="M376">
        <v>3</v>
      </c>
      <c r="N376" t="str">
        <f>L376</f>
        <v>NAM\MB2117</v>
      </c>
      <c r="O376" s="51">
        <f>J376</f>
        <v>40617</v>
      </c>
      <c r="P376" s="51" t="str">
        <f>C376</f>
        <v>~/cdd/olddocs/Formas/CNWI-QAAS (aseguranza de calidad)/CNWI-QAAS-F060 Retrabajos Itron y Mas.xlsx</v>
      </c>
      <c r="Q376" s="51" t="str">
        <f>E376</f>
        <v>xlsx</v>
      </c>
      <c r="R376" s="51"/>
      <c r="S376" s="51"/>
      <c r="T376" s="51"/>
      <c r="U376" s="51"/>
      <c r="V376" s="51"/>
      <c r="W376" s="51"/>
      <c r="X376" s="51"/>
      <c r="Y376" s="51"/>
      <c r="Z376" s="51"/>
      <c r="AA376" s="51"/>
      <c r="AB376" s="51"/>
      <c r="AC376" s="51"/>
      <c r="AD376" s="51"/>
      <c r="AG376" t="s">
        <v>28</v>
      </c>
      <c r="AH376" s="51"/>
      <c r="AI376" s="51"/>
    </row>
    <row r="377" spans="2:35">
      <c r="B377" t="s">
        <v>2257</v>
      </c>
      <c r="C377" t="s">
        <v>3131</v>
      </c>
      <c r="D377">
        <v>5</v>
      </c>
      <c r="E377" t="s">
        <v>2797</v>
      </c>
      <c r="F377">
        <v>9</v>
      </c>
      <c r="I377" t="s">
        <v>2258</v>
      </c>
      <c r="J377" s="51">
        <v>40617</v>
      </c>
      <c r="K377" t="s">
        <v>27</v>
      </c>
      <c r="L377" t="s">
        <v>2063</v>
      </c>
      <c r="M377">
        <v>3</v>
      </c>
      <c r="N377" t="str">
        <f>L377</f>
        <v>NAM\MB2117</v>
      </c>
      <c r="O377" s="51">
        <f>J377</f>
        <v>40617</v>
      </c>
      <c r="P377" s="51" t="str">
        <f>C377</f>
        <v>~/cdd/olddocs/Formas/CNWI-QAAS (aseguranza de calidad)/CNWI-QAAS-F061 Stock Purge Report.docx</v>
      </c>
      <c r="Q377" s="51" t="str">
        <f>E377</f>
        <v>docx</v>
      </c>
      <c r="R377" s="51"/>
      <c r="S377" s="51"/>
      <c r="T377" s="51"/>
      <c r="U377" s="51"/>
      <c r="V377" s="51"/>
      <c r="W377" s="51"/>
      <c r="X377" s="51"/>
      <c r="Y377" s="51"/>
      <c r="Z377" s="51"/>
      <c r="AA377" s="51"/>
      <c r="AB377" s="51"/>
      <c r="AC377" s="51"/>
      <c r="AD377" s="51"/>
      <c r="AG377" t="s">
        <v>28</v>
      </c>
      <c r="AH377" s="51"/>
      <c r="AI377" s="51"/>
    </row>
    <row r="378" spans="2:35">
      <c r="B378" t="s">
        <v>1120</v>
      </c>
      <c r="C378" t="s">
        <v>3132</v>
      </c>
      <c r="D378">
        <v>5</v>
      </c>
      <c r="E378" t="s">
        <v>2792</v>
      </c>
      <c r="F378">
        <v>9</v>
      </c>
      <c r="I378" t="s">
        <v>1121</v>
      </c>
      <c r="J378" s="51">
        <v>40617</v>
      </c>
      <c r="K378" t="s">
        <v>27</v>
      </c>
      <c r="L378" t="s">
        <v>1109</v>
      </c>
      <c r="M378">
        <v>3</v>
      </c>
      <c r="N378" t="str">
        <f>L378</f>
        <v>NAM\MB2116</v>
      </c>
      <c r="O378" s="51">
        <f>J378</f>
        <v>40617</v>
      </c>
      <c r="P378" s="51" t="str">
        <f>C378</f>
        <v>~/cdd/olddocs/Formas/CNWI-QAAS (aseguranza de calidad)/CNWI-QAAS-F063 Material Freezer storage.xls</v>
      </c>
      <c r="Q378" s="51" t="str">
        <f>E378</f>
        <v>xls</v>
      </c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G378" t="s">
        <v>28</v>
      </c>
      <c r="AH378" s="51"/>
      <c r="AI378" s="51"/>
    </row>
    <row r="379" spans="2:35">
      <c r="B379" t="s">
        <v>2048</v>
      </c>
      <c r="C379" t="s">
        <v>3133</v>
      </c>
      <c r="D379">
        <v>5</v>
      </c>
      <c r="E379" t="s">
        <v>2792</v>
      </c>
      <c r="F379">
        <v>9</v>
      </c>
      <c r="I379" t="s">
        <v>2049</v>
      </c>
      <c r="J379" s="51">
        <v>41061</v>
      </c>
      <c r="K379" t="s">
        <v>261</v>
      </c>
      <c r="L379" t="s">
        <v>1888</v>
      </c>
      <c r="M379">
        <v>3</v>
      </c>
      <c r="N379" t="str">
        <f>L379</f>
        <v>NAM\MA7784</v>
      </c>
      <c r="O379" s="51">
        <f>J379</f>
        <v>41061</v>
      </c>
      <c r="P379" s="51" t="str">
        <f>C379</f>
        <v>~/cdd/olddocs/Formas/CNWI-QAAS (aseguranza de calidad)/CNWI-QAAS-F064 Boleta de scrap.xls</v>
      </c>
      <c r="Q379" s="51" t="str">
        <f>E379</f>
        <v>xls</v>
      </c>
      <c r="R379" s="51"/>
      <c r="S379" s="51"/>
      <c r="T379" s="51"/>
      <c r="U379" s="51"/>
      <c r="V379" s="51"/>
      <c r="W379" s="51"/>
      <c r="X379" s="51"/>
      <c r="Y379" s="51"/>
      <c r="Z379" s="51"/>
      <c r="AA379" s="51"/>
      <c r="AB379" s="51"/>
      <c r="AC379" s="51"/>
      <c r="AD379" s="51"/>
      <c r="AG379" t="s">
        <v>28</v>
      </c>
      <c r="AH379" s="51"/>
      <c r="AI379" s="51"/>
    </row>
    <row r="380" spans="2:35">
      <c r="B380" t="s">
        <v>2050</v>
      </c>
      <c r="C380" t="s">
        <v>3134</v>
      </c>
      <c r="D380">
        <v>5</v>
      </c>
      <c r="E380" t="s">
        <v>2791</v>
      </c>
      <c r="F380">
        <v>9</v>
      </c>
      <c r="I380" t="s">
        <v>2051</v>
      </c>
      <c r="J380" s="51">
        <v>41108</v>
      </c>
      <c r="K380" t="s">
        <v>38</v>
      </c>
      <c r="L380" t="s">
        <v>1888</v>
      </c>
      <c r="M380">
        <v>3</v>
      </c>
      <c r="N380" t="str">
        <f>L380</f>
        <v>NAM\MA7784</v>
      </c>
      <c r="O380" s="51">
        <f>J380</f>
        <v>41108</v>
      </c>
      <c r="P380" s="51" t="str">
        <f>C380</f>
        <v>~/cdd/olddocs/Formas/CNWI-QAAS (aseguranza de calidad)/CNWI-QAAS-F065 Certificate  of Conformance .pdf</v>
      </c>
      <c r="Q380" s="51" t="str">
        <f>E380</f>
        <v>pdf</v>
      </c>
      <c r="R380" s="51"/>
      <c r="S380" s="51"/>
      <c r="T380" s="51"/>
      <c r="U380" s="51"/>
      <c r="V380" s="51"/>
      <c r="W380" s="51"/>
      <c r="X380" s="51"/>
      <c r="Y380" s="51"/>
      <c r="Z380" s="51"/>
      <c r="AA380" s="51"/>
      <c r="AB380" s="51"/>
      <c r="AC380" s="51"/>
      <c r="AD380" s="51"/>
      <c r="AG380" t="s">
        <v>28</v>
      </c>
      <c r="AH380" s="51"/>
      <c r="AI380" s="51"/>
    </row>
    <row r="381" spans="2:35">
      <c r="B381" t="s">
        <v>1122</v>
      </c>
      <c r="C381" t="s">
        <v>3135</v>
      </c>
      <c r="D381">
        <v>5</v>
      </c>
      <c r="E381" t="s">
        <v>2792</v>
      </c>
      <c r="F381">
        <v>9</v>
      </c>
      <c r="I381" t="s">
        <v>1123</v>
      </c>
      <c r="J381" s="51">
        <v>41102</v>
      </c>
      <c r="K381" t="s">
        <v>27</v>
      </c>
      <c r="L381" t="s">
        <v>1109</v>
      </c>
      <c r="M381">
        <v>3</v>
      </c>
      <c r="N381" t="str">
        <f>L381</f>
        <v>NAM\MB2116</v>
      </c>
      <c r="O381" s="51">
        <f>J381</f>
        <v>41102</v>
      </c>
      <c r="P381" s="51" t="str">
        <f>C381</f>
        <v>~/cdd/olddocs/Formas/CNWI-QAAS (aseguranza de calidad)/CNWI-QAAS-F066 Diagrama de flujo del producto.xls</v>
      </c>
      <c r="Q381" s="51" t="str">
        <f>E381</f>
        <v>xls</v>
      </c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G381" t="s">
        <v>28</v>
      </c>
      <c r="AH381" s="51"/>
      <c r="AI381" s="51"/>
    </row>
    <row r="382" spans="2:35">
      <c r="B382" t="s">
        <v>1124</v>
      </c>
      <c r="C382" t="s">
        <v>3136</v>
      </c>
      <c r="D382">
        <v>5</v>
      </c>
      <c r="E382" t="s">
        <v>2792</v>
      </c>
      <c r="F382">
        <v>9</v>
      </c>
      <c r="I382" t="s">
        <v>1125</v>
      </c>
      <c r="J382" s="51">
        <v>40633</v>
      </c>
      <c r="K382" t="s">
        <v>27</v>
      </c>
      <c r="L382" t="s">
        <v>1109</v>
      </c>
      <c r="M382">
        <v>3</v>
      </c>
      <c r="N382" t="str">
        <f>L382</f>
        <v>NAM\MB2116</v>
      </c>
      <c r="O382" s="51">
        <f>J382</f>
        <v>40633</v>
      </c>
      <c r="P382" s="51" t="str">
        <f>C382</f>
        <v>~/cdd/olddocs/Formas/CNWI-QAAS (aseguranza de calidad)/CNWI-QAAS-F067 Registro de Goma.xls</v>
      </c>
      <c r="Q382" s="51" t="str">
        <f>E382</f>
        <v>xls</v>
      </c>
      <c r="R382" s="51"/>
      <c r="S382" s="51"/>
      <c r="T382" s="51"/>
      <c r="U382" s="51"/>
      <c r="V382" s="51"/>
      <c r="W382" s="51"/>
      <c r="X382" s="51"/>
      <c r="Y382" s="51"/>
      <c r="Z382" s="51"/>
      <c r="AA382" s="51"/>
      <c r="AB382" s="51"/>
      <c r="AC382" s="51"/>
      <c r="AD382" s="51"/>
      <c r="AG382" t="s">
        <v>28</v>
      </c>
      <c r="AH382" s="51"/>
      <c r="AI382" s="51"/>
    </row>
    <row r="383" spans="2:35">
      <c r="B383" t="s">
        <v>360</v>
      </c>
      <c r="C383" t="s">
        <v>3137</v>
      </c>
      <c r="D383">
        <v>5</v>
      </c>
      <c r="E383" t="s">
        <v>2792</v>
      </c>
      <c r="F383">
        <v>9</v>
      </c>
      <c r="I383" t="s">
        <v>361</v>
      </c>
      <c r="J383" s="51">
        <v>40973</v>
      </c>
      <c r="K383" t="s">
        <v>27</v>
      </c>
      <c r="L383" t="s">
        <v>222</v>
      </c>
      <c r="M383">
        <v>3</v>
      </c>
      <c r="N383" t="str">
        <f>L383</f>
        <v>NAM\MA9769</v>
      </c>
      <c r="O383" s="51">
        <f>J383</f>
        <v>40973</v>
      </c>
      <c r="P383" s="51" t="str">
        <f>C383</f>
        <v>~/cdd/olddocs/Formas/CNWI-QAAS (aseguranza de calidad)/CNWI-QAAS-F068 Relacion de documentos externos.xls</v>
      </c>
      <c r="Q383" s="51" t="str">
        <f>E383</f>
        <v>xls</v>
      </c>
      <c r="R383" s="51"/>
      <c r="S383" s="51"/>
      <c r="T383" s="51"/>
      <c r="U383" s="51"/>
      <c r="V383" s="51"/>
      <c r="W383" s="51"/>
      <c r="X383" s="51"/>
      <c r="Y383" s="51"/>
      <c r="Z383" s="51"/>
      <c r="AA383" s="51"/>
      <c r="AB383" s="51"/>
      <c r="AC383" s="51"/>
      <c r="AD383" s="51"/>
      <c r="AG383" t="s">
        <v>28</v>
      </c>
      <c r="AH383" s="51"/>
      <c r="AI383" s="51"/>
    </row>
    <row r="384" spans="2:35">
      <c r="B384" t="s">
        <v>362</v>
      </c>
      <c r="C384" t="s">
        <v>3932</v>
      </c>
      <c r="D384">
        <v>5</v>
      </c>
      <c r="E384" t="s">
        <v>2792</v>
      </c>
      <c r="F384">
        <v>9</v>
      </c>
      <c r="I384" t="s">
        <v>363</v>
      </c>
      <c r="J384" s="51">
        <v>40988</v>
      </c>
      <c r="K384" t="s">
        <v>159</v>
      </c>
      <c r="L384" t="s">
        <v>222</v>
      </c>
      <c r="M384">
        <v>3</v>
      </c>
      <c r="N384" t="str">
        <f>L384</f>
        <v>NAM\MA9769</v>
      </c>
      <c r="O384" s="51">
        <f>J384</f>
        <v>40988</v>
      </c>
      <c r="P384" s="51" t="str">
        <f>C384</f>
        <v>~/cdd/olddocs/CN-QAAS (Aseguranza de calidad)/FORMAS/CNWI-QAAS-F069 Rev. C Comunicacion de cambios de documentos.xls</v>
      </c>
      <c r="Q384" s="51" t="str">
        <f>E384</f>
        <v>xls</v>
      </c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G384" t="s">
        <v>28</v>
      </c>
      <c r="AH384" s="51"/>
      <c r="AI384" s="51"/>
    </row>
    <row r="385" spans="2:35">
      <c r="B385" t="s">
        <v>1847</v>
      </c>
      <c r="C385" t="s">
        <v>3138</v>
      </c>
      <c r="D385">
        <v>5</v>
      </c>
      <c r="E385" t="s">
        <v>2792</v>
      </c>
      <c r="F385">
        <v>9</v>
      </c>
      <c r="I385" t="s">
        <v>1848</v>
      </c>
      <c r="J385" s="51">
        <v>40644</v>
      </c>
      <c r="K385" t="s">
        <v>27</v>
      </c>
      <c r="L385" t="s">
        <v>1584</v>
      </c>
      <c r="M385">
        <v>3</v>
      </c>
      <c r="N385" t="str">
        <f>L385</f>
        <v>NAM\A8070</v>
      </c>
      <c r="O385" s="51">
        <f>J385</f>
        <v>40644</v>
      </c>
      <c r="P385" s="51" t="str">
        <f>C385</f>
        <v>~/cdd/olddocs/Formas/CNWI-QAAS (aseguranza de calidad)/CNWI-QAAS-F070 Matriz de PULL TEST(MICRO-MINI).xls</v>
      </c>
      <c r="Q385" s="51" t="str">
        <f>E385</f>
        <v>xls</v>
      </c>
      <c r="R385" s="51"/>
      <c r="S385" s="51"/>
      <c r="T385" s="51"/>
      <c r="U385" s="51"/>
      <c r="V385" s="51"/>
      <c r="W385" s="51"/>
      <c r="X385" s="51"/>
      <c r="Y385" s="51"/>
      <c r="Z385" s="51"/>
      <c r="AA385" s="51"/>
      <c r="AB385" s="51"/>
      <c r="AC385" s="51"/>
      <c r="AD385" s="51"/>
      <c r="AG385" t="s">
        <v>28</v>
      </c>
      <c r="AH385" s="51"/>
      <c r="AI385" s="51"/>
    </row>
    <row r="386" spans="2:35">
      <c r="B386" t="s">
        <v>501</v>
      </c>
      <c r="C386" t="s">
        <v>3139</v>
      </c>
      <c r="D386">
        <v>5</v>
      </c>
      <c r="E386" t="s">
        <v>2792</v>
      </c>
      <c r="F386">
        <v>9</v>
      </c>
      <c r="I386" t="s">
        <v>502</v>
      </c>
      <c r="J386" s="51" t="s">
        <v>503</v>
      </c>
      <c r="K386" t="s">
        <v>27</v>
      </c>
      <c r="L386" t="s">
        <v>438</v>
      </c>
      <c r="M386">
        <v>3</v>
      </c>
      <c r="N386" t="str">
        <f>L386</f>
        <v>NAM\D24B6</v>
      </c>
      <c r="O386" s="51" t="str">
        <f>J386</f>
        <v>04/21/2011</v>
      </c>
      <c r="P386" s="51" t="str">
        <f>C386</f>
        <v>~/cdd/olddocs/Formas/CNWI-QAAS (aseguranza de calidad)/CNWI-QAAS-F071 molding process.xls</v>
      </c>
      <c r="Q386" s="51" t="str">
        <f>E386</f>
        <v>xls</v>
      </c>
      <c r="R386" s="51"/>
      <c r="S386" s="51"/>
      <c r="T386" s="51"/>
      <c r="U386" s="51"/>
      <c r="V386" s="51"/>
      <c r="W386" s="51"/>
      <c r="X386" s="51"/>
      <c r="Y386" s="51"/>
      <c r="Z386" s="51"/>
      <c r="AA386" s="51"/>
      <c r="AB386" s="51"/>
      <c r="AC386" s="51"/>
      <c r="AD386" s="51"/>
      <c r="AG386" t="s">
        <v>28</v>
      </c>
      <c r="AH386" s="51"/>
      <c r="AI386" s="51"/>
    </row>
    <row r="387" spans="2:35">
      <c r="B387" t="s">
        <v>364</v>
      </c>
      <c r="C387" t="s">
        <v>3878</v>
      </c>
      <c r="D387">
        <v>5</v>
      </c>
      <c r="E387" t="s">
        <v>2792</v>
      </c>
      <c r="F387">
        <v>9</v>
      </c>
      <c r="I387" t="s">
        <v>365</v>
      </c>
      <c r="J387" s="51" t="s">
        <v>366</v>
      </c>
      <c r="K387" t="s">
        <v>27</v>
      </c>
      <c r="L387" t="s">
        <v>222</v>
      </c>
      <c r="M387">
        <v>3</v>
      </c>
      <c r="N387" t="str">
        <f>L387</f>
        <v>NAM\MA9769</v>
      </c>
      <c r="O387" s="51" t="str">
        <f>J387</f>
        <v>4/21/2011</v>
      </c>
      <c r="P387" s="51" t="str">
        <f>C387</f>
        <v>~cdd/olddocs/Formas/CNWI-QAAS (aseguranza de calidad)/CNWI-QAAS-F072 Rev. A Part Number Accountability.xls</v>
      </c>
      <c r="Q387" s="51" t="str">
        <f>E387</f>
        <v>xls</v>
      </c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G387" t="s">
        <v>28</v>
      </c>
      <c r="AH387" s="51"/>
      <c r="AI387" s="51"/>
    </row>
    <row r="388" spans="2:35">
      <c r="B388" t="s">
        <v>367</v>
      </c>
      <c r="C388" t="s">
        <v>3879</v>
      </c>
      <c r="D388">
        <v>5</v>
      </c>
      <c r="E388" t="s">
        <v>2792</v>
      </c>
      <c r="F388">
        <v>9</v>
      </c>
      <c r="I388" t="s">
        <v>368</v>
      </c>
      <c r="J388" s="51" t="s">
        <v>366</v>
      </c>
      <c r="K388" t="s">
        <v>27</v>
      </c>
      <c r="L388" t="s">
        <v>222</v>
      </c>
      <c r="M388">
        <v>3</v>
      </c>
      <c r="N388" t="str">
        <f>L388</f>
        <v>NAM\MA9769</v>
      </c>
      <c r="O388" s="51" t="str">
        <f>J388</f>
        <v>4/21/2011</v>
      </c>
      <c r="P388" s="51" t="str">
        <f>C388</f>
        <v>~cdd/olddocs/Formas/CNWI-QAAS (aseguranza de calidad)/CNWI-QAAS-F073 Rev. A Product accontability.xls</v>
      </c>
      <c r="Q388" s="51" t="str">
        <f>E388</f>
        <v>xls</v>
      </c>
      <c r="R388" s="51"/>
      <c r="S388" s="51"/>
      <c r="T388" s="51"/>
      <c r="U388" s="51"/>
      <c r="V388" s="51"/>
      <c r="W388" s="51"/>
      <c r="X388" s="51"/>
      <c r="Y388" s="51"/>
      <c r="Z388" s="51"/>
      <c r="AA388" s="51"/>
      <c r="AB388" s="51"/>
      <c r="AC388" s="51"/>
      <c r="AD388" s="51"/>
      <c r="AG388" t="s">
        <v>28</v>
      </c>
      <c r="AH388" s="51"/>
      <c r="AI388" s="51"/>
    </row>
    <row r="389" spans="2:35">
      <c r="B389" t="s">
        <v>369</v>
      </c>
      <c r="C389" t="s">
        <v>3140</v>
      </c>
      <c r="D389">
        <v>5</v>
      </c>
      <c r="E389" t="s">
        <v>2792</v>
      </c>
      <c r="F389">
        <v>9</v>
      </c>
      <c r="I389" t="s">
        <v>370</v>
      </c>
      <c r="J389" s="51" t="s">
        <v>366</v>
      </c>
      <c r="K389" t="s">
        <v>27</v>
      </c>
      <c r="L389" t="s">
        <v>222</v>
      </c>
      <c r="M389">
        <v>3</v>
      </c>
      <c r="N389" t="str">
        <f>L389</f>
        <v>NAM\MA9769</v>
      </c>
      <c r="O389" s="51" t="str">
        <f>J389</f>
        <v>4/21/2011</v>
      </c>
      <c r="P389" s="51" t="str">
        <f>C389</f>
        <v>~/cdd/olddocs/Formas/CNWI-QAAS (aseguranza de calidad)/CNWI-QAAS-F074 Characteristics Accountability, Verification and Compatibility Evaluation.xls</v>
      </c>
      <c r="Q389" s="51" t="str">
        <f>E389</f>
        <v>xls</v>
      </c>
      <c r="R389" s="51"/>
      <c r="S389" s="51"/>
      <c r="T389" s="51"/>
      <c r="U389" s="51"/>
      <c r="V389" s="51"/>
      <c r="W389" s="51"/>
      <c r="X389" s="51"/>
      <c r="Y389" s="51"/>
      <c r="Z389" s="51"/>
      <c r="AA389" s="51"/>
      <c r="AB389" s="51"/>
      <c r="AC389" s="51"/>
      <c r="AD389" s="51"/>
      <c r="AG389" t="s">
        <v>28</v>
      </c>
      <c r="AH389" s="51"/>
      <c r="AI389" s="51"/>
    </row>
    <row r="390" spans="2:35">
      <c r="B390" t="s">
        <v>371</v>
      </c>
      <c r="C390" t="s">
        <v>3141</v>
      </c>
      <c r="D390">
        <v>5</v>
      </c>
      <c r="E390" t="s">
        <v>2792</v>
      </c>
      <c r="F390">
        <v>9</v>
      </c>
      <c r="I390" t="s">
        <v>372</v>
      </c>
      <c r="J390" s="51" t="s">
        <v>373</v>
      </c>
      <c r="K390" t="s">
        <v>27</v>
      </c>
      <c r="L390" t="s">
        <v>222</v>
      </c>
      <c r="M390">
        <v>3</v>
      </c>
      <c r="N390" t="str">
        <f>L390</f>
        <v>NAM\MA9769</v>
      </c>
      <c r="O390" s="51" t="str">
        <f>J390</f>
        <v>4/25/2011</v>
      </c>
      <c r="P390" s="51" t="str">
        <f>C390</f>
        <v>~/cdd/olddocs/Formas/CNWI-QAAS (aseguranza de calidad)/CNWI-QAAS-F075 formato Registro de Medidores.xls</v>
      </c>
      <c r="Q390" s="51" t="str">
        <f>E390</f>
        <v>xls</v>
      </c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G390" t="s">
        <v>28</v>
      </c>
      <c r="AH390" s="51"/>
      <c r="AI390" s="51"/>
    </row>
    <row r="391" spans="2:35">
      <c r="B391" t="s">
        <v>374</v>
      </c>
      <c r="C391" t="s">
        <v>3142</v>
      </c>
      <c r="D391">
        <v>5</v>
      </c>
      <c r="E391" t="s">
        <v>2792</v>
      </c>
      <c r="F391">
        <v>9</v>
      </c>
      <c r="I391" t="s">
        <v>375</v>
      </c>
      <c r="J391" s="51">
        <v>40852</v>
      </c>
      <c r="K391" t="s">
        <v>46</v>
      </c>
      <c r="L391" t="s">
        <v>222</v>
      </c>
      <c r="M391">
        <v>3</v>
      </c>
      <c r="N391" t="str">
        <f>L391</f>
        <v>NAM\MA9769</v>
      </c>
      <c r="O391" s="51">
        <f>J391</f>
        <v>40852</v>
      </c>
      <c r="P391" s="51" t="str">
        <f>C391</f>
        <v>~/cdd/olddocs/Formas/CNWI-QAAS (aseguranza de calidad)/CNWI-QAAS-F076 Auditoria al producto UL.xls</v>
      </c>
      <c r="Q391" s="51" t="str">
        <f>E391</f>
        <v>xls</v>
      </c>
      <c r="R391" s="51"/>
      <c r="S391" s="51"/>
      <c r="T391" s="51"/>
      <c r="U391" s="51"/>
      <c r="V391" s="51"/>
      <c r="W391" s="51"/>
      <c r="X391" s="51"/>
      <c r="Y391" s="51"/>
      <c r="Z391" s="51"/>
      <c r="AA391" s="51"/>
      <c r="AB391" s="51"/>
      <c r="AC391" s="51"/>
      <c r="AD391" s="51"/>
      <c r="AG391" t="s">
        <v>28</v>
      </c>
      <c r="AH391" s="51"/>
      <c r="AI391" s="51"/>
    </row>
    <row r="392" spans="2:35">
      <c r="B392" t="s">
        <v>376</v>
      </c>
      <c r="C392" t="s">
        <v>3143</v>
      </c>
      <c r="D392">
        <v>5</v>
      </c>
      <c r="E392" t="s">
        <v>2792</v>
      </c>
      <c r="F392">
        <v>9</v>
      </c>
      <c r="I392" t="s">
        <v>377</v>
      </c>
      <c r="J392" s="51">
        <v>40864</v>
      </c>
      <c r="K392" t="s">
        <v>27</v>
      </c>
      <c r="L392" t="s">
        <v>222</v>
      </c>
      <c r="M392">
        <v>3</v>
      </c>
      <c r="N392" t="str">
        <f>L392</f>
        <v>NAM\MA9769</v>
      </c>
      <c r="O392" s="51">
        <f>J392</f>
        <v>40864</v>
      </c>
      <c r="P392" s="51" t="str">
        <f>C392</f>
        <v>~/cdd/olddocs/Formas/CNWI-QAAS (aseguranza de calidad)/CNWI-QAAS-F077 Estado de Acciones Correctivas.xls</v>
      </c>
      <c r="Q392" s="51" t="str">
        <f>E392</f>
        <v>xls</v>
      </c>
      <c r="R392" s="51"/>
      <c r="S392" s="51"/>
      <c r="T392" s="51"/>
      <c r="U392" s="51"/>
      <c r="V392" s="51"/>
      <c r="W392" s="51"/>
      <c r="X392" s="51"/>
      <c r="Y392" s="51"/>
      <c r="Z392" s="51"/>
      <c r="AA392" s="51"/>
      <c r="AB392" s="51"/>
      <c r="AC392" s="51"/>
      <c r="AD392" s="51"/>
      <c r="AG392" t="s">
        <v>28</v>
      </c>
      <c r="AH392" s="51"/>
      <c r="AI392" s="51"/>
    </row>
    <row r="393" spans="2:35">
      <c r="B393" t="s">
        <v>378</v>
      </c>
      <c r="C393" t="s">
        <v>3144</v>
      </c>
      <c r="D393">
        <v>5</v>
      </c>
      <c r="E393" t="s">
        <v>2792</v>
      </c>
      <c r="F393">
        <v>9</v>
      </c>
      <c r="I393" t="s">
        <v>379</v>
      </c>
      <c r="J393" s="51">
        <v>40761</v>
      </c>
      <c r="K393" t="s">
        <v>27</v>
      </c>
      <c r="L393" t="s">
        <v>222</v>
      </c>
      <c r="M393">
        <v>3</v>
      </c>
      <c r="N393" t="str">
        <f>L393</f>
        <v>NAM\MA9769</v>
      </c>
      <c r="O393" s="51">
        <f>J393</f>
        <v>40761</v>
      </c>
      <c r="P393" s="51" t="str">
        <f>C393</f>
        <v>~/cdd/olddocs/Formas/CNWI-QAAS (aseguranza de calidad)/CNWI-QAAS-F078 forma Ethernet Serial Number.xls</v>
      </c>
      <c r="Q393" s="51" t="str">
        <f>E393</f>
        <v>xls</v>
      </c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G393" t="s">
        <v>28</v>
      </c>
      <c r="AH393" s="51"/>
      <c r="AI393" s="51"/>
    </row>
    <row r="394" spans="2:35">
      <c r="B394" t="s">
        <v>380</v>
      </c>
      <c r="C394" t="s">
        <v>3145</v>
      </c>
      <c r="D394">
        <v>5</v>
      </c>
      <c r="E394" t="s">
        <v>2792</v>
      </c>
      <c r="F394">
        <v>9</v>
      </c>
      <c r="I394" t="s">
        <v>381</v>
      </c>
      <c r="J394" s="51">
        <v>40927</v>
      </c>
      <c r="K394" t="s">
        <v>38</v>
      </c>
      <c r="L394" t="s">
        <v>222</v>
      </c>
      <c r="M394">
        <v>3</v>
      </c>
      <c r="N394" t="str">
        <f>L394</f>
        <v>NAM\MA9769</v>
      </c>
      <c r="O394" s="51">
        <f>J394</f>
        <v>40927</v>
      </c>
      <c r="P394" s="51" t="str">
        <f>C394</f>
        <v>~/cdd/olddocs/Formas/CNWI-QAAS (aseguranza de calidad)/CNWI-QAAS-F079 Certificate of Compliance (LABINAL).xls</v>
      </c>
      <c r="Q394" s="51" t="str">
        <f>E394</f>
        <v>xls</v>
      </c>
      <c r="R394" s="51"/>
      <c r="S394" s="51"/>
      <c r="T394" s="51"/>
      <c r="U394" s="51"/>
      <c r="V394" s="51"/>
      <c r="W394" s="51"/>
      <c r="X394" s="51"/>
      <c r="Y394" s="51"/>
      <c r="Z394" s="51"/>
      <c r="AA394" s="51"/>
      <c r="AB394" s="51"/>
      <c r="AC394" s="51"/>
      <c r="AD394" s="51"/>
      <c r="AG394" t="s">
        <v>28</v>
      </c>
      <c r="AH394" s="51"/>
      <c r="AI394" s="51"/>
    </row>
    <row r="395" spans="2:35">
      <c r="B395" t="s">
        <v>2259</v>
      </c>
      <c r="C395" t="s">
        <v>3146</v>
      </c>
      <c r="D395">
        <v>5</v>
      </c>
      <c r="E395" t="s">
        <v>2792</v>
      </c>
      <c r="F395">
        <v>9</v>
      </c>
      <c r="I395" t="s">
        <v>2260</v>
      </c>
      <c r="J395" s="51">
        <v>40715</v>
      </c>
      <c r="K395" t="s">
        <v>27</v>
      </c>
      <c r="L395" t="s">
        <v>2063</v>
      </c>
      <c r="M395">
        <v>3</v>
      </c>
      <c r="N395" t="str">
        <f>L395</f>
        <v>NAM\MB2117</v>
      </c>
      <c r="O395" s="51">
        <f>J395</f>
        <v>40715</v>
      </c>
      <c r="P395" s="51" t="str">
        <f>C395</f>
        <v>~/cdd/olddocs/Formas/CNWI-QAAS (aseguranza de calidad)/CNWI-QAAS-F080 Lista para Sellos.xls</v>
      </c>
      <c r="Q395" s="51" t="str">
        <f>E395</f>
        <v>xls</v>
      </c>
      <c r="R395" s="51"/>
      <c r="S395" s="51"/>
      <c r="T395" s="51"/>
      <c r="U395" s="51"/>
      <c r="V395" s="51"/>
      <c r="W395" s="51"/>
      <c r="X395" s="51"/>
      <c r="Y395" s="51"/>
      <c r="Z395" s="51"/>
      <c r="AA395" s="51"/>
      <c r="AB395" s="51"/>
      <c r="AC395" s="51"/>
      <c r="AD395" s="51"/>
      <c r="AG395" t="s">
        <v>28</v>
      </c>
      <c r="AH395" s="51"/>
      <c r="AI395" s="51"/>
    </row>
    <row r="396" spans="2:35">
      <c r="B396" t="s">
        <v>2052</v>
      </c>
      <c r="C396" t="s">
        <v>3147</v>
      </c>
      <c r="D396">
        <v>5</v>
      </c>
      <c r="E396" t="s">
        <v>2792</v>
      </c>
      <c r="F396">
        <v>9</v>
      </c>
      <c r="I396" t="s">
        <v>2053</v>
      </c>
      <c r="J396" s="51">
        <v>40940</v>
      </c>
      <c r="K396" t="s">
        <v>27</v>
      </c>
      <c r="L396" t="s">
        <v>1888</v>
      </c>
      <c r="M396">
        <v>3</v>
      </c>
      <c r="N396" t="str">
        <f>L396</f>
        <v>NAM\MA7784</v>
      </c>
      <c r="O396" s="51">
        <f>J396</f>
        <v>40940</v>
      </c>
      <c r="P396" s="51" t="str">
        <f>C396</f>
        <v>~/cdd/olddocs/Formas/CNWI-QAAS (aseguranza de calidad)/CNWI-QAAS-F081 Grafica de scrap por dia piezas.xls</v>
      </c>
      <c r="Q396" s="51" t="str">
        <f>E396</f>
        <v>xls</v>
      </c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G396" t="s">
        <v>28</v>
      </c>
      <c r="AH396" s="51"/>
      <c r="AI396" s="51"/>
    </row>
    <row r="397" spans="2:35">
      <c r="B397" t="s">
        <v>1126</v>
      </c>
      <c r="C397" t="s">
        <v>3148</v>
      </c>
      <c r="D397">
        <v>5</v>
      </c>
      <c r="E397" t="s">
        <v>2794</v>
      </c>
      <c r="F397">
        <v>9</v>
      </c>
      <c r="I397" t="s">
        <v>1127</v>
      </c>
      <c r="J397" s="51">
        <v>41053</v>
      </c>
      <c r="K397" t="s">
        <v>27</v>
      </c>
      <c r="L397" t="s">
        <v>1109</v>
      </c>
      <c r="M397">
        <v>3</v>
      </c>
      <c r="N397" t="str">
        <f>L397</f>
        <v>NAM\MB2116</v>
      </c>
      <c r="O397" s="51">
        <f>J397</f>
        <v>41053</v>
      </c>
      <c r="P397" s="51" t="str">
        <f>C397</f>
        <v>~/cdd/olddocs/Formas/CNWI-QAAS (aseguranza de calidad)/CNWI-QAAS-F082 Rev. A  Retorno de producto.doc</v>
      </c>
      <c r="Q397" s="51" t="str">
        <f>E397</f>
        <v>doc</v>
      </c>
      <c r="R397" s="51"/>
      <c r="S397" s="51"/>
      <c r="T397" s="51"/>
      <c r="U397" s="51"/>
      <c r="V397" s="51"/>
      <c r="W397" s="51"/>
      <c r="X397" s="51"/>
      <c r="Y397" s="51"/>
      <c r="Z397" s="51"/>
      <c r="AA397" s="51"/>
      <c r="AB397" s="51"/>
      <c r="AC397" s="51"/>
      <c r="AD397" s="51"/>
      <c r="AG397" t="s">
        <v>28</v>
      </c>
      <c r="AH397" s="51"/>
      <c r="AI397" s="51"/>
    </row>
    <row r="398" spans="2:35">
      <c r="B398" t="s">
        <v>504</v>
      </c>
      <c r="C398" t="s">
        <v>3149</v>
      </c>
      <c r="D398">
        <v>5</v>
      </c>
      <c r="E398" t="s">
        <v>2790</v>
      </c>
      <c r="F398">
        <v>9</v>
      </c>
      <c r="I398" t="s">
        <v>505</v>
      </c>
      <c r="J398" s="51">
        <v>41053</v>
      </c>
      <c r="K398" t="s">
        <v>27</v>
      </c>
      <c r="L398" t="s">
        <v>438</v>
      </c>
      <c r="M398">
        <v>3</v>
      </c>
      <c r="N398" t="str">
        <f>L398</f>
        <v>NAM\D24B6</v>
      </c>
      <c r="O398" s="51">
        <f>J398</f>
        <v>41053</v>
      </c>
      <c r="P398" s="51" t="str">
        <f>C398</f>
        <v>~/cdd/olddocs/Formas/CNWI-QAAS (aseguranza de calidad)/CNWI-QAAS-F083 Registro de inspeccion de moldeo.xlsx</v>
      </c>
      <c r="Q398" s="51" t="str">
        <f>E398</f>
        <v>xlsx</v>
      </c>
      <c r="R398" s="51"/>
      <c r="S398" s="51"/>
      <c r="T398" s="51"/>
      <c r="U398" s="51"/>
      <c r="V398" s="51"/>
      <c r="W398" s="51"/>
      <c r="X398" s="51"/>
      <c r="Y398" s="51"/>
      <c r="Z398" s="51"/>
      <c r="AA398" s="51"/>
      <c r="AB398" s="51"/>
      <c r="AC398" s="51"/>
      <c r="AD398" s="51"/>
      <c r="AG398" t="s">
        <v>28</v>
      </c>
      <c r="AH398" s="51"/>
      <c r="AI398" s="51"/>
    </row>
    <row r="399" spans="2:35">
      <c r="B399" t="s">
        <v>1190</v>
      </c>
      <c r="C399" t="s">
        <v>3880</v>
      </c>
      <c r="D399">
        <v>5</v>
      </c>
      <c r="E399" t="s">
        <v>2790</v>
      </c>
      <c r="F399">
        <v>9</v>
      </c>
      <c r="I399" t="s">
        <v>1191</v>
      </c>
      <c r="J399" s="51">
        <v>40976</v>
      </c>
      <c r="K399" t="s">
        <v>46</v>
      </c>
      <c r="L399" t="s">
        <v>1157</v>
      </c>
      <c r="M399">
        <v>3</v>
      </c>
      <c r="N399" t="str">
        <f>L399</f>
        <v>NAM\F13B6</v>
      </c>
      <c r="O399" s="51">
        <f>J399</f>
        <v>40976</v>
      </c>
      <c r="P399" s="51" t="str">
        <f>C399</f>
        <v>~cdd/olddocs/Formas/CNWI-QAAS (aseguranza de calidad)/CNWI-QAAS-F084 Bascula forma.xlsx</v>
      </c>
      <c r="Q399" s="51" t="str">
        <f>E399</f>
        <v>xlsx</v>
      </c>
      <c r="R399" s="51"/>
      <c r="S399" s="51"/>
      <c r="T399" s="51"/>
      <c r="U399" s="51"/>
      <c r="V399" s="51"/>
      <c r="W399" s="51"/>
      <c r="X399" s="51"/>
      <c r="Y399" s="51"/>
      <c r="Z399" s="51"/>
      <c r="AA399" s="51"/>
      <c r="AB399" s="51"/>
      <c r="AC399" s="51"/>
      <c r="AD399" s="51"/>
      <c r="AG399" t="s">
        <v>28</v>
      </c>
      <c r="AH399" s="51"/>
      <c r="AI399" s="51"/>
    </row>
    <row r="400" spans="2:35">
      <c r="B400" t="s">
        <v>1192</v>
      </c>
      <c r="C400" t="s">
        <v>3881</v>
      </c>
      <c r="D400">
        <v>5</v>
      </c>
      <c r="E400" t="s">
        <v>2790</v>
      </c>
      <c r="F400">
        <v>9</v>
      </c>
      <c r="I400" t="s">
        <v>1193</v>
      </c>
      <c r="J400" s="51">
        <v>40976</v>
      </c>
      <c r="K400" t="s">
        <v>46</v>
      </c>
      <c r="L400" t="s">
        <v>1157</v>
      </c>
      <c r="M400">
        <v>3</v>
      </c>
      <c r="N400" t="str">
        <f>L400</f>
        <v>NAM\F13B6</v>
      </c>
      <c r="O400" s="51">
        <f>J400</f>
        <v>40976</v>
      </c>
      <c r="P400" s="51" t="str">
        <f>C400</f>
        <v>~cdd/olddocs/Formas/CNWI-QAAS (aseguranza de calidad)/CNWI-QAAS-F085 Registro calibracion micrometros.xlsx</v>
      </c>
      <c r="Q400" s="51" t="str">
        <f>E400</f>
        <v>xlsx</v>
      </c>
      <c r="R400" s="51"/>
      <c r="S400" s="51"/>
      <c r="T400" s="51"/>
      <c r="U400" s="51"/>
      <c r="V400" s="51"/>
      <c r="W400" s="51"/>
      <c r="X400" s="51"/>
      <c r="Y400" s="51"/>
      <c r="Z400" s="51"/>
      <c r="AA400" s="51"/>
      <c r="AB400" s="51"/>
      <c r="AC400" s="51"/>
      <c r="AD400" s="51"/>
      <c r="AG400" t="s">
        <v>28</v>
      </c>
      <c r="AH400" s="51"/>
      <c r="AI400" s="51"/>
    </row>
    <row r="401" spans="2:35">
      <c r="B401" t="s">
        <v>1194</v>
      </c>
      <c r="C401" t="s">
        <v>3882</v>
      </c>
      <c r="D401">
        <v>5</v>
      </c>
      <c r="E401" t="s">
        <v>2790</v>
      </c>
      <c r="F401">
        <v>9</v>
      </c>
      <c r="I401" t="s">
        <v>1195</v>
      </c>
      <c r="J401" s="51">
        <v>40976</v>
      </c>
      <c r="K401" t="s">
        <v>46</v>
      </c>
      <c r="L401" t="s">
        <v>1157</v>
      </c>
      <c r="M401">
        <v>3</v>
      </c>
      <c r="N401" t="str">
        <f>L401</f>
        <v>NAM\F13B6</v>
      </c>
      <c r="O401" s="51">
        <f>J401</f>
        <v>40976</v>
      </c>
      <c r="P401" s="51" t="str">
        <f>C401</f>
        <v>~cdd/olddocs/Formas/CNWI-QAAS (aseguranza de calidad)/CNWI-QAAS-F086 Registro calibracion reglas.xlsx</v>
      </c>
      <c r="Q401" s="51" t="str">
        <f>E401</f>
        <v>xlsx</v>
      </c>
      <c r="R401" s="51"/>
      <c r="S401" s="51"/>
      <c r="T401" s="51"/>
      <c r="U401" s="51"/>
      <c r="V401" s="51"/>
      <c r="W401" s="51"/>
      <c r="X401" s="51"/>
      <c r="Y401" s="51"/>
      <c r="Z401" s="51"/>
      <c r="AA401" s="51"/>
      <c r="AB401" s="51"/>
      <c r="AC401" s="51"/>
      <c r="AD401" s="51"/>
      <c r="AG401" t="s">
        <v>28</v>
      </c>
      <c r="AH401" s="51"/>
      <c r="AI401" s="51"/>
    </row>
    <row r="402" spans="2:35">
      <c r="B402" t="s">
        <v>1196</v>
      </c>
      <c r="C402" t="s">
        <v>3150</v>
      </c>
      <c r="D402">
        <v>5</v>
      </c>
      <c r="E402" t="s">
        <v>2792</v>
      </c>
      <c r="F402">
        <v>9</v>
      </c>
      <c r="I402" t="s">
        <v>1197</v>
      </c>
      <c r="J402" s="51">
        <v>40941</v>
      </c>
      <c r="K402" t="s">
        <v>27</v>
      </c>
      <c r="L402" t="s">
        <v>1157</v>
      </c>
      <c r="M402">
        <v>3</v>
      </c>
      <c r="N402" t="str">
        <f>L402</f>
        <v>NAM\F13B6</v>
      </c>
      <c r="O402" s="51">
        <f>J402</f>
        <v>40941</v>
      </c>
      <c r="P402" s="51" t="str">
        <f>C402</f>
        <v>~/cdd/olddocs/Formas/CNWI-QAAS (aseguranza de calidad)/CNWI-QAAS-F087 Formato proceso master Product.xls</v>
      </c>
      <c r="Q402" s="51" t="str">
        <f>E402</f>
        <v>xls</v>
      </c>
      <c r="R402" s="51"/>
      <c r="S402" s="51"/>
      <c r="T402" s="51"/>
      <c r="U402" s="51"/>
      <c r="V402" s="51"/>
      <c r="W402" s="51"/>
      <c r="X402" s="51"/>
      <c r="Y402" s="51"/>
      <c r="Z402" s="51"/>
      <c r="AA402" s="51"/>
      <c r="AB402" s="51"/>
      <c r="AC402" s="51"/>
      <c r="AD402" s="51"/>
      <c r="AG402" t="s">
        <v>28</v>
      </c>
      <c r="AH402" s="51"/>
      <c r="AI402" s="51"/>
    </row>
    <row r="403" spans="2:35">
      <c r="B403" t="s">
        <v>382</v>
      </c>
      <c r="C403" t="s">
        <v>3151</v>
      </c>
      <c r="D403">
        <v>5</v>
      </c>
      <c r="E403" t="s">
        <v>2792</v>
      </c>
      <c r="F403">
        <v>9</v>
      </c>
      <c r="I403" t="s">
        <v>383</v>
      </c>
      <c r="J403" s="51">
        <v>40784</v>
      </c>
      <c r="K403" t="s">
        <v>27</v>
      </c>
      <c r="L403" t="s">
        <v>222</v>
      </c>
      <c r="M403">
        <v>3</v>
      </c>
      <c r="N403" t="str">
        <f>L403</f>
        <v>NAM\MA9769</v>
      </c>
      <c r="O403" s="51">
        <f>J403</f>
        <v>40784</v>
      </c>
      <c r="P403" s="51" t="str">
        <f>C403</f>
        <v>~/cdd/olddocs/Formas/CNWI-QAAS (aseguranza de calidad)/CNWI-QAAS-F088 Check list Flujo de proceso.xls</v>
      </c>
      <c r="Q403" s="51" t="str">
        <f>E403</f>
        <v>xls</v>
      </c>
      <c r="R403" s="51"/>
      <c r="S403" s="51"/>
      <c r="T403" s="51"/>
      <c r="U403" s="51"/>
      <c r="V403" s="51"/>
      <c r="W403" s="51"/>
      <c r="X403" s="51"/>
      <c r="Y403" s="51"/>
      <c r="Z403" s="51"/>
      <c r="AA403" s="51"/>
      <c r="AB403" s="51"/>
      <c r="AC403" s="51"/>
      <c r="AD403" s="51"/>
      <c r="AG403" t="s">
        <v>28</v>
      </c>
      <c r="AH403" s="51"/>
      <c r="AI403" s="51"/>
    </row>
    <row r="404" spans="2:35">
      <c r="B404" t="s">
        <v>384</v>
      </c>
      <c r="C404" t="s">
        <v>3152</v>
      </c>
      <c r="D404">
        <v>5</v>
      </c>
      <c r="E404" t="s">
        <v>2793</v>
      </c>
      <c r="F404">
        <v>9</v>
      </c>
      <c r="I404" t="s">
        <v>385</v>
      </c>
      <c r="J404" s="51">
        <v>40759</v>
      </c>
      <c r="K404" t="s">
        <v>46</v>
      </c>
      <c r="L404" t="s">
        <v>222</v>
      </c>
      <c r="M404">
        <v>3</v>
      </c>
      <c r="N404" t="str">
        <f>L404</f>
        <v>NAM\MA9769</v>
      </c>
      <c r="O404" s="51">
        <f>J404</f>
        <v>40759</v>
      </c>
      <c r="P404" s="51" t="str">
        <f>C404</f>
        <v>~/cdd/olddocs/Formas/CNWI-QAAS (aseguranza de calidad)/CNWI-QAAS-F089 SQD.pptx</v>
      </c>
      <c r="Q404" s="51" t="str">
        <f>E404</f>
        <v>pptx</v>
      </c>
      <c r="R404" s="51"/>
      <c r="S404" s="51"/>
      <c r="T404" s="51"/>
      <c r="U404" s="51"/>
      <c r="V404" s="51"/>
      <c r="W404" s="51"/>
      <c r="X404" s="51"/>
      <c r="Y404" s="51"/>
      <c r="Z404" s="51"/>
      <c r="AA404" s="51"/>
      <c r="AB404" s="51"/>
      <c r="AC404" s="51"/>
      <c r="AD404" s="51"/>
      <c r="AG404" t="s">
        <v>28</v>
      </c>
      <c r="AH404" s="51"/>
      <c r="AI404" s="51"/>
    </row>
    <row r="405" spans="2:35">
      <c r="B405" t="s">
        <v>1128</v>
      </c>
      <c r="C405" t="s">
        <v>3153</v>
      </c>
      <c r="D405">
        <v>5</v>
      </c>
      <c r="E405" t="s">
        <v>2792</v>
      </c>
      <c r="F405">
        <v>9</v>
      </c>
      <c r="I405" t="s">
        <v>1129</v>
      </c>
      <c r="J405" s="51">
        <v>40792</v>
      </c>
      <c r="K405" t="s">
        <v>27</v>
      </c>
      <c r="L405" t="s">
        <v>1109</v>
      </c>
      <c r="M405">
        <v>3</v>
      </c>
      <c r="N405" t="str">
        <f>L405</f>
        <v>NAM\MB2116</v>
      </c>
      <c r="O405" s="51">
        <f>J405</f>
        <v>40792</v>
      </c>
      <c r="P405" s="51" t="str">
        <f>C405</f>
        <v>~/cdd/olddocs/Formas/CNWI-QAAS (aseguranza de calidad)/CNWI-QAAS-F090 Incoming Check list.xls</v>
      </c>
      <c r="Q405" s="51" t="str">
        <f>E405</f>
        <v>xls</v>
      </c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G405" t="s">
        <v>28</v>
      </c>
      <c r="AH405" s="51"/>
      <c r="AI405" s="51"/>
    </row>
    <row r="406" spans="2:35">
      <c r="B406" t="s">
        <v>2261</v>
      </c>
      <c r="C406" t="s">
        <v>3154</v>
      </c>
      <c r="D406">
        <v>5</v>
      </c>
      <c r="E406" t="s">
        <v>2792</v>
      </c>
      <c r="F406">
        <v>9</v>
      </c>
      <c r="I406" t="s">
        <v>2262</v>
      </c>
      <c r="J406" s="51">
        <v>40815</v>
      </c>
      <c r="K406" t="s">
        <v>27</v>
      </c>
      <c r="L406" t="s">
        <v>2063</v>
      </c>
      <c r="M406">
        <v>3</v>
      </c>
      <c r="N406" t="str">
        <f>L406</f>
        <v>NAM\MB2117</v>
      </c>
      <c r="O406" s="51">
        <f>J406</f>
        <v>40815</v>
      </c>
      <c r="P406" s="51" t="str">
        <f>C406</f>
        <v>~/cdd/olddocs/Formas/CNWI-QAAS (aseguranza de calidad)/CNWI-QAAS-F091 Formato cpk para equipos.xls</v>
      </c>
      <c r="Q406" s="51" t="str">
        <f>E406</f>
        <v>xls</v>
      </c>
      <c r="R406" s="51"/>
      <c r="S406" s="51"/>
      <c r="T406" s="51"/>
      <c r="U406" s="51"/>
      <c r="V406" s="51"/>
      <c r="W406" s="51"/>
      <c r="X406" s="51"/>
      <c r="Y406" s="51"/>
      <c r="Z406" s="51"/>
      <c r="AA406" s="51"/>
      <c r="AB406" s="51"/>
      <c r="AC406" s="51"/>
      <c r="AD406" s="51"/>
      <c r="AG406" t="s">
        <v>28</v>
      </c>
      <c r="AH406" s="51"/>
      <c r="AI406" s="51"/>
    </row>
    <row r="407" spans="2:35">
      <c r="B407" t="s">
        <v>386</v>
      </c>
      <c r="C407" t="s">
        <v>3155</v>
      </c>
      <c r="D407">
        <v>5</v>
      </c>
      <c r="E407" t="s">
        <v>2793</v>
      </c>
      <c r="F407">
        <v>9</v>
      </c>
      <c r="I407" t="s">
        <v>387</v>
      </c>
      <c r="J407" s="51">
        <v>40836</v>
      </c>
      <c r="K407" t="s">
        <v>27</v>
      </c>
      <c r="L407" t="s">
        <v>222</v>
      </c>
      <c r="M407">
        <v>3</v>
      </c>
      <c r="N407" t="str">
        <f>L407</f>
        <v>NAM\MA9769</v>
      </c>
      <c r="O407" s="51">
        <f>J407</f>
        <v>40836</v>
      </c>
      <c r="P407" s="51" t="str">
        <f>C407</f>
        <v>~/cdd/olddocs/Formas/CNWI-QAAS (aseguranza de calidad)/CNWI-QAAS-F092 Grafico de Scrap.pptx</v>
      </c>
      <c r="Q407" s="51" t="str">
        <f>E407</f>
        <v>pptx</v>
      </c>
      <c r="R407" s="51"/>
      <c r="S407" s="51"/>
      <c r="T407" s="51"/>
      <c r="U407" s="51"/>
      <c r="V407" s="51"/>
      <c r="W407" s="51"/>
      <c r="X407" s="51"/>
      <c r="Y407" s="51"/>
      <c r="Z407" s="51"/>
      <c r="AA407" s="51"/>
      <c r="AB407" s="51"/>
      <c r="AC407" s="51"/>
      <c r="AD407" s="51"/>
      <c r="AG407" t="s">
        <v>28</v>
      </c>
      <c r="AH407" s="51"/>
      <c r="AI407" s="51"/>
    </row>
    <row r="408" spans="2:35">
      <c r="B408" t="s">
        <v>2406</v>
      </c>
      <c r="C408" t="s">
        <v>3156</v>
      </c>
      <c r="D408">
        <v>5</v>
      </c>
      <c r="E408" t="s">
        <v>2790</v>
      </c>
      <c r="F408">
        <v>9</v>
      </c>
      <c r="I408" t="s">
        <v>2407</v>
      </c>
      <c r="J408" s="51">
        <v>40837</v>
      </c>
      <c r="K408" t="s">
        <v>27</v>
      </c>
      <c r="L408" t="s">
        <v>2284</v>
      </c>
      <c r="M408">
        <v>3</v>
      </c>
      <c r="N408" t="str">
        <f>L408</f>
        <v>NAM\MA6689</v>
      </c>
      <c r="O408" s="51">
        <f>J408</f>
        <v>40837</v>
      </c>
      <c r="P408" s="51" t="str">
        <f>C408</f>
        <v>~/cdd/olddocs/Formas/CNWI-QAAS (aseguranza de calidad)/CNWI-QAAS-F093  ID Customer Owned Material.xlsx</v>
      </c>
      <c r="Q408" s="51" t="str">
        <f>E408</f>
        <v>xlsx</v>
      </c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G408" t="s">
        <v>28</v>
      </c>
      <c r="AH408" s="51"/>
      <c r="AI408" s="51"/>
    </row>
    <row r="409" spans="2:35">
      <c r="B409" t="s">
        <v>2263</v>
      </c>
      <c r="C409" t="s">
        <v>3157</v>
      </c>
      <c r="D409">
        <v>5</v>
      </c>
      <c r="E409" t="s">
        <v>2792</v>
      </c>
      <c r="F409">
        <v>9</v>
      </c>
      <c r="I409" t="s">
        <v>2264</v>
      </c>
      <c r="J409" s="51">
        <v>40843</v>
      </c>
      <c r="K409" t="s">
        <v>27</v>
      </c>
      <c r="L409" t="s">
        <v>2063</v>
      </c>
      <c r="M409">
        <v>3</v>
      </c>
      <c r="N409" t="str">
        <f>L409</f>
        <v>NAM\MB2117</v>
      </c>
      <c r="O409" s="51">
        <f>J409</f>
        <v>40843</v>
      </c>
      <c r="P409" s="51" t="str">
        <f>C409</f>
        <v>~/cdd/olddocs/Formas/CNWI-QAAS (aseguranza de calidad)/CNWI-QAAS-F094 Analisis de piezas Rechazadas por cliente.xls</v>
      </c>
      <c r="Q409" s="51" t="str">
        <f>E409</f>
        <v>xls</v>
      </c>
      <c r="R409" s="51"/>
      <c r="S409" s="51"/>
      <c r="T409" s="51"/>
      <c r="U409" s="51"/>
      <c r="V409" s="51"/>
      <c r="W409" s="51"/>
      <c r="X409" s="51"/>
      <c r="Y409" s="51"/>
      <c r="Z409" s="51"/>
      <c r="AA409" s="51"/>
      <c r="AB409" s="51"/>
      <c r="AC409" s="51"/>
      <c r="AD409" s="51"/>
      <c r="AG409" t="s">
        <v>28</v>
      </c>
      <c r="AH409" s="51"/>
      <c r="AI409" s="51"/>
    </row>
    <row r="410" spans="2:35">
      <c r="B410" t="s">
        <v>2408</v>
      </c>
      <c r="C410" t="s">
        <v>3158</v>
      </c>
      <c r="D410">
        <v>5</v>
      </c>
      <c r="E410" t="s">
        <v>2797</v>
      </c>
      <c r="F410">
        <v>9</v>
      </c>
      <c r="I410" t="s">
        <v>2409</v>
      </c>
      <c r="J410" s="51">
        <v>40850</v>
      </c>
      <c r="K410" t="s">
        <v>27</v>
      </c>
      <c r="L410" t="s">
        <v>2284</v>
      </c>
      <c r="M410">
        <v>3</v>
      </c>
      <c r="N410" t="str">
        <f>L410</f>
        <v>NAM\MA6689</v>
      </c>
      <c r="O410" s="51">
        <f>J410</f>
        <v>40850</v>
      </c>
      <c r="P410" s="51" t="str">
        <f>C410</f>
        <v>~/cdd/olddocs/Formas/CNWI-QAAS (aseguranza de calidad)/CNWI-QAAS-F095 liberacion de equipo.docx</v>
      </c>
      <c r="Q410" s="51" t="str">
        <f>E410</f>
        <v>docx</v>
      </c>
      <c r="R410" s="51"/>
      <c r="S410" s="51"/>
      <c r="T410" s="51"/>
      <c r="U410" s="51"/>
      <c r="V410" s="51"/>
      <c r="W410" s="51"/>
      <c r="X410" s="51"/>
      <c r="Y410" s="51"/>
      <c r="Z410" s="51"/>
      <c r="AA410" s="51"/>
      <c r="AB410" s="51"/>
      <c r="AC410" s="51"/>
      <c r="AD410" s="51"/>
      <c r="AG410" t="s">
        <v>28</v>
      </c>
      <c r="AH410" s="51"/>
      <c r="AI410" s="51"/>
    </row>
    <row r="411" spans="2:35">
      <c r="B411" t="s">
        <v>2265</v>
      </c>
      <c r="C411" t="s">
        <v>3159</v>
      </c>
      <c r="D411">
        <v>5</v>
      </c>
      <c r="E411" t="s">
        <v>2791</v>
      </c>
      <c r="F411">
        <v>9</v>
      </c>
      <c r="I411" t="s">
        <v>2266</v>
      </c>
      <c r="J411" s="51">
        <v>41155</v>
      </c>
      <c r="K411" t="s">
        <v>159</v>
      </c>
      <c r="L411" t="s">
        <v>2063</v>
      </c>
      <c r="M411">
        <v>3</v>
      </c>
      <c r="N411" t="str">
        <f>L411</f>
        <v>NAM\MB2117</v>
      </c>
      <c r="O411" s="51">
        <f>J411</f>
        <v>41155</v>
      </c>
      <c r="P411" s="51" t="str">
        <f>C411</f>
        <v>~/cdd/olddocs/Formas/CNWI-QAAS (aseguranza de calidad)/CNWI-QAAS-F096 FORMATO DE CALIDAD PPM`S.pdf</v>
      </c>
      <c r="Q411" s="51" t="str">
        <f>E411</f>
        <v>pdf</v>
      </c>
      <c r="R411" s="51"/>
      <c r="S411" s="51"/>
      <c r="T411" s="51"/>
      <c r="U411" s="51"/>
      <c r="V411" s="51"/>
      <c r="W411" s="51"/>
      <c r="X411" s="51"/>
      <c r="Y411" s="51"/>
      <c r="Z411" s="51"/>
      <c r="AA411" s="51"/>
      <c r="AB411" s="51"/>
      <c r="AC411" s="51"/>
      <c r="AD411" s="51"/>
      <c r="AG411" t="s">
        <v>28</v>
      </c>
      <c r="AH411" s="51"/>
      <c r="AI411" s="51"/>
    </row>
    <row r="412" spans="2:35">
      <c r="B412" t="s">
        <v>1198</v>
      </c>
      <c r="C412" t="s">
        <v>3160</v>
      </c>
      <c r="D412">
        <v>5</v>
      </c>
      <c r="E412" t="s">
        <v>2794</v>
      </c>
      <c r="F412">
        <v>9</v>
      </c>
      <c r="I412" t="s">
        <v>1199</v>
      </c>
      <c r="J412" s="51">
        <v>40576</v>
      </c>
      <c r="K412" t="s">
        <v>27</v>
      </c>
      <c r="L412" t="s">
        <v>1157</v>
      </c>
      <c r="M412">
        <v>3</v>
      </c>
      <c r="N412" t="str">
        <f>L412</f>
        <v>NAM\F13B6</v>
      </c>
      <c r="O412" s="51">
        <f>J412</f>
        <v>40576</v>
      </c>
      <c r="P412" s="51" t="str">
        <f>C412</f>
        <v>~/cdd/olddocs/Formas/CNWI-QAAS (aseguranza de calidad)/CNWI-QAAS-F097 No Calibration required.doc</v>
      </c>
      <c r="Q412" s="51" t="str">
        <f>E412</f>
        <v>doc</v>
      </c>
      <c r="R412" s="51"/>
      <c r="S412" s="51"/>
      <c r="T412" s="51"/>
      <c r="U412" s="51"/>
      <c r="V412" s="51"/>
      <c r="W412" s="51"/>
      <c r="X412" s="51"/>
      <c r="Y412" s="51"/>
      <c r="Z412" s="51"/>
      <c r="AA412" s="51"/>
      <c r="AB412" s="51"/>
      <c r="AC412" s="51"/>
      <c r="AD412" s="51"/>
      <c r="AG412" t="s">
        <v>28</v>
      </c>
      <c r="AH412" s="51"/>
      <c r="AI412" s="51"/>
    </row>
    <row r="413" spans="2:35">
      <c r="B413" t="s">
        <v>1200</v>
      </c>
      <c r="C413" t="s">
        <v>3161</v>
      </c>
      <c r="D413">
        <v>5</v>
      </c>
      <c r="E413" t="s">
        <v>2790</v>
      </c>
      <c r="F413">
        <v>9</v>
      </c>
      <c r="I413" t="s">
        <v>1201</v>
      </c>
      <c r="J413" s="51">
        <v>40924</v>
      </c>
      <c r="K413" t="s">
        <v>27</v>
      </c>
      <c r="L413" t="s">
        <v>1157</v>
      </c>
      <c r="M413">
        <v>3</v>
      </c>
      <c r="N413" t="str">
        <f>L413</f>
        <v>NAM\F13B6</v>
      </c>
      <c r="O413" s="51">
        <f>J413</f>
        <v>40924</v>
      </c>
      <c r="P413" s="51" t="str">
        <f>C413</f>
        <v>~/cdd/olddocs/Formas/CNWI-QAAS (aseguranza de calidad)/CNWI-QAAS-F098 ID Instrumento Inactivo.xlsx</v>
      </c>
      <c r="Q413" s="51" t="str">
        <f>E413</f>
        <v>xlsx</v>
      </c>
      <c r="R413" s="51"/>
      <c r="S413" s="51"/>
      <c r="T413" s="51"/>
      <c r="U413" s="51"/>
      <c r="V413" s="51"/>
      <c r="W413" s="51"/>
      <c r="X413" s="51"/>
      <c r="Y413" s="51"/>
      <c r="Z413" s="51"/>
      <c r="AA413" s="51"/>
      <c r="AB413" s="51"/>
      <c r="AC413" s="51"/>
      <c r="AD413" s="51"/>
      <c r="AG413" t="s">
        <v>28</v>
      </c>
      <c r="AH413" s="51"/>
      <c r="AI413" s="51"/>
    </row>
    <row r="414" spans="2:35">
      <c r="B414" t="s">
        <v>388</v>
      </c>
      <c r="C414" t="s">
        <v>3162</v>
      </c>
      <c r="D414">
        <v>5</v>
      </c>
      <c r="E414" t="s">
        <v>2792</v>
      </c>
      <c r="F414">
        <v>9</v>
      </c>
      <c r="I414" t="s">
        <v>389</v>
      </c>
      <c r="J414" s="51">
        <v>41065</v>
      </c>
      <c r="K414" t="s">
        <v>27</v>
      </c>
      <c r="L414" t="s">
        <v>222</v>
      </c>
      <c r="M414">
        <v>3</v>
      </c>
      <c r="N414" t="str">
        <f>L414</f>
        <v>NAM\MA9769</v>
      </c>
      <c r="O414" s="51">
        <f>J414</f>
        <v>41065</v>
      </c>
      <c r="P414" s="51" t="str">
        <f>C414</f>
        <v>~/cdd/olddocs/Formas/CNWI-QAAS (aseguranza de calidad)/CNWI-QAAS-F099 Gage-R&amp;R.xls</v>
      </c>
      <c r="Q414" s="51" t="str">
        <f>E414</f>
        <v>xls</v>
      </c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G414" t="s">
        <v>28</v>
      </c>
      <c r="AH414" s="51"/>
      <c r="AI414" s="51"/>
    </row>
    <row r="415" spans="2:35">
      <c r="B415" t="s">
        <v>1202</v>
      </c>
      <c r="C415" t="s">
        <v>3163</v>
      </c>
      <c r="D415">
        <v>5</v>
      </c>
      <c r="E415" t="s">
        <v>2792</v>
      </c>
      <c r="F415">
        <v>9</v>
      </c>
      <c r="I415" t="s">
        <v>1203</v>
      </c>
      <c r="J415" s="51">
        <v>40869</v>
      </c>
      <c r="K415" t="s">
        <v>27</v>
      </c>
      <c r="L415" t="s">
        <v>1157</v>
      </c>
      <c r="M415">
        <v>3</v>
      </c>
      <c r="N415" t="str">
        <f>L415</f>
        <v>NAM\F13B6</v>
      </c>
      <c r="O415" s="51">
        <f>J415</f>
        <v>40869</v>
      </c>
      <c r="P415" s="51" t="str">
        <f>C415</f>
        <v>~/cdd/olddocs/Formas/CNWI-QAAS (aseguranza de calidad)/CNWI-QAAS-F100 Etiqueta de Calibracion.xls</v>
      </c>
      <c r="Q415" s="51" t="str">
        <f>E415</f>
        <v>xls</v>
      </c>
      <c r="R415" s="51"/>
      <c r="S415" s="51"/>
      <c r="T415" s="51"/>
      <c r="U415" s="51"/>
      <c r="V415" s="51"/>
      <c r="W415" s="51"/>
      <c r="X415" s="51"/>
      <c r="Y415" s="51"/>
      <c r="Z415" s="51"/>
      <c r="AA415" s="51"/>
      <c r="AB415" s="51"/>
      <c r="AC415" s="51"/>
      <c r="AD415" s="51"/>
      <c r="AG415" t="s">
        <v>28</v>
      </c>
      <c r="AH415" s="51"/>
      <c r="AI415" s="51"/>
    </row>
    <row r="416" spans="2:35">
      <c r="B416" t="s">
        <v>1204</v>
      </c>
      <c r="C416" t="s">
        <v>3164</v>
      </c>
      <c r="D416">
        <v>5</v>
      </c>
      <c r="E416" t="s">
        <v>2791</v>
      </c>
      <c r="F416">
        <v>9</v>
      </c>
      <c r="I416" t="s">
        <v>1205</v>
      </c>
      <c r="J416" s="51">
        <v>40924</v>
      </c>
      <c r="K416" t="s">
        <v>46</v>
      </c>
      <c r="L416" t="s">
        <v>1157</v>
      </c>
      <c r="M416">
        <v>3</v>
      </c>
      <c r="N416" t="str">
        <f>L416</f>
        <v>NAM\F13B6</v>
      </c>
      <c r="O416" s="51">
        <f>J416</f>
        <v>40924</v>
      </c>
      <c r="P416" s="51" t="str">
        <f>C416</f>
        <v>~/cdd/olddocs/Formas/CNWI-QAAS (aseguranza de calidad)/CNWI-QAAS-F101 Change Request form (for Customer approval.pdf</v>
      </c>
      <c r="Q416" s="51" t="str">
        <f>E416</f>
        <v>pdf</v>
      </c>
      <c r="R416" s="51"/>
      <c r="S416" s="51"/>
      <c r="T416" s="51"/>
      <c r="U416" s="51"/>
      <c r="V416" s="51"/>
      <c r="W416" s="51"/>
      <c r="X416" s="51"/>
      <c r="Y416" s="51"/>
      <c r="Z416" s="51"/>
      <c r="AA416" s="51"/>
      <c r="AB416" s="51"/>
      <c r="AC416" s="51"/>
      <c r="AD416" s="51"/>
      <c r="AG416" t="s">
        <v>28</v>
      </c>
      <c r="AH416" s="51"/>
      <c r="AI416" s="51"/>
    </row>
    <row r="417" spans="2:35">
      <c r="B417" t="s">
        <v>1206</v>
      </c>
      <c r="C417" t="s">
        <v>3883</v>
      </c>
      <c r="D417">
        <v>5</v>
      </c>
      <c r="E417" t="s">
        <v>2790</v>
      </c>
      <c r="F417">
        <v>9</v>
      </c>
      <c r="I417" t="s">
        <v>1207</v>
      </c>
      <c r="J417" s="51">
        <v>40976</v>
      </c>
      <c r="K417" t="s">
        <v>159</v>
      </c>
      <c r="L417" t="s">
        <v>1157</v>
      </c>
      <c r="M417">
        <v>3</v>
      </c>
      <c r="N417" t="str">
        <f>L417</f>
        <v>NAM\F13B6</v>
      </c>
      <c r="O417" s="51">
        <f>J417</f>
        <v>40976</v>
      </c>
      <c r="P417" s="51" t="str">
        <f>C417</f>
        <v>~cdd/olddocs/Formas/CNWI-QAAS (aseguranza de calidad)/CNWI-QAAS-F102 Formato de Calipers.xlsx</v>
      </c>
      <c r="Q417" s="51" t="str">
        <f>E417</f>
        <v>xlsx</v>
      </c>
      <c r="R417" s="51"/>
      <c r="S417" s="51"/>
      <c r="T417" s="51"/>
      <c r="U417" s="51"/>
      <c r="V417" s="51"/>
      <c r="W417" s="51"/>
      <c r="X417" s="51"/>
      <c r="Y417" s="51"/>
      <c r="Z417" s="51"/>
      <c r="AA417" s="51"/>
      <c r="AB417" s="51"/>
      <c r="AC417" s="51"/>
      <c r="AD417" s="51"/>
      <c r="AG417" t="s">
        <v>28</v>
      </c>
      <c r="AH417" s="51"/>
      <c r="AI417" s="51"/>
    </row>
    <row r="418" spans="2:35">
      <c r="B418" t="s">
        <v>1208</v>
      </c>
      <c r="C418" t="s">
        <v>3884</v>
      </c>
      <c r="D418">
        <v>5</v>
      </c>
      <c r="E418" t="s">
        <v>2790</v>
      </c>
      <c r="F418">
        <v>9</v>
      </c>
      <c r="I418" t="s">
        <v>1209</v>
      </c>
      <c r="J418" s="51">
        <v>40976</v>
      </c>
      <c r="K418" t="s">
        <v>46</v>
      </c>
      <c r="L418" t="s">
        <v>1157</v>
      </c>
      <c r="M418">
        <v>3</v>
      </c>
      <c r="N418" t="str">
        <f>L418</f>
        <v>NAM\F13B6</v>
      </c>
      <c r="O418" s="51">
        <f>J418</f>
        <v>40976</v>
      </c>
      <c r="P418" s="51" t="str">
        <f>C418</f>
        <v>~cdd/olddocs/Formas/CNWI-QAAS (aseguranza de calidad)/CNWI-QAAS-F103 Registros de datos de calibracion para hornos (2).xlsx</v>
      </c>
      <c r="Q418" s="51" t="str">
        <f>E418</f>
        <v>xlsx</v>
      </c>
      <c r="R418" s="51"/>
      <c r="S418" s="51"/>
      <c r="T418" s="51"/>
      <c r="U418" s="51"/>
      <c r="V418" s="51"/>
      <c r="W418" s="51"/>
      <c r="X418" s="51"/>
      <c r="Y418" s="51"/>
      <c r="Z418" s="51"/>
      <c r="AA418" s="51"/>
      <c r="AB418" s="51"/>
      <c r="AC418" s="51"/>
      <c r="AD418" s="51"/>
      <c r="AG418" t="s">
        <v>28</v>
      </c>
      <c r="AH418" s="51"/>
      <c r="AI418" s="51"/>
    </row>
    <row r="419" spans="2:35">
      <c r="B419" t="s">
        <v>2054</v>
      </c>
      <c r="C419" t="s">
        <v>3165</v>
      </c>
      <c r="D419">
        <v>5</v>
      </c>
      <c r="E419" t="s">
        <v>2794</v>
      </c>
      <c r="F419">
        <v>9</v>
      </c>
      <c r="I419" t="s">
        <v>2055</v>
      </c>
      <c r="J419" s="51">
        <v>40875</v>
      </c>
      <c r="K419" t="s">
        <v>27</v>
      </c>
      <c r="L419" t="s">
        <v>1888</v>
      </c>
      <c r="M419">
        <v>3</v>
      </c>
      <c r="N419" t="str">
        <f>L419</f>
        <v>NAM\MA7784</v>
      </c>
      <c r="O419" s="51">
        <f>J419</f>
        <v>40875</v>
      </c>
      <c r="P419" s="51" t="str">
        <f>C419</f>
        <v>~/cdd/olddocs/Formas/CNWI-QAAS (aseguranza de calidad)/CNWI-QAAS-F104 Codigo de defectos.doc</v>
      </c>
      <c r="Q419" s="51" t="str">
        <f>E419</f>
        <v>doc</v>
      </c>
      <c r="R419" s="51"/>
      <c r="S419" s="51"/>
      <c r="T419" s="51"/>
      <c r="U419" s="51"/>
      <c r="V419" s="51"/>
      <c r="W419" s="51"/>
      <c r="X419" s="51"/>
      <c r="Y419" s="51"/>
      <c r="Z419" s="51"/>
      <c r="AA419" s="51"/>
      <c r="AB419" s="51"/>
      <c r="AC419" s="51"/>
      <c r="AD419" s="51"/>
      <c r="AG419" t="s">
        <v>28</v>
      </c>
      <c r="AH419" s="51"/>
      <c r="AI419" s="51"/>
    </row>
    <row r="420" spans="2:35">
      <c r="B420" t="s">
        <v>390</v>
      </c>
      <c r="C420" t="s">
        <v>3166</v>
      </c>
      <c r="D420">
        <v>5</v>
      </c>
      <c r="E420" t="s">
        <v>2794</v>
      </c>
      <c r="F420">
        <v>9</v>
      </c>
      <c r="I420" t="s">
        <v>391</v>
      </c>
      <c r="J420" s="51">
        <v>40854</v>
      </c>
      <c r="K420" t="s">
        <v>27</v>
      </c>
      <c r="L420" t="s">
        <v>222</v>
      </c>
      <c r="M420">
        <v>3</v>
      </c>
      <c r="N420" t="str">
        <f>L420</f>
        <v>NAM\MA9769</v>
      </c>
      <c r="O420" s="51">
        <f>J420</f>
        <v>40854</v>
      </c>
      <c r="P420" s="51" t="str">
        <f>C420</f>
        <v>~/cdd/olddocs/Formas/CNWI-QAAS (aseguranza de calidad)/CNWI-QAAS-F105 CERTIFICATE OF CONFORMANCE -RoHs.doc</v>
      </c>
      <c r="Q420" s="51" t="str">
        <f>E420</f>
        <v>doc</v>
      </c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G420" t="s">
        <v>28</v>
      </c>
      <c r="AH420" s="51"/>
      <c r="AI420" s="51"/>
    </row>
    <row r="421" spans="2:35">
      <c r="B421" t="s">
        <v>1210</v>
      </c>
      <c r="C421" t="s">
        <v>3167</v>
      </c>
      <c r="D421">
        <v>5</v>
      </c>
      <c r="E421" t="s">
        <v>2790</v>
      </c>
      <c r="F421">
        <v>9</v>
      </c>
      <c r="I421" t="s">
        <v>1211</v>
      </c>
      <c r="J421" s="51">
        <v>40976</v>
      </c>
      <c r="K421" t="s">
        <v>46</v>
      </c>
      <c r="L421" t="s">
        <v>1157</v>
      </c>
      <c r="M421">
        <v>3</v>
      </c>
      <c r="N421" t="str">
        <f>L421</f>
        <v>NAM\F13B6</v>
      </c>
      <c r="O421" s="51">
        <f>J421</f>
        <v>40976</v>
      </c>
      <c r="P421" s="51" t="str">
        <f>C421</f>
        <v>~/cdd/olddocs/Formas/CNWI-QAAS (aseguranza de calidad)/CNWI-QAAS-F106 Formato de Calibracion de indicadores.xlsx</v>
      </c>
      <c r="Q421" s="51" t="str">
        <f>E421</f>
        <v>xlsx</v>
      </c>
      <c r="R421" s="51"/>
      <c r="S421" s="51"/>
      <c r="T421" s="51"/>
      <c r="U421" s="51"/>
      <c r="V421" s="51"/>
      <c r="W421" s="51"/>
      <c r="X421" s="51"/>
      <c r="Y421" s="51"/>
      <c r="Z421" s="51"/>
      <c r="AA421" s="51"/>
      <c r="AB421" s="51"/>
      <c r="AC421" s="51"/>
      <c r="AD421" s="51"/>
      <c r="AG421" t="s">
        <v>28</v>
      </c>
      <c r="AH421" s="51"/>
      <c r="AI421" s="51"/>
    </row>
    <row r="422" spans="2:35">
      <c r="B422" t="s">
        <v>2267</v>
      </c>
      <c r="C422" t="s">
        <v>3168</v>
      </c>
      <c r="D422">
        <v>5</v>
      </c>
      <c r="E422" t="s">
        <v>2794</v>
      </c>
      <c r="F422">
        <v>9</v>
      </c>
      <c r="I422" t="s">
        <v>2268</v>
      </c>
      <c r="J422" s="51">
        <v>40913</v>
      </c>
      <c r="K422" t="s">
        <v>46</v>
      </c>
      <c r="L422" t="s">
        <v>2063</v>
      </c>
      <c r="M422">
        <v>3</v>
      </c>
      <c r="N422" t="str">
        <f>L422</f>
        <v>NAM\MB2117</v>
      </c>
      <c r="O422" s="51">
        <f>J422</f>
        <v>40913</v>
      </c>
      <c r="P422" s="51" t="str">
        <f>C422</f>
        <v>~/cdd/olddocs/Formas/CNWI-QAAS (aseguranza de calidad)/CNWI-QAAS-F107 Production Process Verification Checklist.doc</v>
      </c>
      <c r="Q422" s="51" t="str">
        <f>E422</f>
        <v>doc</v>
      </c>
      <c r="R422" s="51"/>
      <c r="S422" s="51"/>
      <c r="T422" s="51"/>
      <c r="U422" s="51"/>
      <c r="V422" s="51"/>
      <c r="W422" s="51"/>
      <c r="X422" s="51"/>
      <c r="Y422" s="51"/>
      <c r="Z422" s="51"/>
      <c r="AA422" s="51"/>
      <c r="AB422" s="51"/>
      <c r="AC422" s="51"/>
      <c r="AD422" s="51"/>
      <c r="AG422" t="s">
        <v>28</v>
      </c>
      <c r="AH422" s="51"/>
      <c r="AI422" s="51"/>
    </row>
    <row r="423" spans="2:35">
      <c r="B423" t="s">
        <v>2056</v>
      </c>
      <c r="C423" t="s">
        <v>3169</v>
      </c>
      <c r="D423">
        <v>5</v>
      </c>
      <c r="E423" t="s">
        <v>2790</v>
      </c>
      <c r="F423">
        <v>9</v>
      </c>
      <c r="I423" t="s">
        <v>2057</v>
      </c>
      <c r="J423" s="51">
        <v>40927</v>
      </c>
      <c r="K423" t="s">
        <v>27</v>
      </c>
      <c r="L423" t="s">
        <v>1888</v>
      </c>
      <c r="M423">
        <v>3</v>
      </c>
      <c r="N423" t="str">
        <f>L423</f>
        <v>NAM\MA7784</v>
      </c>
      <c r="O423" s="51">
        <f>J423</f>
        <v>40927</v>
      </c>
      <c r="P423" s="51" t="str">
        <f>C423</f>
        <v>~/cdd/olddocs/Formas/CNWI-QAAS (aseguranza de calidad)/CNWI-QAAS-F108 Formato de PPM.xlsx</v>
      </c>
      <c r="Q423" s="51" t="str">
        <f>E423</f>
        <v>xlsx</v>
      </c>
      <c r="R423" s="51"/>
      <c r="S423" s="51"/>
      <c r="T423" s="51"/>
      <c r="U423" s="51"/>
      <c r="V423" s="51"/>
      <c r="W423" s="51"/>
      <c r="X423" s="51"/>
      <c r="Y423" s="51"/>
      <c r="Z423" s="51"/>
      <c r="AA423" s="51"/>
      <c r="AB423" s="51"/>
      <c r="AC423" s="51"/>
      <c r="AD423" s="51"/>
      <c r="AG423" t="s">
        <v>28</v>
      </c>
      <c r="AH423" s="51"/>
      <c r="AI423" s="51"/>
    </row>
    <row r="424" spans="2:35">
      <c r="B424" t="s">
        <v>392</v>
      </c>
      <c r="C424" t="s">
        <v>3170</v>
      </c>
      <c r="D424">
        <v>5</v>
      </c>
      <c r="E424" t="s">
        <v>2790</v>
      </c>
      <c r="F424">
        <v>9</v>
      </c>
      <c r="I424" t="s">
        <v>393</v>
      </c>
      <c r="J424" s="51">
        <v>40988</v>
      </c>
      <c r="K424" t="s">
        <v>27</v>
      </c>
      <c r="L424" t="s">
        <v>222</v>
      </c>
      <c r="M424">
        <v>3</v>
      </c>
      <c r="N424" t="str">
        <f>L424</f>
        <v>NAM\MA9769</v>
      </c>
      <c r="O424" s="51">
        <f>J424</f>
        <v>40988</v>
      </c>
      <c r="P424" s="51" t="str">
        <f>C424</f>
        <v>~/cdd/olddocs/Formas/CNWI-QAAS (aseguranza de calidad)/CNWI-QAAS-F109 Risk Management Matrix.xlsx</v>
      </c>
      <c r="Q424" s="51" t="str">
        <f>E424</f>
        <v>xlsx</v>
      </c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G424" t="s">
        <v>28</v>
      </c>
      <c r="AH424" s="51"/>
      <c r="AI424" s="51"/>
    </row>
    <row r="425" spans="2:35">
      <c r="B425" t="s">
        <v>394</v>
      </c>
      <c r="C425" t="s">
        <v>3171</v>
      </c>
      <c r="D425">
        <v>5</v>
      </c>
      <c r="E425" t="s">
        <v>2794</v>
      </c>
      <c r="F425">
        <v>9</v>
      </c>
      <c r="I425" t="s">
        <v>395</v>
      </c>
      <c r="J425" s="51">
        <v>40924</v>
      </c>
      <c r="K425" t="s">
        <v>46</v>
      </c>
      <c r="L425" t="s">
        <v>222</v>
      </c>
      <c r="M425">
        <v>3</v>
      </c>
      <c r="N425" t="str">
        <f>L425</f>
        <v>NAM\MA9769</v>
      </c>
      <c r="O425" s="51">
        <f>J425</f>
        <v>40924</v>
      </c>
      <c r="P425" s="51" t="str">
        <f>C425</f>
        <v>~/cdd/olddocs/Formas/CNWI-QAAS (aseguranza de calidad)/CNWI-QAAS-F110 Change Request form -Customer Notification.doc</v>
      </c>
      <c r="Q425" s="51" t="str">
        <f>E425</f>
        <v>doc</v>
      </c>
      <c r="R425" s="51"/>
      <c r="S425" s="51"/>
      <c r="T425" s="51"/>
      <c r="U425" s="51"/>
      <c r="V425" s="51"/>
      <c r="W425" s="51"/>
      <c r="X425" s="51"/>
      <c r="Y425" s="51"/>
      <c r="Z425" s="51"/>
      <c r="AA425" s="51"/>
      <c r="AB425" s="51"/>
      <c r="AC425" s="51"/>
      <c r="AD425" s="51"/>
      <c r="AG425" t="s">
        <v>28</v>
      </c>
      <c r="AH425" s="51"/>
      <c r="AI425" s="51"/>
    </row>
    <row r="426" spans="2:35">
      <c r="B426" t="s">
        <v>396</v>
      </c>
      <c r="C426" t="s">
        <v>3172</v>
      </c>
      <c r="D426">
        <v>5</v>
      </c>
      <c r="E426" t="s">
        <v>2794</v>
      </c>
      <c r="F426">
        <v>9</v>
      </c>
      <c r="I426" t="s">
        <v>397</v>
      </c>
      <c r="J426" s="51">
        <v>40911</v>
      </c>
      <c r="K426" t="s">
        <v>27</v>
      </c>
      <c r="L426" t="s">
        <v>222</v>
      </c>
      <c r="M426">
        <v>3</v>
      </c>
      <c r="N426" t="str">
        <f>L426</f>
        <v>NAM\MA9769</v>
      </c>
      <c r="O426" s="51">
        <f>J426</f>
        <v>40911</v>
      </c>
      <c r="P426" s="51" t="str">
        <f>C426</f>
        <v>~/cdd/olddocs/Formas/CNWI-QAAS (aseguranza de calidad)/CNWI-QAAS-F111 Change Request form (for cooper approval).doc</v>
      </c>
      <c r="Q426" s="51" t="str">
        <f>E426</f>
        <v>doc</v>
      </c>
      <c r="R426" s="51"/>
      <c r="S426" s="51"/>
      <c r="T426" s="51"/>
      <c r="U426" s="51"/>
      <c r="V426" s="51"/>
      <c r="W426" s="51"/>
      <c r="X426" s="51"/>
      <c r="Y426" s="51"/>
      <c r="Z426" s="51"/>
      <c r="AA426" s="51"/>
      <c r="AB426" s="51"/>
      <c r="AC426" s="51"/>
      <c r="AD426" s="51"/>
      <c r="AG426" t="s">
        <v>28</v>
      </c>
      <c r="AH426" s="51"/>
      <c r="AI426" s="51"/>
    </row>
    <row r="427" spans="2:35">
      <c r="B427" t="s">
        <v>398</v>
      </c>
      <c r="C427" t="s">
        <v>3173</v>
      </c>
      <c r="D427">
        <v>5</v>
      </c>
      <c r="E427" t="s">
        <v>2793</v>
      </c>
      <c r="F427">
        <v>9</v>
      </c>
      <c r="I427" t="s">
        <v>399</v>
      </c>
      <c r="J427" s="51">
        <v>40911</v>
      </c>
      <c r="K427" t="s">
        <v>27</v>
      </c>
      <c r="L427" t="s">
        <v>222</v>
      </c>
      <c r="M427">
        <v>3</v>
      </c>
      <c r="N427" t="str">
        <f>L427</f>
        <v>NAM\MA9769</v>
      </c>
      <c r="O427" s="51">
        <f>J427</f>
        <v>40911</v>
      </c>
      <c r="P427" s="51" t="str">
        <f>C427</f>
        <v>~/cdd/olddocs/Formas/CNWI-QAAS (aseguranza de calidad)/CNWI-QAAS-F112 A3  Format .pptx</v>
      </c>
      <c r="Q427" s="51" t="str">
        <f>E427</f>
        <v>pptx</v>
      </c>
      <c r="R427" s="51"/>
      <c r="S427" s="51"/>
      <c r="T427" s="51"/>
      <c r="U427" s="51"/>
      <c r="V427" s="51"/>
      <c r="W427" s="51"/>
      <c r="X427" s="51"/>
      <c r="Y427" s="51"/>
      <c r="Z427" s="51"/>
      <c r="AA427" s="51"/>
      <c r="AB427" s="51"/>
      <c r="AC427" s="51"/>
      <c r="AD427" s="51"/>
      <c r="AG427" t="s">
        <v>28</v>
      </c>
      <c r="AH427" s="51"/>
      <c r="AI427" s="51"/>
    </row>
    <row r="428" spans="2:35">
      <c r="B428" t="s">
        <v>400</v>
      </c>
      <c r="C428" t="s">
        <v>3174</v>
      </c>
      <c r="D428">
        <v>5</v>
      </c>
      <c r="E428" t="s">
        <v>2794</v>
      </c>
      <c r="F428">
        <v>9</v>
      </c>
      <c r="I428" t="s">
        <v>401</v>
      </c>
      <c r="J428" s="51">
        <v>40914</v>
      </c>
      <c r="K428" t="s">
        <v>27</v>
      </c>
      <c r="L428" t="s">
        <v>222</v>
      </c>
      <c r="M428">
        <v>3</v>
      </c>
      <c r="N428" t="str">
        <f>L428</f>
        <v>NAM\MA9769</v>
      </c>
      <c r="O428" s="51">
        <f>J428</f>
        <v>40914</v>
      </c>
      <c r="P428" s="51" t="str">
        <f>C428</f>
        <v>~/cdd/olddocs/Formas/CNWI-QAAS (aseguranza de calidad)/CNWI-QAAS-F113 First Part Approval.doc</v>
      </c>
      <c r="Q428" s="51" t="str">
        <f>E428</f>
        <v>doc</v>
      </c>
      <c r="R428" s="51"/>
      <c r="S428" s="51"/>
      <c r="T428" s="51"/>
      <c r="U428" s="51"/>
      <c r="V428" s="51"/>
      <c r="W428" s="51"/>
      <c r="X428" s="51"/>
      <c r="Y428" s="51"/>
      <c r="Z428" s="51"/>
      <c r="AA428" s="51"/>
      <c r="AB428" s="51"/>
      <c r="AC428" s="51"/>
      <c r="AD428" s="51"/>
      <c r="AG428" t="s">
        <v>28</v>
      </c>
      <c r="AH428" s="51"/>
      <c r="AI428" s="51"/>
    </row>
    <row r="429" spans="2:35">
      <c r="B429" t="s">
        <v>402</v>
      </c>
      <c r="C429" t="s">
        <v>3175</v>
      </c>
      <c r="D429">
        <v>5</v>
      </c>
      <c r="E429" t="s">
        <v>2797</v>
      </c>
      <c r="F429">
        <v>9</v>
      </c>
      <c r="I429" t="s">
        <v>403</v>
      </c>
      <c r="J429" s="51">
        <v>40917</v>
      </c>
      <c r="K429" t="s">
        <v>27</v>
      </c>
      <c r="L429" t="s">
        <v>222</v>
      </c>
      <c r="M429">
        <v>3</v>
      </c>
      <c r="N429" t="str">
        <f>L429</f>
        <v>NAM\MA9769</v>
      </c>
      <c r="O429" s="51">
        <f>J429</f>
        <v>40917</v>
      </c>
      <c r="P429" s="51" t="str">
        <f>C429</f>
        <v>~/cdd/olddocs/Formas/CNWI-QAAS (aseguranza de calidad)/CNWI-QAAS-F114 First Part Rejection.docx</v>
      </c>
      <c r="Q429" s="51" t="str">
        <f>E429</f>
        <v>docx</v>
      </c>
      <c r="R429" s="51"/>
      <c r="S429" s="51"/>
      <c r="T429" s="51"/>
      <c r="U429" s="51"/>
      <c r="V429" s="51"/>
      <c r="W429" s="51"/>
      <c r="X429" s="51"/>
      <c r="Y429" s="51"/>
      <c r="Z429" s="51"/>
      <c r="AA429" s="51"/>
      <c r="AB429" s="51"/>
      <c r="AC429" s="51"/>
      <c r="AD429" s="51"/>
      <c r="AG429" t="s">
        <v>28</v>
      </c>
      <c r="AH429" s="51"/>
      <c r="AI429" s="51"/>
    </row>
    <row r="430" spans="2:35">
      <c r="B430" t="s">
        <v>404</v>
      </c>
      <c r="C430" t="s">
        <v>3176</v>
      </c>
      <c r="D430">
        <v>5</v>
      </c>
      <c r="E430" t="s">
        <v>2792</v>
      </c>
      <c r="F430">
        <v>9</v>
      </c>
      <c r="I430" t="s">
        <v>405</v>
      </c>
      <c r="J430" s="51">
        <v>40924</v>
      </c>
      <c r="K430" t="s">
        <v>27</v>
      </c>
      <c r="L430" t="s">
        <v>222</v>
      </c>
      <c r="M430">
        <v>3</v>
      </c>
      <c r="N430" t="str">
        <f>L430</f>
        <v>NAM\MA9769</v>
      </c>
      <c r="O430" s="51">
        <f>J430</f>
        <v>40924</v>
      </c>
      <c r="P430" s="51" t="str">
        <f>C430</f>
        <v>~/cdd/olddocs/Formas/CNWI-QAAS (aseguranza de calidad)/CNWI-QAAS-F115 Check list FAI Component .xls</v>
      </c>
      <c r="Q430" s="51" t="str">
        <f>E430</f>
        <v>xls</v>
      </c>
      <c r="R430" s="51"/>
      <c r="S430" s="51"/>
      <c r="T430" s="51"/>
      <c r="U430" s="51"/>
      <c r="V430" s="51"/>
      <c r="W430" s="51"/>
      <c r="X430" s="51"/>
      <c r="Y430" s="51"/>
      <c r="Z430" s="51"/>
      <c r="AA430" s="51"/>
      <c r="AB430" s="51"/>
      <c r="AC430" s="51"/>
      <c r="AD430" s="51"/>
      <c r="AG430" t="s">
        <v>28</v>
      </c>
      <c r="AH430" s="51"/>
      <c r="AI430" s="51"/>
    </row>
    <row r="431" spans="2:35">
      <c r="B431" t="s">
        <v>406</v>
      </c>
      <c r="C431" t="s">
        <v>3177</v>
      </c>
      <c r="D431">
        <v>5</v>
      </c>
      <c r="E431" t="s">
        <v>2792</v>
      </c>
      <c r="F431">
        <v>9</v>
      </c>
      <c r="I431" t="s">
        <v>407</v>
      </c>
      <c r="J431" s="51">
        <v>40926</v>
      </c>
      <c r="K431" t="s">
        <v>27</v>
      </c>
      <c r="L431" t="s">
        <v>222</v>
      </c>
      <c r="M431">
        <v>3</v>
      </c>
      <c r="N431" t="str">
        <f>L431</f>
        <v>NAM\MA9769</v>
      </c>
      <c r="O431" s="51">
        <f>J431</f>
        <v>40926</v>
      </c>
      <c r="P431" s="51" t="str">
        <f>C431</f>
        <v>~/cdd/olddocs/Formas/CNWI-QAAS (aseguranza de calidad)/CNWI-QAAS-F116 Weekly PPM on FAI.xls</v>
      </c>
      <c r="Q431" s="51" t="str">
        <f>E431</f>
        <v>xls</v>
      </c>
      <c r="R431" s="51"/>
      <c r="S431" s="51"/>
      <c r="T431" s="51"/>
      <c r="U431" s="51"/>
      <c r="V431" s="51"/>
      <c r="W431" s="51"/>
      <c r="X431" s="51"/>
      <c r="Y431" s="51"/>
      <c r="Z431" s="51"/>
      <c r="AA431" s="51"/>
      <c r="AB431" s="51"/>
      <c r="AC431" s="51"/>
      <c r="AD431" s="51"/>
      <c r="AG431" t="s">
        <v>28</v>
      </c>
      <c r="AH431" s="51"/>
      <c r="AI431" s="51"/>
    </row>
    <row r="432" spans="2:35">
      <c r="B432" t="s">
        <v>408</v>
      </c>
      <c r="C432" t="s">
        <v>3178</v>
      </c>
      <c r="D432">
        <v>5</v>
      </c>
      <c r="E432" t="s">
        <v>2792</v>
      </c>
      <c r="F432">
        <v>9</v>
      </c>
      <c r="I432" t="s">
        <v>409</v>
      </c>
      <c r="J432" s="51">
        <v>40940</v>
      </c>
      <c r="K432" t="s">
        <v>27</v>
      </c>
      <c r="L432" t="s">
        <v>222</v>
      </c>
      <c r="M432">
        <v>3</v>
      </c>
      <c r="N432" t="str">
        <f>L432</f>
        <v>NAM\MA9769</v>
      </c>
      <c r="O432" s="51">
        <f>J432</f>
        <v>40940</v>
      </c>
      <c r="P432" s="51" t="str">
        <f>C432</f>
        <v>~/cdd/olddocs/Formas/CNWI-QAAS (aseguranza de calidad)/CNWI-QAAS-F117 Diagrama de Tortuga.xls</v>
      </c>
      <c r="Q432" s="51" t="str">
        <f>E432</f>
        <v>xls</v>
      </c>
      <c r="R432" s="51"/>
      <c r="S432" s="51"/>
      <c r="T432" s="51"/>
      <c r="U432" s="51"/>
      <c r="V432" s="51"/>
      <c r="W432" s="51"/>
      <c r="X432" s="51"/>
      <c r="Y432" s="51"/>
      <c r="Z432" s="51"/>
      <c r="AA432" s="51"/>
      <c r="AB432" s="51"/>
      <c r="AC432" s="51"/>
      <c r="AD432" s="51"/>
      <c r="AG432" t="s">
        <v>28</v>
      </c>
      <c r="AH432" s="51"/>
      <c r="AI432" s="51"/>
    </row>
    <row r="433" spans="2:35">
      <c r="B433" t="s">
        <v>410</v>
      </c>
      <c r="C433" t="s">
        <v>3885</v>
      </c>
      <c r="D433">
        <v>5</v>
      </c>
      <c r="E433" t="s">
        <v>2790</v>
      </c>
      <c r="F433">
        <v>9</v>
      </c>
      <c r="I433" t="s">
        <v>411</v>
      </c>
      <c r="J433" s="51">
        <v>40941</v>
      </c>
      <c r="K433" t="s">
        <v>27</v>
      </c>
      <c r="L433" t="s">
        <v>222</v>
      </c>
      <c r="M433">
        <v>3</v>
      </c>
      <c r="N433" t="str">
        <f>L433</f>
        <v>NAM\MA9769</v>
      </c>
      <c r="O433" s="51">
        <f>J433</f>
        <v>40941</v>
      </c>
      <c r="P433" s="51" t="str">
        <f>C433</f>
        <v>~cdd/olddocs/Formas/CNWI-QAAS (aseguranza de calidad)/CNWI-QAAS-F118 Control de boletas de Scrap.xlsx</v>
      </c>
      <c r="Q433" s="51" t="str">
        <f>E433</f>
        <v>xlsx</v>
      </c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G433" t="s">
        <v>28</v>
      </c>
      <c r="AH433" s="51"/>
      <c r="AI433" s="51"/>
    </row>
    <row r="434" spans="2:35">
      <c r="B434" t="s">
        <v>412</v>
      </c>
      <c r="C434" t="s">
        <v>3179</v>
      </c>
      <c r="D434">
        <v>5</v>
      </c>
      <c r="E434" t="s">
        <v>2791</v>
      </c>
      <c r="F434">
        <v>9</v>
      </c>
      <c r="I434" t="s">
        <v>413</v>
      </c>
      <c r="J434" s="51">
        <v>40959</v>
      </c>
      <c r="K434" t="s">
        <v>46</v>
      </c>
      <c r="L434" t="s">
        <v>222</v>
      </c>
      <c r="M434">
        <v>3</v>
      </c>
      <c r="N434" t="str">
        <f>L434</f>
        <v>NAM\MA9769</v>
      </c>
      <c r="O434" s="51">
        <f>J434</f>
        <v>40959</v>
      </c>
      <c r="P434" s="51" t="str">
        <f>C434</f>
        <v>~/cdd/olddocs/Formas/CNWI-QAAS (aseguranza de calidad)/CNWI-QAAS-F119 Diagrama de interaccion de procesos.pdf</v>
      </c>
      <c r="Q434" s="51" t="str">
        <f>E434</f>
        <v>pdf</v>
      </c>
      <c r="R434" s="51"/>
      <c r="S434" s="51"/>
      <c r="T434" s="51"/>
      <c r="U434" s="51"/>
      <c r="V434" s="51"/>
      <c r="W434" s="51"/>
      <c r="X434" s="51"/>
      <c r="Y434" s="51"/>
      <c r="Z434" s="51"/>
      <c r="AA434" s="51"/>
      <c r="AB434" s="51"/>
      <c r="AC434" s="51"/>
      <c r="AD434" s="51"/>
      <c r="AG434" t="s">
        <v>28</v>
      </c>
      <c r="AH434" s="51"/>
      <c r="AI434" s="51"/>
    </row>
    <row r="435" spans="2:35">
      <c r="B435" t="s">
        <v>414</v>
      </c>
      <c r="C435" t="s">
        <v>3180</v>
      </c>
      <c r="D435">
        <v>5</v>
      </c>
      <c r="E435" t="s">
        <v>2792</v>
      </c>
      <c r="F435">
        <v>9</v>
      </c>
      <c r="I435" t="s">
        <v>415</v>
      </c>
      <c r="J435" s="51">
        <v>40968</v>
      </c>
      <c r="K435" t="s">
        <v>27</v>
      </c>
      <c r="L435" t="s">
        <v>222</v>
      </c>
      <c r="M435">
        <v>3</v>
      </c>
      <c r="N435" t="str">
        <f>L435</f>
        <v>NAM\MA9769</v>
      </c>
      <c r="O435" s="51">
        <f>J435</f>
        <v>40968</v>
      </c>
      <c r="P435" s="51" t="str">
        <f>C435</f>
        <v>~/cdd/olddocs/Formas/CNWI-QAAS (aseguranza de calidad)/CNWI-QAAS-F120 Control de scrap.xls</v>
      </c>
      <c r="Q435" s="51" t="str">
        <f>E435</f>
        <v>xls</v>
      </c>
      <c r="R435" s="51"/>
      <c r="S435" s="51"/>
      <c r="T435" s="51"/>
      <c r="U435" s="51"/>
      <c r="V435" s="51"/>
      <c r="W435" s="51"/>
      <c r="X435" s="51"/>
      <c r="Y435" s="51"/>
      <c r="Z435" s="51"/>
      <c r="AA435" s="51"/>
      <c r="AB435" s="51"/>
      <c r="AC435" s="51"/>
      <c r="AD435" s="51"/>
      <c r="AG435" t="s">
        <v>28</v>
      </c>
      <c r="AH435" s="51"/>
      <c r="AI435" s="51"/>
    </row>
    <row r="436" spans="2:35">
      <c r="B436" t="s">
        <v>416</v>
      </c>
      <c r="C436" t="s">
        <v>3181</v>
      </c>
      <c r="D436">
        <v>5</v>
      </c>
      <c r="E436" t="s">
        <v>2794</v>
      </c>
      <c r="F436">
        <v>9</v>
      </c>
      <c r="I436" t="s">
        <v>417</v>
      </c>
      <c r="J436" s="51">
        <v>40983</v>
      </c>
      <c r="K436" t="s">
        <v>27</v>
      </c>
      <c r="L436" t="s">
        <v>222</v>
      </c>
      <c r="M436">
        <v>3</v>
      </c>
      <c r="N436" t="str">
        <f>L436</f>
        <v>NAM\MA9769</v>
      </c>
      <c r="O436" s="51">
        <f>J436</f>
        <v>40983</v>
      </c>
      <c r="P436" s="51" t="str">
        <f>C436</f>
        <v>~/cdd/olddocs/Formas/CNWI-QAAS (aseguranza de calidad)/CNWI-QAAS-F121 Minuta.doc</v>
      </c>
      <c r="Q436" s="51" t="str">
        <f>E436</f>
        <v>doc</v>
      </c>
      <c r="R436" s="51"/>
      <c r="S436" s="51"/>
      <c r="T436" s="51"/>
      <c r="U436" s="51"/>
      <c r="V436" s="51"/>
      <c r="W436" s="51"/>
      <c r="X436" s="51"/>
      <c r="Y436" s="51"/>
      <c r="Z436" s="51"/>
      <c r="AA436" s="51"/>
      <c r="AB436" s="51"/>
      <c r="AC436" s="51"/>
      <c r="AD436" s="51"/>
      <c r="AG436" t="s">
        <v>28</v>
      </c>
      <c r="AH436" s="51"/>
      <c r="AI436" s="51"/>
    </row>
    <row r="437" spans="2:35">
      <c r="B437" t="s">
        <v>1212</v>
      </c>
      <c r="C437" t="s">
        <v>3182</v>
      </c>
      <c r="D437">
        <v>5</v>
      </c>
      <c r="E437" t="s">
        <v>2794</v>
      </c>
      <c r="F437">
        <v>9</v>
      </c>
      <c r="I437" t="s">
        <v>1213</v>
      </c>
      <c r="J437" s="51">
        <v>40983</v>
      </c>
      <c r="K437" t="s">
        <v>27</v>
      </c>
      <c r="L437" t="s">
        <v>1157</v>
      </c>
      <c r="M437">
        <v>3</v>
      </c>
      <c r="N437" t="str">
        <f>L437</f>
        <v>NAM\F13B6</v>
      </c>
      <c r="O437" s="51">
        <f>J437</f>
        <v>40983</v>
      </c>
      <c r="P437" s="51" t="str">
        <f>C437</f>
        <v>~/cdd/olddocs/Formas/CNWI-QAAS (aseguranza de calidad)/CNWI-QAAS-F122 Check list de revision de euqipo de pruebas.doc</v>
      </c>
      <c r="Q437" s="51" t="str">
        <f>E437</f>
        <v>doc</v>
      </c>
      <c r="R437" s="51"/>
      <c r="S437" s="51"/>
      <c r="T437" s="51"/>
      <c r="U437" s="51"/>
      <c r="V437" s="51"/>
      <c r="W437" s="51"/>
      <c r="X437" s="51"/>
      <c r="Y437" s="51"/>
      <c r="Z437" s="51"/>
      <c r="AA437" s="51"/>
      <c r="AB437" s="51"/>
      <c r="AC437" s="51"/>
      <c r="AD437" s="51"/>
      <c r="AG437" t="s">
        <v>28</v>
      </c>
      <c r="AH437" s="51"/>
      <c r="AI437" s="51"/>
    </row>
    <row r="438" spans="2:35">
      <c r="B438" t="s">
        <v>418</v>
      </c>
      <c r="C438" t="s">
        <v>3876</v>
      </c>
      <c r="D438">
        <v>5</v>
      </c>
      <c r="E438" t="s">
        <v>2792</v>
      </c>
      <c r="F438">
        <v>9</v>
      </c>
      <c r="I438" t="s">
        <v>419</v>
      </c>
      <c r="J438" s="51">
        <v>40988</v>
      </c>
      <c r="K438" t="s">
        <v>27</v>
      </c>
      <c r="L438" t="s">
        <v>222</v>
      </c>
      <c r="M438">
        <v>3</v>
      </c>
      <c r="N438" t="str">
        <f>L438</f>
        <v>NAM\MA9769</v>
      </c>
      <c r="O438" s="51">
        <f>J438</f>
        <v>40988</v>
      </c>
      <c r="P438" s="51" t="str">
        <f>C438</f>
        <v>~cdd/olddocs/Formas/CNWI-QAAS (aseguranza de calidad)/Cambios Docs -CNWI-QAAS-F123 Risk management Rev. A.xls</v>
      </c>
      <c r="Q438" s="51" t="str">
        <f>E438</f>
        <v>xls</v>
      </c>
      <c r="R438" s="51"/>
      <c r="S438" s="51"/>
      <c r="T438" s="51"/>
      <c r="U438" s="51"/>
      <c r="V438" s="51"/>
      <c r="W438" s="51"/>
      <c r="X438" s="51"/>
      <c r="Y438" s="51"/>
      <c r="Z438" s="51"/>
      <c r="AA438" s="51"/>
      <c r="AB438" s="51"/>
      <c r="AC438" s="51"/>
      <c r="AD438" s="51"/>
      <c r="AG438" t="s">
        <v>28</v>
      </c>
      <c r="AH438" s="51"/>
      <c r="AI438" s="51"/>
    </row>
    <row r="439" spans="2:35">
      <c r="B439" t="s">
        <v>1849</v>
      </c>
      <c r="C439" t="s">
        <v>3886</v>
      </c>
      <c r="D439">
        <v>5</v>
      </c>
      <c r="E439" t="s">
        <v>2792</v>
      </c>
      <c r="F439">
        <v>9</v>
      </c>
      <c r="I439" t="s">
        <v>1850</v>
      </c>
      <c r="J439" s="51">
        <v>40990</v>
      </c>
      <c r="K439" t="s">
        <v>27</v>
      </c>
      <c r="L439" t="s">
        <v>1584</v>
      </c>
      <c r="M439">
        <v>3</v>
      </c>
      <c r="N439" t="str">
        <f>L439</f>
        <v>NAM\A8070</v>
      </c>
      <c r="O439" s="51">
        <f>J439</f>
        <v>40990</v>
      </c>
      <c r="P439" s="51" t="str">
        <f>C439</f>
        <v>~cdd/olddocs/Formas/CNWI-QAAS (aseguranza de calidad)/CNWI-QAAS-F124 New PPAP Formato.xls</v>
      </c>
      <c r="Q439" s="51" t="str">
        <f>E439</f>
        <v>xls</v>
      </c>
      <c r="R439" s="51"/>
      <c r="S439" s="51"/>
      <c r="T439" s="51"/>
      <c r="U439" s="51"/>
      <c r="V439" s="51"/>
      <c r="W439" s="51"/>
      <c r="X439" s="51"/>
      <c r="Y439" s="51"/>
      <c r="Z439" s="51"/>
      <c r="AA439" s="51"/>
      <c r="AB439" s="51"/>
      <c r="AC439" s="51"/>
      <c r="AD439" s="51"/>
      <c r="AG439" t="s">
        <v>28</v>
      </c>
      <c r="AH439" s="51"/>
      <c r="AI439" s="51"/>
    </row>
    <row r="440" spans="2:35">
      <c r="B440" t="s">
        <v>521</v>
      </c>
      <c r="C440" t="s">
        <v>3887</v>
      </c>
      <c r="D440">
        <v>5</v>
      </c>
      <c r="E440" t="s">
        <v>2792</v>
      </c>
      <c r="F440">
        <v>9</v>
      </c>
      <c r="I440" t="s">
        <v>522</v>
      </c>
      <c r="J440" s="51">
        <v>40990</v>
      </c>
      <c r="K440" t="s">
        <v>27</v>
      </c>
      <c r="L440" t="s">
        <v>520</v>
      </c>
      <c r="M440">
        <v>3</v>
      </c>
      <c r="N440" t="str">
        <f>L440</f>
        <v>NAM\AD508</v>
      </c>
      <c r="O440" s="51">
        <f>J440</f>
        <v>40990</v>
      </c>
      <c r="P440" s="51" t="str">
        <f>C440</f>
        <v>~cdd/olddocs/Formas/CNWI-QAAS (aseguranza de calidad)/CNWI-QAAS-F125 PPAP de salida de Equipo.xls</v>
      </c>
      <c r="Q440" s="51" t="str">
        <f>E440</f>
        <v>xls</v>
      </c>
      <c r="R440" s="51"/>
      <c r="S440" s="51"/>
      <c r="T440" s="51"/>
      <c r="U440" s="51"/>
      <c r="V440" s="51"/>
      <c r="W440" s="51"/>
      <c r="X440" s="51"/>
      <c r="Y440" s="51"/>
      <c r="Z440" s="51"/>
      <c r="AA440" s="51"/>
      <c r="AB440" s="51"/>
      <c r="AC440" s="51"/>
      <c r="AD440" s="51"/>
      <c r="AG440" t="s">
        <v>28</v>
      </c>
      <c r="AH440" s="51"/>
      <c r="AI440" s="51"/>
    </row>
    <row r="441" spans="2:35">
      <c r="B441" t="s">
        <v>2058</v>
      </c>
      <c r="C441" t="s">
        <v>3183</v>
      </c>
      <c r="D441">
        <v>5</v>
      </c>
      <c r="E441" t="s">
        <v>2791</v>
      </c>
      <c r="F441">
        <v>9</v>
      </c>
      <c r="I441" t="s">
        <v>2059</v>
      </c>
      <c r="J441" s="51">
        <v>41101</v>
      </c>
      <c r="K441" t="s">
        <v>159</v>
      </c>
      <c r="L441" t="s">
        <v>1888</v>
      </c>
      <c r="M441">
        <v>3</v>
      </c>
      <c r="N441" t="str">
        <f>L441</f>
        <v>NAM\MA7784</v>
      </c>
      <c r="O441" s="51">
        <f>J441</f>
        <v>41101</v>
      </c>
      <c r="P441" s="51" t="str">
        <f>C441</f>
        <v>~/cdd/olddocs/Formas/CNWI-QAAS (aseguranza de calidad)/CNWI-QAAS-F126 Rev. C OOB Micromini.pdf</v>
      </c>
      <c r="Q441" s="51" t="str">
        <f>E441</f>
        <v>pdf</v>
      </c>
      <c r="R441" s="51"/>
      <c r="S441" s="51"/>
      <c r="T441" s="51"/>
      <c r="U441" s="51"/>
      <c r="V441" s="51"/>
      <c r="W441" s="51"/>
      <c r="X441" s="51"/>
      <c r="Y441" s="51"/>
      <c r="Z441" s="51"/>
      <c r="AA441" s="51"/>
      <c r="AB441" s="51"/>
      <c r="AC441" s="51"/>
      <c r="AD441" s="51"/>
      <c r="AG441" t="s">
        <v>28</v>
      </c>
      <c r="AH441" s="51"/>
      <c r="AI441" s="51"/>
    </row>
    <row r="442" spans="2:35">
      <c r="B442" t="s">
        <v>420</v>
      </c>
      <c r="C442" t="s">
        <v>3184</v>
      </c>
      <c r="D442">
        <v>5</v>
      </c>
      <c r="E442" t="s">
        <v>2790</v>
      </c>
      <c r="F442">
        <v>9</v>
      </c>
      <c r="I442" t="s">
        <v>421</v>
      </c>
      <c r="J442" s="51">
        <v>41044</v>
      </c>
      <c r="K442" t="s">
        <v>46</v>
      </c>
      <c r="L442" t="s">
        <v>222</v>
      </c>
      <c r="M442">
        <v>3</v>
      </c>
      <c r="N442" t="str">
        <f>L442</f>
        <v>NAM\MA9769</v>
      </c>
      <c r="O442" s="51">
        <f>J442</f>
        <v>41044</v>
      </c>
      <c r="P442" s="51" t="str">
        <f>C442</f>
        <v>~/cdd/olddocs/Formas/CNWI-QAAS (aseguranza de calidad)/CNWI-QAAS-F127 Registro de asistencia a juntas.xlsx</v>
      </c>
      <c r="Q442" s="51" t="str">
        <f>E442</f>
        <v>xlsx</v>
      </c>
      <c r="R442" s="51"/>
      <c r="S442" s="51"/>
      <c r="T442" s="51"/>
      <c r="U442" s="51"/>
      <c r="V442" s="51"/>
      <c r="W442" s="51"/>
      <c r="X442" s="51"/>
      <c r="Y442" s="51"/>
      <c r="Z442" s="51"/>
      <c r="AA442" s="51"/>
      <c r="AB442" s="51"/>
      <c r="AC442" s="51"/>
      <c r="AD442" s="51"/>
      <c r="AG442" t="s">
        <v>28</v>
      </c>
      <c r="AH442" s="51"/>
      <c r="AI442" s="51"/>
    </row>
    <row r="443" spans="2:35">
      <c r="B443" t="s">
        <v>1851</v>
      </c>
      <c r="C443" t="s">
        <v>3185</v>
      </c>
      <c r="D443">
        <v>5</v>
      </c>
      <c r="E443" t="s">
        <v>2790</v>
      </c>
      <c r="F443">
        <v>9</v>
      </c>
      <c r="I443" t="s">
        <v>1852</v>
      </c>
      <c r="J443" s="51">
        <v>41043</v>
      </c>
      <c r="K443" t="s">
        <v>46</v>
      </c>
      <c r="L443" t="s">
        <v>1584</v>
      </c>
      <c r="M443">
        <v>3</v>
      </c>
      <c r="N443" t="str">
        <f>L443</f>
        <v>NAM\A8070</v>
      </c>
      <c r="O443" s="51">
        <f>J443</f>
        <v>41043</v>
      </c>
      <c r="P443" s="51" t="str">
        <f>C443</f>
        <v>~/cdd/olddocs/Formas/CNWI-QAAS (aseguranza de calidad)/CNWI-QAAS-F128 OOB Itron-generales.xlsx</v>
      </c>
      <c r="Q443" s="51" t="str">
        <f>E443</f>
        <v>xlsx</v>
      </c>
      <c r="R443" s="51"/>
      <c r="S443" s="51"/>
      <c r="T443" s="51"/>
      <c r="U443" s="51"/>
      <c r="V443" s="51"/>
      <c r="W443" s="51"/>
      <c r="X443" s="51"/>
      <c r="Y443" s="51"/>
      <c r="Z443" s="51"/>
      <c r="AA443" s="51"/>
      <c r="AB443" s="51"/>
      <c r="AC443" s="51"/>
      <c r="AD443" s="51"/>
      <c r="AG443" t="s">
        <v>28</v>
      </c>
      <c r="AH443" s="51"/>
      <c r="AI443" s="51"/>
    </row>
    <row r="444" spans="2:35">
      <c r="B444" t="s">
        <v>1853</v>
      </c>
      <c r="C444" t="s">
        <v>3186</v>
      </c>
      <c r="D444">
        <v>5</v>
      </c>
      <c r="E444" t="s">
        <v>2790</v>
      </c>
      <c r="F444">
        <v>9</v>
      </c>
      <c r="I444" t="s">
        <v>1854</v>
      </c>
      <c r="J444" s="51">
        <v>41044</v>
      </c>
      <c r="K444" t="s">
        <v>46</v>
      </c>
      <c r="L444" t="s">
        <v>1584</v>
      </c>
      <c r="M444">
        <v>3</v>
      </c>
      <c r="N444" t="str">
        <f>L444</f>
        <v>NAM\A8070</v>
      </c>
      <c r="O444" s="51">
        <f>J444</f>
        <v>41044</v>
      </c>
      <c r="P444" s="51" t="str">
        <f>C444</f>
        <v>~/cdd/olddocs/Formas/CNWI-QAAS (aseguranza de calidad)/CNWI-QAAS-F129 OOB Amsafe-bonding.xlsx</v>
      </c>
      <c r="Q444" s="51" t="str">
        <f>E444</f>
        <v>xlsx</v>
      </c>
      <c r="R444" s="51"/>
      <c r="S444" s="51"/>
      <c r="T444" s="51"/>
      <c r="U444" s="51"/>
      <c r="V444" s="51"/>
      <c r="W444" s="51"/>
      <c r="X444" s="51"/>
      <c r="Y444" s="51"/>
      <c r="Z444" s="51"/>
      <c r="AA444" s="51"/>
      <c r="AB444" s="51"/>
      <c r="AC444" s="51"/>
      <c r="AD444" s="51"/>
      <c r="AG444" t="s">
        <v>28</v>
      </c>
      <c r="AH444" s="51"/>
      <c r="AI444" s="51"/>
    </row>
    <row r="445" spans="2:35">
      <c r="B445" t="s">
        <v>422</v>
      </c>
      <c r="C445" t="s">
        <v>3933</v>
      </c>
      <c r="D445">
        <v>5</v>
      </c>
      <c r="E445" t="s">
        <v>2790</v>
      </c>
      <c r="F445">
        <v>9</v>
      </c>
      <c r="I445" t="s">
        <v>423</v>
      </c>
      <c r="J445" s="51">
        <v>40999</v>
      </c>
      <c r="K445" t="s">
        <v>27</v>
      </c>
      <c r="L445" t="s">
        <v>222</v>
      </c>
      <c r="M445">
        <v>3</v>
      </c>
      <c r="N445" t="str">
        <f>L445</f>
        <v>NAM\MA9769</v>
      </c>
      <c r="O445" s="51">
        <f>J445</f>
        <v>40999</v>
      </c>
      <c r="P445" s="51" t="str">
        <f>C445</f>
        <v>~/cdd/olddocs/CN-QAAS (Aseguranza de calidad)/FORMAS/CNWI-QAAS-F130 Rev. A Action Plan.xlsx</v>
      </c>
      <c r="Q445" s="51" t="str">
        <f>E445</f>
        <v>xlsx</v>
      </c>
      <c r="R445" s="51"/>
      <c r="S445" s="51"/>
      <c r="T445" s="51"/>
      <c r="U445" s="51"/>
      <c r="V445" s="51"/>
      <c r="W445" s="51"/>
      <c r="X445" s="51"/>
      <c r="Y445" s="51"/>
      <c r="Z445" s="51"/>
      <c r="AA445" s="51"/>
      <c r="AB445" s="51"/>
      <c r="AC445" s="51"/>
      <c r="AD445" s="51"/>
      <c r="AG445" t="s">
        <v>28</v>
      </c>
      <c r="AH445" s="51"/>
      <c r="AI445" s="51"/>
    </row>
    <row r="446" spans="2:35">
      <c r="B446" t="s">
        <v>424</v>
      </c>
      <c r="C446" t="s">
        <v>3934</v>
      </c>
      <c r="D446">
        <v>5</v>
      </c>
      <c r="E446" t="s">
        <v>2792</v>
      </c>
      <c r="F446">
        <v>9</v>
      </c>
      <c r="I446" t="s">
        <v>425</v>
      </c>
      <c r="J446" s="51">
        <v>40999</v>
      </c>
      <c r="K446" t="s">
        <v>27</v>
      </c>
      <c r="L446" t="s">
        <v>222</v>
      </c>
      <c r="M446">
        <v>3</v>
      </c>
      <c r="N446" t="str">
        <f>L446</f>
        <v>NAM\MA9769</v>
      </c>
      <c r="O446" s="51">
        <f>J446</f>
        <v>40999</v>
      </c>
      <c r="P446" s="51" t="str">
        <f>C446</f>
        <v>~/cdd/olddocs/CN-QAAS (Aseguranza de calidad)/FORMAS/CNWI-QAAS-F131 Rev. A QMS Assessment.xls</v>
      </c>
      <c r="Q446" s="51" t="str">
        <f>E446</f>
        <v>xls</v>
      </c>
      <c r="R446" s="51"/>
      <c r="S446" s="51"/>
      <c r="T446" s="51"/>
      <c r="U446" s="51"/>
      <c r="V446" s="51"/>
      <c r="W446" s="51"/>
      <c r="X446" s="51"/>
      <c r="Y446" s="51"/>
      <c r="Z446" s="51"/>
      <c r="AA446" s="51"/>
      <c r="AB446" s="51"/>
      <c r="AC446" s="51"/>
      <c r="AD446" s="51"/>
      <c r="AG446" t="s">
        <v>28</v>
      </c>
      <c r="AH446" s="51"/>
      <c r="AI446" s="51"/>
    </row>
    <row r="447" spans="2:35">
      <c r="B447" t="s">
        <v>1515</v>
      </c>
      <c r="C447" t="s">
        <v>3888</v>
      </c>
      <c r="D447">
        <v>5</v>
      </c>
      <c r="E447" t="s">
        <v>2790</v>
      </c>
      <c r="F447">
        <v>9</v>
      </c>
      <c r="I447" t="s">
        <v>1516</v>
      </c>
      <c r="J447" s="51">
        <v>41029</v>
      </c>
      <c r="K447" t="s">
        <v>27</v>
      </c>
      <c r="L447" t="s">
        <v>1504</v>
      </c>
      <c r="M447">
        <v>3</v>
      </c>
      <c r="N447" t="str">
        <f>L447</f>
        <v>NAM\MB5781</v>
      </c>
      <c r="O447" s="51">
        <f>J447</f>
        <v>41029</v>
      </c>
      <c r="P447" s="51" t="str">
        <f>C447</f>
        <v>~cdd/olddocs/Formas/CNWI-QAAS (aseguranza de calidad)/CNWI-QAAS-F132 Operacion y control de dispositivos pokayoke.xlsx</v>
      </c>
      <c r="Q447" s="51" t="str">
        <f>E447</f>
        <v>xlsx</v>
      </c>
      <c r="R447" s="51"/>
      <c r="S447" s="51"/>
      <c r="T447" s="51"/>
      <c r="U447" s="51"/>
      <c r="V447" s="51"/>
      <c r="W447" s="51"/>
      <c r="X447" s="51"/>
      <c r="Y447" s="51"/>
      <c r="Z447" s="51"/>
      <c r="AA447" s="51"/>
      <c r="AB447" s="51"/>
      <c r="AC447" s="51"/>
      <c r="AD447" s="51"/>
      <c r="AG447" t="s">
        <v>28</v>
      </c>
      <c r="AH447" s="51"/>
      <c r="AI447" s="51"/>
    </row>
    <row r="448" spans="2:35">
      <c r="B448" t="s">
        <v>1855</v>
      </c>
      <c r="C448" t="s">
        <v>3934</v>
      </c>
      <c r="D448">
        <v>5</v>
      </c>
      <c r="E448" t="s">
        <v>2792</v>
      </c>
      <c r="F448">
        <v>9</v>
      </c>
      <c r="I448" t="s">
        <v>1856</v>
      </c>
      <c r="J448" s="51">
        <v>41031</v>
      </c>
      <c r="K448" t="s">
        <v>27</v>
      </c>
      <c r="L448" t="s">
        <v>1584</v>
      </c>
      <c r="M448">
        <v>3</v>
      </c>
      <c r="N448" t="str">
        <f>L448</f>
        <v>NAM\A8070</v>
      </c>
      <c r="O448" s="51">
        <f>J448</f>
        <v>41031</v>
      </c>
      <c r="P448" s="51" t="str">
        <f>C448</f>
        <v>~/cdd/olddocs/CN-QAAS (Aseguranza de calidad)/FORMAS/CNWI-QAAS-F131 Rev. A QMS Assessment.xls</v>
      </c>
      <c r="Q448" s="51" t="str">
        <f>E448</f>
        <v>xls</v>
      </c>
      <c r="R448" s="51"/>
      <c r="S448" s="51"/>
      <c r="T448" s="51"/>
      <c r="U448" s="51"/>
      <c r="V448" s="51"/>
      <c r="W448" s="51"/>
      <c r="X448" s="51"/>
      <c r="Y448" s="51"/>
      <c r="Z448" s="51"/>
      <c r="AA448" s="51"/>
      <c r="AB448" s="51"/>
      <c r="AC448" s="51"/>
      <c r="AD448" s="51"/>
      <c r="AG448" t="s">
        <v>28</v>
      </c>
      <c r="AH448" s="51"/>
      <c r="AI448" s="51"/>
    </row>
    <row r="449" spans="2:35">
      <c r="B449" t="s">
        <v>1857</v>
      </c>
      <c r="C449" t="s">
        <v>3187</v>
      </c>
      <c r="D449">
        <v>5</v>
      </c>
      <c r="E449" t="s">
        <v>2790</v>
      </c>
      <c r="F449">
        <v>9</v>
      </c>
      <c r="I449" t="s">
        <v>1858</v>
      </c>
      <c r="J449" s="51">
        <v>41136</v>
      </c>
      <c r="K449" t="s">
        <v>46</v>
      </c>
      <c r="L449" t="s">
        <v>1584</v>
      </c>
      <c r="M449">
        <v>3</v>
      </c>
      <c r="N449" t="str">
        <f>L449</f>
        <v>NAM\A8070</v>
      </c>
      <c r="O449" s="51">
        <f>J449</f>
        <v>41136</v>
      </c>
      <c r="P449" s="51" t="str">
        <f>C449</f>
        <v>~/cdd/olddocs/Formas/CNWI-QAAS (aseguranza de calidad)/CNWI-QAAS-F134 OOB Solar  First solar .xlsx</v>
      </c>
      <c r="Q449" s="51" t="str">
        <f>E449</f>
        <v>xlsx</v>
      </c>
      <c r="R449" s="51"/>
      <c r="S449" s="51"/>
      <c r="T449" s="51"/>
      <c r="U449" s="51"/>
      <c r="V449" s="51"/>
      <c r="W449" s="51"/>
      <c r="X449" s="51"/>
      <c r="Y449" s="51"/>
      <c r="Z449" s="51"/>
      <c r="AA449" s="51"/>
      <c r="AB449" s="51"/>
      <c r="AC449" s="51"/>
      <c r="AD449" s="51"/>
      <c r="AG449" t="s">
        <v>28</v>
      </c>
      <c r="AH449" s="51"/>
      <c r="AI449" s="51"/>
    </row>
    <row r="450" spans="2:35">
      <c r="B450" t="s">
        <v>1859</v>
      </c>
      <c r="C450" t="s">
        <v>3188</v>
      </c>
      <c r="D450">
        <v>5</v>
      </c>
      <c r="E450" t="s">
        <v>2792</v>
      </c>
      <c r="F450">
        <v>9</v>
      </c>
      <c r="I450" t="s">
        <v>1860</v>
      </c>
      <c r="J450" s="51">
        <v>41086</v>
      </c>
      <c r="K450" t="s">
        <v>27</v>
      </c>
      <c r="L450" t="s">
        <v>1584</v>
      </c>
      <c r="M450">
        <v>3</v>
      </c>
      <c r="N450" t="str">
        <f>L450</f>
        <v>NAM\A8070</v>
      </c>
      <c r="O450" s="51">
        <f>J450</f>
        <v>41086</v>
      </c>
      <c r="P450" s="51" t="str">
        <f>C450</f>
        <v>~/cdd/olddocs/Formas/CNWI-QAAS (aseguranza de calidad)/CNWI-QAAS-F135 Calendario out of box.xls</v>
      </c>
      <c r="Q450" s="51" t="str">
        <f>E450</f>
        <v>xls</v>
      </c>
      <c r="R450" s="51"/>
      <c r="S450" s="51"/>
      <c r="T450" s="51"/>
      <c r="U450" s="51"/>
      <c r="V450" s="51"/>
      <c r="W450" s="51"/>
      <c r="X450" s="51"/>
      <c r="Y450" s="51"/>
      <c r="Z450" s="51"/>
      <c r="AA450" s="51"/>
      <c r="AB450" s="51"/>
      <c r="AC450" s="51"/>
      <c r="AD450" s="51"/>
      <c r="AG450" t="s">
        <v>28</v>
      </c>
      <c r="AH450" s="51"/>
      <c r="AI450" s="51"/>
    </row>
    <row r="451" spans="2:35">
      <c r="B451" t="s">
        <v>2269</v>
      </c>
      <c r="C451" t="s">
        <v>3935</v>
      </c>
      <c r="D451">
        <v>5</v>
      </c>
      <c r="E451" t="s">
        <v>2790</v>
      </c>
      <c r="F451">
        <v>9</v>
      </c>
      <c r="I451" t="s">
        <v>2270</v>
      </c>
      <c r="J451" s="51">
        <v>41106</v>
      </c>
      <c r="K451" t="s">
        <v>27</v>
      </c>
      <c r="L451" t="s">
        <v>2063</v>
      </c>
      <c r="M451">
        <v>3</v>
      </c>
      <c r="N451" t="str">
        <f>L451</f>
        <v>NAM\MB2117</v>
      </c>
      <c r="O451" s="51">
        <f>J451</f>
        <v>41106</v>
      </c>
      <c r="P451" s="51" t="str">
        <f>C451</f>
        <v>~/cdd/olddocs/CN-QAAS (Aseguranza de calidad)/FORMAS/CNWI-QAAS-F136 Rev.A Formato para AMC.xlsx</v>
      </c>
      <c r="Q451" s="51" t="str">
        <f>E451</f>
        <v>xlsx</v>
      </c>
      <c r="R451" s="51"/>
      <c r="S451" s="51"/>
      <c r="T451" s="51"/>
      <c r="U451" s="51"/>
      <c r="V451" s="51"/>
      <c r="W451" s="51"/>
      <c r="X451" s="51"/>
      <c r="Y451" s="51"/>
      <c r="Z451" s="51"/>
      <c r="AA451" s="51"/>
      <c r="AB451" s="51"/>
      <c r="AC451" s="51"/>
      <c r="AD451" s="51"/>
      <c r="AG451" t="s">
        <v>28</v>
      </c>
      <c r="AH451" s="51"/>
      <c r="AI451" s="51"/>
    </row>
    <row r="452" spans="2:35">
      <c r="B452" t="s">
        <v>426</v>
      </c>
      <c r="C452" t="s">
        <v>3366</v>
      </c>
      <c r="D452">
        <v>5</v>
      </c>
      <c r="E452" t="s">
        <v>2791</v>
      </c>
      <c r="F452">
        <v>9</v>
      </c>
      <c r="I452" t="s">
        <v>427</v>
      </c>
      <c r="J452" s="51">
        <v>41106</v>
      </c>
      <c r="K452" t="s">
        <v>27</v>
      </c>
      <c r="L452" t="s">
        <v>222</v>
      </c>
      <c r="M452">
        <v>3</v>
      </c>
      <c r="N452" t="str">
        <f>L452</f>
        <v>NAM\MA9769</v>
      </c>
      <c r="O452" s="51">
        <f>J452</f>
        <v>41106</v>
      </c>
      <c r="P452" s="51" t="str">
        <f>C452</f>
        <v>~/cdd/olddocs/Instructivos/CNWI-QAAS/CNWI-QAAS-041 Rev. A Proceso de auditoria out of box.pdf</v>
      </c>
      <c r="Q452" s="51" t="str">
        <f>E452</f>
        <v>pdf</v>
      </c>
      <c r="R452" s="51"/>
      <c r="S452" s="51"/>
      <c r="T452" s="51"/>
      <c r="U452" s="51"/>
      <c r="V452" s="51"/>
      <c r="W452" s="51"/>
      <c r="X452" s="51"/>
      <c r="Y452" s="51"/>
      <c r="Z452" s="51"/>
      <c r="AA452" s="51"/>
      <c r="AB452" s="51"/>
      <c r="AC452" s="51"/>
      <c r="AD452" s="51"/>
      <c r="AG452" t="s">
        <v>28</v>
      </c>
      <c r="AH452" s="51"/>
      <c r="AI452" s="51"/>
    </row>
    <row r="453" spans="2:35">
      <c r="B453" t="s">
        <v>523</v>
      </c>
      <c r="C453" t="s">
        <v>3889</v>
      </c>
      <c r="D453">
        <v>5</v>
      </c>
      <c r="E453" t="s">
        <v>2790</v>
      </c>
      <c r="F453">
        <v>9</v>
      </c>
      <c r="I453" t="s">
        <v>524</v>
      </c>
      <c r="J453" s="51">
        <v>41110</v>
      </c>
      <c r="K453" t="s">
        <v>27</v>
      </c>
      <c r="L453" t="s">
        <v>520</v>
      </c>
      <c r="M453">
        <v>3</v>
      </c>
      <c r="N453" t="str">
        <f>L453</f>
        <v>NAM\AD508</v>
      </c>
      <c r="O453" s="51">
        <f>J453</f>
        <v>41110</v>
      </c>
      <c r="P453" s="51" t="str">
        <f>C453</f>
        <v>~cdd/olddocs/Formas/CNWI-QAAS (aseguranza de calidad)/CNWI-QAAS-F138 Rev. A  3 UP Nogales form.xlsx</v>
      </c>
      <c r="Q453" s="51" t="str">
        <f>E453</f>
        <v>xlsx</v>
      </c>
      <c r="R453" s="51"/>
      <c r="S453" s="51"/>
      <c r="T453" s="51"/>
      <c r="U453" s="51"/>
      <c r="V453" s="51"/>
      <c r="W453" s="51"/>
      <c r="X453" s="51"/>
      <c r="Y453" s="51"/>
      <c r="Z453" s="51"/>
      <c r="AA453" s="51"/>
      <c r="AB453" s="51"/>
      <c r="AC453" s="51"/>
      <c r="AD453" s="51"/>
      <c r="AG453" t="s">
        <v>28</v>
      </c>
      <c r="AH453" s="51"/>
      <c r="AI453" s="51"/>
    </row>
    <row r="454" spans="2:35">
      <c r="B454" t="s">
        <v>2271</v>
      </c>
      <c r="C454" t="s">
        <v>3189</v>
      </c>
      <c r="D454">
        <v>5</v>
      </c>
      <c r="E454" t="s">
        <v>2791</v>
      </c>
      <c r="F454">
        <v>9</v>
      </c>
      <c r="I454" t="s">
        <v>2272</v>
      </c>
      <c r="J454" s="51">
        <v>41113</v>
      </c>
      <c r="K454" t="s">
        <v>27</v>
      </c>
      <c r="L454" t="s">
        <v>2063</v>
      </c>
      <c r="M454">
        <v>3</v>
      </c>
      <c r="N454" t="str">
        <f>L454</f>
        <v>NAM\MB2117</v>
      </c>
      <c r="O454" s="51">
        <f>J454</f>
        <v>41113</v>
      </c>
      <c r="P454" s="51" t="str">
        <f>C454</f>
        <v>~/cdd/olddocs/Formas/CNWI-QAAS (aseguranza de calidad)/CNWI-QAAS-F139   Formato Functional Test.pdf</v>
      </c>
      <c r="Q454" s="51" t="str">
        <f>E454</f>
        <v>pdf</v>
      </c>
      <c r="R454" s="51"/>
      <c r="S454" s="51"/>
      <c r="T454" s="51"/>
      <c r="U454" s="51"/>
      <c r="V454" s="51"/>
      <c r="W454" s="51"/>
      <c r="X454" s="51"/>
      <c r="Y454" s="51"/>
      <c r="Z454" s="51"/>
      <c r="AA454" s="51"/>
      <c r="AB454" s="51"/>
      <c r="AC454" s="51"/>
      <c r="AD454" s="51"/>
      <c r="AG454" t="s">
        <v>28</v>
      </c>
      <c r="AH454" s="51"/>
      <c r="AI454" s="51"/>
    </row>
    <row r="455" spans="2:35">
      <c r="B455" t="s">
        <v>525</v>
      </c>
      <c r="C455" t="s">
        <v>3190</v>
      </c>
      <c r="D455">
        <v>5</v>
      </c>
      <c r="E455" t="s">
        <v>2790</v>
      </c>
      <c r="F455">
        <v>9</v>
      </c>
      <c r="I455" t="s">
        <v>526</v>
      </c>
      <c r="J455" s="51">
        <v>41131</v>
      </c>
      <c r="K455" t="s">
        <v>27</v>
      </c>
      <c r="L455" t="s">
        <v>520</v>
      </c>
      <c r="M455">
        <v>3</v>
      </c>
      <c r="N455" t="str">
        <f>L455</f>
        <v>NAM\AD508</v>
      </c>
      <c r="O455" s="51">
        <f>J455</f>
        <v>41131</v>
      </c>
      <c r="P455" s="51" t="str">
        <f>C455</f>
        <v>~/cdd/olddocs/Formas/CNWI-QAAS (aseguranza de calidad)/CNWI-QAAS-F143 Rev. A Standard Work Form.xlsx</v>
      </c>
      <c r="Q455" s="51" t="str">
        <f>E455</f>
        <v>xlsx</v>
      </c>
      <c r="R455" s="51"/>
      <c r="S455" s="51"/>
      <c r="T455" s="51"/>
      <c r="U455" s="51"/>
      <c r="V455" s="51"/>
      <c r="W455" s="51"/>
      <c r="X455" s="51"/>
      <c r="Y455" s="51"/>
      <c r="Z455" s="51"/>
      <c r="AA455" s="51"/>
      <c r="AB455" s="51"/>
      <c r="AC455" s="51"/>
      <c r="AD455" s="51"/>
      <c r="AG455" t="s">
        <v>28</v>
      </c>
      <c r="AH455" s="51"/>
      <c r="AI455" s="51"/>
    </row>
    <row r="456" spans="2:35">
      <c r="B456" t="s">
        <v>2273</v>
      </c>
      <c r="C456" t="s">
        <v>3191</v>
      </c>
      <c r="D456">
        <v>5</v>
      </c>
      <c r="E456" t="s">
        <v>2792</v>
      </c>
      <c r="F456">
        <v>9</v>
      </c>
      <c r="I456" t="s">
        <v>2274</v>
      </c>
      <c r="J456" s="51">
        <v>41143</v>
      </c>
      <c r="K456" t="s">
        <v>27</v>
      </c>
      <c r="L456" t="s">
        <v>2063</v>
      </c>
      <c r="M456">
        <v>3</v>
      </c>
      <c r="N456" t="str">
        <f>L456</f>
        <v>NAM\MB2117</v>
      </c>
      <c r="O456" s="51">
        <f>J456</f>
        <v>41143</v>
      </c>
      <c r="P456" s="51" t="str">
        <f>C456</f>
        <v>~/cdd/olddocs/Formas/CNWI-QAAS (aseguranza de calidad)/CNWI-QAAS-F145 BITACORA DE MOLDEO.xls</v>
      </c>
      <c r="Q456" s="51" t="str">
        <f>E456</f>
        <v>xls</v>
      </c>
      <c r="R456" s="51"/>
      <c r="S456" s="51"/>
      <c r="T456" s="51"/>
      <c r="U456" s="51"/>
      <c r="V456" s="51"/>
      <c r="W456" s="51"/>
      <c r="X456" s="51"/>
      <c r="Y456" s="51"/>
      <c r="Z456" s="51"/>
      <c r="AA456" s="51"/>
      <c r="AB456" s="51"/>
      <c r="AC456" s="51"/>
      <c r="AD456" s="51"/>
      <c r="AG456" t="s">
        <v>28</v>
      </c>
      <c r="AH456" s="51"/>
      <c r="AI456" s="51"/>
    </row>
    <row r="457" spans="2:35">
      <c r="B457" t="s">
        <v>2275</v>
      </c>
      <c r="C457" t="s">
        <v>3192</v>
      </c>
      <c r="D457">
        <v>5</v>
      </c>
      <c r="E457" t="s">
        <v>2791</v>
      </c>
      <c r="F457">
        <v>9</v>
      </c>
      <c r="I457" t="s">
        <v>2276</v>
      </c>
      <c r="J457" s="51">
        <v>41151</v>
      </c>
      <c r="K457" t="s">
        <v>27</v>
      </c>
      <c r="L457" t="s">
        <v>2063</v>
      </c>
      <c r="M457">
        <v>3</v>
      </c>
      <c r="N457" t="str">
        <f>L457</f>
        <v>NAM\MB2117</v>
      </c>
      <c r="O457" s="51">
        <f>J457</f>
        <v>41151</v>
      </c>
      <c r="P457" s="51" t="str">
        <f>C457</f>
        <v>~/cdd/olddocs/Formas/CNWI-QAAS (aseguranza de calidad)/CNWI-QAAS-F146  Control de Temperaturas de hornos.pdf</v>
      </c>
      <c r="Q457" s="51" t="str">
        <f>E457</f>
        <v>pdf</v>
      </c>
      <c r="R457" s="51"/>
      <c r="S457" s="51"/>
      <c r="T457" s="51"/>
      <c r="U457" s="51"/>
      <c r="V457" s="51"/>
      <c r="W457" s="51"/>
      <c r="X457" s="51"/>
      <c r="Y457" s="51"/>
      <c r="Z457" s="51"/>
      <c r="AA457" s="51"/>
      <c r="AB457" s="51"/>
      <c r="AC457" s="51"/>
      <c r="AD457" s="51"/>
      <c r="AG457" t="s">
        <v>28</v>
      </c>
      <c r="AH457" s="51"/>
      <c r="AI457" s="51"/>
    </row>
    <row r="458" spans="2:35">
      <c r="B458" t="s">
        <v>428</v>
      </c>
      <c r="C458" t="s">
        <v>3366</v>
      </c>
      <c r="D458">
        <v>5</v>
      </c>
      <c r="E458" t="s">
        <v>2791</v>
      </c>
      <c r="F458">
        <v>9</v>
      </c>
      <c r="I458" t="s">
        <v>429</v>
      </c>
      <c r="J458" s="51">
        <v>41162</v>
      </c>
      <c r="K458" t="s">
        <v>27</v>
      </c>
      <c r="L458" t="s">
        <v>222</v>
      </c>
      <c r="M458">
        <v>3</v>
      </c>
      <c r="N458" t="str">
        <f>L458</f>
        <v>NAM\MA9769</v>
      </c>
      <c r="O458" s="51">
        <f>J458</f>
        <v>41162</v>
      </c>
      <c r="P458" s="51" t="str">
        <f>C458</f>
        <v>~/cdd/olddocs/Instructivos/CNWI-QAAS/CNWI-QAAS-041 Rev. A Proceso de auditoria out of box.pdf</v>
      </c>
      <c r="Q458" s="51" t="str">
        <f>E458</f>
        <v>pdf</v>
      </c>
      <c r="R458" s="51"/>
      <c r="S458" s="51"/>
      <c r="T458" s="51"/>
      <c r="U458" s="51"/>
      <c r="V458" s="51"/>
      <c r="W458" s="51"/>
      <c r="X458" s="51"/>
      <c r="Y458" s="51"/>
      <c r="Z458" s="51"/>
      <c r="AA458" s="51"/>
      <c r="AB458" s="51"/>
      <c r="AC458" s="51"/>
      <c r="AD458" s="51"/>
      <c r="AG458" t="s">
        <v>28</v>
      </c>
      <c r="AH458" s="51"/>
      <c r="AI458" s="51"/>
    </row>
    <row r="459" spans="2:35">
      <c r="B459" t="s">
        <v>430</v>
      </c>
      <c r="C459" t="s">
        <v>3366</v>
      </c>
      <c r="D459">
        <v>5</v>
      </c>
      <c r="E459" t="s">
        <v>2791</v>
      </c>
      <c r="F459">
        <v>9</v>
      </c>
      <c r="I459" t="s">
        <v>431</v>
      </c>
      <c r="J459" s="51">
        <v>41177</v>
      </c>
      <c r="K459" t="s">
        <v>27</v>
      </c>
      <c r="L459" t="s">
        <v>222</v>
      </c>
      <c r="M459">
        <v>3</v>
      </c>
      <c r="N459" t="str">
        <f>L459</f>
        <v>NAM\MA9769</v>
      </c>
      <c r="O459" s="51">
        <f>J459</f>
        <v>41177</v>
      </c>
      <c r="P459" s="51" t="str">
        <f>C459</f>
        <v>~/cdd/olddocs/Instructivos/CNWI-QAAS/CNWI-QAAS-041 Rev. A Proceso de auditoria out of box.pdf</v>
      </c>
      <c r="Q459" s="51" t="str">
        <f>E459</f>
        <v>pdf</v>
      </c>
      <c r="R459" s="51"/>
      <c r="S459" s="51"/>
      <c r="T459" s="51"/>
      <c r="U459" s="51"/>
      <c r="V459" s="51"/>
      <c r="W459" s="51"/>
      <c r="X459" s="51"/>
      <c r="Y459" s="51"/>
      <c r="Z459" s="51"/>
      <c r="AA459" s="51"/>
      <c r="AB459" s="51"/>
      <c r="AC459" s="51"/>
      <c r="AD459" s="51"/>
      <c r="AG459" t="s">
        <v>28</v>
      </c>
      <c r="AH459" s="51"/>
      <c r="AI459" s="51"/>
    </row>
    <row r="460" spans="2:35">
      <c r="B460" t="s">
        <v>1861</v>
      </c>
      <c r="C460" t="s">
        <v>3936</v>
      </c>
      <c r="D460">
        <v>5</v>
      </c>
      <c r="E460" t="s">
        <v>2790</v>
      </c>
      <c r="F460">
        <v>9</v>
      </c>
      <c r="I460" t="s">
        <v>1862</v>
      </c>
      <c r="J460" s="51">
        <v>41179</v>
      </c>
      <c r="K460" t="s">
        <v>27</v>
      </c>
      <c r="L460" t="s">
        <v>1584</v>
      </c>
      <c r="M460">
        <v>3</v>
      </c>
      <c r="N460" t="str">
        <f>L460</f>
        <v>NAM\A8070</v>
      </c>
      <c r="O460" s="51">
        <f>J460</f>
        <v>41179</v>
      </c>
      <c r="P460" s="51" t="str">
        <f>C460</f>
        <v>~/cdd/olddocs/CN-QAAS (Aseguranza de calidad)/FORMAS/CNWI-QAAS-F152  Rev. A TABLA HORACIADORA.xlsx</v>
      </c>
      <c r="Q460" s="51" t="str">
        <f>E460</f>
        <v>xlsx</v>
      </c>
      <c r="R460" s="51"/>
      <c r="S460" s="51"/>
      <c r="T460" s="51"/>
      <c r="U460" s="51"/>
      <c r="V460" s="51"/>
      <c r="W460" s="51"/>
      <c r="X460" s="51"/>
      <c r="Y460" s="51"/>
      <c r="Z460" s="51"/>
      <c r="AA460" s="51"/>
      <c r="AB460" s="51"/>
      <c r="AC460" s="51"/>
      <c r="AD460" s="51"/>
      <c r="AG460" t="s">
        <v>28</v>
      </c>
      <c r="AH460" s="51"/>
      <c r="AI460" s="51"/>
    </row>
    <row r="461" spans="2:35">
      <c r="B461" t="s">
        <v>432</v>
      </c>
      <c r="C461" t="s">
        <v>3366</v>
      </c>
      <c r="D461">
        <v>5</v>
      </c>
      <c r="E461" t="s">
        <v>2791</v>
      </c>
      <c r="F461">
        <v>9</v>
      </c>
      <c r="I461" t="s">
        <v>433</v>
      </c>
      <c r="J461" s="51">
        <v>41179</v>
      </c>
      <c r="K461" t="s">
        <v>27</v>
      </c>
      <c r="L461" t="s">
        <v>222</v>
      </c>
      <c r="M461">
        <v>3</v>
      </c>
      <c r="N461" t="str">
        <f>L461</f>
        <v>NAM\MA9769</v>
      </c>
      <c r="O461" s="51">
        <f>J461</f>
        <v>41179</v>
      </c>
      <c r="P461" s="51" t="str">
        <f>C461</f>
        <v>~/cdd/olddocs/Instructivos/CNWI-QAAS/CNWI-QAAS-041 Rev. A Proceso de auditoria out of box.pdf</v>
      </c>
      <c r="Q461" s="51" t="str">
        <f>E461</f>
        <v>pdf</v>
      </c>
      <c r="R461" s="51"/>
      <c r="S461" s="51"/>
      <c r="T461" s="51"/>
      <c r="U461" s="51"/>
      <c r="V461" s="51"/>
      <c r="W461" s="51"/>
      <c r="X461" s="51"/>
      <c r="Y461" s="51"/>
      <c r="Z461" s="51"/>
      <c r="AA461" s="51"/>
      <c r="AB461" s="51"/>
      <c r="AC461" s="51"/>
      <c r="AD461" s="51"/>
      <c r="AG461" t="s">
        <v>28</v>
      </c>
      <c r="AH461" s="51"/>
      <c r="AI461" s="51"/>
    </row>
    <row r="462" spans="2:35">
      <c r="B462" t="s">
        <v>136</v>
      </c>
      <c r="C462" t="s">
        <v>3367</v>
      </c>
      <c r="D462">
        <v>4</v>
      </c>
      <c r="E462" t="s">
        <v>2791</v>
      </c>
      <c r="F462">
        <v>7</v>
      </c>
      <c r="G462">
        <v>27</v>
      </c>
      <c r="I462" t="s">
        <v>140</v>
      </c>
      <c r="J462" s="51">
        <v>40667</v>
      </c>
      <c r="K462" t="s">
        <v>46</v>
      </c>
      <c r="L462" t="s">
        <v>142</v>
      </c>
      <c r="M462">
        <v>3</v>
      </c>
      <c r="N462" t="str">
        <f>L462</f>
        <v>NAM\MB4290</v>
      </c>
      <c r="O462" s="51">
        <f>J462</f>
        <v>40667</v>
      </c>
      <c r="P462" s="51" t="str">
        <f>C462</f>
        <v>~/cdd/olddocs/Instructivos/CNWI-SHAE/CNWI-SHAE-0001 Control de Accesos.pdf</v>
      </c>
      <c r="Q462" s="51" t="str">
        <f>E462</f>
        <v>pdf</v>
      </c>
      <c r="R462" s="51"/>
      <c r="S462" s="51"/>
      <c r="T462" s="51"/>
      <c r="U462" s="51"/>
      <c r="V462" s="51"/>
      <c r="W462" s="51"/>
      <c r="X462" s="51"/>
      <c r="Y462" s="51"/>
      <c r="Z462" s="51"/>
      <c r="AA462" s="51"/>
      <c r="AB462" s="51"/>
      <c r="AC462" s="51"/>
      <c r="AD462" s="51"/>
      <c r="AG462" t="s">
        <v>28</v>
      </c>
      <c r="AH462" s="51"/>
      <c r="AI462" s="51"/>
    </row>
    <row r="463" spans="2:35">
      <c r="B463" t="s">
        <v>143</v>
      </c>
      <c r="C463" t="s">
        <v>3368</v>
      </c>
      <c r="D463">
        <v>4</v>
      </c>
      <c r="E463" t="s">
        <v>2791</v>
      </c>
      <c r="F463">
        <v>7</v>
      </c>
      <c r="G463">
        <v>27</v>
      </c>
      <c r="I463" t="s">
        <v>144</v>
      </c>
      <c r="J463" s="51">
        <v>40721</v>
      </c>
      <c r="K463" t="s">
        <v>27</v>
      </c>
      <c r="L463" t="s">
        <v>142</v>
      </c>
      <c r="M463">
        <v>3</v>
      </c>
      <c r="N463" t="str">
        <f>L463</f>
        <v>NAM\MB4290</v>
      </c>
      <c r="O463" s="51">
        <f>J463</f>
        <v>40721</v>
      </c>
      <c r="P463" s="51" t="str">
        <f>C463</f>
        <v>~/cdd/olddocs/Instructivos/CNWI-SHAE/CNWI-SHAE-0002 Reglas de seguridad.pdf</v>
      </c>
      <c r="Q463" s="51" t="str">
        <f>E463</f>
        <v>pdf</v>
      </c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G463" t="s">
        <v>28</v>
      </c>
      <c r="AH463" s="51"/>
      <c r="AI463" s="51"/>
    </row>
    <row r="464" spans="2:35">
      <c r="B464" t="s">
        <v>145</v>
      </c>
      <c r="C464" t="s">
        <v>3369</v>
      </c>
      <c r="D464">
        <v>4</v>
      </c>
      <c r="E464" t="s">
        <v>2791</v>
      </c>
      <c r="F464">
        <v>7</v>
      </c>
      <c r="G464">
        <v>27</v>
      </c>
      <c r="I464" t="s">
        <v>146</v>
      </c>
      <c r="J464" s="51">
        <v>40631</v>
      </c>
      <c r="K464" t="s">
        <v>27</v>
      </c>
      <c r="L464" t="s">
        <v>142</v>
      </c>
      <c r="M464">
        <v>3</v>
      </c>
      <c r="N464" t="str">
        <f>L464</f>
        <v>NAM\MB4290</v>
      </c>
      <c r="O464" s="51">
        <f>J464</f>
        <v>40631</v>
      </c>
      <c r="P464" s="51" t="str">
        <f>C464</f>
        <v>~/cdd/olddocs/Instructivos/CNWI-SHAE/CNWI-SHAE-0003 Programa de Seguridad Azul.pdf</v>
      </c>
      <c r="Q464" s="51" t="str">
        <f>E464</f>
        <v>pdf</v>
      </c>
      <c r="R464" s="51"/>
      <c r="S464" s="51"/>
      <c r="T464" s="51"/>
      <c r="U464" s="51"/>
      <c r="V464" s="51"/>
      <c r="W464" s="51"/>
      <c r="X464" s="51"/>
      <c r="Y464" s="51"/>
      <c r="Z464" s="51"/>
      <c r="AA464" s="51"/>
      <c r="AB464" s="51"/>
      <c r="AC464" s="51"/>
      <c r="AD464" s="51"/>
      <c r="AG464" t="s">
        <v>28</v>
      </c>
      <c r="AH464" s="51"/>
      <c r="AI464" s="51"/>
    </row>
    <row r="465" spans="2:35">
      <c r="B465" t="s">
        <v>147</v>
      </c>
      <c r="C465" t="s">
        <v>3370</v>
      </c>
      <c r="D465">
        <v>4</v>
      </c>
      <c r="E465" t="s">
        <v>2791</v>
      </c>
      <c r="F465">
        <v>7</v>
      </c>
      <c r="G465">
        <v>27</v>
      </c>
      <c r="I465" t="s">
        <v>148</v>
      </c>
      <c r="J465" s="51">
        <v>40630</v>
      </c>
      <c r="K465" t="s">
        <v>27</v>
      </c>
      <c r="L465" t="s">
        <v>142</v>
      </c>
      <c r="M465">
        <v>3</v>
      </c>
      <c r="N465" t="str">
        <f>L465</f>
        <v>NAM\MB4290</v>
      </c>
      <c r="O465" s="51">
        <f>J465</f>
        <v>40630</v>
      </c>
      <c r="P465" s="51" t="str">
        <f>C465</f>
        <v>~/cdd/olddocs/Instructivos/CNWI-SHAE/CNWI-SHAE-0004 Infraestructura y Ambiente de Trabajo.pdf</v>
      </c>
      <c r="Q465" s="51" t="str">
        <f>E465</f>
        <v>pdf</v>
      </c>
      <c r="R465" s="51"/>
      <c r="S465" s="51"/>
      <c r="T465" s="51"/>
      <c r="U465" s="51"/>
      <c r="V465" s="51"/>
      <c r="W465" s="51"/>
      <c r="X465" s="51"/>
      <c r="Y465" s="51"/>
      <c r="Z465" s="51"/>
      <c r="AA465" s="51"/>
      <c r="AB465" s="51"/>
      <c r="AC465" s="51"/>
      <c r="AD465" s="51"/>
      <c r="AG465" t="s">
        <v>28</v>
      </c>
      <c r="AH465" s="51"/>
      <c r="AI465" s="51"/>
    </row>
    <row r="466" spans="2:35">
      <c r="B466" t="s">
        <v>149</v>
      </c>
      <c r="C466" t="s">
        <v>3945</v>
      </c>
      <c r="D466">
        <v>4</v>
      </c>
      <c r="E466" t="s">
        <v>2797</v>
      </c>
      <c r="F466">
        <v>7</v>
      </c>
      <c r="G466">
        <v>27</v>
      </c>
      <c r="I466" t="s">
        <v>150</v>
      </c>
      <c r="J466" s="51">
        <v>41117</v>
      </c>
      <c r="K466" t="s">
        <v>27</v>
      </c>
      <c r="L466" t="s">
        <v>142</v>
      </c>
      <c r="M466">
        <v>3</v>
      </c>
      <c r="N466" t="str">
        <f>L466</f>
        <v>NAM\MB4290</v>
      </c>
      <c r="O466" s="51">
        <f>J466</f>
        <v>41117</v>
      </c>
      <c r="P466" s="51" t="str">
        <f>C466</f>
        <v>~/cdd/olddocs/CN-SHAE (Seguridad e higiene y medio ambiente)/WI/CNWI-SHAE-0005 Mantenimiento y Limpieza de Rampa 9.docx</v>
      </c>
      <c r="Q466" s="51" t="str">
        <f>E466</f>
        <v>docx</v>
      </c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G466" t="s">
        <v>28</v>
      </c>
      <c r="AH466" s="51"/>
      <c r="AI466" s="51"/>
    </row>
    <row r="467" spans="2:35">
      <c r="B467" t="s">
        <v>151</v>
      </c>
      <c r="C467" t="s">
        <v>3371</v>
      </c>
      <c r="D467">
        <v>4</v>
      </c>
      <c r="E467" t="s">
        <v>2791</v>
      </c>
      <c r="F467">
        <v>7</v>
      </c>
      <c r="G467">
        <v>27</v>
      </c>
      <c r="I467" t="s">
        <v>152</v>
      </c>
      <c r="J467" s="51">
        <v>40928</v>
      </c>
      <c r="K467" t="s">
        <v>27</v>
      </c>
      <c r="L467" t="s">
        <v>142</v>
      </c>
      <c r="M467">
        <v>3</v>
      </c>
      <c r="N467" t="str">
        <f>L467</f>
        <v>NAM\MB4290</v>
      </c>
      <c r="O467" s="51">
        <f>J467</f>
        <v>40928</v>
      </c>
      <c r="P467" s="51" t="str">
        <f>C467</f>
        <v>~/cdd/olddocs/Instructivos/CNWI-SHAE/CNWI-SHAE-0006 Plan de contingencia.pdf</v>
      </c>
      <c r="Q467" s="51" t="str">
        <f>E467</f>
        <v>pdf</v>
      </c>
      <c r="R467" s="51"/>
      <c r="S467" s="51"/>
      <c r="T467" s="51"/>
      <c r="U467" s="51"/>
      <c r="V467" s="51"/>
      <c r="W467" s="51"/>
      <c r="X467" s="51"/>
      <c r="Y467" s="51"/>
      <c r="Z467" s="51"/>
      <c r="AA467" s="51"/>
      <c r="AB467" s="51"/>
      <c r="AC467" s="51"/>
      <c r="AD467" s="51"/>
      <c r="AG467" t="s">
        <v>28</v>
      </c>
      <c r="AH467" s="51"/>
      <c r="AI467" s="51"/>
    </row>
    <row r="468" spans="2:35">
      <c r="B468" t="s">
        <v>153</v>
      </c>
      <c r="C468" t="s">
        <v>3372</v>
      </c>
      <c r="D468">
        <v>4</v>
      </c>
      <c r="E468" t="s">
        <v>2791</v>
      </c>
      <c r="F468">
        <v>7</v>
      </c>
      <c r="G468">
        <v>27</v>
      </c>
      <c r="I468" t="s">
        <v>154</v>
      </c>
      <c r="J468" s="51">
        <v>40931</v>
      </c>
      <c r="K468" t="s">
        <v>27</v>
      </c>
      <c r="L468" t="s">
        <v>142</v>
      </c>
      <c r="M468">
        <v>3</v>
      </c>
      <c r="N468" t="str">
        <f>L468</f>
        <v>NAM\MB4290</v>
      </c>
      <c r="O468" s="51">
        <f>J468</f>
        <v>40931</v>
      </c>
      <c r="P468" s="51" t="str">
        <f>C468</f>
        <v>~/cdd/olddocs/Instructivos/CNWI-SHAE/CNWI-SHAE-0007 Comunicacion de riesgos.pdf</v>
      </c>
      <c r="Q468" s="51" t="str">
        <f>E468</f>
        <v>pdf</v>
      </c>
      <c r="R468" s="51"/>
      <c r="S468" s="51"/>
      <c r="T468" s="51"/>
      <c r="U468" s="51"/>
      <c r="V468" s="51"/>
      <c r="W468" s="51"/>
      <c r="X468" s="51"/>
      <c r="Y468" s="51"/>
      <c r="Z468" s="51"/>
      <c r="AA468" s="51"/>
      <c r="AB468" s="51"/>
      <c r="AC468" s="51"/>
      <c r="AD468" s="51"/>
      <c r="AG468" t="s">
        <v>28</v>
      </c>
      <c r="AH468" s="51"/>
      <c r="AI468" s="51"/>
    </row>
    <row r="469" spans="2:35">
      <c r="B469" t="s">
        <v>155</v>
      </c>
      <c r="C469" t="s">
        <v>3373</v>
      </c>
      <c r="D469">
        <v>4</v>
      </c>
      <c r="E469" t="s">
        <v>2791</v>
      </c>
      <c r="F469">
        <v>7</v>
      </c>
      <c r="G469">
        <v>27</v>
      </c>
      <c r="I469" t="s">
        <v>156</v>
      </c>
      <c r="J469" s="51">
        <v>40939</v>
      </c>
      <c r="K469" t="s">
        <v>27</v>
      </c>
      <c r="L469" t="s">
        <v>142</v>
      </c>
      <c r="M469">
        <v>3</v>
      </c>
      <c r="N469" t="str">
        <f>L469</f>
        <v>NAM\MB4290</v>
      </c>
      <c r="O469" s="51">
        <f>J469</f>
        <v>40939</v>
      </c>
      <c r="P469" s="51" t="str">
        <f>C469</f>
        <v>~/cdd/olddocs/Instructivos/CNWI-SHAE/CNWI-SHAE-0008 Procedimiento FOD (eliminación de objetos extraños).pdf</v>
      </c>
      <c r="Q469" s="51" t="str">
        <f>E469</f>
        <v>pdf</v>
      </c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G469" t="s">
        <v>28</v>
      </c>
      <c r="AH469" s="51"/>
      <c r="AI469" s="51"/>
    </row>
    <row r="470" spans="2:35">
      <c r="B470" t="s">
        <v>157</v>
      </c>
      <c r="C470" t="s">
        <v>3199</v>
      </c>
      <c r="D470">
        <v>5</v>
      </c>
      <c r="E470" t="s">
        <v>2792</v>
      </c>
      <c r="F470">
        <v>7</v>
      </c>
      <c r="G470">
        <v>27</v>
      </c>
      <c r="I470" t="s">
        <v>158</v>
      </c>
      <c r="J470" s="51">
        <v>40560</v>
      </c>
      <c r="K470" t="s">
        <v>159</v>
      </c>
      <c r="L470" t="s">
        <v>142</v>
      </c>
      <c r="M470">
        <v>3</v>
      </c>
      <c r="N470" t="str">
        <f>L470</f>
        <v>NAM\MB4290</v>
      </c>
      <c r="O470" s="51">
        <f>J470</f>
        <v>40560</v>
      </c>
      <c r="P470" s="51" t="str">
        <f>C470</f>
        <v>~/cdd/olddocs/Formas/CNWI-SHAE (Seguridad e higiene y medio ambiente)/CNWI-SHAE-F001 Formato de Evaluacion 5s.xls</v>
      </c>
      <c r="Q470" s="51" t="str">
        <f>E470</f>
        <v>xls</v>
      </c>
      <c r="R470" s="51"/>
      <c r="S470" s="51"/>
      <c r="T470" s="51"/>
      <c r="U470" s="51"/>
      <c r="V470" s="51"/>
      <c r="W470" s="51"/>
      <c r="X470" s="51"/>
      <c r="Y470" s="51"/>
      <c r="Z470" s="51"/>
      <c r="AA470" s="51"/>
      <c r="AB470" s="51"/>
      <c r="AC470" s="51"/>
      <c r="AD470" s="51"/>
      <c r="AG470" t="s">
        <v>28</v>
      </c>
      <c r="AH470" s="51"/>
      <c r="AI470" s="51"/>
    </row>
    <row r="471" spans="2:35">
      <c r="B471" t="s">
        <v>160</v>
      </c>
      <c r="C471" t="s">
        <v>3200</v>
      </c>
      <c r="D471">
        <v>5</v>
      </c>
      <c r="E471" t="s">
        <v>2792</v>
      </c>
      <c r="F471">
        <v>7</v>
      </c>
      <c r="G471">
        <v>27</v>
      </c>
      <c r="I471" t="s">
        <v>161</v>
      </c>
      <c r="J471" s="51">
        <v>40604</v>
      </c>
      <c r="K471" t="s">
        <v>27</v>
      </c>
      <c r="L471" t="s">
        <v>142</v>
      </c>
      <c r="M471">
        <v>3</v>
      </c>
      <c r="N471" t="str">
        <f>L471</f>
        <v>NAM\MB4290</v>
      </c>
      <c r="O471" s="51">
        <f>J471</f>
        <v>40604</v>
      </c>
      <c r="P471" s="51" t="str">
        <f>C471</f>
        <v>~/cdd/olddocs/Formas/CNWI-SHAE (Seguridad e higiene y medio ambiente)/CNWI-SHAE-F002 orden de trabajo planta .xls</v>
      </c>
      <c r="Q471" s="51" t="str">
        <f>E471</f>
        <v>xls</v>
      </c>
      <c r="R471" s="51"/>
      <c r="S471" s="51"/>
      <c r="T471" s="51"/>
      <c r="U471" s="51"/>
      <c r="V471" s="51"/>
      <c r="W471" s="51"/>
      <c r="X471" s="51"/>
      <c r="Y471" s="51"/>
      <c r="Z471" s="51"/>
      <c r="AA471" s="51"/>
      <c r="AB471" s="51"/>
      <c r="AC471" s="51"/>
      <c r="AD471" s="51"/>
      <c r="AG471" t="s">
        <v>28</v>
      </c>
      <c r="AH471" s="51"/>
      <c r="AI471" s="51"/>
    </row>
    <row r="472" spans="2:35">
      <c r="B472" t="s">
        <v>162</v>
      </c>
      <c r="C472" t="s">
        <v>3201</v>
      </c>
      <c r="D472">
        <v>5</v>
      </c>
      <c r="E472" t="s">
        <v>2792</v>
      </c>
      <c r="F472">
        <v>7</v>
      </c>
      <c r="G472">
        <v>27</v>
      </c>
      <c r="I472" t="s">
        <v>163</v>
      </c>
      <c r="J472" s="51">
        <v>40604</v>
      </c>
      <c r="K472" t="s">
        <v>27</v>
      </c>
      <c r="L472" t="s">
        <v>142</v>
      </c>
      <c r="M472">
        <v>3</v>
      </c>
      <c r="N472" t="str">
        <f>L472</f>
        <v>NAM\MB4290</v>
      </c>
      <c r="O472" s="51">
        <f>J472</f>
        <v>40604</v>
      </c>
      <c r="P472" s="51" t="str">
        <f>C472</f>
        <v>~/cdd/olddocs/Formas/CNWI-SHAE (Seguridad e higiene y medio ambiente)/CNWI-SHAE-F003 Registro de visitantes .xls</v>
      </c>
      <c r="Q472" s="51" t="str">
        <f>E472</f>
        <v>xls</v>
      </c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G472" t="s">
        <v>28</v>
      </c>
      <c r="AH472" s="51"/>
      <c r="AI472" s="51"/>
    </row>
    <row r="473" spans="2:35">
      <c r="B473" t="s">
        <v>164</v>
      </c>
      <c r="C473" t="s">
        <v>3202</v>
      </c>
      <c r="D473">
        <v>5</v>
      </c>
      <c r="E473" t="s">
        <v>2792</v>
      </c>
      <c r="F473">
        <v>7</v>
      </c>
      <c r="G473">
        <v>27</v>
      </c>
      <c r="I473" t="s">
        <v>165</v>
      </c>
      <c r="J473" s="51">
        <v>40604</v>
      </c>
      <c r="K473" t="s">
        <v>27</v>
      </c>
      <c r="L473" t="s">
        <v>142</v>
      </c>
      <c r="M473">
        <v>3</v>
      </c>
      <c r="N473" t="str">
        <f>L473</f>
        <v>NAM\MB4290</v>
      </c>
      <c r="O473" s="51">
        <f>J473</f>
        <v>40604</v>
      </c>
      <c r="P473" s="51" t="str">
        <f>C473</f>
        <v>~/cdd/olddocs/Formas/CNWI-SHAE (Seguridad e higiene y medio ambiente)/CNWI-SHAE-F004 control de entradas y salidas contratistas .xls</v>
      </c>
      <c r="Q473" s="51" t="str">
        <f>E473</f>
        <v>xls</v>
      </c>
      <c r="R473" s="51"/>
      <c r="S473" s="51"/>
      <c r="T473" s="51"/>
      <c r="U473" s="51"/>
      <c r="V473" s="51"/>
      <c r="W473" s="51"/>
      <c r="X473" s="51"/>
      <c r="Y473" s="51"/>
      <c r="Z473" s="51"/>
      <c r="AA473" s="51"/>
      <c r="AB473" s="51"/>
      <c r="AC473" s="51"/>
      <c r="AD473" s="51"/>
      <c r="AG473" t="s">
        <v>28</v>
      </c>
      <c r="AH473" s="51"/>
      <c r="AI473" s="51"/>
    </row>
    <row r="474" spans="2:35">
      <c r="B474" t="s">
        <v>166</v>
      </c>
      <c r="C474" t="s">
        <v>3203</v>
      </c>
      <c r="D474">
        <v>5</v>
      </c>
      <c r="E474" t="s">
        <v>2792</v>
      </c>
      <c r="F474">
        <v>7</v>
      </c>
      <c r="G474">
        <v>27</v>
      </c>
      <c r="I474" t="s">
        <v>167</v>
      </c>
      <c r="J474" s="51">
        <v>40604</v>
      </c>
      <c r="K474" t="s">
        <v>27</v>
      </c>
      <c r="L474" t="s">
        <v>142</v>
      </c>
      <c r="M474">
        <v>3</v>
      </c>
      <c r="N474" t="str">
        <f>L474</f>
        <v>NAM\MB4290</v>
      </c>
      <c r="O474" s="51">
        <f>J474</f>
        <v>40604</v>
      </c>
      <c r="P474" s="51" t="str">
        <f>C474</f>
        <v>~/cdd/olddocs/Formas/CNWI-SHAE (Seguridad e higiene y medio ambiente)/CNWI-SHAE-F005 control de entra y salida de herramienta .xls</v>
      </c>
      <c r="Q474" s="51" t="str">
        <f>E474</f>
        <v>xls</v>
      </c>
      <c r="R474" s="51"/>
      <c r="S474" s="51"/>
      <c r="T474" s="51"/>
      <c r="U474" s="51"/>
      <c r="V474" s="51"/>
      <c r="W474" s="51"/>
      <c r="X474" s="51"/>
      <c r="Y474" s="51"/>
      <c r="Z474" s="51"/>
      <c r="AA474" s="51"/>
      <c r="AB474" s="51"/>
      <c r="AC474" s="51"/>
      <c r="AD474" s="51"/>
      <c r="AG474" t="s">
        <v>28</v>
      </c>
      <c r="AH474" s="51"/>
      <c r="AI474" s="51"/>
    </row>
    <row r="475" spans="2:35">
      <c r="B475" t="s">
        <v>168</v>
      </c>
      <c r="C475" t="s">
        <v>3204</v>
      </c>
      <c r="D475">
        <v>5</v>
      </c>
      <c r="E475" t="s">
        <v>2792</v>
      </c>
      <c r="F475">
        <v>7</v>
      </c>
      <c r="G475">
        <v>27</v>
      </c>
      <c r="I475" t="s">
        <v>169</v>
      </c>
      <c r="J475" s="51">
        <v>40617</v>
      </c>
      <c r="K475" t="s">
        <v>27</v>
      </c>
      <c r="L475" t="s">
        <v>142</v>
      </c>
      <c r="M475">
        <v>3</v>
      </c>
      <c r="N475" t="str">
        <f>L475</f>
        <v>NAM\MB4290</v>
      </c>
      <c r="O475" s="51">
        <f>J475</f>
        <v>40617</v>
      </c>
      <c r="P475" s="51" t="str">
        <f>C475</f>
        <v>~/cdd/olddocs/Formas/CNWI-SHAE (Seguridad e higiene y medio ambiente)/CNWI-SHAE-F006 Safety Cross.xls</v>
      </c>
      <c r="Q475" s="51" t="str">
        <f>E475</f>
        <v>xls</v>
      </c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G475" t="s">
        <v>28</v>
      </c>
      <c r="AH475" s="51"/>
      <c r="AI475" s="51"/>
    </row>
    <row r="476" spans="2:35">
      <c r="B476" t="s">
        <v>170</v>
      </c>
      <c r="C476" t="s">
        <v>3205</v>
      </c>
      <c r="D476">
        <v>5</v>
      </c>
      <c r="E476" t="s">
        <v>2792</v>
      </c>
      <c r="F476">
        <v>7</v>
      </c>
      <c r="G476">
        <v>27</v>
      </c>
      <c r="I476" t="s">
        <v>172</v>
      </c>
      <c r="J476" s="51">
        <v>40617</v>
      </c>
      <c r="K476" t="s">
        <v>27</v>
      </c>
      <c r="L476" t="s">
        <v>142</v>
      </c>
      <c r="M476">
        <v>3</v>
      </c>
      <c r="N476" t="str">
        <f>L476</f>
        <v>NAM\MB4290</v>
      </c>
      <c r="O476" s="51">
        <f>J476</f>
        <v>40617</v>
      </c>
      <c r="P476" s="51" t="str">
        <f>C476</f>
        <v>~/cdd/olddocs/Formas/CNWI-SHAE (Seguridad e higiene y medio ambiente)/CNWI-SHAE-F007 Tarjeta de hallazgo.xls</v>
      </c>
      <c r="Q476" s="51" t="str">
        <f>E476</f>
        <v>xls</v>
      </c>
      <c r="R476" s="51"/>
      <c r="S476" s="51"/>
      <c r="T476" s="51"/>
      <c r="U476" s="51"/>
      <c r="V476" s="51"/>
      <c r="W476" s="51"/>
      <c r="X476" s="51"/>
      <c r="Y476" s="51"/>
      <c r="Z476" s="51"/>
      <c r="AA476" s="51"/>
      <c r="AB476" s="51"/>
      <c r="AC476" s="51"/>
      <c r="AD476" s="51"/>
      <c r="AG476" t="s">
        <v>28</v>
      </c>
      <c r="AH476" s="51"/>
      <c r="AI476" s="51"/>
    </row>
    <row r="477" spans="2:35">
      <c r="B477" t="s">
        <v>173</v>
      </c>
      <c r="C477" t="s">
        <v>3206</v>
      </c>
      <c r="D477">
        <v>5</v>
      </c>
      <c r="E477" t="s">
        <v>2794</v>
      </c>
      <c r="F477">
        <v>7</v>
      </c>
      <c r="G477">
        <v>27</v>
      </c>
      <c r="I477" t="s">
        <v>174</v>
      </c>
      <c r="J477" s="51">
        <v>40620</v>
      </c>
      <c r="K477" t="s">
        <v>27</v>
      </c>
      <c r="L477" t="s">
        <v>142</v>
      </c>
      <c r="M477">
        <v>3</v>
      </c>
      <c r="N477" t="str">
        <f>L477</f>
        <v>NAM\MB4290</v>
      </c>
      <c r="O477" s="51">
        <f>J477</f>
        <v>40620</v>
      </c>
      <c r="P477" s="51" t="str">
        <f>C477</f>
        <v>~/cdd/olddocs/Formas/CNWI-SHAE (Seguridad e higiene y medio ambiente)/CNWI-SHAE-F008 Formato de aprobación de quimico nuevo.doc</v>
      </c>
      <c r="Q477" s="51" t="str">
        <f>E477</f>
        <v>doc</v>
      </c>
      <c r="R477" s="51"/>
      <c r="S477" s="51"/>
      <c r="T477" s="51"/>
      <c r="U477" s="51"/>
      <c r="V477" s="51"/>
      <c r="W477" s="51"/>
      <c r="X477" s="51"/>
      <c r="Y477" s="51"/>
      <c r="Z477" s="51"/>
      <c r="AA477" s="51"/>
      <c r="AB477" s="51"/>
      <c r="AC477" s="51"/>
      <c r="AD477" s="51"/>
      <c r="AG477" t="s">
        <v>28</v>
      </c>
      <c r="AH477" s="51"/>
      <c r="AI477" s="51"/>
    </row>
    <row r="478" spans="2:35">
      <c r="B478" t="s">
        <v>175</v>
      </c>
      <c r="C478" t="s">
        <v>3207</v>
      </c>
      <c r="D478">
        <v>5</v>
      </c>
      <c r="E478" t="s">
        <v>2794</v>
      </c>
      <c r="F478">
        <v>7</v>
      </c>
      <c r="G478">
        <v>27</v>
      </c>
      <c r="I478" t="s">
        <v>176</v>
      </c>
      <c r="J478" s="51">
        <v>40655</v>
      </c>
      <c r="K478" t="s">
        <v>27</v>
      </c>
      <c r="L478" t="s">
        <v>142</v>
      </c>
      <c r="M478">
        <v>3</v>
      </c>
      <c r="N478" t="str">
        <f>L478</f>
        <v>NAM\MB4290</v>
      </c>
      <c r="O478" s="51">
        <f>J478</f>
        <v>40655</v>
      </c>
      <c r="P478" s="51" t="str">
        <f>C478</f>
        <v>~/cdd/olddocs/Formas/CNWI-SHAE (Seguridad e higiene y medio ambiente)/CNWI-SHAE-F009 Formato AST.doc</v>
      </c>
      <c r="Q478" s="51" t="str">
        <f>E478</f>
        <v>doc</v>
      </c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G478" t="s">
        <v>28</v>
      </c>
      <c r="AH478" s="51"/>
      <c r="AI478" s="51"/>
    </row>
    <row r="479" spans="2:35">
      <c r="B479" t="s">
        <v>177</v>
      </c>
      <c r="C479" t="s">
        <v>3208</v>
      </c>
      <c r="D479">
        <v>5</v>
      </c>
      <c r="E479" t="s">
        <v>2798</v>
      </c>
      <c r="F479">
        <v>7</v>
      </c>
      <c r="G479">
        <v>27</v>
      </c>
      <c r="I479" t="s">
        <v>179</v>
      </c>
      <c r="J479" s="51">
        <v>40689</v>
      </c>
      <c r="K479" t="s">
        <v>27</v>
      </c>
      <c r="L479" t="s">
        <v>142</v>
      </c>
      <c r="M479">
        <v>3</v>
      </c>
      <c r="N479" t="str">
        <f>L479</f>
        <v>NAM\MB4290</v>
      </c>
      <c r="O479" s="51">
        <f>J479</f>
        <v>40689</v>
      </c>
      <c r="P479" s="51" t="str">
        <f>C479</f>
        <v>~/cdd/olddocs/Formas/CNWI-SHAE (Seguridad e higiene y medio ambiente)/CNWI-SHAE-F010 Checklist de Montacarga.XLS</v>
      </c>
      <c r="Q479" s="51" t="str">
        <f>E479</f>
        <v>XLS</v>
      </c>
      <c r="R479" s="51"/>
      <c r="S479" s="51"/>
      <c r="T479" s="51"/>
      <c r="U479" s="51"/>
      <c r="V479" s="51"/>
      <c r="W479" s="51"/>
      <c r="X479" s="51"/>
      <c r="Y479" s="51"/>
      <c r="Z479" s="51"/>
      <c r="AA479" s="51"/>
      <c r="AB479" s="51"/>
      <c r="AC479" s="51"/>
      <c r="AD479" s="51"/>
      <c r="AG479" t="s">
        <v>28</v>
      </c>
      <c r="AH479" s="51"/>
      <c r="AI479" s="51"/>
    </row>
    <row r="480" spans="2:35">
      <c r="B480" t="s">
        <v>180</v>
      </c>
      <c r="C480" t="s">
        <v>3209</v>
      </c>
      <c r="D480">
        <v>5</v>
      </c>
      <c r="E480" t="s">
        <v>2792</v>
      </c>
      <c r="F480">
        <v>7</v>
      </c>
      <c r="G480">
        <v>27</v>
      </c>
      <c r="I480" t="s">
        <v>181</v>
      </c>
      <c r="J480" s="51">
        <v>40689</v>
      </c>
      <c r="K480" t="s">
        <v>27</v>
      </c>
      <c r="L480" t="s">
        <v>142</v>
      </c>
      <c r="M480">
        <v>3</v>
      </c>
      <c r="N480" t="str">
        <f>L480</f>
        <v>NAM\MB4290</v>
      </c>
      <c r="O480" s="51">
        <f>J480</f>
        <v>40689</v>
      </c>
      <c r="P480" s="51" t="str">
        <f>C480</f>
        <v>~/cdd/olddocs/Formas/CNWI-SHAE (Seguridad e higiene y medio ambiente)/CNWI-SHAE-F011 Desviación EPP.xls</v>
      </c>
      <c r="Q480" s="51" t="str">
        <f>E480</f>
        <v>xls</v>
      </c>
      <c r="R480" s="51"/>
      <c r="S480" s="51"/>
      <c r="T480" s="51"/>
      <c r="U480" s="51"/>
      <c r="V480" s="51"/>
      <c r="W480" s="51"/>
      <c r="X480" s="51"/>
      <c r="Y480" s="51"/>
      <c r="Z480" s="51"/>
      <c r="AA480" s="51"/>
      <c r="AB480" s="51"/>
      <c r="AC480" s="51"/>
      <c r="AD480" s="51"/>
      <c r="AG480" t="s">
        <v>28</v>
      </c>
      <c r="AH480" s="51"/>
      <c r="AI480" s="51"/>
    </row>
    <row r="481" spans="2:35">
      <c r="B481" t="s">
        <v>182</v>
      </c>
      <c r="C481" t="s">
        <v>3210</v>
      </c>
      <c r="D481">
        <v>5</v>
      </c>
      <c r="E481" t="s">
        <v>2792</v>
      </c>
      <c r="F481">
        <v>7</v>
      </c>
      <c r="G481">
        <v>27</v>
      </c>
      <c r="I481" t="s">
        <v>184</v>
      </c>
      <c r="J481" s="51">
        <v>40689</v>
      </c>
      <c r="K481" t="s">
        <v>27</v>
      </c>
      <c r="L481" t="s">
        <v>142</v>
      </c>
      <c r="M481">
        <v>3</v>
      </c>
      <c r="N481" t="str">
        <f>L481</f>
        <v>NAM\MB4290</v>
      </c>
      <c r="O481" s="51">
        <f>J481</f>
        <v>40689</v>
      </c>
      <c r="P481" s="51" t="str">
        <f>C481</f>
        <v>~/cdd/olddocs/Formas/CNWI-SHAE (Seguridad e higiene y medio ambiente)/CNWI-SHAE-F012 Permiso para trabajos en alturas.xls</v>
      </c>
      <c r="Q481" s="51" t="str">
        <f>E481</f>
        <v>xls</v>
      </c>
      <c r="R481" s="51"/>
      <c r="S481" s="51"/>
      <c r="T481" s="51"/>
      <c r="U481" s="51"/>
      <c r="V481" s="51"/>
      <c r="W481" s="51"/>
      <c r="X481" s="51"/>
      <c r="Y481" s="51"/>
      <c r="Z481" s="51"/>
      <c r="AA481" s="51"/>
      <c r="AB481" s="51"/>
      <c r="AC481" s="51"/>
      <c r="AD481" s="51"/>
      <c r="AG481" t="s">
        <v>28</v>
      </c>
      <c r="AH481" s="51"/>
      <c r="AI481" s="51"/>
    </row>
    <row r="482" spans="2:35">
      <c r="B482" t="s">
        <v>185</v>
      </c>
      <c r="C482" t="s">
        <v>3211</v>
      </c>
      <c r="D482">
        <v>5</v>
      </c>
      <c r="E482" t="s">
        <v>2792</v>
      </c>
      <c r="F482">
        <v>7</v>
      </c>
      <c r="G482">
        <v>27</v>
      </c>
      <c r="I482" t="s">
        <v>186</v>
      </c>
      <c r="J482" s="51">
        <v>40689</v>
      </c>
      <c r="K482" t="s">
        <v>27</v>
      </c>
      <c r="L482" t="s">
        <v>142</v>
      </c>
      <c r="M482">
        <v>3</v>
      </c>
      <c r="N482" t="str">
        <f>L482</f>
        <v>NAM\MB4290</v>
      </c>
      <c r="O482" s="51">
        <f>J482</f>
        <v>40689</v>
      </c>
      <c r="P482" s="51" t="str">
        <f>C482</f>
        <v>~/cdd/olddocs/Formas/CNWI-SHAE (Seguridad e higiene y medio ambiente)/CNWI-SHAE-F013 CONTACTO PERSONAL.xls</v>
      </c>
      <c r="Q482" s="51" t="str">
        <f>E482</f>
        <v>xls</v>
      </c>
      <c r="R482" s="51"/>
      <c r="S482" s="51"/>
      <c r="T482" s="51"/>
      <c r="U482" s="51"/>
      <c r="V482" s="51"/>
      <c r="W482" s="51"/>
      <c r="X482" s="51"/>
      <c r="Y482" s="51"/>
      <c r="Z482" s="51"/>
      <c r="AA482" s="51"/>
      <c r="AB482" s="51"/>
      <c r="AC482" s="51"/>
      <c r="AD482" s="51"/>
      <c r="AG482" t="s">
        <v>28</v>
      </c>
      <c r="AH482" s="51"/>
      <c r="AI482" s="51"/>
    </row>
    <row r="483" spans="2:35">
      <c r="B483" t="s">
        <v>187</v>
      </c>
      <c r="C483" t="s">
        <v>3212</v>
      </c>
      <c r="D483">
        <v>5</v>
      </c>
      <c r="E483" t="s">
        <v>2792</v>
      </c>
      <c r="F483">
        <v>7</v>
      </c>
      <c r="G483">
        <v>27</v>
      </c>
      <c r="I483" t="s">
        <v>188</v>
      </c>
      <c r="J483" s="51">
        <v>40689</v>
      </c>
      <c r="K483" t="s">
        <v>27</v>
      </c>
      <c r="L483" t="s">
        <v>142</v>
      </c>
      <c r="M483">
        <v>3</v>
      </c>
      <c r="N483" t="str">
        <f>L483</f>
        <v>NAM\MB4290</v>
      </c>
      <c r="O483" s="51">
        <f>J483</f>
        <v>40689</v>
      </c>
      <c r="P483" s="51" t="str">
        <f>C483</f>
        <v>~/cdd/olddocs/Formas/CNWI-SHAE (Seguridad e higiene y medio ambiente)/CNWI-SHAE-F014 VALE DE DESCUENTO POR NÓMINA.xls</v>
      </c>
      <c r="Q483" s="51" t="str">
        <f>E483</f>
        <v>xls</v>
      </c>
      <c r="R483" s="51"/>
      <c r="S483" s="51"/>
      <c r="T483" s="51"/>
      <c r="U483" s="51"/>
      <c r="V483" s="51"/>
      <c r="W483" s="51"/>
      <c r="X483" s="51"/>
      <c r="Y483" s="51"/>
      <c r="Z483" s="51"/>
      <c r="AA483" s="51"/>
      <c r="AB483" s="51"/>
      <c r="AC483" s="51"/>
      <c r="AD483" s="51"/>
      <c r="AG483" t="s">
        <v>28</v>
      </c>
      <c r="AH483" s="51"/>
      <c r="AI483" s="51"/>
    </row>
    <row r="484" spans="2:35">
      <c r="B484" t="s">
        <v>189</v>
      </c>
      <c r="C484" t="s">
        <v>3213</v>
      </c>
      <c r="D484">
        <v>5</v>
      </c>
      <c r="E484" t="s">
        <v>2794</v>
      </c>
      <c r="F484">
        <v>7</v>
      </c>
      <c r="G484">
        <v>27</v>
      </c>
      <c r="I484" t="s">
        <v>190</v>
      </c>
      <c r="J484" s="51">
        <v>40689</v>
      </c>
      <c r="K484" t="s">
        <v>27</v>
      </c>
      <c r="L484" t="s">
        <v>142</v>
      </c>
      <c r="M484">
        <v>3</v>
      </c>
      <c r="N484" t="str">
        <f>L484</f>
        <v>NAM\MB4290</v>
      </c>
      <c r="O484" s="51">
        <f>J484</f>
        <v>40689</v>
      </c>
      <c r="P484" s="51" t="str">
        <f>C484</f>
        <v>~/cdd/olddocs/Formas/CNWI-SHAE (Seguridad e higiene y medio ambiente)/CNWI-SHAE-F015 Permiso de Acceso a Espacios Confinados.doc</v>
      </c>
      <c r="Q484" s="51" t="str">
        <f>E484</f>
        <v>doc</v>
      </c>
      <c r="R484" s="51"/>
      <c r="S484" s="51"/>
      <c r="T484" s="51"/>
      <c r="U484" s="51"/>
      <c r="V484" s="51"/>
      <c r="W484" s="51"/>
      <c r="X484" s="51"/>
      <c r="Y484" s="51"/>
      <c r="Z484" s="51"/>
      <c r="AA484" s="51"/>
      <c r="AB484" s="51"/>
      <c r="AC484" s="51"/>
      <c r="AD484" s="51"/>
      <c r="AG484" t="s">
        <v>28</v>
      </c>
      <c r="AH484" s="51"/>
      <c r="AI484" s="51"/>
    </row>
    <row r="485" spans="2:35">
      <c r="B485" t="s">
        <v>191</v>
      </c>
      <c r="C485" t="s">
        <v>3214</v>
      </c>
      <c r="D485">
        <v>5</v>
      </c>
      <c r="E485" t="s">
        <v>2792</v>
      </c>
      <c r="F485">
        <v>7</v>
      </c>
      <c r="G485">
        <v>27</v>
      </c>
      <c r="I485" t="s">
        <v>192</v>
      </c>
      <c r="J485" s="51">
        <v>40940</v>
      </c>
      <c r="K485" t="s">
        <v>27</v>
      </c>
      <c r="L485" t="s">
        <v>142</v>
      </c>
      <c r="M485">
        <v>3</v>
      </c>
      <c r="N485" t="str">
        <f>L485</f>
        <v>NAM\MB4290</v>
      </c>
      <c r="O485" s="51">
        <f>J485</f>
        <v>40940</v>
      </c>
      <c r="P485" s="51" t="str">
        <f>C485</f>
        <v>~/cdd/olddocs/Formas/CNWI-SHAE (Seguridad e higiene y medio ambiente)/CNWI-SHAE-F016 Pase de salida Scrap.xls</v>
      </c>
      <c r="Q485" s="51" t="str">
        <f>E485</f>
        <v>xls</v>
      </c>
      <c r="R485" s="51"/>
      <c r="S485" s="51"/>
      <c r="T485" s="51"/>
      <c r="U485" s="51"/>
      <c r="V485" s="51"/>
      <c r="W485" s="51"/>
      <c r="X485" s="51"/>
      <c r="Y485" s="51"/>
      <c r="Z485" s="51"/>
      <c r="AA485" s="51"/>
      <c r="AB485" s="51"/>
      <c r="AC485" s="51"/>
      <c r="AD485" s="51"/>
      <c r="AG485" t="s">
        <v>28</v>
      </c>
      <c r="AH485" s="51"/>
      <c r="AI485" s="51"/>
    </row>
    <row r="486" spans="2:35">
      <c r="B486" t="s">
        <v>193</v>
      </c>
      <c r="C486" t="s">
        <v>3893</v>
      </c>
      <c r="D486">
        <v>5</v>
      </c>
      <c r="E486" t="s">
        <v>2790</v>
      </c>
      <c r="F486">
        <v>7</v>
      </c>
      <c r="G486">
        <v>27</v>
      </c>
      <c r="I486" t="s">
        <v>194</v>
      </c>
      <c r="J486" s="51">
        <v>41199</v>
      </c>
      <c r="K486" t="s">
        <v>159</v>
      </c>
      <c r="L486" t="s">
        <v>142</v>
      </c>
      <c r="M486">
        <v>3</v>
      </c>
      <c r="N486" t="str">
        <f>L486</f>
        <v>NAM\MB4290</v>
      </c>
      <c r="O486" s="51">
        <f>J486</f>
        <v>41199</v>
      </c>
      <c r="P486" s="51" t="str">
        <f>C486</f>
        <v>~cdd/olddocs/Formas/CNWI-SHAE (Seguridad e higiene y medio ambiente)/CNWI-SHAE-F017 Tarjetas de Observaciones de Seguridad BBS.xlsx</v>
      </c>
      <c r="Q486" s="51" t="str">
        <f>E486</f>
        <v>xlsx</v>
      </c>
      <c r="R486" s="51"/>
      <c r="S486" s="51"/>
      <c r="T486" s="51"/>
      <c r="U486" s="51"/>
      <c r="V486" s="51"/>
      <c r="W486" s="51"/>
      <c r="X486" s="51"/>
      <c r="Y486" s="51"/>
      <c r="Z486" s="51"/>
      <c r="AA486" s="51"/>
      <c r="AB486" s="51"/>
      <c r="AC486" s="51"/>
      <c r="AD486" s="51"/>
      <c r="AG486" t="s">
        <v>28</v>
      </c>
      <c r="AH486" s="51"/>
      <c r="AI486" s="51"/>
    </row>
    <row r="487" spans="2:35">
      <c r="B487" t="s">
        <v>195</v>
      </c>
      <c r="C487" t="s">
        <v>3215</v>
      </c>
      <c r="D487">
        <v>5</v>
      </c>
      <c r="E487" t="s">
        <v>2792</v>
      </c>
      <c r="F487">
        <v>7</v>
      </c>
      <c r="G487">
        <v>27</v>
      </c>
      <c r="I487" t="s">
        <v>196</v>
      </c>
      <c r="J487" s="51">
        <v>40758</v>
      </c>
      <c r="K487" t="s">
        <v>27</v>
      </c>
      <c r="L487" t="s">
        <v>142</v>
      </c>
      <c r="M487">
        <v>3</v>
      </c>
      <c r="N487" t="str">
        <f>L487</f>
        <v>NAM\MB4290</v>
      </c>
      <c r="O487" s="51">
        <f>J487</f>
        <v>40758</v>
      </c>
      <c r="P487" s="51" t="str">
        <f>C487</f>
        <v>~/cdd/olddocs/Formas/CNWI-SHAE (Seguridad e higiene y medio ambiente)/CNWI-SHAE-F018 LISTO PARA CORRER.xls</v>
      </c>
      <c r="Q487" s="51" t="str">
        <f>E487</f>
        <v>xls</v>
      </c>
      <c r="R487" s="51"/>
      <c r="S487" s="51"/>
      <c r="T487" s="51"/>
      <c r="U487" s="51"/>
      <c r="V487" s="51"/>
      <c r="W487" s="51"/>
      <c r="X487" s="51"/>
      <c r="Y487" s="51"/>
      <c r="Z487" s="51"/>
      <c r="AA487" s="51"/>
      <c r="AB487" s="51"/>
      <c r="AC487" s="51"/>
      <c r="AD487" s="51"/>
      <c r="AG487" t="s">
        <v>28</v>
      </c>
      <c r="AH487" s="51"/>
      <c r="AI487" s="51"/>
    </row>
    <row r="488" spans="2:35">
      <c r="B488" t="s">
        <v>197</v>
      </c>
      <c r="C488" t="s">
        <v>3216</v>
      </c>
      <c r="D488">
        <v>5</v>
      </c>
      <c r="E488" t="s">
        <v>2792</v>
      </c>
      <c r="F488">
        <v>7</v>
      </c>
      <c r="G488">
        <v>27</v>
      </c>
      <c r="I488" t="s">
        <v>198</v>
      </c>
      <c r="J488" s="51">
        <v>40806</v>
      </c>
      <c r="K488" t="s">
        <v>27</v>
      </c>
      <c r="L488" t="s">
        <v>142</v>
      </c>
      <c r="M488">
        <v>3</v>
      </c>
      <c r="N488" t="str">
        <f>L488</f>
        <v>NAM\MB4290</v>
      </c>
      <c r="O488" s="51">
        <f>J488</f>
        <v>40806</v>
      </c>
      <c r="P488" s="51" t="str">
        <f>C488</f>
        <v>~/cdd/olddocs/Formas/CNWI-SHAE (Seguridad e higiene y medio ambiente)/CNWI-SHAE-F019 Checklist de Grua y Accesorios de Izaje.xls</v>
      </c>
      <c r="Q488" s="51" t="str">
        <f>E488</f>
        <v>xls</v>
      </c>
      <c r="R488" s="51"/>
      <c r="S488" s="51"/>
      <c r="T488" s="51"/>
      <c r="U488" s="51"/>
      <c r="V488" s="51"/>
      <c r="W488" s="51"/>
      <c r="X488" s="51"/>
      <c r="Y488" s="51"/>
      <c r="Z488" s="51"/>
      <c r="AA488" s="51"/>
      <c r="AB488" s="51"/>
      <c r="AC488" s="51"/>
      <c r="AD488" s="51"/>
      <c r="AG488" t="s">
        <v>28</v>
      </c>
      <c r="AH488" s="51"/>
      <c r="AI488" s="51"/>
    </row>
    <row r="489" spans="2:35">
      <c r="B489" t="s">
        <v>199</v>
      </c>
      <c r="C489" t="s">
        <v>3217</v>
      </c>
      <c r="D489">
        <v>5</v>
      </c>
      <c r="E489" t="s">
        <v>2792</v>
      </c>
      <c r="F489">
        <v>7</v>
      </c>
      <c r="G489">
        <v>27</v>
      </c>
      <c r="I489" t="s">
        <v>200</v>
      </c>
      <c r="J489" s="51">
        <v>40998</v>
      </c>
      <c r="K489" t="s">
        <v>46</v>
      </c>
      <c r="L489" t="s">
        <v>142</v>
      </c>
      <c r="M489">
        <v>3</v>
      </c>
      <c r="N489" t="str">
        <f>L489</f>
        <v>NAM\MB4290</v>
      </c>
      <c r="O489" s="51">
        <f>J489</f>
        <v>40998</v>
      </c>
      <c r="P489" s="51" t="str">
        <f>C489</f>
        <v>~/cdd/olddocs/Formas/CNWI-SHAE (Seguridad e higiene y medio ambiente)/CNWI-SHAE-F020 Formato de Control de Herramientas y Equipo.xls</v>
      </c>
      <c r="Q489" s="51" t="str">
        <f>E489</f>
        <v>xls</v>
      </c>
      <c r="R489" s="51"/>
      <c r="S489" s="51"/>
      <c r="T489" s="51"/>
      <c r="U489" s="51"/>
      <c r="V489" s="51"/>
      <c r="W489" s="51"/>
      <c r="X489" s="51"/>
      <c r="Y489" s="51"/>
      <c r="Z489" s="51"/>
      <c r="AA489" s="51"/>
      <c r="AB489" s="51"/>
      <c r="AC489" s="51"/>
      <c r="AD489" s="51"/>
      <c r="AG489" t="s">
        <v>28</v>
      </c>
      <c r="AH489" s="51"/>
      <c r="AI489" s="51"/>
    </row>
    <row r="490" spans="2:35">
      <c r="B490" t="s">
        <v>201</v>
      </c>
      <c r="C490" t="s">
        <v>3218</v>
      </c>
      <c r="D490">
        <v>5</v>
      </c>
      <c r="E490" t="s">
        <v>2791</v>
      </c>
      <c r="F490">
        <v>7</v>
      </c>
      <c r="G490">
        <v>27</v>
      </c>
      <c r="I490" t="s">
        <v>202</v>
      </c>
      <c r="J490" s="51">
        <v>40928</v>
      </c>
      <c r="K490" t="s">
        <v>27</v>
      </c>
      <c r="L490" t="s">
        <v>142</v>
      </c>
      <c r="M490">
        <v>3</v>
      </c>
      <c r="N490" t="str">
        <f>L490</f>
        <v>NAM\MB4290</v>
      </c>
      <c r="O490" s="51">
        <f>J490</f>
        <v>40928</v>
      </c>
      <c r="P490" s="51" t="str">
        <f>C490</f>
        <v>~/cdd/olddocs/Formas/CNWI-SHAE (Seguridad e higiene y medio ambiente)/CNWI-SHAE-F021 Check list baños.pdf</v>
      </c>
      <c r="Q490" s="51" t="str">
        <f>E490</f>
        <v>pdf</v>
      </c>
      <c r="R490" s="51"/>
      <c r="S490" s="51"/>
      <c r="T490" s="51"/>
      <c r="U490" s="51"/>
      <c r="V490" s="51"/>
      <c r="W490" s="51"/>
      <c r="X490" s="51"/>
      <c r="Y490" s="51"/>
      <c r="Z490" s="51"/>
      <c r="AA490" s="51"/>
      <c r="AB490" s="51"/>
      <c r="AC490" s="51"/>
      <c r="AD490" s="51"/>
      <c r="AG490" t="s">
        <v>28</v>
      </c>
      <c r="AH490" s="51"/>
      <c r="AI490" s="51"/>
    </row>
    <row r="491" spans="2:35">
      <c r="B491" t="s">
        <v>203</v>
      </c>
      <c r="C491" t="s">
        <v>3219</v>
      </c>
      <c r="D491">
        <v>5</v>
      </c>
      <c r="E491" t="s">
        <v>2794</v>
      </c>
      <c r="F491">
        <v>7</v>
      </c>
      <c r="G491">
        <v>27</v>
      </c>
      <c r="I491" t="s">
        <v>204</v>
      </c>
      <c r="J491" s="51">
        <v>40928</v>
      </c>
      <c r="K491" t="s">
        <v>27</v>
      </c>
      <c r="L491" t="s">
        <v>142</v>
      </c>
      <c r="M491">
        <v>3</v>
      </c>
      <c r="N491" t="str">
        <f>L491</f>
        <v>NAM\MB4290</v>
      </c>
      <c r="O491" s="51">
        <f>J491</f>
        <v>40928</v>
      </c>
      <c r="P491" s="51" t="str">
        <f>C491</f>
        <v>~/cdd/olddocs/Formas/CNWI-SHAE (Seguridad e higiene y medio ambiente)/CNWI-SHAE-F023 Evaluacion para aprobar EPP.doc</v>
      </c>
      <c r="Q491" s="51" t="str">
        <f>E491</f>
        <v>doc</v>
      </c>
      <c r="R491" s="51"/>
      <c r="S491" s="51"/>
      <c r="T491" s="51"/>
      <c r="U491" s="51"/>
      <c r="V491" s="51"/>
      <c r="W491" s="51"/>
      <c r="X491" s="51"/>
      <c r="Y491" s="51"/>
      <c r="Z491" s="51"/>
      <c r="AA491" s="51"/>
      <c r="AB491" s="51"/>
      <c r="AC491" s="51"/>
      <c r="AD491" s="51"/>
      <c r="AG491" t="s">
        <v>28</v>
      </c>
      <c r="AH491" s="51"/>
      <c r="AI491" s="51"/>
    </row>
    <row r="492" spans="2:35">
      <c r="B492" t="s">
        <v>205</v>
      </c>
      <c r="C492" t="s">
        <v>3220</v>
      </c>
      <c r="D492">
        <v>5</v>
      </c>
      <c r="E492" t="s">
        <v>2792</v>
      </c>
      <c r="F492">
        <v>7</v>
      </c>
      <c r="G492">
        <v>27</v>
      </c>
      <c r="I492" t="s">
        <v>206</v>
      </c>
      <c r="J492" s="51">
        <v>40928</v>
      </c>
      <c r="K492" t="s">
        <v>27</v>
      </c>
      <c r="L492" t="s">
        <v>142</v>
      </c>
      <c r="M492">
        <v>3</v>
      </c>
      <c r="N492" t="str">
        <f>L492</f>
        <v>NAM\MB4290</v>
      </c>
      <c r="O492" s="51">
        <f>J492</f>
        <v>40928</v>
      </c>
      <c r="P492" s="51" t="str">
        <f>C492</f>
        <v>~/cdd/olddocs/Formas/CNWI-SHAE (Seguridad e higiene y medio ambiente)/CNWI-SHAE-F024 Lista de verificación EHS.xls</v>
      </c>
      <c r="Q492" s="51" t="str">
        <f>E492</f>
        <v>xls</v>
      </c>
      <c r="R492" s="51"/>
      <c r="S492" s="51"/>
      <c r="T492" s="51"/>
      <c r="U492" s="51"/>
      <c r="V492" s="51"/>
      <c r="W492" s="51"/>
      <c r="X492" s="51"/>
      <c r="Y492" s="51"/>
      <c r="Z492" s="51"/>
      <c r="AA492" s="51"/>
      <c r="AB492" s="51"/>
      <c r="AC492" s="51"/>
      <c r="AD492" s="51"/>
      <c r="AG492" t="s">
        <v>28</v>
      </c>
      <c r="AH492" s="51"/>
      <c r="AI492" s="51"/>
    </row>
    <row r="493" spans="2:35">
      <c r="B493" t="s">
        <v>207</v>
      </c>
      <c r="C493" t="s">
        <v>3221</v>
      </c>
      <c r="D493">
        <v>5</v>
      </c>
      <c r="E493" t="s">
        <v>2792</v>
      </c>
      <c r="F493">
        <v>7</v>
      </c>
      <c r="G493">
        <v>27</v>
      </c>
      <c r="I493" t="s">
        <v>208</v>
      </c>
      <c r="J493" s="51">
        <v>40928</v>
      </c>
      <c r="K493" t="s">
        <v>27</v>
      </c>
      <c r="L493" t="s">
        <v>142</v>
      </c>
      <c r="M493">
        <v>3</v>
      </c>
      <c r="N493" t="str">
        <f>L493</f>
        <v>NAM\MB4290</v>
      </c>
      <c r="O493" s="51">
        <f>J493</f>
        <v>40928</v>
      </c>
      <c r="P493" s="51" t="str">
        <f>C493</f>
        <v>~/cdd/olddocs/Formas/CNWI-SHAE (Seguridad e higiene y medio ambiente)/CNWI-SHAE-F025 Listado de epp entregado.xls</v>
      </c>
      <c r="Q493" s="51" t="str">
        <f>E493</f>
        <v>xls</v>
      </c>
      <c r="R493" s="51"/>
      <c r="S493" s="51"/>
      <c r="T493" s="51"/>
      <c r="U493" s="51"/>
      <c r="V493" s="51"/>
      <c r="W493" s="51"/>
      <c r="X493" s="51"/>
      <c r="Y493" s="51"/>
      <c r="Z493" s="51"/>
      <c r="AA493" s="51"/>
      <c r="AB493" s="51"/>
      <c r="AC493" s="51"/>
      <c r="AD493" s="51"/>
      <c r="AG493" t="s">
        <v>28</v>
      </c>
      <c r="AH493" s="51"/>
      <c r="AI493" s="51"/>
    </row>
    <row r="494" spans="2:35">
      <c r="B494" t="s">
        <v>209</v>
      </c>
      <c r="C494" t="s">
        <v>3222</v>
      </c>
      <c r="D494">
        <v>5</v>
      </c>
      <c r="E494" t="s">
        <v>2792</v>
      </c>
      <c r="F494">
        <v>7</v>
      </c>
      <c r="G494">
        <v>27</v>
      </c>
      <c r="I494" t="s">
        <v>210</v>
      </c>
      <c r="J494" s="51">
        <v>40928</v>
      </c>
      <c r="K494" t="s">
        <v>27</v>
      </c>
      <c r="L494" t="s">
        <v>142</v>
      </c>
      <c r="M494">
        <v>3</v>
      </c>
      <c r="N494" t="str">
        <f>L494</f>
        <v>NAM\MB4290</v>
      </c>
      <c r="O494" s="51">
        <f>J494</f>
        <v>40928</v>
      </c>
      <c r="P494" s="51" t="str">
        <f>C494</f>
        <v>~/cdd/olddocs/Formas/CNWI-SHAE (Seguridad e higiene y medio ambiente)/CNWI-SHAE-F026 OSHME FORMATO DE REVISION ANUAL.xls</v>
      </c>
      <c r="Q494" s="51" t="str">
        <f>E494</f>
        <v>xls</v>
      </c>
      <c r="R494" s="51"/>
      <c r="S494" s="51"/>
      <c r="T494" s="51"/>
      <c r="U494" s="51"/>
      <c r="V494" s="51"/>
      <c r="W494" s="51"/>
      <c r="X494" s="51"/>
      <c r="Y494" s="51"/>
      <c r="Z494" s="51"/>
      <c r="AA494" s="51"/>
      <c r="AB494" s="51"/>
      <c r="AC494" s="51"/>
      <c r="AD494" s="51"/>
      <c r="AG494" t="s">
        <v>28</v>
      </c>
      <c r="AH494" s="51"/>
      <c r="AI494" s="51"/>
    </row>
    <row r="495" spans="2:35">
      <c r="B495" t="s">
        <v>211</v>
      </c>
      <c r="C495" t="s">
        <v>3223</v>
      </c>
      <c r="D495">
        <v>5</v>
      </c>
      <c r="E495" t="s">
        <v>2792</v>
      </c>
      <c r="F495">
        <v>7</v>
      </c>
      <c r="G495">
        <v>27</v>
      </c>
      <c r="I495" t="s">
        <v>212</v>
      </c>
      <c r="J495" s="51">
        <v>40928</v>
      </c>
      <c r="K495" t="s">
        <v>27</v>
      </c>
      <c r="L495" t="s">
        <v>142</v>
      </c>
      <c r="M495">
        <v>3</v>
      </c>
      <c r="N495" t="str">
        <f>L495</f>
        <v>NAM\MB4290</v>
      </c>
      <c r="O495" s="51">
        <f>J495</f>
        <v>40928</v>
      </c>
      <c r="P495" s="51" t="str">
        <f>C495</f>
        <v>~/cdd/olddocs/Formas/CNWI-SHAE (Seguridad e higiene y medio ambiente)/CNWI-SHAE-F027 Reporte de investigacion de accidente.xls</v>
      </c>
      <c r="Q495" s="51" t="str">
        <f>E495</f>
        <v>xls</v>
      </c>
      <c r="R495" s="51"/>
      <c r="S495" s="51"/>
      <c r="T495" s="51"/>
      <c r="U495" s="51"/>
      <c r="V495" s="51"/>
      <c r="W495" s="51"/>
      <c r="X495" s="51"/>
      <c r="Y495" s="51"/>
      <c r="Z495" s="51"/>
      <c r="AA495" s="51"/>
      <c r="AB495" s="51"/>
      <c r="AC495" s="51"/>
      <c r="AD495" s="51"/>
      <c r="AG495" t="s">
        <v>28</v>
      </c>
      <c r="AH495" s="51"/>
      <c r="AI495" s="51"/>
    </row>
    <row r="496" spans="2:35">
      <c r="B496" t="s">
        <v>213</v>
      </c>
      <c r="C496" t="s">
        <v>3224</v>
      </c>
      <c r="D496">
        <v>5</v>
      </c>
      <c r="E496" t="s">
        <v>2792</v>
      </c>
      <c r="F496">
        <v>7</v>
      </c>
      <c r="G496">
        <v>27</v>
      </c>
      <c r="I496" t="s">
        <v>214</v>
      </c>
      <c r="J496" s="51">
        <v>40928</v>
      </c>
      <c r="K496" t="s">
        <v>27</v>
      </c>
      <c r="L496" t="s">
        <v>142</v>
      </c>
      <c r="M496">
        <v>3</v>
      </c>
      <c r="N496" t="str">
        <f>L496</f>
        <v>NAM\MB4290</v>
      </c>
      <c r="O496" s="51">
        <f>J496</f>
        <v>40928</v>
      </c>
      <c r="P496" s="51" t="str">
        <f>C496</f>
        <v>~/cdd/olddocs/Formas/CNWI-SHAE (Seguridad e higiene y medio ambiente)/CNWI-SHAE-F028  RESGUARDO CELULARES.xls</v>
      </c>
      <c r="Q496" s="51" t="str">
        <f>E496</f>
        <v>xls</v>
      </c>
      <c r="R496" s="51"/>
      <c r="S496" s="51"/>
      <c r="T496" s="51"/>
      <c r="U496" s="51"/>
      <c r="V496" s="51"/>
      <c r="W496" s="51"/>
      <c r="X496" s="51"/>
      <c r="Y496" s="51"/>
      <c r="Z496" s="51"/>
      <c r="AA496" s="51"/>
      <c r="AB496" s="51"/>
      <c r="AC496" s="51"/>
      <c r="AD496" s="51"/>
      <c r="AG496" t="s">
        <v>28</v>
      </c>
      <c r="AH496" s="51"/>
      <c r="AI496" s="51"/>
    </row>
    <row r="497" spans="2:35">
      <c r="B497" t="s">
        <v>215</v>
      </c>
      <c r="C497" t="s">
        <v>3225</v>
      </c>
      <c r="D497">
        <v>5</v>
      </c>
      <c r="E497" t="s">
        <v>2794</v>
      </c>
      <c r="F497">
        <v>7</v>
      </c>
      <c r="G497">
        <v>27</v>
      </c>
      <c r="I497" t="s">
        <v>216</v>
      </c>
      <c r="J497" s="51">
        <v>40928</v>
      </c>
      <c r="K497" t="s">
        <v>27</v>
      </c>
      <c r="L497" t="s">
        <v>142</v>
      </c>
      <c r="M497">
        <v>3</v>
      </c>
      <c r="N497" t="str">
        <f>L497</f>
        <v>NAM\MB4290</v>
      </c>
      <c r="O497" s="51">
        <f>J497</f>
        <v>40928</v>
      </c>
      <c r="P497" s="51" t="str">
        <f>C497</f>
        <v>~/cdd/olddocs/Formas/CNWI-SHAE (Seguridad e higiene y medio ambiente)/CNWI-SHAE-F029 Revision de guardas.doc</v>
      </c>
      <c r="Q497" s="51" t="str">
        <f>E497</f>
        <v>doc</v>
      </c>
      <c r="R497" s="51"/>
      <c r="S497" s="51"/>
      <c r="T497" s="51"/>
      <c r="U497" s="51"/>
      <c r="V497" s="51"/>
      <c r="W497" s="51"/>
      <c r="X497" s="51"/>
      <c r="Y497" s="51"/>
      <c r="Z497" s="51"/>
      <c r="AA497" s="51"/>
      <c r="AB497" s="51"/>
      <c r="AC497" s="51"/>
      <c r="AD497" s="51"/>
      <c r="AG497" t="s">
        <v>28</v>
      </c>
      <c r="AH497" s="51"/>
      <c r="AI497" s="51"/>
    </row>
    <row r="498" spans="2:35">
      <c r="B498" t="s">
        <v>217</v>
      </c>
      <c r="C498" t="s">
        <v>3944</v>
      </c>
      <c r="D498">
        <v>5</v>
      </c>
      <c r="E498" t="s">
        <v>2792</v>
      </c>
      <c r="F498">
        <v>7</v>
      </c>
      <c r="G498">
        <v>27</v>
      </c>
      <c r="I498" t="s">
        <v>218</v>
      </c>
      <c r="J498" s="51">
        <v>40939</v>
      </c>
      <c r="K498" t="s">
        <v>159</v>
      </c>
      <c r="L498" t="s">
        <v>142</v>
      </c>
      <c r="M498">
        <v>3</v>
      </c>
      <c r="N498" t="str">
        <f>L498</f>
        <v>NAM\MB4290</v>
      </c>
      <c r="O498" s="51">
        <f>J498</f>
        <v>40939</v>
      </c>
      <c r="P498" s="51" t="str">
        <f>C498</f>
        <v>~/cdd/olddocs/CN-SHAE (Seguridad e higiene y medio ambiente)/FORMAS/CNWI-SHAE-F030 Rev. A Control de Materiales.xls</v>
      </c>
      <c r="Q498" s="51" t="str">
        <f>E498</f>
        <v>xls</v>
      </c>
      <c r="R498" s="51"/>
      <c r="S498" s="51"/>
      <c r="T498" s="51"/>
      <c r="U498" s="51"/>
      <c r="V498" s="51"/>
      <c r="W498" s="51"/>
      <c r="X498" s="51"/>
      <c r="Y498" s="51"/>
      <c r="Z498" s="51"/>
      <c r="AA498" s="51"/>
      <c r="AB498" s="51"/>
      <c r="AC498" s="51"/>
      <c r="AD498" s="51"/>
      <c r="AG498" t="s">
        <v>28</v>
      </c>
      <c r="AH498" s="51"/>
      <c r="AI498" s="51"/>
    </row>
    <row r="499" spans="2:35">
      <c r="B499" t="s">
        <v>32</v>
      </c>
      <c r="C499" t="s">
        <v>3922</v>
      </c>
      <c r="D499">
        <v>4</v>
      </c>
      <c r="E499" t="s">
        <v>2791</v>
      </c>
      <c r="F499">
        <v>13</v>
      </c>
      <c r="G499">
        <v>28</v>
      </c>
      <c r="I499" t="s">
        <v>37</v>
      </c>
      <c r="J499" s="51">
        <v>41166</v>
      </c>
      <c r="K499" t="s">
        <v>38</v>
      </c>
      <c r="L499" t="s">
        <v>40</v>
      </c>
      <c r="M499">
        <v>3</v>
      </c>
      <c r="N499" t="str">
        <f>L499</f>
        <v>NAM\MA8870</v>
      </c>
      <c r="O499" s="51">
        <f>J499</f>
        <v>41166</v>
      </c>
      <c r="P499" s="51" t="str">
        <f>C499</f>
        <v>~cdd/olddocs/Instructivos/CNWI-SHIPPING/CNWI-SHIP-0001 Instructivo de envios.pdf</v>
      </c>
      <c r="Q499" s="51" t="str">
        <f>E499</f>
        <v>pdf</v>
      </c>
      <c r="R499" s="51"/>
      <c r="S499" s="51"/>
      <c r="T499" s="51"/>
      <c r="U499" s="51"/>
      <c r="V499" s="51"/>
      <c r="W499" s="51"/>
      <c r="X499" s="51"/>
      <c r="Y499" s="51"/>
      <c r="Z499" s="51"/>
      <c r="AA499" s="51"/>
      <c r="AB499" s="51"/>
      <c r="AC499" s="51"/>
      <c r="AD499" s="51"/>
      <c r="AG499" t="s">
        <v>28</v>
      </c>
      <c r="AH499" s="51"/>
      <c r="AI499" s="51"/>
    </row>
    <row r="500" spans="2:35">
      <c r="B500" t="s">
        <v>41</v>
      </c>
      <c r="C500" t="s">
        <v>3226</v>
      </c>
      <c r="D500">
        <v>5</v>
      </c>
      <c r="E500" t="s">
        <v>2792</v>
      </c>
      <c r="F500">
        <v>13</v>
      </c>
      <c r="G500">
        <v>28</v>
      </c>
      <c r="I500" t="s">
        <v>43</v>
      </c>
      <c r="J500" s="51">
        <v>40625</v>
      </c>
      <c r="K500" t="s">
        <v>27</v>
      </c>
      <c r="L500" t="s">
        <v>40</v>
      </c>
      <c r="M500">
        <v>3</v>
      </c>
      <c r="N500" t="str">
        <f>L500</f>
        <v>NAM\MA8870</v>
      </c>
      <c r="O500" s="51">
        <f>J500</f>
        <v>40625</v>
      </c>
      <c r="P500" s="51" t="str">
        <f>C500</f>
        <v>~/cdd/olddocs/Formas/CNWI-SHIP ( Embarques )/CNWI-SHIP-F001 Master Track.xls</v>
      </c>
      <c r="Q500" s="51" t="str">
        <f>E500</f>
        <v>xls</v>
      </c>
      <c r="R500" s="51"/>
      <c r="S500" s="51"/>
      <c r="T500" s="51"/>
      <c r="U500" s="51"/>
      <c r="V500" s="51"/>
      <c r="W500" s="51"/>
      <c r="X500" s="51"/>
      <c r="Y500" s="51"/>
      <c r="Z500" s="51"/>
      <c r="AA500" s="51"/>
      <c r="AB500" s="51"/>
      <c r="AC500" s="51"/>
      <c r="AD500" s="51"/>
      <c r="AG500" t="s">
        <v>28</v>
      </c>
      <c r="AH500" s="51"/>
      <c r="AI500" s="51"/>
    </row>
    <row r="501" spans="2:35">
      <c r="B501" t="s">
        <v>44</v>
      </c>
      <c r="C501" t="s">
        <v>3227</v>
      </c>
      <c r="D501">
        <v>5</v>
      </c>
      <c r="E501" t="s">
        <v>2790</v>
      </c>
      <c r="F501">
        <v>13</v>
      </c>
      <c r="G501">
        <v>28</v>
      </c>
      <c r="I501" t="s">
        <v>45</v>
      </c>
      <c r="J501" s="51">
        <v>40648</v>
      </c>
      <c r="K501" t="s">
        <v>46</v>
      </c>
      <c r="L501" t="s">
        <v>40</v>
      </c>
      <c r="M501">
        <v>3</v>
      </c>
      <c r="N501" t="str">
        <f>L501</f>
        <v>NAM\MA8870</v>
      </c>
      <c r="O501" s="51">
        <f>J501</f>
        <v>40648</v>
      </c>
      <c r="P501" s="51" t="str">
        <f>C501</f>
        <v>~/cdd/olddocs/Formas/CNWI-SHIP ( Embarques )/CNWI-SHIP-F002 LISTA DE VERIFICACION.xlsx</v>
      </c>
      <c r="Q501" s="51" t="str">
        <f>E501</f>
        <v>xlsx</v>
      </c>
      <c r="R501" s="51"/>
      <c r="S501" s="51"/>
      <c r="T501" s="51"/>
      <c r="U501" s="51"/>
      <c r="V501" s="51"/>
      <c r="W501" s="51"/>
      <c r="X501" s="51"/>
      <c r="Y501" s="51"/>
      <c r="Z501" s="51"/>
      <c r="AA501" s="51"/>
      <c r="AB501" s="51"/>
      <c r="AC501" s="51"/>
      <c r="AD501" s="51"/>
      <c r="AG501" t="s">
        <v>28</v>
      </c>
      <c r="AH501" s="51"/>
      <c r="AI501" s="51"/>
    </row>
    <row r="502" spans="2:35">
      <c r="B502" t="s">
        <v>47</v>
      </c>
      <c r="C502" t="s">
        <v>3228</v>
      </c>
      <c r="D502">
        <v>5</v>
      </c>
      <c r="E502" t="s">
        <v>2790</v>
      </c>
      <c r="F502">
        <v>13</v>
      </c>
      <c r="G502">
        <v>28</v>
      </c>
      <c r="I502" t="s">
        <v>48</v>
      </c>
      <c r="J502" s="51">
        <v>40648</v>
      </c>
      <c r="K502" t="s">
        <v>46</v>
      </c>
      <c r="L502" t="s">
        <v>40</v>
      </c>
      <c r="M502">
        <v>3</v>
      </c>
      <c r="N502" t="str">
        <f>L502</f>
        <v>NAM\MA8870</v>
      </c>
      <c r="O502" s="51">
        <f>J502</f>
        <v>40648</v>
      </c>
      <c r="P502" s="51" t="str">
        <f>C502</f>
        <v>~/cdd/olddocs/Formas/CNWI-SHIP ( Embarques )/CNWI-SHIP-F003 REGISTRO PARA ENTRADA A EMBARQUES.xlsx</v>
      </c>
      <c r="Q502" s="51" t="str">
        <f>E502</f>
        <v>xlsx</v>
      </c>
      <c r="R502" s="51"/>
      <c r="S502" s="51"/>
      <c r="T502" s="51"/>
      <c r="U502" s="51"/>
      <c r="V502" s="51"/>
      <c r="W502" s="51"/>
      <c r="X502" s="51"/>
      <c r="Y502" s="51"/>
      <c r="Z502" s="51"/>
      <c r="AA502" s="51"/>
      <c r="AB502" s="51"/>
      <c r="AC502" s="51"/>
      <c r="AD502" s="51"/>
      <c r="AG502" t="s">
        <v>28</v>
      </c>
      <c r="AH502" s="51"/>
      <c r="AI502" s="51"/>
    </row>
    <row r="503" spans="2:35">
      <c r="B503" t="s">
        <v>49</v>
      </c>
      <c r="C503" t="s">
        <v>3229</v>
      </c>
      <c r="D503">
        <v>5</v>
      </c>
      <c r="E503" t="s">
        <v>2791</v>
      </c>
      <c r="F503">
        <v>13</v>
      </c>
      <c r="G503">
        <v>28</v>
      </c>
      <c r="I503" t="s">
        <v>50</v>
      </c>
      <c r="J503" s="51">
        <v>41151</v>
      </c>
      <c r="K503" t="s">
        <v>46</v>
      </c>
      <c r="L503" t="s">
        <v>40</v>
      </c>
      <c r="M503">
        <v>3</v>
      </c>
      <c r="N503" t="str">
        <f>L503</f>
        <v>NAM\MA8870</v>
      </c>
      <c r="O503" s="51">
        <f>J503</f>
        <v>41151</v>
      </c>
      <c r="P503" s="51" t="str">
        <f>C503</f>
        <v>~/cdd/olddocs/Formas/CNWI-SHIP ( Embarques )/CNWI-SHIP-F004  Control de embarques - formato de verificación.pdf</v>
      </c>
      <c r="Q503" s="51" t="str">
        <f>E503</f>
        <v>pdf</v>
      </c>
      <c r="R503" s="51"/>
      <c r="S503" s="51"/>
      <c r="T503" s="51"/>
      <c r="U503" s="51"/>
      <c r="V503" s="51"/>
      <c r="W503" s="51"/>
      <c r="X503" s="51"/>
      <c r="Y503" s="51"/>
      <c r="Z503" s="51"/>
      <c r="AA503" s="51"/>
      <c r="AB503" s="51"/>
      <c r="AC503" s="51"/>
      <c r="AD503" s="51"/>
      <c r="AG503" t="s">
        <v>28</v>
      </c>
      <c r="AH503" s="51"/>
      <c r="AI503" s="51"/>
    </row>
    <row r="504" spans="2:35">
      <c r="B504" t="s">
        <v>51</v>
      </c>
      <c r="C504" t="s">
        <v>3236</v>
      </c>
      <c r="D504">
        <v>5</v>
      </c>
      <c r="E504" t="s">
        <v>2792</v>
      </c>
      <c r="F504">
        <v>13</v>
      </c>
      <c r="G504">
        <v>28</v>
      </c>
      <c r="I504" t="s">
        <v>52</v>
      </c>
      <c r="J504" s="51">
        <v>40648</v>
      </c>
      <c r="K504" t="s">
        <v>27</v>
      </c>
      <c r="L504" t="s">
        <v>40</v>
      </c>
      <c r="M504">
        <v>3</v>
      </c>
      <c r="N504" t="str">
        <f>L504</f>
        <v>NAM\MA8870</v>
      </c>
      <c r="O504" s="51">
        <f>J504</f>
        <v>40648</v>
      </c>
      <c r="P504" s="51" t="str">
        <f>C504</f>
        <v>~/cdd/olddocs/Formas/CNWI-WRHS (Almacen)/CNWI-WRHS-F005 Control recibo de Medidores.xls</v>
      </c>
      <c r="Q504" s="51" t="str">
        <f>E504</f>
        <v>xls</v>
      </c>
      <c r="R504" s="51"/>
      <c r="S504" s="51"/>
      <c r="T504" s="51"/>
      <c r="U504" s="51"/>
      <c r="V504" s="51"/>
      <c r="W504" s="51"/>
      <c r="X504" s="51"/>
      <c r="Y504" s="51"/>
      <c r="Z504" s="51"/>
      <c r="AA504" s="51"/>
      <c r="AB504" s="51"/>
      <c r="AC504" s="51"/>
      <c r="AD504" s="51"/>
      <c r="AG504" t="s">
        <v>28</v>
      </c>
      <c r="AH504" s="51"/>
      <c r="AI504" s="51"/>
    </row>
    <row r="505" spans="2:35">
      <c r="B505" t="s">
        <v>53</v>
      </c>
      <c r="C505" t="s">
        <v>3230</v>
      </c>
      <c r="D505">
        <v>5</v>
      </c>
      <c r="E505" t="s">
        <v>2793</v>
      </c>
      <c r="F505">
        <v>13</v>
      </c>
      <c r="G505">
        <v>28</v>
      </c>
      <c r="I505" t="s">
        <v>54</v>
      </c>
      <c r="J505" s="51">
        <v>40836</v>
      </c>
      <c r="K505" t="s">
        <v>27</v>
      </c>
      <c r="L505" t="s">
        <v>40</v>
      </c>
      <c r="M505">
        <v>3</v>
      </c>
      <c r="N505" t="str">
        <f>L505</f>
        <v>NAM\MA8870</v>
      </c>
      <c r="O505" s="51">
        <f>J505</f>
        <v>40836</v>
      </c>
      <c r="P505" s="51" t="str">
        <f>C505</f>
        <v>~/cdd/olddocs/Formas/CNWI-SHIP ( Embarques )/CNWI-SHIP-F007 FORMATO ENTREGAS.pptx</v>
      </c>
      <c r="Q505" s="51" t="str">
        <f>E505</f>
        <v>pptx</v>
      </c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G505" t="s">
        <v>28</v>
      </c>
      <c r="AH505" s="51"/>
      <c r="AI505" s="51"/>
    </row>
    <row r="506" spans="2:35">
      <c r="B506" t="s">
        <v>55</v>
      </c>
      <c r="C506" t="s">
        <v>3894</v>
      </c>
      <c r="D506">
        <v>5</v>
      </c>
      <c r="E506" t="s">
        <v>2790</v>
      </c>
      <c r="F506">
        <v>13</v>
      </c>
      <c r="G506">
        <v>28</v>
      </c>
      <c r="I506" t="s">
        <v>56</v>
      </c>
      <c r="J506" s="51">
        <v>41001</v>
      </c>
      <c r="K506" t="s">
        <v>46</v>
      </c>
      <c r="L506" t="s">
        <v>40</v>
      </c>
      <c r="M506">
        <v>3</v>
      </c>
      <c r="N506" t="str">
        <f>L506</f>
        <v>NAM\MA8870</v>
      </c>
      <c r="O506" s="51">
        <f>J506</f>
        <v>41001</v>
      </c>
      <c r="P506" s="51" t="str">
        <f>C506</f>
        <v>~cdd/olddocs/Formas/CNWI-SHIP ( Embarques )/CNWI-SHIP-F008 Control de material para embarcar.xlsx</v>
      </c>
      <c r="Q506" s="51" t="str">
        <f>E506</f>
        <v>xlsx</v>
      </c>
      <c r="R506" s="51"/>
      <c r="S506" s="51"/>
      <c r="T506" s="51"/>
      <c r="U506" s="51"/>
      <c r="V506" s="51"/>
      <c r="W506" s="51"/>
      <c r="X506" s="51"/>
      <c r="Y506" s="51"/>
      <c r="Z506" s="51"/>
      <c r="AA506" s="51"/>
      <c r="AB506" s="51"/>
      <c r="AC506" s="51"/>
      <c r="AD506" s="51"/>
      <c r="AG506" t="s">
        <v>28</v>
      </c>
      <c r="AH506" s="51"/>
      <c r="AI506" s="51"/>
    </row>
    <row r="507" spans="2:35">
      <c r="B507" t="s">
        <v>57</v>
      </c>
      <c r="C507" t="s">
        <v>3231</v>
      </c>
      <c r="D507">
        <v>5</v>
      </c>
      <c r="E507" t="s">
        <v>2790</v>
      </c>
      <c r="F507">
        <v>13</v>
      </c>
      <c r="G507">
        <v>28</v>
      </c>
      <c r="I507" t="s">
        <v>58</v>
      </c>
      <c r="J507" s="51">
        <v>41082</v>
      </c>
      <c r="K507" t="s">
        <v>27</v>
      </c>
      <c r="L507" t="s">
        <v>40</v>
      </c>
      <c r="M507">
        <v>3</v>
      </c>
      <c r="N507" t="str">
        <f>L507</f>
        <v>NAM\MA8870</v>
      </c>
      <c r="O507" s="51">
        <f>J507</f>
        <v>41082</v>
      </c>
      <c r="P507" s="51" t="str">
        <f>C507</f>
        <v>~/cdd/olddocs/Formas/CNWI-SHIP ( Embarques )/CNWI-SHIP-F009 Rev. A SPECIAL REQ LOGISTICS.xlsx</v>
      </c>
      <c r="Q507" s="51" t="str">
        <f>E507</f>
        <v>xlsx</v>
      </c>
      <c r="R507" s="51"/>
      <c r="S507" s="51"/>
      <c r="T507" s="51"/>
      <c r="U507" s="51"/>
      <c r="V507" s="51"/>
      <c r="W507" s="51"/>
      <c r="X507" s="51"/>
      <c r="Y507" s="51"/>
      <c r="Z507" s="51"/>
      <c r="AA507" s="51"/>
      <c r="AB507" s="51"/>
      <c r="AC507" s="51"/>
      <c r="AD507" s="51"/>
      <c r="AG507" t="s">
        <v>28</v>
      </c>
      <c r="AH507" s="51"/>
      <c r="AI507" s="51"/>
    </row>
    <row r="508" spans="2:35">
      <c r="B508" t="s">
        <v>2541</v>
      </c>
      <c r="C508" t="s">
        <v>3477</v>
      </c>
      <c r="D508">
        <v>6</v>
      </c>
      <c r="E508" t="s">
        <v>2795</v>
      </c>
      <c r="F508">
        <v>5</v>
      </c>
      <c r="G508">
        <v>10</v>
      </c>
      <c r="H508">
        <v>10</v>
      </c>
      <c r="I508" t="s">
        <v>2542</v>
      </c>
      <c r="J508" s="51" t="s">
        <v>2543</v>
      </c>
      <c r="K508" t="s">
        <v>27</v>
      </c>
      <c r="L508" t="s">
        <v>2427</v>
      </c>
      <c r="M508">
        <v>3</v>
      </c>
      <c r="N508" t="str">
        <f>L508</f>
        <v>NAM\MB1911</v>
      </c>
      <c r="O508" s="51" t="str">
        <f>J508</f>
        <v>14/01/11</v>
      </c>
      <c r="P508" s="51" t="str">
        <f>C508</f>
        <v>~/cdd/olddocs/Ayudas visuales/Camarillo/Bonding/CNWI-VSHP-000001 Rev. A (002314-0000).pub</v>
      </c>
      <c r="Q508" s="51" t="str">
        <f>E508</f>
        <v>pub</v>
      </c>
      <c r="R508" s="51"/>
      <c r="S508" s="51"/>
      <c r="T508" s="51"/>
      <c r="U508" s="51"/>
      <c r="V508" s="51"/>
      <c r="W508" s="51"/>
      <c r="X508" s="51"/>
      <c r="Y508" s="51"/>
      <c r="Z508" s="51"/>
      <c r="AA508" s="51"/>
      <c r="AB508" s="51"/>
      <c r="AC508" s="51"/>
      <c r="AD508" s="51"/>
      <c r="AE508" t="s">
        <v>2545</v>
      </c>
      <c r="AF508" t="s">
        <v>1473</v>
      </c>
      <c r="AG508" t="s">
        <v>2544</v>
      </c>
      <c r="AH508" s="51"/>
      <c r="AI508" s="51"/>
    </row>
    <row r="509" spans="2:35">
      <c r="B509" t="s">
        <v>2546</v>
      </c>
      <c r="C509" t="s">
        <v>3478</v>
      </c>
      <c r="D509">
        <v>6</v>
      </c>
      <c r="E509" t="s">
        <v>2795</v>
      </c>
      <c r="F509">
        <v>5</v>
      </c>
      <c r="G509">
        <v>10</v>
      </c>
      <c r="H509">
        <v>10</v>
      </c>
      <c r="I509" t="s">
        <v>2547</v>
      </c>
      <c r="J509" s="51" t="s">
        <v>2543</v>
      </c>
      <c r="K509" t="s">
        <v>27</v>
      </c>
      <c r="L509" t="s">
        <v>2427</v>
      </c>
      <c r="M509">
        <v>3</v>
      </c>
      <c r="N509" t="str">
        <f>L509</f>
        <v>NAM\MB1911</v>
      </c>
      <c r="O509" s="51" t="str">
        <f>J509</f>
        <v>14/01/11</v>
      </c>
      <c r="P509" s="51" t="str">
        <f>C509</f>
        <v>~/cdd/olddocs/Ayudas visuales/Camarillo/Bonding/CNWI-VSHP-000002 Rev. A (000103-0419).pub</v>
      </c>
      <c r="Q509" s="51" t="str">
        <f>E509</f>
        <v>pub</v>
      </c>
      <c r="R509" s="51"/>
      <c r="S509" s="51"/>
      <c r="T509" s="51"/>
      <c r="U509" s="51"/>
      <c r="V509" s="51"/>
      <c r="W509" s="51"/>
      <c r="X509" s="51"/>
      <c r="Y509" s="51"/>
      <c r="Z509" s="51"/>
      <c r="AA509" s="51"/>
      <c r="AB509" s="51"/>
      <c r="AC509" s="51"/>
      <c r="AD509" s="51"/>
      <c r="AG509" t="s">
        <v>2548</v>
      </c>
      <c r="AH509" s="51"/>
      <c r="AI509" s="51"/>
    </row>
    <row r="510" spans="2:35">
      <c r="B510" t="s">
        <v>2549</v>
      </c>
      <c r="C510" t="s">
        <v>3479</v>
      </c>
      <c r="D510">
        <v>6</v>
      </c>
      <c r="E510" t="s">
        <v>2795</v>
      </c>
      <c r="F510">
        <v>5</v>
      </c>
      <c r="G510">
        <v>10</v>
      </c>
      <c r="H510">
        <v>10</v>
      </c>
      <c r="I510" t="s">
        <v>2550</v>
      </c>
      <c r="J510" s="51">
        <v>40612</v>
      </c>
      <c r="K510" t="s">
        <v>46</v>
      </c>
      <c r="L510" t="s">
        <v>2427</v>
      </c>
      <c r="M510">
        <v>3</v>
      </c>
      <c r="N510" t="str">
        <f>L510</f>
        <v>NAM\MB1911</v>
      </c>
      <c r="O510" s="51">
        <f>J510</f>
        <v>40612</v>
      </c>
      <c r="P510" s="51" t="str">
        <f>C510</f>
        <v>~/cdd/olddocs/Ayudas visuales/Camarillo/Bonding/CNWI-VSHP-000003 Rev. B (000102-0145).pub</v>
      </c>
      <c r="Q510" s="51" t="str">
        <f>E510</f>
        <v>pub</v>
      </c>
      <c r="R510" s="51"/>
      <c r="S510" s="51"/>
      <c r="T510" s="51"/>
      <c r="U510" s="51"/>
      <c r="V510" s="51"/>
      <c r="W510" s="51"/>
      <c r="X510" s="51"/>
      <c r="Y510" s="51"/>
      <c r="Z510" s="51"/>
      <c r="AA510" s="51"/>
      <c r="AB510" s="51"/>
      <c r="AC510" s="51"/>
      <c r="AD510" s="51"/>
      <c r="AG510" t="s">
        <v>2551</v>
      </c>
      <c r="AH510" s="51"/>
      <c r="AI510" s="51"/>
    </row>
    <row r="511" spans="2:35">
      <c r="B511" t="s">
        <v>2552</v>
      </c>
      <c r="C511" t="s">
        <v>3480</v>
      </c>
      <c r="D511">
        <v>6</v>
      </c>
      <c r="E511" t="s">
        <v>2795</v>
      </c>
      <c r="F511">
        <v>5</v>
      </c>
      <c r="G511">
        <v>10</v>
      </c>
      <c r="H511">
        <v>10</v>
      </c>
      <c r="I511" t="s">
        <v>2553</v>
      </c>
      <c r="J511" s="51">
        <v>40583</v>
      </c>
      <c r="K511" t="s">
        <v>46</v>
      </c>
      <c r="L511" t="s">
        <v>2427</v>
      </c>
      <c r="M511">
        <v>3</v>
      </c>
      <c r="N511" t="str">
        <f>L511</f>
        <v>NAM\MB1911</v>
      </c>
      <c r="O511" s="51">
        <f>J511</f>
        <v>40583</v>
      </c>
      <c r="P511" s="51" t="str">
        <f>C511</f>
        <v>~/cdd/olddocs/Ayudas visuales/Camarillo/Bonding/CNWI-VSHP-000004 Rev. B (002360-0000).pub</v>
      </c>
      <c r="Q511" s="51" t="str">
        <f>E511</f>
        <v>pub</v>
      </c>
      <c r="R511" s="51"/>
      <c r="S511" s="51"/>
      <c r="T511" s="51"/>
      <c r="U511" s="51"/>
      <c r="V511" s="51"/>
      <c r="W511" s="51"/>
      <c r="X511" s="51"/>
      <c r="Y511" s="51"/>
      <c r="Z511" s="51"/>
      <c r="AA511" s="51"/>
      <c r="AB511" s="51"/>
      <c r="AC511" s="51"/>
      <c r="AD511" s="51"/>
      <c r="AE511" t="s">
        <v>30</v>
      </c>
      <c r="AF511" t="s">
        <v>1473</v>
      </c>
      <c r="AG511" t="s">
        <v>2554</v>
      </c>
      <c r="AH511" s="51"/>
      <c r="AI511" s="51"/>
    </row>
    <row r="512" spans="2:35">
      <c r="B512" t="s">
        <v>2775</v>
      </c>
      <c r="C512" t="s">
        <v>3552</v>
      </c>
      <c r="D512">
        <v>6</v>
      </c>
      <c r="E512" t="s">
        <v>2795</v>
      </c>
      <c r="F512">
        <v>5</v>
      </c>
      <c r="G512">
        <v>34</v>
      </c>
      <c r="H512">
        <v>25</v>
      </c>
      <c r="I512" t="s">
        <v>2776</v>
      </c>
      <c r="J512" s="51">
        <v>40568</v>
      </c>
      <c r="K512" t="s">
        <v>27</v>
      </c>
      <c r="L512" t="s">
        <v>2427</v>
      </c>
      <c r="M512">
        <v>3</v>
      </c>
      <c r="N512" t="str">
        <f>L512</f>
        <v>NAM\MB1911</v>
      </c>
      <c r="O512" s="51">
        <f>J512</f>
        <v>40568</v>
      </c>
      <c r="P512" s="51" t="str">
        <f>C512</f>
        <v>~/cdd/olddocs/Ayudas visuales/Camarillo/Salem/CNWI-VSHP-000005 Rev. A (102-117G1).pub</v>
      </c>
      <c r="Q512" s="51" t="str">
        <f>E512</f>
        <v>pub</v>
      </c>
      <c r="R512" s="51"/>
      <c r="S512" s="51"/>
      <c r="T512" s="51"/>
      <c r="U512" s="51"/>
      <c r="V512" s="51"/>
      <c r="W512" s="51"/>
      <c r="X512" s="51"/>
      <c r="Y512" s="51"/>
      <c r="Z512" s="51"/>
      <c r="AA512" s="51"/>
      <c r="AB512" s="51"/>
      <c r="AC512" s="51"/>
      <c r="AD512" s="51"/>
      <c r="AE512" t="s">
        <v>2778</v>
      </c>
      <c r="AF512" t="s">
        <v>479</v>
      </c>
      <c r="AG512" t="s">
        <v>2777</v>
      </c>
      <c r="AH512" s="51"/>
      <c r="AI512" s="51"/>
    </row>
    <row r="513" spans="2:35">
      <c r="B513" t="s">
        <v>506</v>
      </c>
      <c r="C513" t="s">
        <v>3590</v>
      </c>
      <c r="D513">
        <v>6</v>
      </c>
      <c r="E513" t="s">
        <v>2795</v>
      </c>
      <c r="F513">
        <v>5</v>
      </c>
      <c r="G513">
        <v>33</v>
      </c>
      <c r="H513">
        <v>28</v>
      </c>
      <c r="I513" t="s">
        <v>507</v>
      </c>
      <c r="J513" s="51">
        <v>40568</v>
      </c>
      <c r="K513" t="s">
        <v>27</v>
      </c>
      <c r="L513" t="s">
        <v>509</v>
      </c>
      <c r="M513">
        <v>3</v>
      </c>
      <c r="N513" t="str">
        <f>L513</f>
        <v>NAM\C67EF</v>
      </c>
      <c r="O513" s="51">
        <f>J513</f>
        <v>40568</v>
      </c>
      <c r="P513" s="51" t="str">
        <f>C513</f>
        <v>~/cdd/olddocs/Ayudas visuales/Micromini/General/CNWI-VSHP-000007 Rev. A (MEZCLA DE EPOXY).pub</v>
      </c>
      <c r="Q513" s="51" t="str">
        <f>E513</f>
        <v>pub</v>
      </c>
      <c r="R513" s="51"/>
      <c r="S513" s="51"/>
      <c r="T513" s="51"/>
      <c r="U513" s="51"/>
      <c r="V513" s="51"/>
      <c r="W513" s="51"/>
      <c r="X513" s="51"/>
      <c r="Y513" s="51"/>
      <c r="Z513" s="51"/>
      <c r="AA513" s="51"/>
      <c r="AB513" s="51"/>
      <c r="AC513" s="51"/>
      <c r="AD513" s="51"/>
      <c r="AG513" t="s">
        <v>88</v>
      </c>
      <c r="AH513" s="51"/>
      <c r="AI513" s="51"/>
    </row>
    <row r="514" spans="2:35">
      <c r="B514" t="s">
        <v>616</v>
      </c>
      <c r="C514" t="s">
        <v>3591</v>
      </c>
      <c r="D514">
        <v>6</v>
      </c>
      <c r="E514" t="s">
        <v>2795</v>
      </c>
      <c r="F514">
        <v>5</v>
      </c>
      <c r="G514">
        <v>33</v>
      </c>
      <c r="H514">
        <v>28</v>
      </c>
      <c r="I514" t="s">
        <v>617</v>
      </c>
      <c r="J514" s="51">
        <v>40568</v>
      </c>
      <c r="K514" t="s">
        <v>27</v>
      </c>
      <c r="L514" t="s">
        <v>605</v>
      </c>
      <c r="M514">
        <v>3</v>
      </c>
      <c r="N514" t="str">
        <f>L514</f>
        <v>NA/MB1049</v>
      </c>
      <c r="O514" s="51">
        <f>J514</f>
        <v>40568</v>
      </c>
      <c r="P514" s="51" t="str">
        <f>C514</f>
        <v>~/cdd/olddocs/Ayudas visuales/Micromini/General/CNWI-VSHP-000009 Rev. A  (Impresion de etiquetas Micro-Mini).pub</v>
      </c>
      <c r="Q514" s="51" t="str">
        <f>E514</f>
        <v>pub</v>
      </c>
      <c r="R514" s="51"/>
      <c r="S514" s="51"/>
      <c r="T514" s="51"/>
      <c r="U514" s="51"/>
      <c r="V514" s="51"/>
      <c r="W514" s="51"/>
      <c r="X514" s="51"/>
      <c r="Y514" s="51"/>
      <c r="Z514" s="51"/>
      <c r="AA514" s="51"/>
      <c r="AB514" s="51"/>
      <c r="AC514" s="51"/>
      <c r="AD514" s="51"/>
      <c r="AG514" t="s">
        <v>88</v>
      </c>
      <c r="AH514" s="51"/>
      <c r="AI514" s="51"/>
    </row>
    <row r="515" spans="2:35">
      <c r="B515" t="s">
        <v>618</v>
      </c>
      <c r="C515" t="s">
        <v>3592</v>
      </c>
      <c r="D515">
        <v>6</v>
      </c>
      <c r="E515" t="s">
        <v>2795</v>
      </c>
      <c r="F515">
        <v>5</v>
      </c>
      <c r="G515">
        <v>33</v>
      </c>
      <c r="H515">
        <v>28</v>
      </c>
      <c r="I515" t="s">
        <v>619</v>
      </c>
      <c r="J515" s="51">
        <v>40569</v>
      </c>
      <c r="K515" t="s">
        <v>27</v>
      </c>
      <c r="L515" t="s">
        <v>605</v>
      </c>
      <c r="M515">
        <v>3</v>
      </c>
      <c r="N515" t="str">
        <f>L515</f>
        <v>NA/MB1049</v>
      </c>
      <c r="O515" s="51">
        <f>J515</f>
        <v>40569</v>
      </c>
      <c r="P515" s="51" t="str">
        <f>C515</f>
        <v>~/cdd/olddocs/Ayudas visuales/Micromini/General/CNWI-VSHP-000010 Rev. A (Manejo de Crisol).pub</v>
      </c>
      <c r="Q515" s="51" t="str">
        <f>E515</f>
        <v>pub</v>
      </c>
      <c r="R515" s="51"/>
      <c r="S515" s="51"/>
      <c r="T515" s="51"/>
      <c r="U515" s="51"/>
      <c r="V515" s="51"/>
      <c r="W515" s="51"/>
      <c r="X515" s="51"/>
      <c r="Y515" s="51"/>
      <c r="Z515" s="51"/>
      <c r="AA515" s="51"/>
      <c r="AB515" s="51"/>
      <c r="AC515" s="51"/>
      <c r="AD515" s="51"/>
      <c r="AG515" t="s">
        <v>88</v>
      </c>
      <c r="AH515" s="51"/>
      <c r="AI515" s="51"/>
    </row>
    <row r="516" spans="2:35">
      <c r="B516" t="s">
        <v>620</v>
      </c>
      <c r="C516" t="s">
        <v>3593</v>
      </c>
      <c r="D516">
        <v>6</v>
      </c>
      <c r="E516" t="s">
        <v>2795</v>
      </c>
      <c r="F516">
        <v>5</v>
      </c>
      <c r="G516">
        <v>33</v>
      </c>
      <c r="H516">
        <v>28</v>
      </c>
      <c r="I516" t="s">
        <v>621</v>
      </c>
      <c r="J516" s="51">
        <v>40568</v>
      </c>
      <c r="K516" t="s">
        <v>27</v>
      </c>
      <c r="L516" t="s">
        <v>605</v>
      </c>
      <c r="M516">
        <v>3</v>
      </c>
      <c r="N516" t="str">
        <f>L516</f>
        <v>NA/MB1049</v>
      </c>
      <c r="O516" s="51">
        <f>J516</f>
        <v>40568</v>
      </c>
      <c r="P516" s="51" t="str">
        <f>C516</f>
        <v>~/cdd/olddocs/Ayudas visuales/Micromini/General/CNWI-VSHP-000011 Rev. A (PRUEBA MAYOR DE 12 POLOS).pub</v>
      </c>
      <c r="Q516" s="51" t="str">
        <f>E516</f>
        <v>pub</v>
      </c>
      <c r="R516" s="51"/>
      <c r="S516" s="51"/>
      <c r="T516" s="51"/>
      <c r="U516" s="51"/>
      <c r="V516" s="51"/>
      <c r="W516" s="51"/>
      <c r="X516" s="51"/>
      <c r="Y516" s="51"/>
      <c r="Z516" s="51"/>
      <c r="AA516" s="51"/>
      <c r="AB516" s="51"/>
      <c r="AC516" s="51"/>
      <c r="AD516" s="51"/>
      <c r="AE516" t="s">
        <v>478</v>
      </c>
      <c r="AF516" t="s">
        <v>90</v>
      </c>
      <c r="AG516" t="s">
        <v>88</v>
      </c>
      <c r="AH516" s="51"/>
      <c r="AI516" s="51"/>
    </row>
    <row r="517" spans="2:35">
      <c r="B517" t="s">
        <v>510</v>
      </c>
      <c r="C517" t="s">
        <v>3594</v>
      </c>
      <c r="D517">
        <v>6</v>
      </c>
      <c r="E517" t="s">
        <v>2795</v>
      </c>
      <c r="F517">
        <v>5</v>
      </c>
      <c r="G517">
        <v>33</v>
      </c>
      <c r="H517">
        <v>28</v>
      </c>
      <c r="I517" t="s">
        <v>511</v>
      </c>
      <c r="J517" s="51">
        <v>40625</v>
      </c>
      <c r="K517" t="s">
        <v>27</v>
      </c>
      <c r="L517" t="s">
        <v>509</v>
      </c>
      <c r="M517">
        <v>3</v>
      </c>
      <c r="N517" t="str">
        <f>L517</f>
        <v>NAM\C67EF</v>
      </c>
      <c r="O517" s="51">
        <f>J517</f>
        <v>40625</v>
      </c>
      <c r="P517" s="51" t="str">
        <f>C517</f>
        <v>~/cdd/olddocs/Ayudas visuales/Micromini/General/CNWI-VSHP-000012 Rev. A (PULL TEST MICRO-MINI).pub</v>
      </c>
      <c r="Q517" s="51" t="str">
        <f>E517</f>
        <v>pub</v>
      </c>
      <c r="R517" s="51"/>
      <c r="S517" s="51"/>
      <c r="T517" s="51"/>
      <c r="U517" s="51"/>
      <c r="V517" s="51"/>
      <c r="W517" s="51"/>
      <c r="X517" s="51"/>
      <c r="Y517" s="51"/>
      <c r="Z517" s="51"/>
      <c r="AA517" s="51"/>
      <c r="AB517" s="51"/>
      <c r="AC517" s="51"/>
      <c r="AD517" s="51"/>
      <c r="AG517" t="s">
        <v>88</v>
      </c>
      <c r="AH517" s="51"/>
      <c r="AI517" s="51"/>
    </row>
    <row r="518" spans="2:35">
      <c r="B518" t="s">
        <v>512</v>
      </c>
      <c r="C518" t="s">
        <v>3595</v>
      </c>
      <c r="D518">
        <v>6</v>
      </c>
      <c r="E518" t="s">
        <v>2795</v>
      </c>
      <c r="F518">
        <v>5</v>
      </c>
      <c r="G518">
        <v>33</v>
      </c>
      <c r="H518">
        <v>28</v>
      </c>
      <c r="I518" t="s">
        <v>513</v>
      </c>
      <c r="J518" s="51">
        <v>40570</v>
      </c>
      <c r="K518" t="s">
        <v>27</v>
      </c>
      <c r="L518" t="s">
        <v>509</v>
      </c>
      <c r="M518">
        <v>3</v>
      </c>
      <c r="N518" t="str">
        <f>L518</f>
        <v>NAM\C67EF</v>
      </c>
      <c r="O518" s="51">
        <f>J518</f>
        <v>40570</v>
      </c>
      <c r="P518" s="51" t="str">
        <f>C518</f>
        <v>~/cdd/olddocs/Ayudas visuales/Micromini/General/CNWI-VSHP-000013 REV. A (Uso de dispenser potted).pub</v>
      </c>
      <c r="Q518" s="51" t="str">
        <f>E518</f>
        <v>pub</v>
      </c>
      <c r="R518" s="51"/>
      <c r="S518" s="51"/>
      <c r="T518" s="51"/>
      <c r="U518" s="51"/>
      <c r="V518" s="51"/>
      <c r="W518" s="51"/>
      <c r="X518" s="51"/>
      <c r="Y518" s="51"/>
      <c r="Z518" s="51"/>
      <c r="AA518" s="51"/>
      <c r="AB518" s="51"/>
      <c r="AC518" s="51"/>
      <c r="AD518" s="51"/>
      <c r="AG518" t="s">
        <v>88</v>
      </c>
      <c r="AH518" s="51"/>
      <c r="AI518" s="51"/>
    </row>
    <row r="519" spans="2:35">
      <c r="B519" t="s">
        <v>2701</v>
      </c>
      <c r="C519" t="s">
        <v>3524</v>
      </c>
      <c r="D519">
        <v>6</v>
      </c>
      <c r="E519" t="s">
        <v>2795</v>
      </c>
      <c r="F519">
        <v>5</v>
      </c>
      <c r="G519">
        <v>9</v>
      </c>
      <c r="H519">
        <v>8</v>
      </c>
      <c r="I519" t="s">
        <v>2702</v>
      </c>
      <c r="J519" s="51">
        <v>40568</v>
      </c>
      <c r="K519" t="s">
        <v>27</v>
      </c>
      <c r="L519" t="s">
        <v>2427</v>
      </c>
      <c r="M519">
        <v>3</v>
      </c>
      <c r="N519" t="str">
        <f>L519</f>
        <v>NAM\MB1911</v>
      </c>
      <c r="O519" s="51">
        <f>J519</f>
        <v>40568</v>
      </c>
      <c r="P519" s="51" t="str">
        <f>C519</f>
        <v>~/cdd/olddocs/Ayudas visuales/Camarillo/Itron/CNWI-VSHP-000014 Rev. A (Retrabajo Convertir 28-3265-0001 a 28-3264-0001).pub</v>
      </c>
      <c r="Q519" s="51" t="str">
        <f>E519</f>
        <v>pub</v>
      </c>
      <c r="R519" s="51"/>
      <c r="S519" s="51"/>
      <c r="T519" s="51"/>
      <c r="U519" s="51"/>
      <c r="V519" s="51"/>
      <c r="W519" s="51"/>
      <c r="X519" s="51"/>
      <c r="Y519" s="51"/>
      <c r="Z519" s="51"/>
      <c r="AA519" s="51"/>
      <c r="AB519" s="51"/>
      <c r="AC519" s="51"/>
      <c r="AD519" s="51"/>
      <c r="AE519" t="s">
        <v>610</v>
      </c>
      <c r="AF519" t="s">
        <v>1473</v>
      </c>
      <c r="AG519" t="s">
        <v>2703</v>
      </c>
      <c r="AH519" s="51"/>
      <c r="AI519" s="51"/>
    </row>
    <row r="520" spans="2:35">
      <c r="B520" t="s">
        <v>2555</v>
      </c>
      <c r="C520" t="s">
        <v>3481</v>
      </c>
      <c r="D520">
        <v>6</v>
      </c>
      <c r="E520" t="s">
        <v>2795</v>
      </c>
      <c r="F520">
        <v>5</v>
      </c>
      <c r="G520">
        <v>10</v>
      </c>
      <c r="H520">
        <v>10</v>
      </c>
      <c r="I520" t="s">
        <v>2556</v>
      </c>
      <c r="J520" s="51">
        <v>40570</v>
      </c>
      <c r="K520" t="s">
        <v>27</v>
      </c>
      <c r="L520" t="s">
        <v>2427</v>
      </c>
      <c r="M520">
        <v>3</v>
      </c>
      <c r="N520" t="str">
        <f>L520</f>
        <v>NAM\MB1911</v>
      </c>
      <c r="O520" s="51">
        <f>J520</f>
        <v>40570</v>
      </c>
      <c r="P520" s="51" t="str">
        <f>C520</f>
        <v>~/cdd/olddocs/Ayudas visuales/Camarillo/Bonding/CNWI-VSHP-000015 Rev. A (000300-1561).pub</v>
      </c>
      <c r="Q520" s="51" t="str">
        <f>E520</f>
        <v>pub</v>
      </c>
      <c r="R520" s="51"/>
      <c r="S520" s="51"/>
      <c r="T520" s="51"/>
      <c r="U520" s="51"/>
      <c r="V520" s="51"/>
      <c r="W520" s="51"/>
      <c r="X520" s="51"/>
      <c r="Y520" s="51"/>
      <c r="Z520" s="51"/>
      <c r="AA520" s="51"/>
      <c r="AB520" s="51"/>
      <c r="AC520" s="51"/>
      <c r="AD520" s="51"/>
      <c r="AE520" t="s">
        <v>2558</v>
      </c>
      <c r="AF520" t="s">
        <v>1473</v>
      </c>
      <c r="AG520" t="s">
        <v>2557</v>
      </c>
      <c r="AH520" s="51"/>
      <c r="AI520" s="51"/>
    </row>
    <row r="521" spans="2:35">
      <c r="B521" t="s">
        <v>2634</v>
      </c>
      <c r="C521" t="s">
        <v>3502</v>
      </c>
      <c r="D521">
        <v>6</v>
      </c>
      <c r="E521" t="s">
        <v>2795</v>
      </c>
      <c r="F521">
        <v>5</v>
      </c>
      <c r="G521">
        <v>36</v>
      </c>
      <c r="H521">
        <v>26</v>
      </c>
      <c r="I521" t="s">
        <v>2635</v>
      </c>
      <c r="J521" s="51">
        <v>40570</v>
      </c>
      <c r="K521" t="s">
        <v>27</v>
      </c>
      <c r="L521" t="s">
        <v>2427</v>
      </c>
      <c r="M521">
        <v>3</v>
      </c>
      <c r="N521" t="str">
        <f>L521</f>
        <v>NAM\MB1911</v>
      </c>
      <c r="O521" s="51">
        <f>J521</f>
        <v>40570</v>
      </c>
      <c r="P521" s="51" t="str">
        <f>C521</f>
        <v>~/cdd/olddocs/Ayudas visuales/Camarillo/Ensamble general/CNWI-VSHP-000016 Rev. A (000201-4239).pub</v>
      </c>
      <c r="Q521" s="51" t="str">
        <f>E521</f>
        <v>pub</v>
      </c>
      <c r="R521" s="51"/>
      <c r="S521" s="51"/>
      <c r="T521" s="51"/>
      <c r="U521" s="51"/>
      <c r="V521" s="51"/>
      <c r="W521" s="51"/>
      <c r="X521" s="51"/>
      <c r="Y521" s="51"/>
      <c r="Z521" s="51"/>
      <c r="AA521" s="51"/>
      <c r="AB521" s="51"/>
      <c r="AC521" s="51"/>
      <c r="AD521" s="51"/>
      <c r="AE521" t="s">
        <v>2637</v>
      </c>
      <c r="AF521" t="s">
        <v>479</v>
      </c>
      <c r="AG521" t="s">
        <v>2636</v>
      </c>
      <c r="AH521" s="51"/>
      <c r="AI521" s="51"/>
    </row>
    <row r="522" spans="2:35">
      <c r="B522" t="s">
        <v>2559</v>
      </c>
      <c r="C522" t="s">
        <v>3482</v>
      </c>
      <c r="D522">
        <v>6</v>
      </c>
      <c r="E522" t="s">
        <v>2795</v>
      </c>
      <c r="F522">
        <v>5</v>
      </c>
      <c r="G522">
        <v>10</v>
      </c>
      <c r="H522">
        <v>10</v>
      </c>
      <c r="I522" t="s">
        <v>2560</v>
      </c>
      <c r="J522" s="51">
        <v>40545</v>
      </c>
      <c r="K522" t="s">
        <v>27</v>
      </c>
      <c r="L522" t="s">
        <v>2427</v>
      </c>
      <c r="M522">
        <v>3</v>
      </c>
      <c r="N522" t="str">
        <f>L522</f>
        <v>NAM\MB1911</v>
      </c>
      <c r="O522" s="51">
        <f>J522</f>
        <v>40545</v>
      </c>
      <c r="P522" s="51" t="str">
        <f>C522</f>
        <v>~/cdd/olddocs/Ayudas visuales/Camarillo/Bonding/CNWI-VSHP-000017 Rev. A (508432).pub</v>
      </c>
      <c r="Q522" s="51" t="str">
        <f>E522</f>
        <v>pub</v>
      </c>
      <c r="R522" s="51"/>
      <c r="S522" s="51"/>
      <c r="T522" s="51"/>
      <c r="U522" s="51"/>
      <c r="V522" s="51"/>
      <c r="W522" s="51"/>
      <c r="X522" s="51"/>
      <c r="Y522" s="51"/>
      <c r="Z522" s="51"/>
      <c r="AA522" s="51"/>
      <c r="AB522" s="51"/>
      <c r="AC522" s="51"/>
      <c r="AD522" s="51"/>
      <c r="AE522" t="s">
        <v>2561</v>
      </c>
      <c r="AF522" t="s">
        <v>1473</v>
      </c>
      <c r="AG522">
        <v>508432</v>
      </c>
      <c r="AH522" s="51"/>
      <c r="AI522" s="51"/>
    </row>
    <row r="523" spans="2:35">
      <c r="B523" t="s">
        <v>662</v>
      </c>
      <c r="C523" t="s">
        <v>3554</v>
      </c>
      <c r="D523">
        <v>6</v>
      </c>
      <c r="E523" t="s">
        <v>2795</v>
      </c>
      <c r="F523">
        <v>5</v>
      </c>
      <c r="G523">
        <v>12</v>
      </c>
      <c r="H523">
        <v>3</v>
      </c>
      <c r="I523" t="s">
        <v>665</v>
      </c>
      <c r="J523" s="51">
        <v>40625</v>
      </c>
      <c r="K523" t="s">
        <v>27</v>
      </c>
      <c r="L523" t="s">
        <v>605</v>
      </c>
      <c r="M523">
        <v>3</v>
      </c>
      <c r="N523" t="str">
        <f>L523</f>
        <v>NA/MB1049</v>
      </c>
      <c r="O523" s="51">
        <f>J523</f>
        <v>40625</v>
      </c>
      <c r="P523" s="51" t="str">
        <f>C523</f>
        <v>~/cdd/olddocs/Ayudas visuales/Micromini/A y B/CNWI-VSHP-000018 Rev. A (5000109_JS).pub</v>
      </c>
      <c r="Q523" s="51" t="str">
        <f>E523</f>
        <v>pub</v>
      </c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G523" t="s">
        <v>666</v>
      </c>
      <c r="AH523" s="51"/>
      <c r="AI523" s="51"/>
    </row>
    <row r="524" spans="2:35">
      <c r="B524" t="s">
        <v>667</v>
      </c>
      <c r="C524" t="s">
        <v>3555</v>
      </c>
      <c r="D524">
        <v>6</v>
      </c>
      <c r="E524" t="s">
        <v>2795</v>
      </c>
      <c r="F524">
        <v>5</v>
      </c>
      <c r="G524">
        <v>12</v>
      </c>
      <c r="H524">
        <v>3</v>
      </c>
      <c r="I524" t="s">
        <v>668</v>
      </c>
      <c r="J524" s="51">
        <v>40574</v>
      </c>
      <c r="K524" t="s">
        <v>27</v>
      </c>
      <c r="L524" t="s">
        <v>605</v>
      </c>
      <c r="M524">
        <v>3</v>
      </c>
      <c r="N524" t="str">
        <f>L524</f>
        <v>NA/MB1049</v>
      </c>
      <c r="O524" s="51">
        <f>J524</f>
        <v>40574</v>
      </c>
      <c r="P524" s="51" t="str">
        <f>C524</f>
        <v>~/cdd/olddocs/Ayudas visuales/Micromini/A y B/CNWI-VSHP-000019 Rev. A (5000111-BW).pub</v>
      </c>
      <c r="Q524" s="51" t="str">
        <f>E524</f>
        <v>pub</v>
      </c>
      <c r="R524" s="51"/>
      <c r="S524" s="51"/>
      <c r="T524" s="51"/>
      <c r="U524" s="51"/>
      <c r="V524" s="51"/>
      <c r="W524" s="51"/>
      <c r="X524" s="51"/>
      <c r="Y524" s="51"/>
      <c r="Z524" s="51"/>
      <c r="AA524" s="51"/>
      <c r="AB524" s="51"/>
      <c r="AC524" s="51"/>
      <c r="AD524" s="51"/>
      <c r="AG524" t="s">
        <v>28</v>
      </c>
      <c r="AH524" s="51"/>
      <c r="AI524" s="51"/>
    </row>
    <row r="525" spans="2:35">
      <c r="B525" t="s">
        <v>669</v>
      </c>
      <c r="C525" t="s">
        <v>3556</v>
      </c>
      <c r="D525">
        <v>6</v>
      </c>
      <c r="E525" t="s">
        <v>2795</v>
      </c>
      <c r="F525">
        <v>5</v>
      </c>
      <c r="G525">
        <v>12</v>
      </c>
      <c r="H525">
        <v>3</v>
      </c>
      <c r="I525" t="s">
        <v>670</v>
      </c>
      <c r="J525" s="51">
        <v>40574</v>
      </c>
      <c r="K525" t="s">
        <v>27</v>
      </c>
      <c r="L525" t="s">
        <v>605</v>
      </c>
      <c r="M525">
        <v>3</v>
      </c>
      <c r="N525" t="str">
        <f>L525</f>
        <v>NA/MB1049</v>
      </c>
      <c r="O525" s="51">
        <f>J525</f>
        <v>40574</v>
      </c>
      <c r="P525" s="51" t="str">
        <f>C525</f>
        <v>~/cdd/olddocs/Ayudas visuales/Micromini/A y B/CNWI-VSHP-000020 Rev. A (5000109R).pub</v>
      </c>
      <c r="Q525" s="51" t="str">
        <f>E525</f>
        <v>pub</v>
      </c>
      <c r="R525" s="51"/>
      <c r="S525" s="51"/>
      <c r="T525" s="51"/>
      <c r="U525" s="51"/>
      <c r="V525" s="51"/>
      <c r="W525" s="51"/>
      <c r="X525" s="51"/>
      <c r="Y525" s="51"/>
      <c r="Z525" s="51"/>
      <c r="AA525" s="51"/>
      <c r="AB525" s="51"/>
      <c r="AC525" s="51"/>
      <c r="AD525" s="51"/>
      <c r="AG525" t="s">
        <v>28</v>
      </c>
      <c r="AH525" s="51"/>
      <c r="AI525" s="51"/>
    </row>
    <row r="526" spans="2:35">
      <c r="B526" t="s">
        <v>671</v>
      </c>
      <c r="C526" t="s">
        <v>3822</v>
      </c>
      <c r="D526">
        <v>6</v>
      </c>
      <c r="E526" t="s">
        <v>2795</v>
      </c>
      <c r="F526">
        <v>5</v>
      </c>
      <c r="G526">
        <v>12</v>
      </c>
      <c r="H526">
        <v>3</v>
      </c>
      <c r="I526" t="s">
        <v>672</v>
      </c>
      <c r="J526" s="51">
        <v>40575</v>
      </c>
      <c r="K526" t="s">
        <v>27</v>
      </c>
      <c r="L526" t="s">
        <v>605</v>
      </c>
      <c r="M526">
        <v>3</v>
      </c>
      <c r="N526" t="str">
        <f>L526</f>
        <v>NA/MB1049</v>
      </c>
      <c r="O526" s="51">
        <f>J526</f>
        <v>40575</v>
      </c>
      <c r="P526" s="51" t="str">
        <f>C526</f>
        <v>~cdd/olddocs/Ayudas visuales/Micromini/A y B/CNWI-VSHP-000021 Rev. A (5000117-GP5).pub</v>
      </c>
      <c r="Q526" s="51" t="str">
        <f>E526</f>
        <v>pub</v>
      </c>
      <c r="R526" s="51"/>
      <c r="S526" s="51"/>
      <c r="T526" s="51"/>
      <c r="U526" s="51"/>
      <c r="V526" s="51"/>
      <c r="W526" s="51"/>
      <c r="X526" s="51"/>
      <c r="Y526" s="51"/>
      <c r="Z526" s="51"/>
      <c r="AA526" s="51"/>
      <c r="AB526" s="51"/>
      <c r="AC526" s="51"/>
      <c r="AD526" s="51"/>
      <c r="AG526" t="s">
        <v>673</v>
      </c>
      <c r="AH526" s="51"/>
      <c r="AI526" s="51"/>
    </row>
    <row r="527" spans="2:35">
      <c r="B527" t="s">
        <v>674</v>
      </c>
      <c r="C527" t="s">
        <v>3557</v>
      </c>
      <c r="D527">
        <v>6</v>
      </c>
      <c r="E527" t="s">
        <v>2795</v>
      </c>
      <c r="F527">
        <v>5</v>
      </c>
      <c r="G527">
        <v>12</v>
      </c>
      <c r="H527">
        <v>3</v>
      </c>
      <c r="I527" t="s">
        <v>675</v>
      </c>
      <c r="J527" s="51">
        <v>40575</v>
      </c>
      <c r="K527" t="s">
        <v>27</v>
      </c>
      <c r="L527" t="s">
        <v>605</v>
      </c>
      <c r="M527">
        <v>3</v>
      </c>
      <c r="N527" t="str">
        <f>L527</f>
        <v>NA/MB1049</v>
      </c>
      <c r="O527" s="51">
        <f>J527</f>
        <v>40575</v>
      </c>
      <c r="P527" s="51" t="str">
        <f>C527</f>
        <v>~/cdd/olddocs/Ayudas visuales/Micromini/A y B/CNWI-VSHP-000022 Rev. A (5000118-A).pub</v>
      </c>
      <c r="Q527" s="51" t="str">
        <f>E527</f>
        <v>pub</v>
      </c>
      <c r="R527" s="51"/>
      <c r="S527" s="51"/>
      <c r="T527" s="51"/>
      <c r="U527" s="51"/>
      <c r="V527" s="51"/>
      <c r="W527" s="51"/>
      <c r="X527" s="51"/>
      <c r="Y527" s="51"/>
      <c r="Z527" s="51"/>
      <c r="AA527" s="51"/>
      <c r="AB527" s="51"/>
      <c r="AC527" s="51"/>
      <c r="AD527" s="51"/>
      <c r="AG527" t="s">
        <v>28</v>
      </c>
      <c r="AH527" s="51"/>
      <c r="AI527" s="51"/>
    </row>
    <row r="528" spans="2:35">
      <c r="B528" t="s">
        <v>676</v>
      </c>
      <c r="C528" t="s">
        <v>3558</v>
      </c>
      <c r="D528">
        <v>6</v>
      </c>
      <c r="E528" t="s">
        <v>2795</v>
      </c>
      <c r="F528">
        <v>5</v>
      </c>
      <c r="G528">
        <v>12</v>
      </c>
      <c r="H528">
        <v>3</v>
      </c>
      <c r="I528" t="s">
        <v>677</v>
      </c>
      <c r="J528" s="51">
        <v>40578</v>
      </c>
      <c r="K528" t="s">
        <v>27</v>
      </c>
      <c r="L528" t="s">
        <v>605</v>
      </c>
      <c r="M528">
        <v>3</v>
      </c>
      <c r="N528" t="str">
        <f>L528</f>
        <v>NA/MB1049</v>
      </c>
      <c r="O528" s="51">
        <f>J528</f>
        <v>40578</v>
      </c>
      <c r="P528" s="51" t="str">
        <f>C528</f>
        <v>~/cdd/olddocs/Ayudas visuales/Micromini/A y B/CNWI-VSHP-000023 Rev. A (5000129-AZ).pub</v>
      </c>
      <c r="Q528" s="51" t="str">
        <f>E528</f>
        <v>pub</v>
      </c>
      <c r="R528" s="51"/>
      <c r="S528" s="51"/>
      <c r="T528" s="51"/>
      <c r="U528" s="51"/>
      <c r="V528" s="51"/>
      <c r="W528" s="51"/>
      <c r="X528" s="51"/>
      <c r="Y528" s="51"/>
      <c r="Z528" s="51"/>
      <c r="AA528" s="51"/>
      <c r="AB528" s="51"/>
      <c r="AC528" s="51"/>
      <c r="AD528" s="51"/>
      <c r="AG528" t="s">
        <v>28</v>
      </c>
      <c r="AH528" s="51"/>
      <c r="AI528" s="51"/>
    </row>
    <row r="529" spans="2:35">
      <c r="B529" t="s">
        <v>678</v>
      </c>
      <c r="C529" t="s">
        <v>3559</v>
      </c>
      <c r="D529">
        <v>6</v>
      </c>
      <c r="E529" t="s">
        <v>2795</v>
      </c>
      <c r="F529">
        <v>5</v>
      </c>
      <c r="G529">
        <v>12</v>
      </c>
      <c r="H529">
        <v>3</v>
      </c>
      <c r="I529" t="s">
        <v>679</v>
      </c>
      <c r="J529" s="51">
        <v>40578</v>
      </c>
      <c r="K529" t="s">
        <v>27</v>
      </c>
      <c r="L529" t="s">
        <v>605</v>
      </c>
      <c r="M529">
        <v>3</v>
      </c>
      <c r="N529" t="str">
        <f>L529</f>
        <v>NA/MB1049</v>
      </c>
      <c r="O529" s="51">
        <f>J529</f>
        <v>40578</v>
      </c>
      <c r="P529" s="51" t="str">
        <f>C529</f>
        <v>~/cdd/olddocs/Ayudas visuales/Micromini/A y B/CNWI-VSHP-000024 Rev. B (DM4Q2M24E-A).pub</v>
      </c>
      <c r="Q529" s="51" t="str">
        <f>E529</f>
        <v>pub</v>
      </c>
      <c r="R529" s="51"/>
      <c r="S529" s="51"/>
      <c r="T529" s="51"/>
      <c r="U529" s="51"/>
      <c r="V529" s="51"/>
      <c r="W529" s="51"/>
      <c r="X529" s="51"/>
      <c r="Y529" s="51"/>
      <c r="Z529" s="51"/>
      <c r="AA529" s="51"/>
      <c r="AB529" s="51"/>
      <c r="AC529" s="51"/>
      <c r="AD529" s="51"/>
      <c r="AG529" t="s">
        <v>28</v>
      </c>
      <c r="AH529" s="51"/>
      <c r="AI529" s="51"/>
    </row>
    <row r="530" spans="2:35">
      <c r="B530" t="s">
        <v>789</v>
      </c>
      <c r="C530" t="s">
        <v>3622</v>
      </c>
      <c r="D530">
        <v>6</v>
      </c>
      <c r="E530" t="s">
        <v>2793</v>
      </c>
      <c r="F530">
        <v>5</v>
      </c>
      <c r="G530">
        <v>12</v>
      </c>
      <c r="H530">
        <v>18</v>
      </c>
      <c r="I530" t="s">
        <v>790</v>
      </c>
      <c r="J530" s="51">
        <v>41046</v>
      </c>
      <c r="K530" t="s">
        <v>46</v>
      </c>
      <c r="L530" t="s">
        <v>605</v>
      </c>
      <c r="M530">
        <v>3</v>
      </c>
      <c r="N530" t="str">
        <f>L530</f>
        <v>NA/MB1049</v>
      </c>
      <c r="O530" s="51">
        <f>J530</f>
        <v>41046</v>
      </c>
      <c r="P530" s="51" t="str">
        <f>C530</f>
        <v>~/cdd/olddocs/Ayudas visuales/Micromini/Potted/CNWI-VSHP-000025 Rev B  EMPAQUE POTTED 5000129-CF.pptx</v>
      </c>
      <c r="Q530" s="51" t="str">
        <f>E530</f>
        <v>pptx</v>
      </c>
      <c r="R530" s="51"/>
      <c r="S530" s="51"/>
      <c r="T530" s="51"/>
      <c r="U530" s="51"/>
      <c r="V530" s="51"/>
      <c r="W530" s="51"/>
      <c r="X530" s="51"/>
      <c r="Y530" s="51"/>
      <c r="Z530" s="51"/>
      <c r="AA530" s="51"/>
      <c r="AB530" s="51"/>
      <c r="AC530" s="51"/>
      <c r="AD530" s="51"/>
      <c r="AE530" t="s">
        <v>30</v>
      </c>
      <c r="AF530" t="s">
        <v>90</v>
      </c>
      <c r="AG530" t="s">
        <v>28</v>
      </c>
      <c r="AH530" s="51"/>
      <c r="AI530" s="51"/>
    </row>
    <row r="531" spans="2:35">
      <c r="B531" t="s">
        <v>791</v>
      </c>
      <c r="C531" t="s">
        <v>3623</v>
      </c>
      <c r="D531">
        <v>6</v>
      </c>
      <c r="E531" t="s">
        <v>2795</v>
      </c>
      <c r="F531">
        <v>5</v>
      </c>
      <c r="G531">
        <v>12</v>
      </c>
      <c r="H531">
        <v>18</v>
      </c>
      <c r="I531" t="s">
        <v>792</v>
      </c>
      <c r="J531" s="51">
        <v>40578</v>
      </c>
      <c r="K531" t="s">
        <v>27</v>
      </c>
      <c r="L531" t="s">
        <v>605</v>
      </c>
      <c r="M531">
        <v>3</v>
      </c>
      <c r="N531" t="str">
        <f>L531</f>
        <v>NA/MB1049</v>
      </c>
      <c r="O531" s="51">
        <f>J531</f>
        <v>40578</v>
      </c>
      <c r="P531" s="51" t="str">
        <f>C531</f>
        <v>~/cdd/olddocs/Ayudas visuales/Micromini/Potted/CNWI-VSHP-000026 Rev. A (A88N-F5AFA1-1F).pub</v>
      </c>
      <c r="Q531" s="51" t="str">
        <f>E531</f>
        <v>pub</v>
      </c>
      <c r="R531" s="51"/>
      <c r="S531" s="51"/>
      <c r="T531" s="51"/>
      <c r="U531" s="51"/>
      <c r="V531" s="51"/>
      <c r="W531" s="51"/>
      <c r="X531" s="51"/>
      <c r="Y531" s="51"/>
      <c r="Z531" s="51"/>
      <c r="AA531" s="51"/>
      <c r="AB531" s="51"/>
      <c r="AC531" s="51"/>
      <c r="AD531" s="51"/>
      <c r="AG531" t="s">
        <v>28</v>
      </c>
      <c r="AH531" s="51"/>
      <c r="AI531" s="51"/>
    </row>
    <row r="532" spans="2:35">
      <c r="B532" t="s">
        <v>2704</v>
      </c>
      <c r="C532" t="s">
        <v>3525</v>
      </c>
      <c r="D532">
        <v>6</v>
      </c>
      <c r="E532" t="s">
        <v>2795</v>
      </c>
      <c r="F532">
        <v>5</v>
      </c>
      <c r="G532">
        <v>9</v>
      </c>
      <c r="H532">
        <v>8</v>
      </c>
      <c r="I532" t="s">
        <v>2705</v>
      </c>
      <c r="J532" s="51">
        <v>40674</v>
      </c>
      <c r="K532" t="s">
        <v>46</v>
      </c>
      <c r="L532" t="s">
        <v>2427</v>
      </c>
      <c r="M532">
        <v>3</v>
      </c>
      <c r="N532" t="str">
        <f>L532</f>
        <v>NAM\MB1911</v>
      </c>
      <c r="O532" s="51">
        <f>J532</f>
        <v>40674</v>
      </c>
      <c r="P532" s="51" t="str">
        <f>C532</f>
        <v>~/cdd/olddocs/Ayudas visuales/Camarillo/Itron/CNWI-VSHP-000027 Rev. B (CBA-0200-010).pub</v>
      </c>
      <c r="Q532" s="51" t="str">
        <f>E532</f>
        <v>pub</v>
      </c>
      <c r="R532" s="51"/>
      <c r="S532" s="51"/>
      <c r="T532" s="51"/>
      <c r="U532" s="51"/>
      <c r="V532" s="51"/>
      <c r="W532" s="51"/>
      <c r="X532" s="51"/>
      <c r="Y532" s="51"/>
      <c r="Z532" s="51"/>
      <c r="AA532" s="51"/>
      <c r="AB532" s="51"/>
      <c r="AC532" s="51"/>
      <c r="AD532" s="51"/>
      <c r="AG532" t="s">
        <v>28</v>
      </c>
      <c r="AH532" s="51"/>
      <c r="AI532" s="51"/>
    </row>
    <row r="533" spans="2:35">
      <c r="B533" t="s">
        <v>680</v>
      </c>
      <c r="C533" t="s">
        <v>3560</v>
      </c>
      <c r="D533">
        <v>6</v>
      </c>
      <c r="E533" t="s">
        <v>2795</v>
      </c>
      <c r="F533">
        <v>5</v>
      </c>
      <c r="G533">
        <v>12</v>
      </c>
      <c r="H533">
        <v>3</v>
      </c>
      <c r="I533" t="s">
        <v>681</v>
      </c>
      <c r="J533" s="51">
        <v>40578</v>
      </c>
      <c r="K533" t="s">
        <v>27</v>
      </c>
      <c r="L533" t="s">
        <v>605</v>
      </c>
      <c r="M533">
        <v>3</v>
      </c>
      <c r="N533" t="str">
        <f>L533</f>
        <v>NA/MB1049</v>
      </c>
      <c r="O533" s="51">
        <f>J533</f>
        <v>40578</v>
      </c>
      <c r="P533" s="51" t="str">
        <f>C533</f>
        <v>~/cdd/olddocs/Ayudas visuales/Micromini/A y B/CNWI-VSHP-000028 Rev. A (5000118-DW).pub</v>
      </c>
      <c r="Q533" s="51" t="str">
        <f>E533</f>
        <v>pub</v>
      </c>
      <c r="R533" s="51"/>
      <c r="S533" s="51"/>
      <c r="T533" s="51"/>
      <c r="U533" s="51"/>
      <c r="V533" s="51"/>
      <c r="W533" s="51"/>
      <c r="X533" s="51"/>
      <c r="Y533" s="51"/>
      <c r="Z533" s="51"/>
      <c r="AA533" s="51"/>
      <c r="AB533" s="51"/>
      <c r="AC533" s="51"/>
      <c r="AD533" s="51"/>
      <c r="AG533" t="s">
        <v>28</v>
      </c>
      <c r="AH533" s="51"/>
      <c r="AI533" s="51"/>
    </row>
    <row r="534" spans="2:35">
      <c r="B534" t="s">
        <v>2638</v>
      </c>
      <c r="C534" t="s">
        <v>3503</v>
      </c>
      <c r="D534">
        <v>6</v>
      </c>
      <c r="E534" t="s">
        <v>2795</v>
      </c>
      <c r="F534">
        <v>5</v>
      </c>
      <c r="G534">
        <v>36</v>
      </c>
      <c r="H534">
        <v>26</v>
      </c>
      <c r="I534" t="s">
        <v>2639</v>
      </c>
      <c r="J534" s="51">
        <v>40788</v>
      </c>
      <c r="K534" t="s">
        <v>27</v>
      </c>
      <c r="L534" t="s">
        <v>2427</v>
      </c>
      <c r="M534">
        <v>3</v>
      </c>
      <c r="N534" t="str">
        <f>L534</f>
        <v>NAM\MB1911</v>
      </c>
      <c r="O534" s="51">
        <f>J534</f>
        <v>40788</v>
      </c>
      <c r="P534" s="51" t="str">
        <f>C534</f>
        <v>~/cdd/olddocs/Ayudas visuales/Camarillo/Ensamble general/CNWI-VSHP-000029 Rev. A (000300-1304).pub</v>
      </c>
      <c r="Q534" s="51" t="str">
        <f>E534</f>
        <v>pub</v>
      </c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t="s">
        <v>2640</v>
      </c>
      <c r="AF534" t="s">
        <v>479</v>
      </c>
      <c r="AG534" t="s">
        <v>28</v>
      </c>
      <c r="AH534" s="51"/>
      <c r="AI534" s="51"/>
    </row>
    <row r="535" spans="2:35">
      <c r="B535" t="s">
        <v>2767</v>
      </c>
      <c r="C535" t="s">
        <v>3526</v>
      </c>
      <c r="D535">
        <v>6</v>
      </c>
      <c r="E535" t="s">
        <v>2795</v>
      </c>
      <c r="F535">
        <v>5</v>
      </c>
      <c r="G535">
        <v>9</v>
      </c>
      <c r="H535">
        <v>13</v>
      </c>
      <c r="I535" t="s">
        <v>2768</v>
      </c>
      <c r="J535" s="51">
        <v>40788</v>
      </c>
      <c r="K535" t="s">
        <v>27</v>
      </c>
      <c r="L535" t="s">
        <v>2427</v>
      </c>
      <c r="M535">
        <v>3</v>
      </c>
      <c r="N535" t="str">
        <f>L535</f>
        <v>NAM\MB1911</v>
      </c>
      <c r="O535" s="51">
        <f>J535</f>
        <v>40788</v>
      </c>
      <c r="P535" s="51" t="str">
        <f>C535</f>
        <v>~/cdd/olddocs/Ayudas visuales/Camarillo/Itron/CNWI-VSHP-000030 Rev.A Retrabajo (Convertir 28-3267-0001 a 28-3264-0001).pub</v>
      </c>
      <c r="Q535" s="51" t="str">
        <f>E535</f>
        <v>pub</v>
      </c>
      <c r="R535" s="51"/>
      <c r="S535" s="51"/>
      <c r="T535" s="51"/>
      <c r="U535" s="51"/>
      <c r="V535" s="51"/>
      <c r="W535" s="51"/>
      <c r="X535" s="51"/>
      <c r="Y535" s="51"/>
      <c r="Z535" s="51"/>
      <c r="AA535" s="51"/>
      <c r="AB535" s="51"/>
      <c r="AC535" s="51"/>
      <c r="AD535" s="51"/>
      <c r="AG535" t="s">
        <v>28</v>
      </c>
      <c r="AH535" s="51"/>
      <c r="AI535" s="51"/>
    </row>
    <row r="536" spans="2:35">
      <c r="B536" t="s">
        <v>2641</v>
      </c>
      <c r="C536" t="s">
        <v>3504</v>
      </c>
      <c r="D536">
        <v>6</v>
      </c>
      <c r="E536" t="s">
        <v>2795</v>
      </c>
      <c r="F536">
        <v>5</v>
      </c>
      <c r="G536">
        <v>36</v>
      </c>
      <c r="H536">
        <v>26</v>
      </c>
      <c r="I536" t="s">
        <v>2642</v>
      </c>
      <c r="J536" s="51">
        <v>40849</v>
      </c>
      <c r="K536" t="s">
        <v>27</v>
      </c>
      <c r="L536" t="s">
        <v>2427</v>
      </c>
      <c r="M536">
        <v>3</v>
      </c>
      <c r="N536" t="str">
        <f>L536</f>
        <v>NAM\MB1911</v>
      </c>
      <c r="O536" s="51">
        <f>J536</f>
        <v>40849</v>
      </c>
      <c r="P536" s="51" t="str">
        <f>C536</f>
        <v>~/cdd/olddocs/Ayudas visuales/Camarillo/Ensamble general/CNWI-VSHP-000031 Rev.A 000292-0000.pub</v>
      </c>
      <c r="Q536" s="51" t="str">
        <f>E536</f>
        <v>pub</v>
      </c>
      <c r="R536" s="51"/>
      <c r="S536" s="51"/>
      <c r="T536" s="51"/>
      <c r="U536" s="51"/>
      <c r="V536" s="51"/>
      <c r="W536" s="51"/>
      <c r="X536" s="51"/>
      <c r="Y536" s="51"/>
      <c r="Z536" s="51"/>
      <c r="AA536" s="51"/>
      <c r="AB536" s="51"/>
      <c r="AC536" s="51"/>
      <c r="AD536" s="51"/>
      <c r="AE536" t="s">
        <v>2643</v>
      </c>
      <c r="AF536" t="s">
        <v>479</v>
      </c>
      <c r="AG536" t="s">
        <v>28</v>
      </c>
      <c r="AH536" s="51"/>
      <c r="AI536" s="51"/>
    </row>
    <row r="537" spans="2:35">
      <c r="B537" t="s">
        <v>770</v>
      </c>
      <c r="C537" t="s">
        <v>3825</v>
      </c>
      <c r="D537">
        <v>6</v>
      </c>
      <c r="E537" t="s">
        <v>2795</v>
      </c>
      <c r="F537">
        <v>5</v>
      </c>
      <c r="G537">
        <v>12</v>
      </c>
      <c r="H537">
        <v>16</v>
      </c>
      <c r="I537" t="s">
        <v>771</v>
      </c>
      <c r="J537" s="51">
        <v>40818</v>
      </c>
      <c r="K537" t="s">
        <v>27</v>
      </c>
      <c r="L537" t="s">
        <v>605</v>
      </c>
      <c r="M537">
        <v>3</v>
      </c>
      <c r="N537" t="str">
        <f>L537</f>
        <v>NA/MB1049</v>
      </c>
      <c r="O537" s="51">
        <f>J537</f>
        <v>40818</v>
      </c>
      <c r="P537" s="51" t="str">
        <f>C537</f>
        <v>~cdd/olddocs/Ayudas visuales/Micromini/MS/CNWI-VSHP-000032 Rev. A (Colocacion de loctite).pub</v>
      </c>
      <c r="Q537" s="51" t="str">
        <f>E537</f>
        <v>pub</v>
      </c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G537" t="s">
        <v>88</v>
      </c>
      <c r="AH537" s="51"/>
      <c r="AI537" s="51"/>
    </row>
    <row r="538" spans="2:35">
      <c r="B538" t="s">
        <v>682</v>
      </c>
      <c r="C538" t="s">
        <v>3561</v>
      </c>
      <c r="D538">
        <v>6</v>
      </c>
      <c r="E538" t="s">
        <v>2795</v>
      </c>
      <c r="F538">
        <v>5</v>
      </c>
      <c r="G538">
        <v>12</v>
      </c>
      <c r="H538">
        <v>3</v>
      </c>
      <c r="I538" t="s">
        <v>683</v>
      </c>
      <c r="J538" s="51">
        <v>40818</v>
      </c>
      <c r="K538" t="s">
        <v>27</v>
      </c>
      <c r="L538" t="s">
        <v>605</v>
      </c>
      <c r="M538">
        <v>3</v>
      </c>
      <c r="N538" t="str">
        <f>L538</f>
        <v>NA/MB1049</v>
      </c>
      <c r="O538" s="51">
        <f>J538</f>
        <v>40818</v>
      </c>
      <c r="P538" s="51" t="str">
        <f>C538</f>
        <v>~/cdd/olddocs/Ayudas visuales/Micromini/A y B/CNWI-VSHP-000033 Rev.A 5000129-X.pub</v>
      </c>
      <c r="Q538" s="51" t="str">
        <f>E538</f>
        <v>pub</v>
      </c>
      <c r="R538" s="51"/>
      <c r="S538" s="51"/>
      <c r="T538" s="51"/>
      <c r="U538" s="51"/>
      <c r="V538" s="51"/>
      <c r="W538" s="51"/>
      <c r="X538" s="51"/>
      <c r="Y538" s="51"/>
      <c r="Z538" s="51"/>
      <c r="AA538" s="51"/>
      <c r="AB538" s="51"/>
      <c r="AC538" s="51"/>
      <c r="AD538" s="51"/>
      <c r="AG538" t="s">
        <v>28</v>
      </c>
      <c r="AH538" s="51"/>
      <c r="AI538" s="51"/>
    </row>
    <row r="539" spans="2:35">
      <c r="B539" t="s">
        <v>2644</v>
      </c>
      <c r="C539" t="s">
        <v>3505</v>
      </c>
      <c r="D539">
        <v>6</v>
      </c>
      <c r="E539" t="s">
        <v>2795</v>
      </c>
      <c r="F539">
        <v>5</v>
      </c>
      <c r="G539">
        <v>36</v>
      </c>
      <c r="H539">
        <v>26</v>
      </c>
      <c r="I539" t="s">
        <v>2645</v>
      </c>
      <c r="J539" s="51">
        <v>40589</v>
      </c>
      <c r="K539" t="s">
        <v>27</v>
      </c>
      <c r="L539" t="s">
        <v>2427</v>
      </c>
      <c r="M539">
        <v>3</v>
      </c>
      <c r="N539" t="str">
        <f>L539</f>
        <v>NAM\MB1911</v>
      </c>
      <c r="O539" s="51">
        <f>J539</f>
        <v>40589</v>
      </c>
      <c r="P539" s="51" t="str">
        <f>C539</f>
        <v>~/cdd/olddocs/Ayudas visuales/Camarillo/Ensamble general/CNWI-VSHP-000035 Rev. A. (000231-3854).pub</v>
      </c>
      <c r="Q539" s="51" t="str">
        <f>E539</f>
        <v>pub</v>
      </c>
      <c r="R539" s="51"/>
      <c r="S539" s="51"/>
      <c r="T539" s="51"/>
      <c r="U539" s="51"/>
      <c r="V539" s="51"/>
      <c r="W539" s="51"/>
      <c r="X539" s="51"/>
      <c r="Y539" s="51"/>
      <c r="Z539" s="51"/>
      <c r="AA539" s="51"/>
      <c r="AB539" s="51"/>
      <c r="AC539" s="51"/>
      <c r="AD539" s="51"/>
      <c r="AE539" t="s">
        <v>2637</v>
      </c>
      <c r="AF539" t="s">
        <v>479</v>
      </c>
      <c r="AG539" t="s">
        <v>2646</v>
      </c>
      <c r="AH539" s="51"/>
      <c r="AI539" s="51"/>
    </row>
    <row r="540" spans="2:35">
      <c r="B540" t="s">
        <v>2647</v>
      </c>
      <c r="C540" t="s">
        <v>3506</v>
      </c>
      <c r="D540">
        <v>6</v>
      </c>
      <c r="E540" t="s">
        <v>2795</v>
      </c>
      <c r="F540">
        <v>5</v>
      </c>
      <c r="G540">
        <v>36</v>
      </c>
      <c r="H540">
        <v>26</v>
      </c>
      <c r="I540" t="s">
        <v>2648</v>
      </c>
      <c r="J540" s="51">
        <v>40589</v>
      </c>
      <c r="K540" t="s">
        <v>27</v>
      </c>
      <c r="L540" t="s">
        <v>2427</v>
      </c>
      <c r="M540">
        <v>3</v>
      </c>
      <c r="N540" t="str">
        <f>L540</f>
        <v>NAM\MB1911</v>
      </c>
      <c r="O540" s="51">
        <f>J540</f>
        <v>40589</v>
      </c>
      <c r="P540" s="51" t="str">
        <f>C540</f>
        <v>~/cdd/olddocs/Ayudas visuales/Camarillo/Ensamble general/CNWI-VSHP-000036 Rev. A (004006-0000).pub</v>
      </c>
      <c r="Q540" s="51" t="str">
        <f>E540</f>
        <v>pub</v>
      </c>
      <c r="R540" s="51"/>
      <c r="S540" s="51"/>
      <c r="T540" s="51"/>
      <c r="U540" s="51"/>
      <c r="V540" s="51"/>
      <c r="W540" s="51"/>
      <c r="X540" s="51"/>
      <c r="Y540" s="51"/>
      <c r="Z540" s="51"/>
      <c r="AA540" s="51"/>
      <c r="AB540" s="51"/>
      <c r="AC540" s="51"/>
      <c r="AD540" s="51"/>
      <c r="AE540" t="s">
        <v>2637</v>
      </c>
      <c r="AF540" t="s">
        <v>479</v>
      </c>
      <c r="AG540" t="s">
        <v>2649</v>
      </c>
      <c r="AH540" s="51"/>
      <c r="AI540" s="51"/>
    </row>
    <row r="541" spans="2:35">
      <c r="B541" t="s">
        <v>2562</v>
      </c>
      <c r="C541" t="s">
        <v>3483</v>
      </c>
      <c r="D541">
        <v>6</v>
      </c>
      <c r="E541" t="s">
        <v>2795</v>
      </c>
      <c r="F541">
        <v>5</v>
      </c>
      <c r="G541">
        <v>10</v>
      </c>
      <c r="H541">
        <v>10</v>
      </c>
      <c r="I541" t="s">
        <v>2563</v>
      </c>
      <c r="J541" s="51">
        <v>40589</v>
      </c>
      <c r="K541" t="s">
        <v>27</v>
      </c>
      <c r="L541" t="s">
        <v>2427</v>
      </c>
      <c r="M541">
        <v>3</v>
      </c>
      <c r="N541" t="str">
        <f>L541</f>
        <v>NAM\MB1911</v>
      </c>
      <c r="O541" s="51">
        <f>J541</f>
        <v>40589</v>
      </c>
      <c r="P541" s="51" t="str">
        <f>C541</f>
        <v>~/cdd/olddocs/Ayudas visuales/Camarillo/Bonding/CNWI-VSHP-000038 Rev. A (000300-1562).pub</v>
      </c>
      <c r="Q541" s="51" t="str">
        <f>E541</f>
        <v>pub</v>
      </c>
      <c r="R541" s="51"/>
      <c r="S541" s="51"/>
      <c r="T541" s="51"/>
      <c r="U541" s="51"/>
      <c r="V541" s="51"/>
      <c r="W541" s="51"/>
      <c r="X541" s="51"/>
      <c r="Y541" s="51"/>
      <c r="Z541" s="51"/>
      <c r="AA541" s="51"/>
      <c r="AB541" s="51"/>
      <c r="AC541" s="51"/>
      <c r="AD541" s="51"/>
      <c r="AE541" t="s">
        <v>2565</v>
      </c>
      <c r="AF541" t="s">
        <v>1473</v>
      </c>
      <c r="AG541" t="s">
        <v>2564</v>
      </c>
      <c r="AH541" s="51"/>
      <c r="AI541" s="51"/>
    </row>
    <row r="542" spans="2:35">
      <c r="B542" t="s">
        <v>2650</v>
      </c>
      <c r="C542" t="s">
        <v>3507</v>
      </c>
      <c r="D542">
        <v>6</v>
      </c>
      <c r="E542" t="s">
        <v>2795</v>
      </c>
      <c r="F542">
        <v>5</v>
      </c>
      <c r="G542">
        <v>36</v>
      </c>
      <c r="H542">
        <v>26</v>
      </c>
      <c r="I542" t="s">
        <v>2651</v>
      </c>
      <c r="J542" s="51">
        <v>40589</v>
      </c>
      <c r="K542" t="s">
        <v>27</v>
      </c>
      <c r="L542" t="s">
        <v>2427</v>
      </c>
      <c r="M542">
        <v>3</v>
      </c>
      <c r="N542" t="str">
        <f>L542</f>
        <v>NAM\MB1911</v>
      </c>
      <c r="O542" s="51">
        <f>J542</f>
        <v>40589</v>
      </c>
      <c r="P542" s="51" t="str">
        <f>C542</f>
        <v>~/cdd/olddocs/Ayudas visuales/Camarillo/Ensamble general/CNWI-VSHP-000039 Rev.A (004008-0000).pub</v>
      </c>
      <c r="Q542" s="51" t="str">
        <f>E542</f>
        <v>pub</v>
      </c>
      <c r="R542" s="51"/>
      <c r="S542" s="51"/>
      <c r="T542" s="51"/>
      <c r="U542" s="51"/>
      <c r="V542" s="51"/>
      <c r="W542" s="51"/>
      <c r="X542" s="51"/>
      <c r="Y542" s="51"/>
      <c r="Z542" s="51"/>
      <c r="AA542" s="51"/>
      <c r="AB542" s="51"/>
      <c r="AC542" s="51"/>
      <c r="AD542" s="51"/>
      <c r="AE542" t="s">
        <v>2637</v>
      </c>
      <c r="AF542" t="s">
        <v>479</v>
      </c>
      <c r="AG542" t="s">
        <v>2652</v>
      </c>
      <c r="AH542" s="51"/>
      <c r="AI542" s="51"/>
    </row>
    <row r="543" spans="2:35">
      <c r="B543" t="s">
        <v>684</v>
      </c>
      <c r="C543" t="s">
        <v>3562</v>
      </c>
      <c r="D543">
        <v>6</v>
      </c>
      <c r="E543" t="s">
        <v>2795</v>
      </c>
      <c r="F543">
        <v>5</v>
      </c>
      <c r="G543">
        <v>12</v>
      </c>
      <c r="H543">
        <v>3</v>
      </c>
      <c r="I543" t="s">
        <v>685</v>
      </c>
      <c r="J543" s="51">
        <v>40588</v>
      </c>
      <c r="K543" t="s">
        <v>27</v>
      </c>
      <c r="L543" t="s">
        <v>605</v>
      </c>
      <c r="M543">
        <v>3</v>
      </c>
      <c r="N543" t="str">
        <f>L543</f>
        <v>NA/MB1049</v>
      </c>
      <c r="O543" s="51">
        <f>J543</f>
        <v>40588</v>
      </c>
      <c r="P543" s="51" t="str">
        <f>C543</f>
        <v>~/cdd/olddocs/Ayudas visuales/Micromini/A y B/CNWI-VSHP-000040 Rev. a (A89N-F10AF-5).pub</v>
      </c>
      <c r="Q543" s="51" t="str">
        <f>E543</f>
        <v>pub</v>
      </c>
      <c r="R543" s="51"/>
      <c r="S543" s="51"/>
      <c r="T543" s="51"/>
      <c r="U543" s="51"/>
      <c r="V543" s="51"/>
      <c r="W543" s="51"/>
      <c r="X543" s="51"/>
      <c r="Y543" s="51"/>
      <c r="Z543" s="51"/>
      <c r="AA543" s="51"/>
      <c r="AB543" s="51"/>
      <c r="AC543" s="51"/>
      <c r="AD543" s="51"/>
      <c r="AG543" t="s">
        <v>28</v>
      </c>
      <c r="AH543" s="51"/>
      <c r="AI543" s="51"/>
    </row>
    <row r="544" spans="2:35">
      <c r="B544" t="s">
        <v>686</v>
      </c>
      <c r="C544" t="s">
        <v>3563</v>
      </c>
      <c r="D544">
        <v>6</v>
      </c>
      <c r="E544" t="s">
        <v>2795</v>
      </c>
      <c r="F544">
        <v>5</v>
      </c>
      <c r="G544">
        <v>12</v>
      </c>
      <c r="H544">
        <v>3</v>
      </c>
      <c r="I544" t="s">
        <v>687</v>
      </c>
      <c r="J544" s="51">
        <v>40588</v>
      </c>
      <c r="K544" t="s">
        <v>27</v>
      </c>
      <c r="L544" t="s">
        <v>605</v>
      </c>
      <c r="M544">
        <v>3</v>
      </c>
      <c r="N544" t="str">
        <f>L544</f>
        <v>NA/MB1049</v>
      </c>
      <c r="O544" s="51">
        <f>J544</f>
        <v>40588</v>
      </c>
      <c r="P544" s="51" t="str">
        <f>C544</f>
        <v>~/cdd/olddocs/Ayudas visuales/Micromini/A y B/CNWI-VSHP-000041 Rev. A (A89N-F9AF-5).pub</v>
      </c>
      <c r="Q544" s="51" t="str">
        <f>E544</f>
        <v>pub</v>
      </c>
      <c r="R544" s="51"/>
      <c r="S544" s="51"/>
      <c r="T544" s="51"/>
      <c r="U544" s="51"/>
      <c r="V544" s="51"/>
      <c r="W544" s="51"/>
      <c r="X544" s="51"/>
      <c r="Y544" s="51"/>
      <c r="Z544" s="51"/>
      <c r="AA544" s="51"/>
      <c r="AB544" s="51"/>
      <c r="AC544" s="51"/>
      <c r="AD544" s="51"/>
      <c r="AG544" t="s">
        <v>28</v>
      </c>
      <c r="AH544" s="51"/>
      <c r="AI544" s="51"/>
    </row>
    <row r="545" spans="2:35">
      <c r="B545" t="s">
        <v>688</v>
      </c>
      <c r="C545" t="s">
        <v>3564</v>
      </c>
      <c r="D545">
        <v>6</v>
      </c>
      <c r="E545" t="s">
        <v>2795</v>
      </c>
      <c r="F545">
        <v>5</v>
      </c>
      <c r="G545">
        <v>12</v>
      </c>
      <c r="H545">
        <v>3</v>
      </c>
      <c r="I545" t="s">
        <v>689</v>
      </c>
      <c r="J545" s="51">
        <v>40589</v>
      </c>
      <c r="K545" t="s">
        <v>27</v>
      </c>
      <c r="L545" t="s">
        <v>605</v>
      </c>
      <c r="M545">
        <v>3</v>
      </c>
      <c r="N545" t="str">
        <f>L545</f>
        <v>NA/MB1049</v>
      </c>
      <c r="O545" s="51">
        <f>J545</f>
        <v>40589</v>
      </c>
      <c r="P545" s="51" t="str">
        <f>C545</f>
        <v>~/cdd/olddocs/Ayudas visuales/Micromini/A y B/CNWI-VSHP-000042 Rev. A (A89N-F12AF-5).pub</v>
      </c>
      <c r="Q545" s="51" t="str">
        <f>E545</f>
        <v>pub</v>
      </c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G545" t="s">
        <v>28</v>
      </c>
      <c r="AH545" s="51"/>
      <c r="AI545" s="51"/>
    </row>
    <row r="546" spans="2:35">
      <c r="B546" t="s">
        <v>690</v>
      </c>
      <c r="C546" t="s">
        <v>3565</v>
      </c>
      <c r="D546">
        <v>6</v>
      </c>
      <c r="E546" t="s">
        <v>2795</v>
      </c>
      <c r="F546">
        <v>5</v>
      </c>
      <c r="G546">
        <v>12</v>
      </c>
      <c r="H546">
        <v>3</v>
      </c>
      <c r="I546" t="s">
        <v>691</v>
      </c>
      <c r="J546" s="51">
        <v>40589</v>
      </c>
      <c r="K546" t="s">
        <v>27</v>
      </c>
      <c r="L546" t="s">
        <v>605</v>
      </c>
      <c r="M546">
        <v>3</v>
      </c>
      <c r="N546" t="str">
        <f>L546</f>
        <v>NA/MB1049</v>
      </c>
      <c r="O546" s="51">
        <f>J546</f>
        <v>40589</v>
      </c>
      <c r="P546" s="51" t="str">
        <f>C546</f>
        <v>~/cdd/olddocs/Ayudas visuales/Micromini/A y B/CNWI-VSHP-000043 Rev. A (LMA682).pub</v>
      </c>
      <c r="Q546" s="51" t="str">
        <f>E546</f>
        <v>pub</v>
      </c>
      <c r="R546" s="51"/>
      <c r="S546" s="51"/>
      <c r="T546" s="51"/>
      <c r="U546" s="51"/>
      <c r="V546" s="51"/>
      <c r="W546" s="51"/>
      <c r="X546" s="51"/>
      <c r="Y546" s="51"/>
      <c r="Z546" s="51"/>
      <c r="AA546" s="51"/>
      <c r="AB546" s="51"/>
      <c r="AC546" s="51"/>
      <c r="AD546" s="51"/>
      <c r="AG546" t="s">
        <v>28</v>
      </c>
      <c r="AH546" s="51"/>
      <c r="AI546" s="51"/>
    </row>
    <row r="547" spans="2:35">
      <c r="B547" t="s">
        <v>514</v>
      </c>
      <c r="C547" t="s">
        <v>3614</v>
      </c>
      <c r="D547">
        <v>6</v>
      </c>
      <c r="E547" t="s">
        <v>2795</v>
      </c>
      <c r="F547">
        <v>5</v>
      </c>
      <c r="G547">
        <v>12</v>
      </c>
      <c r="H547">
        <v>16</v>
      </c>
      <c r="I547" t="s">
        <v>516</v>
      </c>
      <c r="J547" s="51">
        <v>40589</v>
      </c>
      <c r="K547" t="s">
        <v>27</v>
      </c>
      <c r="L547" t="s">
        <v>509</v>
      </c>
      <c r="M547">
        <v>3</v>
      </c>
      <c r="N547" t="str">
        <f>L547</f>
        <v>NAM\C67EF</v>
      </c>
      <c r="O547" s="51">
        <f>J547</f>
        <v>40589</v>
      </c>
      <c r="P547" s="51" t="str">
        <f>C547</f>
        <v>~/cdd/olddocs/Ayudas visuales/Micromini/MS/CNWI-VSHP-000044 Rev. A (CHMEA0094) Soldadura.pub</v>
      </c>
      <c r="Q547" s="51" t="str">
        <f>E547</f>
        <v>pub</v>
      </c>
      <c r="R547" s="51"/>
      <c r="S547" s="51"/>
      <c r="T547" s="51"/>
      <c r="U547" s="51"/>
      <c r="V547" s="51"/>
      <c r="W547" s="51"/>
      <c r="X547" s="51"/>
      <c r="Y547" s="51"/>
      <c r="Z547" s="51"/>
      <c r="AA547" s="51"/>
      <c r="AB547" s="51"/>
      <c r="AC547" s="51"/>
      <c r="AD547" s="51"/>
      <c r="AG547" t="s">
        <v>88</v>
      </c>
      <c r="AH547" s="51"/>
      <c r="AI547" s="51"/>
    </row>
    <row r="548" spans="2:35">
      <c r="B548" t="s">
        <v>2566</v>
      </c>
      <c r="C548" t="s">
        <v>3484</v>
      </c>
      <c r="D548">
        <v>6</v>
      </c>
      <c r="E548" t="s">
        <v>2795</v>
      </c>
      <c r="F548">
        <v>5</v>
      </c>
      <c r="G548">
        <v>10</v>
      </c>
      <c r="H548">
        <v>10</v>
      </c>
      <c r="I548" t="s">
        <v>2567</v>
      </c>
      <c r="J548" s="51">
        <v>40590</v>
      </c>
      <c r="K548" t="s">
        <v>27</v>
      </c>
      <c r="L548" t="s">
        <v>2427</v>
      </c>
      <c r="M548">
        <v>3</v>
      </c>
      <c r="N548" t="str">
        <f>L548</f>
        <v>NAM\MB1911</v>
      </c>
      <c r="O548" s="51">
        <f>J548</f>
        <v>40590</v>
      </c>
      <c r="P548" s="51" t="str">
        <f>C548</f>
        <v>~/cdd/olddocs/Ayudas visuales/Camarillo/Bonding/CNWI-VSHP-000045 Rev. A (000103-0399).pub</v>
      </c>
      <c r="Q548" s="51" t="str">
        <f>E548</f>
        <v>pub</v>
      </c>
      <c r="R548" s="51"/>
      <c r="S548" s="51"/>
      <c r="T548" s="51"/>
      <c r="U548" s="51"/>
      <c r="V548" s="51"/>
      <c r="W548" s="51"/>
      <c r="X548" s="51"/>
      <c r="Y548" s="51"/>
      <c r="Z548" s="51"/>
      <c r="AA548" s="51"/>
      <c r="AB548" s="51"/>
      <c r="AC548" s="51"/>
      <c r="AD548" s="51"/>
      <c r="AE548" t="s">
        <v>2569</v>
      </c>
      <c r="AF548" t="s">
        <v>1473</v>
      </c>
      <c r="AG548" t="s">
        <v>2568</v>
      </c>
      <c r="AH548" s="51"/>
      <c r="AI548" s="51"/>
    </row>
    <row r="549" spans="2:35">
      <c r="B549" t="s">
        <v>2653</v>
      </c>
      <c r="C549" t="s">
        <v>3508</v>
      </c>
      <c r="D549">
        <v>6</v>
      </c>
      <c r="E549" t="s">
        <v>2795</v>
      </c>
      <c r="F549">
        <v>5</v>
      </c>
      <c r="G549">
        <v>36</v>
      </c>
      <c r="H549">
        <v>26</v>
      </c>
      <c r="I549" t="s">
        <v>2654</v>
      </c>
      <c r="J549" s="51">
        <v>40590</v>
      </c>
      <c r="K549" t="s">
        <v>27</v>
      </c>
      <c r="L549" t="s">
        <v>2427</v>
      </c>
      <c r="M549">
        <v>3</v>
      </c>
      <c r="N549" t="str">
        <f>L549</f>
        <v>NAM\MB1911</v>
      </c>
      <c r="O549" s="51">
        <f>J549</f>
        <v>40590</v>
      </c>
      <c r="P549" s="51" t="str">
        <f>C549</f>
        <v>~/cdd/olddocs/Ayudas visuales/Camarillo/Ensamble general/CNWI-VSHP-000046 Rev. A (002104-0000).pub</v>
      </c>
      <c r="Q549" s="51" t="str">
        <f>E549</f>
        <v>pub</v>
      </c>
      <c r="R549" s="51"/>
      <c r="S549" s="51"/>
      <c r="T549" s="51"/>
      <c r="U549" s="51"/>
      <c r="V549" s="51"/>
      <c r="W549" s="51"/>
      <c r="X549" s="51"/>
      <c r="Y549" s="51"/>
      <c r="Z549" s="51"/>
      <c r="AA549" s="51"/>
      <c r="AB549" s="51"/>
      <c r="AC549" s="51"/>
      <c r="AD549" s="51"/>
      <c r="AE549" t="s">
        <v>2637</v>
      </c>
      <c r="AF549" t="s">
        <v>479</v>
      </c>
      <c r="AG549" t="s">
        <v>2655</v>
      </c>
      <c r="AH549" s="51"/>
      <c r="AI549" s="51"/>
    </row>
    <row r="550" spans="2:35">
      <c r="B550" t="s">
        <v>2656</v>
      </c>
      <c r="C550" t="s">
        <v>3509</v>
      </c>
      <c r="D550">
        <v>6</v>
      </c>
      <c r="E550" t="s">
        <v>2795</v>
      </c>
      <c r="F550">
        <v>5</v>
      </c>
      <c r="G550">
        <v>36</v>
      </c>
      <c r="H550">
        <v>26</v>
      </c>
      <c r="I550" t="s">
        <v>2657</v>
      </c>
      <c r="J550" s="51">
        <v>40591</v>
      </c>
      <c r="K550" t="s">
        <v>27</v>
      </c>
      <c r="L550" t="s">
        <v>2427</v>
      </c>
      <c r="M550">
        <v>3</v>
      </c>
      <c r="N550" t="str">
        <f>L550</f>
        <v>NAM\MB1911</v>
      </c>
      <c r="O550" s="51">
        <f>J550</f>
        <v>40591</v>
      </c>
      <c r="P550" s="51" t="str">
        <f>C550</f>
        <v>~/cdd/olddocs/Ayudas visuales/Camarillo/Ensamble general/CNWI-VSHP-000047 Rev. A (000267-0000).pub</v>
      </c>
      <c r="Q550" s="51" t="str">
        <f>E550</f>
        <v>pub</v>
      </c>
      <c r="R550" s="51"/>
      <c r="S550" s="51"/>
      <c r="T550" s="51"/>
      <c r="U550" s="51"/>
      <c r="V550" s="51"/>
      <c r="W550" s="51"/>
      <c r="X550" s="51"/>
      <c r="Y550" s="51"/>
      <c r="Z550" s="51"/>
      <c r="AA550" s="51"/>
      <c r="AB550" s="51"/>
      <c r="AC550" s="51"/>
      <c r="AD550" s="51"/>
      <c r="AE550" t="s">
        <v>2637</v>
      </c>
      <c r="AF550" t="s">
        <v>479</v>
      </c>
      <c r="AG550" t="s">
        <v>2658</v>
      </c>
      <c r="AH550" s="51"/>
      <c r="AI550" s="51"/>
    </row>
    <row r="551" spans="2:35">
      <c r="B551" t="s">
        <v>2721</v>
      </c>
      <c r="C551" t="s">
        <v>3527</v>
      </c>
      <c r="D551">
        <v>6</v>
      </c>
      <c r="E551" t="s">
        <v>2795</v>
      </c>
      <c r="F551">
        <v>5</v>
      </c>
      <c r="G551">
        <v>9</v>
      </c>
      <c r="H551">
        <v>9</v>
      </c>
      <c r="I551" t="s">
        <v>2722</v>
      </c>
      <c r="J551" s="51">
        <v>40591</v>
      </c>
      <c r="K551" t="s">
        <v>27</v>
      </c>
      <c r="L551" t="s">
        <v>2427</v>
      </c>
      <c r="M551">
        <v>3</v>
      </c>
      <c r="N551" t="str">
        <f>L551</f>
        <v>NAM\MB1911</v>
      </c>
      <c r="O551" s="51">
        <f>J551</f>
        <v>40591</v>
      </c>
      <c r="P551" s="51" t="str">
        <f>C551</f>
        <v>~/cdd/olddocs/Ayudas visuales/Camarillo/Itron/CNWI-VSHP-000048 Rev. A (003053-0000).pub</v>
      </c>
      <c r="Q551" s="51" t="str">
        <f>E551</f>
        <v>pub</v>
      </c>
      <c r="R551" s="51"/>
      <c r="S551" s="51"/>
      <c r="T551" s="51"/>
      <c r="U551" s="51"/>
      <c r="V551" s="51"/>
      <c r="W551" s="51"/>
      <c r="X551" s="51"/>
      <c r="Y551" s="51"/>
      <c r="Z551" s="51"/>
      <c r="AA551" s="51"/>
      <c r="AB551" s="51"/>
      <c r="AC551" s="51"/>
      <c r="AD551" s="51"/>
      <c r="AG551" t="s">
        <v>2723</v>
      </c>
      <c r="AH551" s="51"/>
      <c r="AI551" s="51"/>
    </row>
    <row r="552" spans="2:35">
      <c r="B552" t="s">
        <v>2706</v>
      </c>
      <c r="C552" t="s">
        <v>3528</v>
      </c>
      <c r="D552">
        <v>6</v>
      </c>
      <c r="E552" t="s">
        <v>2795</v>
      </c>
      <c r="F552">
        <v>5</v>
      </c>
      <c r="G552">
        <v>9</v>
      </c>
      <c r="H552">
        <v>8</v>
      </c>
      <c r="I552" t="s">
        <v>2707</v>
      </c>
      <c r="J552" s="51">
        <v>40591</v>
      </c>
      <c r="K552" t="s">
        <v>27</v>
      </c>
      <c r="L552" t="s">
        <v>2427</v>
      </c>
      <c r="M552">
        <v>3</v>
      </c>
      <c r="N552" t="str">
        <f>L552</f>
        <v>NAM\MB1911</v>
      </c>
      <c r="O552" s="51">
        <f>J552</f>
        <v>40591</v>
      </c>
      <c r="P552" s="51" t="str">
        <f>C552</f>
        <v>~/cdd/olddocs/Ayudas visuales/Camarillo/Itron/CNWI-VSHP-000049 Rev. A (009-0542-300M).pub</v>
      </c>
      <c r="Q552" s="51" t="str">
        <f>E552</f>
        <v>pub</v>
      </c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G552" t="s">
        <v>2708</v>
      </c>
      <c r="AH552" s="51"/>
      <c r="AI552" s="51"/>
    </row>
    <row r="553" spans="2:35">
      <c r="B553" t="s">
        <v>692</v>
      </c>
      <c r="C553" t="s">
        <v>3566</v>
      </c>
      <c r="D553">
        <v>6</v>
      </c>
      <c r="E553" t="s">
        <v>2795</v>
      </c>
      <c r="F553">
        <v>5</v>
      </c>
      <c r="G553">
        <v>12</v>
      </c>
      <c r="H553">
        <v>3</v>
      </c>
      <c r="I553" t="s">
        <v>693</v>
      </c>
      <c r="J553" s="51">
        <v>40595</v>
      </c>
      <c r="K553" t="s">
        <v>27</v>
      </c>
      <c r="L553" t="s">
        <v>605</v>
      </c>
      <c r="M553">
        <v>3</v>
      </c>
      <c r="N553" t="str">
        <f>L553</f>
        <v>NA/MB1049</v>
      </c>
      <c r="O553" s="51">
        <f>J553</f>
        <v>40595</v>
      </c>
      <c r="P553" s="51" t="str">
        <f>C553</f>
        <v>~/cdd/olddocs/Ayudas visuales/Micromini/A y B/CNWI-VSHP-000050 Rev. A (A89N-F9AFNU-1).pub</v>
      </c>
      <c r="Q553" s="51" t="str">
        <f>E553</f>
        <v>pub</v>
      </c>
      <c r="R553" s="51"/>
      <c r="S553" s="51"/>
      <c r="T553" s="51"/>
      <c r="U553" s="51"/>
      <c r="V553" s="51"/>
      <c r="W553" s="51"/>
      <c r="X553" s="51"/>
      <c r="Y553" s="51"/>
      <c r="Z553" s="51"/>
      <c r="AA553" s="51"/>
      <c r="AB553" s="51"/>
      <c r="AC553" s="51"/>
      <c r="AD553" s="51"/>
      <c r="AG553" t="s">
        <v>694</v>
      </c>
      <c r="AH553" s="51"/>
      <c r="AI553" s="51"/>
    </row>
    <row r="554" spans="2:35">
      <c r="B554" t="s">
        <v>695</v>
      </c>
      <c r="C554" t="s">
        <v>3567</v>
      </c>
      <c r="D554">
        <v>6</v>
      </c>
      <c r="E554" t="s">
        <v>2795</v>
      </c>
      <c r="F554">
        <v>5</v>
      </c>
      <c r="G554">
        <v>12</v>
      </c>
      <c r="H554">
        <v>3</v>
      </c>
      <c r="I554" t="s">
        <v>696</v>
      </c>
      <c r="J554" s="51">
        <v>40595</v>
      </c>
      <c r="K554" t="s">
        <v>27</v>
      </c>
      <c r="L554" t="s">
        <v>605</v>
      </c>
      <c r="M554">
        <v>3</v>
      </c>
      <c r="N554" t="str">
        <f>L554</f>
        <v>NA/MB1049</v>
      </c>
      <c r="O554" s="51">
        <f>J554</f>
        <v>40595</v>
      </c>
      <c r="P554" s="51" t="str">
        <f>C554</f>
        <v>~/cdd/olddocs/Ayudas visuales/Micromini/A y B/CNWI-VSHP-000051 Rev. A (5000110-AY).pub</v>
      </c>
      <c r="Q554" s="51" t="str">
        <f>E554</f>
        <v>pub</v>
      </c>
      <c r="R554" s="51"/>
      <c r="S554" s="51"/>
      <c r="T554" s="51"/>
      <c r="U554" s="51"/>
      <c r="V554" s="51"/>
      <c r="W554" s="51"/>
      <c r="X554" s="51"/>
      <c r="Y554" s="51"/>
      <c r="Z554" s="51"/>
      <c r="AA554" s="51"/>
      <c r="AB554" s="51"/>
      <c r="AC554" s="51"/>
      <c r="AD554" s="51"/>
      <c r="AG554" t="s">
        <v>697</v>
      </c>
      <c r="AH554" s="51"/>
      <c r="AI554" s="51"/>
    </row>
    <row r="555" spans="2:35">
      <c r="B555" t="s">
        <v>2570</v>
      </c>
      <c r="C555" t="s">
        <v>3485</v>
      </c>
      <c r="D555">
        <v>6</v>
      </c>
      <c r="E555" t="s">
        <v>2795</v>
      </c>
      <c r="F555">
        <v>5</v>
      </c>
      <c r="G555">
        <v>10</v>
      </c>
      <c r="H555">
        <v>10</v>
      </c>
      <c r="I555" t="s">
        <v>2571</v>
      </c>
      <c r="J555" s="51">
        <v>40596</v>
      </c>
      <c r="K555" t="s">
        <v>27</v>
      </c>
      <c r="L555" t="s">
        <v>2427</v>
      </c>
      <c r="M555">
        <v>3</v>
      </c>
      <c r="N555" t="str">
        <f>L555</f>
        <v>NAM\MB1911</v>
      </c>
      <c r="O555" s="51">
        <f>J555</f>
        <v>40596</v>
      </c>
      <c r="P555" s="51" t="str">
        <f>C555</f>
        <v>~/cdd/olddocs/Ayudas visuales/Camarillo/Bonding/CNWI-VSHP-000052 Rev. A (002361-0000).pub</v>
      </c>
      <c r="Q555" s="51" t="str">
        <f>E555</f>
        <v>pub</v>
      </c>
      <c r="R555" s="51"/>
      <c r="S555" s="51"/>
      <c r="T555" s="51"/>
      <c r="U555" s="51"/>
      <c r="V555" s="51"/>
      <c r="W555" s="51"/>
      <c r="X555" s="51"/>
      <c r="Y555" s="51"/>
      <c r="Z555" s="51"/>
      <c r="AA555" s="51"/>
      <c r="AB555" s="51"/>
      <c r="AC555" s="51"/>
      <c r="AD555" s="51"/>
      <c r="AE555" t="s">
        <v>2573</v>
      </c>
      <c r="AF555" t="s">
        <v>1473</v>
      </c>
      <c r="AG555" t="s">
        <v>2572</v>
      </c>
      <c r="AH555" s="51"/>
      <c r="AI555" s="51"/>
    </row>
    <row r="556" spans="2:35">
      <c r="B556" t="s">
        <v>2574</v>
      </c>
      <c r="C556" t="s">
        <v>3486</v>
      </c>
      <c r="D556">
        <v>6</v>
      </c>
      <c r="E556" t="s">
        <v>2795</v>
      </c>
      <c r="F556">
        <v>5</v>
      </c>
      <c r="G556">
        <v>10</v>
      </c>
      <c r="H556">
        <v>10</v>
      </c>
      <c r="I556" t="s">
        <v>981</v>
      </c>
      <c r="J556" s="51">
        <v>40596</v>
      </c>
      <c r="K556" t="s">
        <v>27</v>
      </c>
      <c r="L556" t="s">
        <v>2427</v>
      </c>
      <c r="M556">
        <v>3</v>
      </c>
      <c r="N556" t="str">
        <f>L556</f>
        <v>NAM\MB1911</v>
      </c>
      <c r="O556" s="51">
        <f>J556</f>
        <v>40596</v>
      </c>
      <c r="P556" s="51" t="str">
        <f>C556</f>
        <v>~/cdd/olddocs/Ayudas visuales/Camarillo/Bonding/CNWI-VSHP-000053 Rev. A (002315-0000).pub</v>
      </c>
      <c r="Q556" s="51" t="str">
        <f>E556</f>
        <v>pub</v>
      </c>
      <c r="R556" s="51"/>
      <c r="S556" s="51"/>
      <c r="T556" s="51"/>
      <c r="U556" s="51"/>
      <c r="V556" s="51"/>
      <c r="W556" s="51"/>
      <c r="X556" s="51"/>
      <c r="Y556" s="51"/>
      <c r="Z556" s="51"/>
      <c r="AA556" s="51"/>
      <c r="AB556" s="51"/>
      <c r="AC556" s="51"/>
      <c r="AD556" s="51"/>
      <c r="AE556" t="s">
        <v>2576</v>
      </c>
      <c r="AF556" t="s">
        <v>1473</v>
      </c>
      <c r="AG556" t="s">
        <v>2575</v>
      </c>
      <c r="AH556" s="51"/>
      <c r="AI556" s="51"/>
    </row>
    <row r="557" spans="2:35">
      <c r="B557" t="s">
        <v>698</v>
      </c>
      <c r="C557" t="s">
        <v>3568</v>
      </c>
      <c r="D557">
        <v>6</v>
      </c>
      <c r="E557" t="s">
        <v>2795</v>
      </c>
      <c r="F557">
        <v>5</v>
      </c>
      <c r="G557">
        <v>12</v>
      </c>
      <c r="H557">
        <v>3</v>
      </c>
      <c r="I557" t="s">
        <v>699</v>
      </c>
      <c r="J557" s="51">
        <v>40595</v>
      </c>
      <c r="K557" t="s">
        <v>27</v>
      </c>
      <c r="L557" t="s">
        <v>605</v>
      </c>
      <c r="M557">
        <v>3</v>
      </c>
      <c r="N557" t="str">
        <f>L557</f>
        <v>NA/MB1049</v>
      </c>
      <c r="O557" s="51">
        <f>J557</f>
        <v>40595</v>
      </c>
      <c r="P557" s="51" t="str">
        <f>C557</f>
        <v>~/cdd/olddocs/Ayudas visuales/Micromini/A y B/CNWI-VSHP-000054 Rev. A (5000111-Q).pub</v>
      </c>
      <c r="Q557" s="51" t="str">
        <f>E557</f>
        <v>pub</v>
      </c>
      <c r="R557" s="51"/>
      <c r="S557" s="51"/>
      <c r="T557" s="51"/>
      <c r="U557" s="51"/>
      <c r="V557" s="51"/>
      <c r="W557" s="51"/>
      <c r="X557" s="51"/>
      <c r="Y557" s="51"/>
      <c r="Z557" s="51"/>
      <c r="AA557" s="51"/>
      <c r="AB557" s="51"/>
      <c r="AC557" s="51"/>
      <c r="AD557" s="51"/>
      <c r="AG557" t="s">
        <v>700</v>
      </c>
      <c r="AH557" s="51"/>
      <c r="AI557" s="51"/>
    </row>
    <row r="558" spans="2:35">
      <c r="B558" t="s">
        <v>752</v>
      </c>
      <c r="C558" t="s">
        <v>3585</v>
      </c>
      <c r="D558">
        <v>6</v>
      </c>
      <c r="E558" t="s">
        <v>2795</v>
      </c>
      <c r="F558">
        <v>5</v>
      </c>
      <c r="G558">
        <v>12</v>
      </c>
      <c r="H558">
        <v>4</v>
      </c>
      <c r="I558" t="s">
        <v>753</v>
      </c>
      <c r="J558" s="51">
        <v>40596</v>
      </c>
      <c r="K558" t="s">
        <v>27</v>
      </c>
      <c r="L558" t="s">
        <v>605</v>
      </c>
      <c r="M558">
        <v>3</v>
      </c>
      <c r="N558" t="str">
        <f>L558</f>
        <v>NA/MB1049</v>
      </c>
      <c r="O558" s="51">
        <f>J558</f>
        <v>40596</v>
      </c>
      <c r="P558" s="51" t="str">
        <f>C558</f>
        <v>~/cdd/olddocs/Ayudas visuales/Micromini/Change Out/CNWI-VSHP-000055 Rev. A (X8653-GJ).pub</v>
      </c>
      <c r="Q558" s="51" t="str">
        <f>E558</f>
        <v>pub</v>
      </c>
      <c r="R558" s="51"/>
      <c r="S558" s="51"/>
      <c r="T558" s="51"/>
      <c r="U558" s="51"/>
      <c r="V558" s="51"/>
      <c r="W558" s="51"/>
      <c r="X558" s="51"/>
      <c r="Y558" s="51"/>
      <c r="Z558" s="51"/>
      <c r="AA558" s="51"/>
      <c r="AB558" s="51"/>
      <c r="AC558" s="51"/>
      <c r="AD558" s="51"/>
      <c r="AG558" t="s">
        <v>754</v>
      </c>
      <c r="AH558" s="51"/>
      <c r="AI558" s="51"/>
    </row>
    <row r="559" spans="2:35">
      <c r="B559" t="s">
        <v>755</v>
      </c>
      <c r="C559" t="s">
        <v>3824</v>
      </c>
      <c r="D559">
        <v>6</v>
      </c>
      <c r="E559" t="s">
        <v>2795</v>
      </c>
      <c r="F559">
        <v>5</v>
      </c>
      <c r="G559">
        <v>12</v>
      </c>
      <c r="H559">
        <v>4</v>
      </c>
      <c r="I559" t="s">
        <v>756</v>
      </c>
      <c r="J559" s="51">
        <v>40595</v>
      </c>
      <c r="K559" t="s">
        <v>27</v>
      </c>
      <c r="L559" t="s">
        <v>605</v>
      </c>
      <c r="M559">
        <v>3</v>
      </c>
      <c r="N559" t="str">
        <f>L559</f>
        <v>NA/MB1049</v>
      </c>
      <c r="O559" s="51">
        <f>J559</f>
        <v>40595</v>
      </c>
      <c r="P559" s="51" t="str">
        <f>C559</f>
        <v>~cdd/olddocs/Ayudas visuales/Micromini/Change Out/CNWI-VSHP-000056 Rev. A (X8653-CX &amp; CW).pub</v>
      </c>
      <c r="Q559" s="51" t="str">
        <f>E559</f>
        <v>pub</v>
      </c>
      <c r="R559" s="51"/>
      <c r="S559" s="51"/>
      <c r="T559" s="51"/>
      <c r="U559" s="51"/>
      <c r="V559" s="51"/>
      <c r="W559" s="51"/>
      <c r="X559" s="51"/>
      <c r="Y559" s="51"/>
      <c r="Z559" s="51"/>
      <c r="AA559" s="51"/>
      <c r="AB559" s="51"/>
      <c r="AC559" s="51"/>
      <c r="AD559" s="51"/>
      <c r="AG559" t="s">
        <v>757</v>
      </c>
      <c r="AH559" s="51"/>
      <c r="AI559" s="51"/>
    </row>
    <row r="560" spans="2:35">
      <c r="B560" t="s">
        <v>701</v>
      </c>
      <c r="C560" t="s">
        <v>3569</v>
      </c>
      <c r="D560">
        <v>6</v>
      </c>
      <c r="E560" t="s">
        <v>2795</v>
      </c>
      <c r="F560">
        <v>5</v>
      </c>
      <c r="G560">
        <v>12</v>
      </c>
      <c r="H560">
        <v>3</v>
      </c>
      <c r="I560" t="s">
        <v>702</v>
      </c>
      <c r="J560" s="51">
        <v>40597</v>
      </c>
      <c r="K560" t="s">
        <v>27</v>
      </c>
      <c r="L560" t="s">
        <v>605</v>
      </c>
      <c r="M560">
        <v>3</v>
      </c>
      <c r="N560" t="str">
        <f>L560</f>
        <v>NA/MB1049</v>
      </c>
      <c r="O560" s="51">
        <f>J560</f>
        <v>40597</v>
      </c>
      <c r="P560" s="51" t="str">
        <f>C560</f>
        <v>~/cdd/olddocs/Ayudas visuales/Micromini/A y B/CNWI-VSHP-000057 Rev. A (PC5RADD-A).pub</v>
      </c>
      <c r="Q560" s="51" t="str">
        <f>E560</f>
        <v>pub</v>
      </c>
      <c r="R560" s="51"/>
      <c r="S560" s="51"/>
      <c r="T560" s="51"/>
      <c r="U560" s="51"/>
      <c r="V560" s="51"/>
      <c r="W560" s="51"/>
      <c r="X560" s="51"/>
      <c r="Y560" s="51"/>
      <c r="Z560" s="51"/>
      <c r="AA560" s="51"/>
      <c r="AB560" s="51"/>
      <c r="AC560" s="51"/>
      <c r="AD560" s="51"/>
      <c r="AG560" t="s">
        <v>703</v>
      </c>
      <c r="AH560" s="51"/>
      <c r="AI560" s="51"/>
    </row>
    <row r="561" spans="2:35">
      <c r="B561" t="s">
        <v>2577</v>
      </c>
      <c r="C561" t="s">
        <v>3487</v>
      </c>
      <c r="D561">
        <v>6</v>
      </c>
      <c r="E561" t="s">
        <v>2795</v>
      </c>
      <c r="F561">
        <v>5</v>
      </c>
      <c r="G561">
        <v>10</v>
      </c>
      <c r="H561">
        <v>10</v>
      </c>
      <c r="I561" t="s">
        <v>2578</v>
      </c>
      <c r="J561" s="51">
        <v>40598</v>
      </c>
      <c r="K561" t="s">
        <v>27</v>
      </c>
      <c r="L561" t="s">
        <v>2427</v>
      </c>
      <c r="M561">
        <v>3</v>
      </c>
      <c r="N561" t="str">
        <f>L561</f>
        <v>NAM\MB1911</v>
      </c>
      <c r="O561" s="51">
        <f>J561</f>
        <v>40598</v>
      </c>
      <c r="P561" s="51" t="str">
        <f>C561</f>
        <v>~/cdd/olddocs/Ayudas visuales/Camarillo/Bonding/CNWI-VSHP-000058 Rev. A (002371-0004M).pub</v>
      </c>
      <c r="Q561" s="51" t="str">
        <f>E561</f>
        <v>pub</v>
      </c>
      <c r="R561" s="51"/>
      <c r="S561" s="51"/>
      <c r="T561" s="51"/>
      <c r="U561" s="51"/>
      <c r="V561" s="51"/>
      <c r="W561" s="51"/>
      <c r="X561" s="51"/>
      <c r="Y561" s="51"/>
      <c r="Z561" s="51"/>
      <c r="AA561" s="51"/>
      <c r="AB561" s="51"/>
      <c r="AC561" s="51"/>
      <c r="AD561" s="51"/>
      <c r="AG561" t="s">
        <v>2579</v>
      </c>
      <c r="AH561" s="51"/>
      <c r="AI561" s="51"/>
    </row>
    <row r="562" spans="2:35">
      <c r="B562" t="s">
        <v>2580</v>
      </c>
      <c r="C562" t="s">
        <v>3488</v>
      </c>
      <c r="D562">
        <v>6</v>
      </c>
      <c r="E562" t="s">
        <v>2795</v>
      </c>
      <c r="F562">
        <v>5</v>
      </c>
      <c r="G562">
        <v>10</v>
      </c>
      <c r="H562">
        <v>10</v>
      </c>
      <c r="I562" t="s">
        <v>2581</v>
      </c>
      <c r="J562" s="51">
        <v>40598</v>
      </c>
      <c r="K562" t="s">
        <v>27</v>
      </c>
      <c r="L562" t="s">
        <v>2427</v>
      </c>
      <c r="M562">
        <v>3</v>
      </c>
      <c r="N562" t="str">
        <f>L562</f>
        <v>NAM\MB1911</v>
      </c>
      <c r="O562" s="51">
        <f>J562</f>
        <v>40598</v>
      </c>
      <c r="P562" s="51" t="str">
        <f>C562</f>
        <v>~/cdd/olddocs/Ayudas visuales/Camarillo/Bonding/CNWI-VSHP-000059 Rev. A (BACT44E-001M).pub</v>
      </c>
      <c r="Q562" s="51" t="str">
        <f>E562</f>
        <v>pub</v>
      </c>
      <c r="R562" s="51"/>
      <c r="S562" s="51"/>
      <c r="T562" s="51"/>
      <c r="U562" s="51"/>
      <c r="V562" s="51"/>
      <c r="W562" s="51"/>
      <c r="X562" s="51"/>
      <c r="Y562" s="51"/>
      <c r="Z562" s="51"/>
      <c r="AA562" s="51"/>
      <c r="AB562" s="51"/>
      <c r="AC562" s="51"/>
      <c r="AD562" s="51"/>
      <c r="AG562" t="s">
        <v>2582</v>
      </c>
      <c r="AH562" s="51"/>
      <c r="AI562" s="51"/>
    </row>
    <row r="563" spans="2:35">
      <c r="B563" t="s">
        <v>758</v>
      </c>
      <c r="C563" t="s">
        <v>3586</v>
      </c>
      <c r="D563">
        <v>6</v>
      </c>
      <c r="E563" t="s">
        <v>2795</v>
      </c>
      <c r="F563">
        <v>5</v>
      </c>
      <c r="G563">
        <v>12</v>
      </c>
      <c r="H563">
        <v>4</v>
      </c>
      <c r="I563" t="s">
        <v>759</v>
      </c>
      <c r="J563" s="51">
        <v>40598</v>
      </c>
      <c r="K563" t="s">
        <v>27</v>
      </c>
      <c r="L563" t="s">
        <v>605</v>
      </c>
      <c r="M563">
        <v>3</v>
      </c>
      <c r="N563" t="str">
        <f>L563</f>
        <v>NA/MB1049</v>
      </c>
      <c r="O563" s="51">
        <f>J563</f>
        <v>40598</v>
      </c>
      <c r="P563" s="51" t="str">
        <f>C563</f>
        <v>~/cdd/olddocs/Ayudas visuales/Micromini/Change Out/CNWI-VSHP-000060 Rev. A (X8653-GV).pub</v>
      </c>
      <c r="Q563" s="51" t="str">
        <f>E563</f>
        <v>pub</v>
      </c>
      <c r="R563" s="51"/>
      <c r="S563" s="51"/>
      <c r="T563" s="51"/>
      <c r="U563" s="51"/>
      <c r="V563" s="51"/>
      <c r="W563" s="51"/>
      <c r="X563" s="51"/>
      <c r="Y563" s="51"/>
      <c r="Z563" s="51"/>
      <c r="AA563" s="51"/>
      <c r="AB563" s="51"/>
      <c r="AC563" s="51"/>
      <c r="AD563" s="51"/>
      <c r="AG563" t="s">
        <v>760</v>
      </c>
      <c r="AH563" s="51"/>
      <c r="AI563" s="51"/>
    </row>
    <row r="564" spans="2:35">
      <c r="B564" t="s">
        <v>704</v>
      </c>
      <c r="C564" t="s">
        <v>3823</v>
      </c>
      <c r="D564">
        <v>6</v>
      </c>
      <c r="E564" t="s">
        <v>2795</v>
      </c>
      <c r="F564">
        <v>5</v>
      </c>
      <c r="G564">
        <v>12</v>
      </c>
      <c r="H564">
        <v>3</v>
      </c>
      <c r="I564" t="s">
        <v>705</v>
      </c>
      <c r="J564" s="51">
        <v>40598</v>
      </c>
      <c r="K564" t="s">
        <v>27</v>
      </c>
      <c r="L564" t="s">
        <v>605</v>
      </c>
      <c r="M564">
        <v>3</v>
      </c>
      <c r="N564" t="str">
        <f>L564</f>
        <v>NA/MB1049</v>
      </c>
      <c r="O564" s="51">
        <f>J564</f>
        <v>40598</v>
      </c>
      <c r="P564" s="51" t="str">
        <f>C564</f>
        <v>~cdd/olddocs/Ayudas visuales/Micromini/A y B/CNWI-VSHP-000061 Rev. A (PC5QADD-A).pub</v>
      </c>
      <c r="Q564" s="51" t="str">
        <f>E564</f>
        <v>pub</v>
      </c>
      <c r="R564" s="51"/>
      <c r="S564" s="51"/>
      <c r="T564" s="51"/>
      <c r="U564" s="51"/>
      <c r="V564" s="51"/>
      <c r="W564" s="51"/>
      <c r="X564" s="51"/>
      <c r="Y564" s="51"/>
      <c r="Z564" s="51"/>
      <c r="AA564" s="51"/>
      <c r="AB564" s="51"/>
      <c r="AC564" s="51"/>
      <c r="AD564" s="51"/>
      <c r="AG564" t="s">
        <v>706</v>
      </c>
      <c r="AH564" s="51"/>
      <c r="AI564" s="51"/>
    </row>
    <row r="565" spans="2:35">
      <c r="B565" t="s">
        <v>761</v>
      </c>
      <c r="C565" t="s">
        <v>3587</v>
      </c>
      <c r="D565">
        <v>6</v>
      </c>
      <c r="E565" t="s">
        <v>2795</v>
      </c>
      <c r="F565">
        <v>5</v>
      </c>
      <c r="G565">
        <v>12</v>
      </c>
      <c r="H565">
        <v>4</v>
      </c>
      <c r="I565" t="s">
        <v>762</v>
      </c>
      <c r="J565" s="51">
        <v>40598</v>
      </c>
      <c r="K565" t="s">
        <v>27</v>
      </c>
      <c r="L565" t="s">
        <v>605</v>
      </c>
      <c r="M565">
        <v>3</v>
      </c>
      <c r="N565" t="str">
        <f>L565</f>
        <v>NA/MB1049</v>
      </c>
      <c r="O565" s="51">
        <f>J565</f>
        <v>40598</v>
      </c>
      <c r="P565" s="51" t="str">
        <f>C565</f>
        <v>~/cdd/olddocs/Ayudas visuales/Micromini/Change Out/CNWI-VSHP-000062 Rev. A (X8653-KL).pub</v>
      </c>
      <c r="Q565" s="51" t="str">
        <f>E565</f>
        <v>pub</v>
      </c>
      <c r="R565" s="51"/>
      <c r="S565" s="51"/>
      <c r="T565" s="51"/>
      <c r="U565" s="51"/>
      <c r="V565" s="51"/>
      <c r="W565" s="51"/>
      <c r="X565" s="51"/>
      <c r="Y565" s="51"/>
      <c r="Z565" s="51"/>
      <c r="AA565" s="51"/>
      <c r="AB565" s="51"/>
      <c r="AC565" s="51"/>
      <c r="AD565" s="51"/>
      <c r="AG565" t="s">
        <v>763</v>
      </c>
      <c r="AH565" s="51"/>
      <c r="AI565" s="51"/>
    </row>
    <row r="566" spans="2:35">
      <c r="B566" t="s">
        <v>707</v>
      </c>
      <c r="C566" t="s">
        <v>3570</v>
      </c>
      <c r="D566">
        <v>6</v>
      </c>
      <c r="E566" t="s">
        <v>2795</v>
      </c>
      <c r="F566">
        <v>5</v>
      </c>
      <c r="G566">
        <v>12</v>
      </c>
      <c r="H566">
        <v>3</v>
      </c>
      <c r="I566" t="s">
        <v>708</v>
      </c>
      <c r="J566" s="51">
        <v>40598</v>
      </c>
      <c r="K566" t="s">
        <v>27</v>
      </c>
      <c r="L566" t="s">
        <v>605</v>
      </c>
      <c r="M566">
        <v>3</v>
      </c>
      <c r="N566" t="str">
        <f>L566</f>
        <v>NA/MB1049</v>
      </c>
      <c r="O566" s="51">
        <f>J566</f>
        <v>40598</v>
      </c>
      <c r="P566" s="51" t="str">
        <f>C566</f>
        <v>~/cdd/olddocs/Ayudas visuales/Micromini/A y B/CNWI-VSHP-000063 Rev. A (X8987-CB).pub</v>
      </c>
      <c r="Q566" s="51" t="str">
        <f>E566</f>
        <v>pub</v>
      </c>
      <c r="R566" s="51"/>
      <c r="S566" s="51"/>
      <c r="T566" s="51"/>
      <c r="U566" s="51"/>
      <c r="V566" s="51"/>
      <c r="W566" s="51"/>
      <c r="X566" s="51"/>
      <c r="Y566" s="51"/>
      <c r="Z566" s="51"/>
      <c r="AA566" s="51"/>
      <c r="AB566" s="51"/>
      <c r="AC566" s="51"/>
      <c r="AD566" s="51"/>
      <c r="AG566" t="s">
        <v>709</v>
      </c>
      <c r="AH566" s="51"/>
      <c r="AI566" s="51"/>
    </row>
    <row r="567" spans="2:35">
      <c r="B567" t="s">
        <v>710</v>
      </c>
      <c r="C567" t="s">
        <v>3571</v>
      </c>
      <c r="D567">
        <v>6</v>
      </c>
      <c r="E567" t="s">
        <v>2795</v>
      </c>
      <c r="F567">
        <v>5</v>
      </c>
      <c r="G567">
        <v>12</v>
      </c>
      <c r="H567">
        <v>3</v>
      </c>
      <c r="I567" t="s">
        <v>711</v>
      </c>
      <c r="J567" s="51">
        <v>40603</v>
      </c>
      <c r="K567" t="s">
        <v>27</v>
      </c>
      <c r="L567" t="s">
        <v>605</v>
      </c>
      <c r="M567">
        <v>3</v>
      </c>
      <c r="N567" t="str">
        <f>L567</f>
        <v>NA/MB1049</v>
      </c>
      <c r="O567" s="51">
        <f>J567</f>
        <v>40603</v>
      </c>
      <c r="P567" s="51" t="str">
        <f>C567</f>
        <v>~/cdd/olddocs/Ayudas visuales/Micromini/A y B/CNWI-VSHP-000064 Rev. A (X8987-T).pub</v>
      </c>
      <c r="Q567" s="51" t="str">
        <f>E567</f>
        <v>pub</v>
      </c>
      <c r="R567" s="51"/>
      <c r="S567" s="51"/>
      <c r="T567" s="51"/>
      <c r="U567" s="51"/>
      <c r="V567" s="51"/>
      <c r="W567" s="51"/>
      <c r="X567" s="51"/>
      <c r="Y567" s="51"/>
      <c r="Z567" s="51"/>
      <c r="AA567" s="51"/>
      <c r="AB567" s="51"/>
      <c r="AC567" s="51"/>
      <c r="AD567" s="51"/>
      <c r="AG567" t="s">
        <v>712</v>
      </c>
      <c r="AH567" s="51"/>
      <c r="AI567" s="51"/>
    </row>
    <row r="568" spans="2:35">
      <c r="B568" t="s">
        <v>622</v>
      </c>
      <c r="C568" t="s">
        <v>3596</v>
      </c>
      <c r="D568">
        <v>6</v>
      </c>
      <c r="E568" t="s">
        <v>2795</v>
      </c>
      <c r="F568">
        <v>5</v>
      </c>
      <c r="G568">
        <v>33</v>
      </c>
      <c r="H568">
        <v>28</v>
      </c>
      <c r="I568" t="s">
        <v>623</v>
      </c>
      <c r="J568" s="51">
        <v>40639</v>
      </c>
      <c r="K568" t="s">
        <v>27</v>
      </c>
      <c r="L568" t="s">
        <v>605</v>
      </c>
      <c r="M568">
        <v>3</v>
      </c>
      <c r="N568" t="str">
        <f>L568</f>
        <v>NA/MB1049</v>
      </c>
      <c r="O568" s="51">
        <f>J568</f>
        <v>40639</v>
      </c>
      <c r="P568" s="51" t="str">
        <f>C568</f>
        <v>~/cdd/olddocs/Ayudas visuales/Micromini/General/CNWI-VSHP-000065 Rev. A (Prueba electric Mayor a 2000V 2-12 cond).pub</v>
      </c>
      <c r="Q568" s="51" t="str">
        <f>E568</f>
        <v>pub</v>
      </c>
      <c r="R568" s="51"/>
      <c r="S568" s="51"/>
      <c r="T568" s="51"/>
      <c r="U568" s="51"/>
      <c r="V568" s="51"/>
      <c r="W568" s="51"/>
      <c r="X568" s="51"/>
      <c r="Y568" s="51"/>
      <c r="Z568" s="51"/>
      <c r="AA568" s="51"/>
      <c r="AB568" s="51"/>
      <c r="AC568" s="51"/>
      <c r="AD568" s="51"/>
      <c r="AE568" t="s">
        <v>624</v>
      </c>
      <c r="AF568" t="s">
        <v>90</v>
      </c>
      <c r="AG568" t="s">
        <v>88</v>
      </c>
      <c r="AH568" s="51"/>
      <c r="AI568" s="51"/>
    </row>
    <row r="569" spans="2:35">
      <c r="B569" t="s">
        <v>82</v>
      </c>
      <c r="C569" t="s">
        <v>3597</v>
      </c>
      <c r="D569">
        <v>6</v>
      </c>
      <c r="E569" t="s">
        <v>2795</v>
      </c>
      <c r="F569">
        <v>5</v>
      </c>
      <c r="G569">
        <v>33</v>
      </c>
      <c r="H569">
        <v>28</v>
      </c>
      <c r="I569" t="s">
        <v>87</v>
      </c>
      <c r="J569" s="51">
        <v>40599</v>
      </c>
      <c r="K569" t="s">
        <v>27</v>
      </c>
      <c r="L569" t="s">
        <v>63</v>
      </c>
      <c r="M569">
        <v>3</v>
      </c>
      <c r="N569" t="str">
        <f>L569</f>
        <v>NAM\D6B1B</v>
      </c>
      <c r="O569" s="51">
        <f>J569</f>
        <v>40599</v>
      </c>
      <c r="P569" s="51" t="str">
        <f>C569</f>
        <v>~/cdd/olddocs/Ayudas visuales/Micromini/General/CNWI-VSHP-000066 Rev. A (LIMPIEZA DE CHEMLOK).pub</v>
      </c>
      <c r="Q569" s="51" t="str">
        <f>E569</f>
        <v>pub</v>
      </c>
      <c r="R569" s="51"/>
      <c r="S569" s="51"/>
      <c r="T569" s="51"/>
      <c r="U569" s="51"/>
      <c r="V569" s="51"/>
      <c r="W569" s="51"/>
      <c r="X569" s="51"/>
      <c r="Y569" s="51"/>
      <c r="Z569" s="51"/>
      <c r="AA569" s="51"/>
      <c r="AB569" s="51"/>
      <c r="AC569" s="51"/>
      <c r="AD569" s="51"/>
      <c r="AE569" t="s">
        <v>89</v>
      </c>
      <c r="AF569" t="s">
        <v>90</v>
      </c>
      <c r="AG569" t="s">
        <v>88</v>
      </c>
      <c r="AH569" s="51"/>
      <c r="AI569" s="51"/>
    </row>
    <row r="570" spans="2:35">
      <c r="B570" t="s">
        <v>2709</v>
      </c>
      <c r="C570" t="s">
        <v>3529</v>
      </c>
      <c r="D570">
        <v>6</v>
      </c>
      <c r="E570" t="s">
        <v>2795</v>
      </c>
      <c r="F570">
        <v>5</v>
      </c>
      <c r="G570">
        <v>9</v>
      </c>
      <c r="H570">
        <v>8</v>
      </c>
      <c r="I570" t="s">
        <v>2710</v>
      </c>
      <c r="J570" s="51">
        <v>40602</v>
      </c>
      <c r="K570" t="s">
        <v>27</v>
      </c>
      <c r="L570" t="s">
        <v>2427</v>
      </c>
      <c r="M570">
        <v>3</v>
      </c>
      <c r="N570" t="str">
        <f>L570</f>
        <v>NAM\MB1911</v>
      </c>
      <c r="O570" s="51">
        <f>J570</f>
        <v>40602</v>
      </c>
      <c r="P570" s="51" t="str">
        <f>C570</f>
        <v>~/cdd/olddocs/Ayudas visuales/Camarillo/Itron/CNWI-VSHP-000067 Rev. A  (Set Up Maquina The Shot Gun).pub</v>
      </c>
      <c r="Q570" s="51" t="str">
        <f>E570</f>
        <v>pub</v>
      </c>
      <c r="R570" s="51"/>
      <c r="S570" s="51"/>
      <c r="T570" s="51"/>
      <c r="U570" s="51"/>
      <c r="V570" s="51"/>
      <c r="W570" s="51"/>
      <c r="X570" s="51"/>
      <c r="Y570" s="51"/>
      <c r="Z570" s="51"/>
      <c r="AA570" s="51"/>
      <c r="AB570" s="51"/>
      <c r="AC570" s="51"/>
      <c r="AD570" s="51"/>
      <c r="AE570" t="s">
        <v>610</v>
      </c>
      <c r="AF570" t="s">
        <v>1473</v>
      </c>
      <c r="AG570" t="s">
        <v>28</v>
      </c>
      <c r="AH570" s="51"/>
      <c r="AI570" s="51"/>
    </row>
    <row r="571" spans="2:35">
      <c r="B571" t="s">
        <v>2659</v>
      </c>
      <c r="C571" t="s">
        <v>3510</v>
      </c>
      <c r="D571">
        <v>6</v>
      </c>
      <c r="E571" t="s">
        <v>2795</v>
      </c>
      <c r="F571">
        <v>5</v>
      </c>
      <c r="G571">
        <v>36</v>
      </c>
      <c r="H571">
        <v>26</v>
      </c>
      <c r="I571" t="s">
        <v>2660</v>
      </c>
      <c r="J571" s="51">
        <v>40602</v>
      </c>
      <c r="K571" t="s">
        <v>27</v>
      </c>
      <c r="L571" t="s">
        <v>2427</v>
      </c>
      <c r="M571">
        <v>3</v>
      </c>
      <c r="N571" t="str">
        <f>L571</f>
        <v>NAM\MB1911</v>
      </c>
      <c r="O571" s="51">
        <f>J571</f>
        <v>40602</v>
      </c>
      <c r="P571" s="51" t="str">
        <f>C571</f>
        <v>~/cdd/olddocs/Ayudas visuales/Camarillo/Ensamble general/CNWI-VSHP-000068 Rev. A (002284-0000).pub</v>
      </c>
      <c r="Q571" s="51" t="str">
        <f>E571</f>
        <v>pub</v>
      </c>
      <c r="R571" s="51"/>
      <c r="S571" s="51"/>
      <c r="T571" s="51"/>
      <c r="U571" s="51"/>
      <c r="V571" s="51"/>
      <c r="W571" s="51"/>
      <c r="X571" s="51"/>
      <c r="Y571" s="51"/>
      <c r="Z571" s="51"/>
      <c r="AA571" s="51"/>
      <c r="AB571" s="51"/>
      <c r="AC571" s="51"/>
      <c r="AD571" s="51"/>
      <c r="AE571" t="s">
        <v>2662</v>
      </c>
      <c r="AF571" t="s">
        <v>479</v>
      </c>
      <c r="AG571" t="s">
        <v>2661</v>
      </c>
      <c r="AH571" s="51"/>
      <c r="AI571" s="51"/>
    </row>
    <row r="572" spans="2:35">
      <c r="B572" t="s">
        <v>793</v>
      </c>
      <c r="C572" t="s">
        <v>3624</v>
      </c>
      <c r="D572">
        <v>6</v>
      </c>
      <c r="E572" t="s">
        <v>2795</v>
      </c>
      <c r="F572">
        <v>5</v>
      </c>
      <c r="G572">
        <v>12</v>
      </c>
      <c r="H572">
        <v>18</v>
      </c>
      <c r="I572" t="s">
        <v>794</v>
      </c>
      <c r="J572" s="51">
        <v>40602</v>
      </c>
      <c r="K572" t="s">
        <v>27</v>
      </c>
      <c r="L572" t="s">
        <v>605</v>
      </c>
      <c r="M572">
        <v>3</v>
      </c>
      <c r="N572" t="str">
        <f>L572</f>
        <v>NA/MB1049</v>
      </c>
      <c r="O572" s="51">
        <f>J572</f>
        <v>40602</v>
      </c>
      <c r="P572" s="51" t="str">
        <f>C572</f>
        <v>~/cdd/olddocs/Ayudas visuales/Micromini/Potted/CNWI-VSHP-000069 Rev. A (5000129-Q).pub</v>
      </c>
      <c r="Q572" s="51" t="str">
        <f>E572</f>
        <v>pub</v>
      </c>
      <c r="R572" s="51"/>
      <c r="S572" s="51"/>
      <c r="T572" s="51"/>
      <c r="U572" s="51"/>
      <c r="V572" s="51"/>
      <c r="W572" s="51"/>
      <c r="X572" s="51"/>
      <c r="Y572" s="51"/>
      <c r="Z572" s="51"/>
      <c r="AA572" s="51"/>
      <c r="AB572" s="51"/>
      <c r="AC572" s="51"/>
      <c r="AD572" s="51"/>
      <c r="AG572" t="s">
        <v>795</v>
      </c>
      <c r="AH572" s="51"/>
      <c r="AI572" s="51"/>
    </row>
    <row r="573" spans="2:35">
      <c r="B573" t="s">
        <v>796</v>
      </c>
      <c r="C573" t="s">
        <v>3625</v>
      </c>
      <c r="D573">
        <v>6</v>
      </c>
      <c r="E573" t="s">
        <v>2795</v>
      </c>
      <c r="F573">
        <v>5</v>
      </c>
      <c r="G573">
        <v>12</v>
      </c>
      <c r="H573">
        <v>18</v>
      </c>
      <c r="I573" t="s">
        <v>797</v>
      </c>
      <c r="J573" s="51">
        <v>40602</v>
      </c>
      <c r="K573" t="s">
        <v>27</v>
      </c>
      <c r="L573" t="s">
        <v>605</v>
      </c>
      <c r="M573">
        <v>3</v>
      </c>
      <c r="N573" t="str">
        <f>L573</f>
        <v>NA/MB1049</v>
      </c>
      <c r="O573" s="51">
        <f>J573</f>
        <v>40602</v>
      </c>
      <c r="P573" s="51" t="str">
        <f>C573</f>
        <v>~/cdd/olddocs/Ayudas visuales/Micromini/Potted/CNWI-VSHP-000070 Rev. A (5000108-D).pub</v>
      </c>
      <c r="Q573" s="51" t="str">
        <f>E573</f>
        <v>pub</v>
      </c>
      <c r="R573" s="51"/>
      <c r="S573" s="51"/>
      <c r="T573" s="51"/>
      <c r="U573" s="51"/>
      <c r="V573" s="51"/>
      <c r="W573" s="51"/>
      <c r="X573" s="51"/>
      <c r="Y573" s="51"/>
      <c r="Z573" s="51"/>
      <c r="AA573" s="51"/>
      <c r="AB573" s="51"/>
      <c r="AC573" s="51"/>
      <c r="AD573" s="51"/>
      <c r="AG573" t="s">
        <v>798</v>
      </c>
      <c r="AH573" s="51"/>
      <c r="AI573" s="51"/>
    </row>
    <row r="574" spans="2:35">
      <c r="B574" t="s">
        <v>799</v>
      </c>
      <c r="C574" t="s">
        <v>3626</v>
      </c>
      <c r="D574">
        <v>6</v>
      </c>
      <c r="E574" t="s">
        <v>2795</v>
      </c>
      <c r="F574">
        <v>5</v>
      </c>
      <c r="G574">
        <v>12</v>
      </c>
      <c r="H574">
        <v>18</v>
      </c>
      <c r="I574" t="s">
        <v>800</v>
      </c>
      <c r="J574" s="51">
        <v>40602</v>
      </c>
      <c r="K574" t="s">
        <v>27</v>
      </c>
      <c r="L574" t="s">
        <v>605</v>
      </c>
      <c r="M574">
        <v>3</v>
      </c>
      <c r="N574" t="str">
        <f>L574</f>
        <v>NA/MB1049</v>
      </c>
      <c r="O574" s="51">
        <f>J574</f>
        <v>40602</v>
      </c>
      <c r="P574" s="51" t="str">
        <f>C574</f>
        <v>~/cdd/olddocs/Ayudas visuales/Micromini/Potted/CNWI-VSHP-000071 Rev. A (5000111-GZ).pub</v>
      </c>
      <c r="Q574" s="51" t="str">
        <f>E574</f>
        <v>pub</v>
      </c>
      <c r="R574" s="51"/>
      <c r="S574" s="51"/>
      <c r="T574" s="51"/>
      <c r="U574" s="51"/>
      <c r="V574" s="51"/>
      <c r="W574" s="51"/>
      <c r="X574" s="51"/>
      <c r="Y574" s="51"/>
      <c r="Z574" s="51"/>
      <c r="AA574" s="51"/>
      <c r="AB574" s="51"/>
      <c r="AC574" s="51"/>
      <c r="AD574" s="51"/>
      <c r="AG574" t="s">
        <v>801</v>
      </c>
      <c r="AH574" s="51"/>
      <c r="AI574" s="51"/>
    </row>
    <row r="575" spans="2:35">
      <c r="B575" t="s">
        <v>713</v>
      </c>
      <c r="C575" t="s">
        <v>3572</v>
      </c>
      <c r="D575">
        <v>6</v>
      </c>
      <c r="E575" t="s">
        <v>2795</v>
      </c>
      <c r="F575">
        <v>5</v>
      </c>
      <c r="G575">
        <v>12</v>
      </c>
      <c r="H575">
        <v>3</v>
      </c>
      <c r="I575" t="s">
        <v>714</v>
      </c>
      <c r="J575" s="51">
        <v>40602</v>
      </c>
      <c r="K575" t="s">
        <v>27</v>
      </c>
      <c r="L575" t="s">
        <v>605</v>
      </c>
      <c r="M575">
        <v>3</v>
      </c>
      <c r="N575" t="str">
        <f>L575</f>
        <v>NA/MB1049</v>
      </c>
      <c r="O575" s="51">
        <f>J575</f>
        <v>40602</v>
      </c>
      <c r="P575" s="51" t="str">
        <f>C575</f>
        <v>~/cdd/olddocs/Ayudas visuales/Micromini/A y B/CNWI-VSHP-000072 Rev. A (5000118-JC).pub</v>
      </c>
      <c r="Q575" s="51" t="str">
        <f>E575</f>
        <v>pub</v>
      </c>
      <c r="R575" s="51"/>
      <c r="S575" s="51"/>
      <c r="T575" s="51"/>
      <c r="U575" s="51"/>
      <c r="V575" s="51"/>
      <c r="W575" s="51"/>
      <c r="X575" s="51"/>
      <c r="Y575" s="51"/>
      <c r="Z575" s="51"/>
      <c r="AA575" s="51"/>
      <c r="AB575" s="51"/>
      <c r="AC575" s="51"/>
      <c r="AD575" s="51"/>
      <c r="AG575" t="s">
        <v>715</v>
      </c>
      <c r="AH575" s="51"/>
      <c r="AI575" s="51"/>
    </row>
    <row r="576" spans="2:35">
      <c r="B576" t="s">
        <v>802</v>
      </c>
      <c r="C576" t="s">
        <v>3627</v>
      </c>
      <c r="D576">
        <v>6</v>
      </c>
      <c r="E576" t="s">
        <v>2795</v>
      </c>
      <c r="F576">
        <v>5</v>
      </c>
      <c r="G576">
        <v>12</v>
      </c>
      <c r="H576">
        <v>18</v>
      </c>
      <c r="I576" t="s">
        <v>803</v>
      </c>
      <c r="J576" s="51">
        <v>40603</v>
      </c>
      <c r="K576" t="s">
        <v>27</v>
      </c>
      <c r="L576" t="s">
        <v>605</v>
      </c>
      <c r="M576">
        <v>3</v>
      </c>
      <c r="N576" t="str">
        <f>L576</f>
        <v>NA/MB1049</v>
      </c>
      <c r="O576" s="51">
        <f>J576</f>
        <v>40603</v>
      </c>
      <c r="P576" s="51" t="str">
        <f>C576</f>
        <v>~/cdd/olddocs/Ayudas visuales/Micromini/Potted/CNWI-VSHP-000073 Rev. A (5000129-CD).pub</v>
      </c>
      <c r="Q576" s="51" t="str">
        <f>E576</f>
        <v>pub</v>
      </c>
      <c r="R576" s="51"/>
      <c r="S576" s="51"/>
      <c r="T576" s="51"/>
      <c r="U576" s="51"/>
      <c r="V576" s="51"/>
      <c r="W576" s="51"/>
      <c r="X576" s="51"/>
      <c r="Y576" s="51"/>
      <c r="Z576" s="51"/>
      <c r="AA576" s="51"/>
      <c r="AB576" s="51"/>
      <c r="AC576" s="51"/>
      <c r="AD576" s="51"/>
      <c r="AG576" t="s">
        <v>804</v>
      </c>
      <c r="AH576" s="51"/>
      <c r="AI576" s="51"/>
    </row>
    <row r="577" spans="2:35">
      <c r="B577" t="s">
        <v>716</v>
      </c>
      <c r="C577" t="s">
        <v>3573</v>
      </c>
      <c r="D577">
        <v>6</v>
      </c>
      <c r="E577" t="s">
        <v>2795</v>
      </c>
      <c r="F577">
        <v>5</v>
      </c>
      <c r="G577">
        <v>12</v>
      </c>
      <c r="H577">
        <v>3</v>
      </c>
      <c r="I577" t="s">
        <v>717</v>
      </c>
      <c r="J577" s="51">
        <v>40602</v>
      </c>
      <c r="K577" t="s">
        <v>27</v>
      </c>
      <c r="L577" t="s">
        <v>605</v>
      </c>
      <c r="M577">
        <v>3</v>
      </c>
      <c r="N577" t="str">
        <f>L577</f>
        <v>NA/MB1049</v>
      </c>
      <c r="O577" s="51">
        <f>J577</f>
        <v>40602</v>
      </c>
      <c r="P577" s="51" t="str">
        <f>C577</f>
        <v>~/cdd/olddocs/Ayudas visuales/Micromini/A y B/CNWI-VSHP-000074 Rev. A (5000135-Z).pub</v>
      </c>
      <c r="Q577" s="51" t="str">
        <f>E577</f>
        <v>pub</v>
      </c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G577" t="s">
        <v>718</v>
      </c>
      <c r="AH577" s="51"/>
      <c r="AI577" s="51"/>
    </row>
    <row r="578" spans="2:35">
      <c r="B578" t="s">
        <v>805</v>
      </c>
      <c r="C578" t="s">
        <v>3628</v>
      </c>
      <c r="D578">
        <v>6</v>
      </c>
      <c r="E578" t="s">
        <v>2795</v>
      </c>
      <c r="F578">
        <v>5</v>
      </c>
      <c r="G578">
        <v>12</v>
      </c>
      <c r="H578">
        <v>18</v>
      </c>
      <c r="I578" t="s">
        <v>806</v>
      </c>
      <c r="J578" s="51">
        <v>40602</v>
      </c>
      <c r="K578" t="s">
        <v>27</v>
      </c>
      <c r="L578" t="s">
        <v>605</v>
      </c>
      <c r="M578">
        <v>3</v>
      </c>
      <c r="N578" t="str">
        <f>L578</f>
        <v>NA/MB1049</v>
      </c>
      <c r="O578" s="51">
        <f>J578</f>
        <v>40602</v>
      </c>
      <c r="P578" s="51" t="str">
        <f>C578</f>
        <v>~/cdd/olddocs/Ayudas visuales/Micromini/Potted/CNWI-VSHP-000075 Rev. A (A88N-D4AF1-1F).pub</v>
      </c>
      <c r="Q578" s="51" t="str">
        <f>E578</f>
        <v>pub</v>
      </c>
      <c r="R578" s="51"/>
      <c r="S578" s="51"/>
      <c r="T578" s="51"/>
      <c r="U578" s="51"/>
      <c r="V578" s="51"/>
      <c r="W578" s="51"/>
      <c r="X578" s="51"/>
      <c r="Y578" s="51"/>
      <c r="Z578" s="51"/>
      <c r="AA578" s="51"/>
      <c r="AB578" s="51"/>
      <c r="AC578" s="51"/>
      <c r="AD578" s="51"/>
      <c r="AG578" t="s">
        <v>807</v>
      </c>
      <c r="AH578" s="51"/>
      <c r="AI578" s="51"/>
    </row>
    <row r="579" spans="2:35">
      <c r="B579" t="s">
        <v>808</v>
      </c>
      <c r="C579" t="s">
        <v>3629</v>
      </c>
      <c r="D579">
        <v>6</v>
      </c>
      <c r="E579" t="s">
        <v>2795</v>
      </c>
      <c r="F579">
        <v>5</v>
      </c>
      <c r="G579">
        <v>12</v>
      </c>
      <c r="H579">
        <v>18</v>
      </c>
      <c r="I579" t="s">
        <v>809</v>
      </c>
      <c r="J579" s="51">
        <v>40602</v>
      </c>
      <c r="K579" t="s">
        <v>27</v>
      </c>
      <c r="L579" t="s">
        <v>605</v>
      </c>
      <c r="M579">
        <v>3</v>
      </c>
      <c r="N579" t="str">
        <f>L579</f>
        <v>NA/MB1049</v>
      </c>
      <c r="O579" s="51">
        <f>J579</f>
        <v>40602</v>
      </c>
      <c r="P579" s="51" t="str">
        <f>C579</f>
        <v>~/cdd/olddocs/Ayudas visuales/Micromini/Potted/CNWI-VSHP-000076 Rev. A (33165821A).pub</v>
      </c>
      <c r="Q579" s="51" t="str">
        <f>E579</f>
        <v>pub</v>
      </c>
      <c r="R579" s="51"/>
      <c r="S579" s="51"/>
      <c r="T579" s="51"/>
      <c r="U579" s="51"/>
      <c r="V579" s="51"/>
      <c r="W579" s="51"/>
      <c r="X579" s="51"/>
      <c r="Y579" s="51"/>
      <c r="Z579" s="51"/>
      <c r="AA579" s="51"/>
      <c r="AB579" s="51"/>
      <c r="AC579" s="51"/>
      <c r="AD579" s="51"/>
      <c r="AG579" t="s">
        <v>810</v>
      </c>
      <c r="AH579" s="51"/>
      <c r="AI579" s="51"/>
    </row>
    <row r="580" spans="2:35">
      <c r="B580" t="s">
        <v>719</v>
      </c>
      <c r="C580" t="s">
        <v>3574</v>
      </c>
      <c r="D580">
        <v>6</v>
      </c>
      <c r="E580" t="s">
        <v>2795</v>
      </c>
      <c r="F580">
        <v>5</v>
      </c>
      <c r="G580">
        <v>12</v>
      </c>
      <c r="H580">
        <v>3</v>
      </c>
      <c r="I580" t="s">
        <v>720</v>
      </c>
      <c r="J580" s="51">
        <v>40602</v>
      </c>
      <c r="K580" t="s">
        <v>27</v>
      </c>
      <c r="L580" t="s">
        <v>605</v>
      </c>
      <c r="M580">
        <v>3</v>
      </c>
      <c r="N580" t="str">
        <f>L580</f>
        <v>NA/MB1049</v>
      </c>
      <c r="O580" s="51">
        <f>J580</f>
        <v>40602</v>
      </c>
      <c r="P580" s="51" t="str">
        <f>C580</f>
        <v>~/cdd/olddocs/Ayudas visuales/Micromini/A y B/CNWI-VSHP-000077 Rev. A (A89N-R12AF-5).pub</v>
      </c>
      <c r="Q580" s="51" t="str">
        <f>E580</f>
        <v>pub</v>
      </c>
      <c r="R580" s="51"/>
      <c r="S580" s="51"/>
      <c r="T580" s="51"/>
      <c r="U580" s="51"/>
      <c r="V580" s="51"/>
      <c r="W580" s="51"/>
      <c r="X580" s="51"/>
      <c r="Y580" s="51"/>
      <c r="Z580" s="51"/>
      <c r="AA580" s="51"/>
      <c r="AB580" s="51"/>
      <c r="AC580" s="51"/>
      <c r="AD580" s="51"/>
      <c r="AG580" t="s">
        <v>721</v>
      </c>
      <c r="AH580" s="51"/>
      <c r="AI580" s="51"/>
    </row>
    <row r="581" spans="2:35">
      <c r="B581" t="s">
        <v>811</v>
      </c>
      <c r="C581" t="s">
        <v>3630</v>
      </c>
      <c r="D581">
        <v>6</v>
      </c>
      <c r="E581" t="s">
        <v>2795</v>
      </c>
      <c r="F581">
        <v>5</v>
      </c>
      <c r="G581">
        <v>12</v>
      </c>
      <c r="H581">
        <v>18</v>
      </c>
      <c r="I581" t="s">
        <v>812</v>
      </c>
      <c r="J581" s="51">
        <v>40613</v>
      </c>
      <c r="K581" t="s">
        <v>46</v>
      </c>
      <c r="L581" t="s">
        <v>605</v>
      </c>
      <c r="M581">
        <v>3</v>
      </c>
      <c r="N581" t="str">
        <f>L581</f>
        <v>NA/MB1049</v>
      </c>
      <c r="O581" s="51">
        <f>J581</f>
        <v>40613</v>
      </c>
      <c r="P581" s="51" t="str">
        <f>C581</f>
        <v>~/cdd/olddocs/Ayudas visuales/Micromini/Potted/CNWI-VSHP-000078 Rev. B (5000110-Y).pub</v>
      </c>
      <c r="Q581" s="51" t="str">
        <f>E581</f>
        <v>pub</v>
      </c>
      <c r="R581" s="51"/>
      <c r="S581" s="51"/>
      <c r="T581" s="51"/>
      <c r="U581" s="51"/>
      <c r="V581" s="51"/>
      <c r="W581" s="51"/>
      <c r="X581" s="51"/>
      <c r="Y581" s="51"/>
      <c r="Z581" s="51"/>
      <c r="AA581" s="51"/>
      <c r="AB581" s="51"/>
      <c r="AC581" s="51"/>
      <c r="AD581" s="51"/>
      <c r="AG581" t="s">
        <v>813</v>
      </c>
      <c r="AH581" s="51"/>
      <c r="AI581" s="51"/>
    </row>
    <row r="582" spans="2:35">
      <c r="B582" t="s">
        <v>625</v>
      </c>
      <c r="C582" t="s">
        <v>3598</v>
      </c>
      <c r="D582">
        <v>6</v>
      </c>
      <c r="E582" t="s">
        <v>2795</v>
      </c>
      <c r="F582">
        <v>5</v>
      </c>
      <c r="G582">
        <v>33</v>
      </c>
      <c r="H582">
        <v>28</v>
      </c>
      <c r="I582" t="s">
        <v>626</v>
      </c>
      <c r="J582" s="51">
        <v>40605</v>
      </c>
      <c r="K582" t="s">
        <v>27</v>
      </c>
      <c r="L582" t="s">
        <v>605</v>
      </c>
      <c r="M582">
        <v>3</v>
      </c>
      <c r="N582" t="str">
        <f>L582</f>
        <v>NA/MB1049</v>
      </c>
      <c r="O582" s="51">
        <f>J582</f>
        <v>40605</v>
      </c>
      <c r="P582" s="51" t="str">
        <f>C582</f>
        <v>~/cdd/olddocs/Ayudas visuales/Micromini/General/CNWI-VSHP-000080 Rev. A (Set Up bascula ULINE).pub</v>
      </c>
      <c r="Q582" s="51" t="str">
        <f>E582</f>
        <v>pub</v>
      </c>
      <c r="R582" s="51"/>
      <c r="S582" s="51"/>
      <c r="T582" s="51"/>
      <c r="U582" s="51"/>
      <c r="V582" s="51"/>
      <c r="W582" s="51"/>
      <c r="X582" s="51"/>
      <c r="Y582" s="51"/>
      <c r="Z582" s="51"/>
      <c r="AA582" s="51"/>
      <c r="AB582" s="51"/>
      <c r="AC582" s="51"/>
      <c r="AD582" s="51"/>
      <c r="AE582" t="s">
        <v>478</v>
      </c>
      <c r="AF582" t="s">
        <v>90</v>
      </c>
      <c r="AG582" t="s">
        <v>28</v>
      </c>
      <c r="AH582" s="51"/>
      <c r="AI582" s="51"/>
    </row>
    <row r="583" spans="2:35">
      <c r="B583" t="s">
        <v>2663</v>
      </c>
      <c r="C583" t="s">
        <v>3511</v>
      </c>
      <c r="D583">
        <v>6</v>
      </c>
      <c r="E583" t="s">
        <v>2795</v>
      </c>
      <c r="F583">
        <v>5</v>
      </c>
      <c r="G583">
        <v>36</v>
      </c>
      <c r="H583">
        <v>26</v>
      </c>
      <c r="I583" t="s">
        <v>2664</v>
      </c>
      <c r="J583" s="51">
        <v>40610</v>
      </c>
      <c r="K583" t="s">
        <v>27</v>
      </c>
      <c r="L583" t="s">
        <v>2427</v>
      </c>
      <c r="M583">
        <v>3</v>
      </c>
      <c r="N583" t="str">
        <f>L583</f>
        <v>NAM\MB1911</v>
      </c>
      <c r="O583" s="51">
        <f>J583</f>
        <v>40610</v>
      </c>
      <c r="P583" s="51" t="str">
        <f>C583</f>
        <v>~/cdd/olddocs/Ayudas visuales/Camarillo/Ensamble general/CNWI-VSHP-000081 Rev. A (28-7002-0000M).pub</v>
      </c>
      <c r="Q583" s="51" t="str">
        <f>E583</f>
        <v>pub</v>
      </c>
      <c r="R583" s="51"/>
      <c r="S583" s="51"/>
      <c r="T583" s="51"/>
      <c r="U583" s="51"/>
      <c r="V583" s="51"/>
      <c r="W583" s="51"/>
      <c r="X583" s="51"/>
      <c r="Y583" s="51"/>
      <c r="Z583" s="51"/>
      <c r="AA583" s="51"/>
      <c r="AB583" s="51"/>
      <c r="AC583" s="51"/>
      <c r="AD583" s="51"/>
      <c r="AE583" t="s">
        <v>2666</v>
      </c>
      <c r="AF583" t="s">
        <v>479</v>
      </c>
      <c r="AG583" t="s">
        <v>2665</v>
      </c>
      <c r="AH583" s="51"/>
      <c r="AI583" s="51"/>
    </row>
    <row r="584" spans="2:35">
      <c r="B584" t="s">
        <v>473</v>
      </c>
      <c r="C584" t="s">
        <v>3545</v>
      </c>
      <c r="D584">
        <v>6</v>
      </c>
      <c r="E584" t="s">
        <v>2795</v>
      </c>
      <c r="F584">
        <v>5</v>
      </c>
      <c r="G584">
        <v>13</v>
      </c>
      <c r="H584">
        <v>14</v>
      </c>
      <c r="I584" t="s">
        <v>476</v>
      </c>
      <c r="J584" s="51">
        <v>40610</v>
      </c>
      <c r="K584" t="s">
        <v>27</v>
      </c>
      <c r="L584" t="s">
        <v>438</v>
      </c>
      <c r="M584">
        <v>3</v>
      </c>
      <c r="N584" t="str">
        <f>L584</f>
        <v>NAM\D24B6</v>
      </c>
      <c r="O584" s="51">
        <f>J584</f>
        <v>40610</v>
      </c>
      <c r="P584" s="51" t="str">
        <f>C584</f>
        <v>~/cdd/olddocs/Ayudas visuales/Camarillo/Moldeo/CNWI-VSHP-000082 Rev. A (027-0231-000).pub</v>
      </c>
      <c r="Q584" s="51" t="str">
        <f>E584</f>
        <v>pub</v>
      </c>
      <c r="R584" s="51"/>
      <c r="S584" s="51"/>
      <c r="T584" s="51"/>
      <c r="U584" s="51"/>
      <c r="V584" s="51"/>
      <c r="W584" s="51"/>
      <c r="X584" s="51"/>
      <c r="Y584" s="51"/>
      <c r="Z584" s="51"/>
      <c r="AA584" s="51"/>
      <c r="AB584" s="51"/>
      <c r="AC584" s="51"/>
      <c r="AD584" s="51"/>
      <c r="AE584" t="s">
        <v>478</v>
      </c>
      <c r="AF584" t="s">
        <v>479</v>
      </c>
      <c r="AG584" t="s">
        <v>477</v>
      </c>
      <c r="AH584" s="51"/>
      <c r="AI584" s="51"/>
    </row>
    <row r="585" spans="2:35">
      <c r="B585" t="s">
        <v>480</v>
      </c>
      <c r="C585" t="s">
        <v>3546</v>
      </c>
      <c r="D585">
        <v>6</v>
      </c>
      <c r="E585" t="s">
        <v>2795</v>
      </c>
      <c r="F585">
        <v>5</v>
      </c>
      <c r="G585">
        <v>13</v>
      </c>
      <c r="H585">
        <v>14</v>
      </c>
      <c r="I585" t="s">
        <v>481</v>
      </c>
      <c r="J585" s="51">
        <v>40613</v>
      </c>
      <c r="K585" t="s">
        <v>27</v>
      </c>
      <c r="L585" t="s">
        <v>438</v>
      </c>
      <c r="M585">
        <v>3</v>
      </c>
      <c r="N585" t="str">
        <f>L585</f>
        <v>NAM\D24B6</v>
      </c>
      <c r="O585" s="51">
        <f>J585</f>
        <v>40613</v>
      </c>
      <c r="P585" s="51" t="str">
        <f>C585</f>
        <v>~/cdd/olddocs/Ayudas visuales/Camarillo/Moldeo/CNWI-VSHP-000083 Rev. A (027-0236-000).pub</v>
      </c>
      <c r="Q585" s="51" t="str">
        <f>E585</f>
        <v>pub</v>
      </c>
      <c r="R585" s="51"/>
      <c r="S585" s="51"/>
      <c r="T585" s="51"/>
      <c r="U585" s="51"/>
      <c r="V585" s="51"/>
      <c r="W585" s="51"/>
      <c r="X585" s="51"/>
      <c r="Y585" s="51"/>
      <c r="Z585" s="51"/>
      <c r="AA585" s="51"/>
      <c r="AB585" s="51"/>
      <c r="AC585" s="51"/>
      <c r="AD585" s="51"/>
      <c r="AE585" t="s">
        <v>478</v>
      </c>
      <c r="AF585" t="s">
        <v>479</v>
      </c>
      <c r="AG585" t="s">
        <v>482</v>
      </c>
      <c r="AH585" s="51"/>
      <c r="AI585" s="51"/>
    </row>
    <row r="586" spans="2:35">
      <c r="B586" t="s">
        <v>2667</v>
      </c>
      <c r="C586" t="s">
        <v>3512</v>
      </c>
      <c r="D586">
        <v>6</v>
      </c>
      <c r="E586" t="s">
        <v>2795</v>
      </c>
      <c r="F586">
        <v>5</v>
      </c>
      <c r="G586">
        <v>36</v>
      </c>
      <c r="H586">
        <v>26</v>
      </c>
      <c r="I586" t="s">
        <v>2668</v>
      </c>
      <c r="J586" s="51">
        <v>40613</v>
      </c>
      <c r="K586" t="s">
        <v>27</v>
      </c>
      <c r="L586" t="s">
        <v>2427</v>
      </c>
      <c r="M586">
        <v>3</v>
      </c>
      <c r="N586" t="str">
        <f>L586</f>
        <v>NAM\MB1911</v>
      </c>
      <c r="O586" s="51">
        <f>J586</f>
        <v>40613</v>
      </c>
      <c r="P586" s="51" t="str">
        <f>C586</f>
        <v>~/cdd/olddocs/Ayudas visuales/Camarillo/Ensamble general/CNWI-VSHP-000084 Rev. A (002144-0000).pub</v>
      </c>
      <c r="Q586" s="51" t="str">
        <f>E586</f>
        <v>pub</v>
      </c>
      <c r="R586" s="51"/>
      <c r="S586" s="51"/>
      <c r="T586" s="51"/>
      <c r="U586" s="51"/>
      <c r="V586" s="51"/>
      <c r="W586" s="51"/>
      <c r="X586" s="51"/>
      <c r="Y586" s="51"/>
      <c r="Z586" s="51"/>
      <c r="AA586" s="51"/>
      <c r="AB586" s="51"/>
      <c r="AC586" s="51"/>
      <c r="AD586" s="51"/>
      <c r="AE586" t="s">
        <v>2637</v>
      </c>
      <c r="AF586" t="s">
        <v>479</v>
      </c>
      <c r="AG586" t="s">
        <v>2669</v>
      </c>
      <c r="AH586" s="51"/>
      <c r="AI586" s="51"/>
    </row>
    <row r="587" spans="2:35">
      <c r="B587" t="s">
        <v>722</v>
      </c>
      <c r="C587" t="s">
        <v>3575</v>
      </c>
      <c r="D587">
        <v>6</v>
      </c>
      <c r="E587" t="s">
        <v>2795</v>
      </c>
      <c r="F587">
        <v>5</v>
      </c>
      <c r="G587">
        <v>12</v>
      </c>
      <c r="H587">
        <v>3</v>
      </c>
      <c r="I587" t="s">
        <v>723</v>
      </c>
      <c r="J587" s="51">
        <v>40610</v>
      </c>
      <c r="K587" t="s">
        <v>27</v>
      </c>
      <c r="L587" t="s">
        <v>605</v>
      </c>
      <c r="M587">
        <v>3</v>
      </c>
      <c r="N587" t="str">
        <f>L587</f>
        <v>NA/MB1049</v>
      </c>
      <c r="O587" s="51">
        <f>J587</f>
        <v>40610</v>
      </c>
      <c r="P587" s="51" t="str">
        <f>C587</f>
        <v>~/cdd/olddocs/Ayudas visuales/Micromini/A y B/CNWI-VSHP-000085 Rev. A (X8992-CS).pub</v>
      </c>
      <c r="Q587" s="51" t="str">
        <f>E587</f>
        <v>pub</v>
      </c>
      <c r="R587" s="51"/>
      <c r="S587" s="51"/>
      <c r="T587" s="51"/>
      <c r="U587" s="51"/>
      <c r="V587" s="51"/>
      <c r="W587" s="51"/>
      <c r="X587" s="51"/>
      <c r="Y587" s="51"/>
      <c r="Z587" s="51"/>
      <c r="AA587" s="51"/>
      <c r="AB587" s="51"/>
      <c r="AC587" s="51"/>
      <c r="AD587" s="51"/>
      <c r="AG587" t="s">
        <v>724</v>
      </c>
      <c r="AH587" s="51"/>
      <c r="AI587" s="51"/>
    </row>
    <row r="588" spans="2:35">
      <c r="B588" t="s">
        <v>725</v>
      </c>
      <c r="C588" t="s">
        <v>3576</v>
      </c>
      <c r="D588">
        <v>6</v>
      </c>
      <c r="E588" t="s">
        <v>2795</v>
      </c>
      <c r="F588">
        <v>5</v>
      </c>
      <c r="G588">
        <v>12</v>
      </c>
      <c r="H588">
        <v>3</v>
      </c>
      <c r="I588" t="s">
        <v>726</v>
      </c>
      <c r="J588" s="51">
        <v>40618</v>
      </c>
      <c r="K588" t="s">
        <v>27</v>
      </c>
      <c r="L588" t="s">
        <v>605</v>
      </c>
      <c r="M588">
        <v>3</v>
      </c>
      <c r="N588" t="str">
        <f>L588</f>
        <v>NA/MB1049</v>
      </c>
      <c r="O588" s="51">
        <f>J588</f>
        <v>40618</v>
      </c>
      <c r="P588" s="51" t="str">
        <f>C588</f>
        <v>~/cdd/olddocs/Ayudas visuales/Micromini/A y B/CNWI-VSHP-000086 Rev. A (X8992-BK).pub</v>
      </c>
      <c r="Q588" s="51" t="str">
        <f>E588</f>
        <v>pub</v>
      </c>
      <c r="R588" s="51"/>
      <c r="S588" s="51"/>
      <c r="T588" s="51"/>
      <c r="U588" s="51"/>
      <c r="V588" s="51"/>
      <c r="W588" s="51"/>
      <c r="X588" s="51"/>
      <c r="Y588" s="51"/>
      <c r="Z588" s="51"/>
      <c r="AA588" s="51"/>
      <c r="AB588" s="51"/>
      <c r="AC588" s="51"/>
      <c r="AD588" s="51"/>
      <c r="AG588" t="s">
        <v>727</v>
      </c>
      <c r="AH588" s="51"/>
      <c r="AI588" s="51"/>
    </row>
    <row r="589" spans="2:35">
      <c r="B589" t="s">
        <v>772</v>
      </c>
      <c r="C589" t="s">
        <v>3615</v>
      </c>
      <c r="D589">
        <v>6</v>
      </c>
      <c r="E589" t="s">
        <v>2795</v>
      </c>
      <c r="F589">
        <v>5</v>
      </c>
      <c r="G589">
        <v>12</v>
      </c>
      <c r="H589">
        <v>16</v>
      </c>
      <c r="I589" t="s">
        <v>773</v>
      </c>
      <c r="J589" s="51">
        <v>40616</v>
      </c>
      <c r="K589" t="s">
        <v>27</v>
      </c>
      <c r="L589" t="s">
        <v>605</v>
      </c>
      <c r="M589">
        <v>3</v>
      </c>
      <c r="N589" t="str">
        <f>L589</f>
        <v>NA/MB1049</v>
      </c>
      <c r="O589" s="51">
        <f>J589</f>
        <v>40616</v>
      </c>
      <c r="P589" s="51" t="str">
        <f>C589</f>
        <v>~/cdd/olddocs/Ayudas visuales/Micromini/MS/CNWI-VSHP-000087 Rev. A (X8653-FJ).pub</v>
      </c>
      <c r="Q589" s="51" t="str">
        <f>E589</f>
        <v>pub</v>
      </c>
      <c r="R589" s="51"/>
      <c r="S589" s="51"/>
      <c r="T589" s="51"/>
      <c r="U589" s="51"/>
      <c r="V589" s="51"/>
      <c r="W589" s="51"/>
      <c r="X589" s="51"/>
      <c r="Y589" s="51"/>
      <c r="Z589" s="51"/>
      <c r="AA589" s="51"/>
      <c r="AB589" s="51"/>
      <c r="AC589" s="51"/>
      <c r="AD589" s="51"/>
      <c r="AG589" t="s">
        <v>774</v>
      </c>
      <c r="AH589" s="51"/>
      <c r="AI589" s="51"/>
    </row>
    <row r="590" spans="2:35">
      <c r="B590" t="s">
        <v>483</v>
      </c>
      <c r="C590" t="s">
        <v>3547</v>
      </c>
      <c r="D590">
        <v>6</v>
      </c>
      <c r="E590" t="s">
        <v>2795</v>
      </c>
      <c r="F590">
        <v>5</v>
      </c>
      <c r="G590">
        <v>13</v>
      </c>
      <c r="H590">
        <v>14</v>
      </c>
      <c r="I590" t="s">
        <v>484</v>
      </c>
      <c r="J590" s="51">
        <v>40619</v>
      </c>
      <c r="K590" t="s">
        <v>27</v>
      </c>
      <c r="L590" t="s">
        <v>438</v>
      </c>
      <c r="M590">
        <v>3</v>
      </c>
      <c r="N590" t="str">
        <f>L590</f>
        <v>NAM\D24B6</v>
      </c>
      <c r="O590" s="51">
        <f>J590</f>
        <v>40619</v>
      </c>
      <c r="P590" s="51" t="str">
        <f>C590</f>
        <v>~/cdd/olddocs/Ayudas visuales/Camarillo/Moldeo/CNWI-VSHP-000089 Rev. A (027-0230-000).pub</v>
      </c>
      <c r="Q590" s="51" t="str">
        <f>E590</f>
        <v>pub</v>
      </c>
      <c r="R590" s="51"/>
      <c r="S590" s="51"/>
      <c r="T590" s="51"/>
      <c r="U590" s="51"/>
      <c r="V590" s="51"/>
      <c r="W590" s="51"/>
      <c r="X590" s="51"/>
      <c r="Y590" s="51"/>
      <c r="Z590" s="51"/>
      <c r="AA590" s="51"/>
      <c r="AB590" s="51"/>
      <c r="AC590" s="51"/>
      <c r="AD590" s="51"/>
      <c r="AE590" t="s">
        <v>478</v>
      </c>
      <c r="AF590" t="s">
        <v>479</v>
      </c>
      <c r="AG590" t="s">
        <v>485</v>
      </c>
      <c r="AH590" s="51"/>
      <c r="AI590" s="51"/>
    </row>
    <row r="591" spans="2:35">
      <c r="B591" t="s">
        <v>2583</v>
      </c>
      <c r="C591" t="s">
        <v>3489</v>
      </c>
      <c r="D591">
        <v>6</v>
      </c>
      <c r="E591" t="s">
        <v>2795</v>
      </c>
      <c r="F591">
        <v>5</v>
      </c>
      <c r="G591">
        <v>10</v>
      </c>
      <c r="H591">
        <v>10</v>
      </c>
      <c r="I591" t="s">
        <v>2584</v>
      </c>
      <c r="J591" s="51">
        <v>40619</v>
      </c>
      <c r="K591" t="s">
        <v>27</v>
      </c>
      <c r="L591" t="s">
        <v>2427</v>
      </c>
      <c r="M591">
        <v>3</v>
      </c>
      <c r="N591" t="str">
        <f>L591</f>
        <v>NAM\MB1911</v>
      </c>
      <c r="O591" s="51">
        <f>J591</f>
        <v>40619</v>
      </c>
      <c r="P591" s="51" t="str">
        <f>C591</f>
        <v>~/cdd/olddocs/Ayudas visuales/Camarillo/Bonding/CNWI-VSHP-000090 Rev. A (000102-0159).pub</v>
      </c>
      <c r="Q591" s="51" t="str">
        <f>E591</f>
        <v>pub</v>
      </c>
      <c r="R591" s="51"/>
      <c r="S591" s="51"/>
      <c r="T591" s="51"/>
      <c r="U591" s="51"/>
      <c r="V591" s="51"/>
      <c r="W591" s="51"/>
      <c r="X591" s="51"/>
      <c r="Y591" s="51"/>
      <c r="Z591" s="51"/>
      <c r="AA591" s="51"/>
      <c r="AB591" s="51"/>
      <c r="AC591" s="51"/>
      <c r="AD591" s="51"/>
      <c r="AG591" t="s">
        <v>2585</v>
      </c>
      <c r="AH591" s="51"/>
      <c r="AI591" s="51"/>
    </row>
    <row r="592" spans="2:35">
      <c r="B592" t="s">
        <v>728</v>
      </c>
      <c r="C592" t="s">
        <v>3577</v>
      </c>
      <c r="D592">
        <v>6</v>
      </c>
      <c r="E592" t="s">
        <v>2795</v>
      </c>
      <c r="F592">
        <v>5</v>
      </c>
      <c r="G592">
        <v>12</v>
      </c>
      <c r="H592">
        <v>3</v>
      </c>
      <c r="I592" t="s">
        <v>729</v>
      </c>
      <c r="J592" s="51">
        <v>40627</v>
      </c>
      <c r="K592" t="s">
        <v>27</v>
      </c>
      <c r="L592" t="s">
        <v>605</v>
      </c>
      <c r="M592">
        <v>3</v>
      </c>
      <c r="N592" t="str">
        <f>L592</f>
        <v>NA/MB1049</v>
      </c>
      <c r="O592" s="51">
        <f>J592</f>
        <v>40627</v>
      </c>
      <c r="P592" s="51" t="str">
        <f>C592</f>
        <v>~/cdd/olddocs/Ayudas visuales/Micromini/A y B/CNWI-VSHP-000093 Rev. A (ABP-P1E4-B).pub</v>
      </c>
      <c r="Q592" s="51" t="str">
        <f>E592</f>
        <v>pub</v>
      </c>
      <c r="R592" s="51"/>
      <c r="S592" s="51"/>
      <c r="T592" s="51"/>
      <c r="U592" s="51"/>
      <c r="V592" s="51"/>
      <c r="W592" s="51"/>
      <c r="X592" s="51"/>
      <c r="Y592" s="51"/>
      <c r="Z592" s="51"/>
      <c r="AA592" s="51"/>
      <c r="AB592" s="51"/>
      <c r="AC592" s="51"/>
      <c r="AD592" s="51"/>
      <c r="AG592" t="s">
        <v>730</v>
      </c>
      <c r="AH592" s="51"/>
      <c r="AI592" s="51"/>
    </row>
    <row r="593" spans="2:35">
      <c r="B593" t="s">
        <v>814</v>
      </c>
      <c r="C593" t="s">
        <v>3631</v>
      </c>
      <c r="D593">
        <v>6</v>
      </c>
      <c r="E593" t="s">
        <v>2795</v>
      </c>
      <c r="F593">
        <v>5</v>
      </c>
      <c r="G593">
        <v>12</v>
      </c>
      <c r="H593">
        <v>18</v>
      </c>
      <c r="I593" t="s">
        <v>815</v>
      </c>
      <c r="J593" s="51">
        <v>40627</v>
      </c>
      <c r="K593" t="s">
        <v>27</v>
      </c>
      <c r="L593" t="s">
        <v>605</v>
      </c>
      <c r="M593">
        <v>3</v>
      </c>
      <c r="N593" t="str">
        <f>L593</f>
        <v>NA/MB1049</v>
      </c>
      <c r="O593" s="51">
        <f>J593</f>
        <v>40627</v>
      </c>
      <c r="P593" s="51" t="str">
        <f>C593</f>
        <v>~/cdd/olddocs/Ayudas visuales/Micromini/Potted/CNWI-VSHP-000094 Rev. A (5000120-D).pub</v>
      </c>
      <c r="Q593" s="51" t="str">
        <f>E593</f>
        <v>pub</v>
      </c>
      <c r="R593" s="51"/>
      <c r="S593" s="51"/>
      <c r="T593" s="51"/>
      <c r="U593" s="51"/>
      <c r="V593" s="51"/>
      <c r="W593" s="51"/>
      <c r="X593" s="51"/>
      <c r="Y593" s="51"/>
      <c r="Z593" s="51"/>
      <c r="AA593" s="51"/>
      <c r="AB593" s="51"/>
      <c r="AC593" s="51"/>
      <c r="AD593" s="51"/>
      <c r="AG593" t="s">
        <v>816</v>
      </c>
      <c r="AH593" s="51"/>
      <c r="AI593" s="51"/>
    </row>
    <row r="594" spans="2:35">
      <c r="B594" t="s">
        <v>2724</v>
      </c>
      <c r="C594" t="s">
        <v>3530</v>
      </c>
      <c r="D594">
        <v>6</v>
      </c>
      <c r="E594" t="s">
        <v>2795</v>
      </c>
      <c r="F594">
        <v>5</v>
      </c>
      <c r="G594">
        <v>9</v>
      </c>
      <c r="H594">
        <v>9</v>
      </c>
      <c r="I594" t="s">
        <v>2725</v>
      </c>
      <c r="J594" s="51">
        <v>40630</v>
      </c>
      <c r="K594" t="s">
        <v>27</v>
      </c>
      <c r="L594" t="s">
        <v>2427</v>
      </c>
      <c r="M594">
        <v>3</v>
      </c>
      <c r="N594" t="str">
        <f>L594</f>
        <v>NAM\MB1911</v>
      </c>
      <c r="O594" s="51">
        <f>J594</f>
        <v>40630</v>
      </c>
      <c r="P594" s="51" t="str">
        <f>C594</f>
        <v>~/cdd/olddocs/Ayudas visuales/Camarillo/Itron/CNWI-VSHP-000095 Rev. A (CBA-0200-011).pub</v>
      </c>
      <c r="Q594" s="51" t="str">
        <f>E594</f>
        <v>pub</v>
      </c>
      <c r="R594" s="51"/>
      <c r="S594" s="51"/>
      <c r="T594" s="51"/>
      <c r="U594" s="51"/>
      <c r="V594" s="51"/>
      <c r="W594" s="51"/>
      <c r="X594" s="51"/>
      <c r="Y594" s="51"/>
      <c r="Z594" s="51"/>
      <c r="AA594" s="51"/>
      <c r="AB594" s="51"/>
      <c r="AC594" s="51"/>
      <c r="AD594" s="51"/>
      <c r="AG594" t="s">
        <v>2726</v>
      </c>
      <c r="AH594" s="51"/>
      <c r="AI594" s="51"/>
    </row>
    <row r="595" spans="2:35">
      <c r="B595" t="s">
        <v>764</v>
      </c>
      <c r="C595" t="s">
        <v>3588</v>
      </c>
      <c r="D595">
        <v>6</v>
      </c>
      <c r="E595" t="s">
        <v>2795</v>
      </c>
      <c r="F595">
        <v>5</v>
      </c>
      <c r="G595">
        <v>12</v>
      </c>
      <c r="H595">
        <v>4</v>
      </c>
      <c r="I595" t="s">
        <v>765</v>
      </c>
      <c r="J595" s="51">
        <v>40630</v>
      </c>
      <c r="K595" t="s">
        <v>27</v>
      </c>
      <c r="L595" t="s">
        <v>605</v>
      </c>
      <c r="M595">
        <v>3</v>
      </c>
      <c r="N595" t="str">
        <f>L595</f>
        <v>NA/MB1049</v>
      </c>
      <c r="O595" s="51">
        <f>J595</f>
        <v>40630</v>
      </c>
      <c r="P595" s="51" t="str">
        <f>C595</f>
        <v>~/cdd/olddocs/Ayudas visuales/Micromini/Change Out/CNWI-VSHP-000096 Rev. A (X8653-DA).pub</v>
      </c>
      <c r="Q595" s="51" t="str">
        <f>E595</f>
        <v>pub</v>
      </c>
      <c r="R595" s="51"/>
      <c r="S595" s="51"/>
      <c r="T595" s="51"/>
      <c r="U595" s="51"/>
      <c r="V595" s="51"/>
      <c r="W595" s="51"/>
      <c r="X595" s="51"/>
      <c r="Y595" s="51"/>
      <c r="Z595" s="51"/>
      <c r="AA595" s="51"/>
      <c r="AB595" s="51"/>
      <c r="AC595" s="51"/>
      <c r="AD595" s="51"/>
      <c r="AG595" t="s">
        <v>766</v>
      </c>
      <c r="AH595" s="51"/>
      <c r="AI595" s="51"/>
    </row>
    <row r="596" spans="2:35">
      <c r="B596" t="s">
        <v>817</v>
      </c>
      <c r="C596" t="s">
        <v>3632</v>
      </c>
      <c r="D596">
        <v>6</v>
      </c>
      <c r="E596" t="s">
        <v>2795</v>
      </c>
      <c r="F596">
        <v>5</v>
      </c>
      <c r="G596">
        <v>12</v>
      </c>
      <c r="H596">
        <v>18</v>
      </c>
      <c r="I596" t="s">
        <v>818</v>
      </c>
      <c r="J596" s="51">
        <v>40632</v>
      </c>
      <c r="K596" t="s">
        <v>27</v>
      </c>
      <c r="L596" t="s">
        <v>605</v>
      </c>
      <c r="M596">
        <v>3</v>
      </c>
      <c r="N596" t="str">
        <f>L596</f>
        <v>NA/MB1049</v>
      </c>
      <c r="O596" s="51">
        <f>J596</f>
        <v>40632</v>
      </c>
      <c r="P596" s="51" t="str">
        <f>C596</f>
        <v>~/cdd/olddocs/Ayudas visuales/Micromini/Potted/CNWI-VSHP-000098 Rev. A (1317731).pub</v>
      </c>
      <c r="Q596" s="51" t="str">
        <f>E596</f>
        <v>pub</v>
      </c>
      <c r="R596" s="51"/>
      <c r="S596" s="51"/>
      <c r="T596" s="51"/>
      <c r="U596" s="51"/>
      <c r="V596" s="51"/>
      <c r="W596" s="51"/>
      <c r="X596" s="51"/>
      <c r="Y596" s="51"/>
      <c r="Z596" s="51"/>
      <c r="AA596" s="51"/>
      <c r="AB596" s="51"/>
      <c r="AC596" s="51"/>
      <c r="AD596" s="51"/>
      <c r="AG596">
        <v>1317731</v>
      </c>
      <c r="AH596" s="51"/>
      <c r="AI596" s="51"/>
    </row>
    <row r="597" spans="2:35">
      <c r="B597" t="s">
        <v>486</v>
      </c>
      <c r="C597" t="s">
        <v>3548</v>
      </c>
      <c r="D597">
        <v>6</v>
      </c>
      <c r="E597" t="s">
        <v>2795</v>
      </c>
      <c r="F597">
        <v>5</v>
      </c>
      <c r="G597">
        <v>13</v>
      </c>
      <c r="H597">
        <v>14</v>
      </c>
      <c r="I597" t="s">
        <v>487</v>
      </c>
      <c r="J597" s="51">
        <v>40633</v>
      </c>
      <c r="K597" t="s">
        <v>27</v>
      </c>
      <c r="L597" t="s">
        <v>438</v>
      </c>
      <c r="M597">
        <v>3</v>
      </c>
      <c r="N597" t="str">
        <f>L597</f>
        <v>NAM\D24B6</v>
      </c>
      <c r="O597" s="51">
        <f>J597</f>
        <v>40633</v>
      </c>
      <c r="P597" s="51" t="str">
        <f>C597</f>
        <v>~/cdd/olddocs/Ayudas visuales/Camarillo/Moldeo/CNWI-VSHP-000099 Rev. A (027-0248-000).pub</v>
      </c>
      <c r="Q597" s="51" t="str">
        <f>E597</f>
        <v>pub</v>
      </c>
      <c r="R597" s="51"/>
      <c r="S597" s="51"/>
      <c r="T597" s="51"/>
      <c r="U597" s="51"/>
      <c r="V597" s="51"/>
      <c r="W597" s="51"/>
      <c r="X597" s="51"/>
      <c r="Y597" s="51"/>
      <c r="Z597" s="51"/>
      <c r="AA597" s="51"/>
      <c r="AB597" s="51"/>
      <c r="AC597" s="51"/>
      <c r="AD597" s="51"/>
      <c r="AE597" t="s">
        <v>478</v>
      </c>
      <c r="AF597" t="s">
        <v>479</v>
      </c>
      <c r="AG597" t="s">
        <v>488</v>
      </c>
      <c r="AH597" s="51"/>
      <c r="AI597" s="51"/>
    </row>
    <row r="598" spans="2:35">
      <c r="B598" t="s">
        <v>489</v>
      </c>
      <c r="C598" t="s">
        <v>3549</v>
      </c>
      <c r="D598">
        <v>6</v>
      </c>
      <c r="E598" t="s">
        <v>2795</v>
      </c>
      <c r="F598">
        <v>5</v>
      </c>
      <c r="G598">
        <v>13</v>
      </c>
      <c r="H598">
        <v>14</v>
      </c>
      <c r="I598" t="s">
        <v>490</v>
      </c>
      <c r="J598" s="51">
        <v>40633</v>
      </c>
      <c r="K598" t="s">
        <v>27</v>
      </c>
      <c r="L598" t="s">
        <v>438</v>
      </c>
      <c r="M598">
        <v>3</v>
      </c>
      <c r="N598" t="str">
        <f>L598</f>
        <v>NAM\D24B6</v>
      </c>
      <c r="O598" s="51">
        <f>J598</f>
        <v>40633</v>
      </c>
      <c r="P598" s="51" t="str">
        <f>C598</f>
        <v>~/cdd/olddocs/Ayudas visuales/Camarillo/Moldeo/CNWI-VSHP-000100 Rev. A (024-0317-000).pub</v>
      </c>
      <c r="Q598" s="51" t="str">
        <f>E598</f>
        <v>pub</v>
      </c>
      <c r="R598" s="51"/>
      <c r="S598" s="51"/>
      <c r="T598" s="51"/>
      <c r="U598" s="51"/>
      <c r="V598" s="51"/>
      <c r="W598" s="51"/>
      <c r="X598" s="51"/>
      <c r="Y598" s="51"/>
      <c r="Z598" s="51"/>
      <c r="AA598" s="51"/>
      <c r="AB598" s="51"/>
      <c r="AC598" s="51"/>
      <c r="AD598" s="51"/>
      <c r="AE598" t="s">
        <v>478</v>
      </c>
      <c r="AF598" t="s">
        <v>479</v>
      </c>
      <c r="AG598" t="s">
        <v>491</v>
      </c>
      <c r="AH598" s="51"/>
      <c r="AI598" s="51"/>
    </row>
    <row r="599" spans="2:35">
      <c r="B599" t="s">
        <v>492</v>
      </c>
      <c r="C599" t="s">
        <v>3550</v>
      </c>
      <c r="D599">
        <v>6</v>
      </c>
      <c r="E599" t="s">
        <v>2795</v>
      </c>
      <c r="F599">
        <v>5</v>
      </c>
      <c r="G599">
        <v>13</v>
      </c>
      <c r="H599">
        <v>14</v>
      </c>
      <c r="I599" t="s">
        <v>493</v>
      </c>
      <c r="J599" s="51">
        <v>40634</v>
      </c>
      <c r="K599" t="s">
        <v>27</v>
      </c>
      <c r="L599" t="s">
        <v>438</v>
      </c>
      <c r="M599">
        <v>3</v>
      </c>
      <c r="N599" t="str">
        <f>L599</f>
        <v>NAM\D24B6</v>
      </c>
      <c r="O599" s="51">
        <f>J599</f>
        <v>40634</v>
      </c>
      <c r="P599" s="51" t="str">
        <f>C599</f>
        <v>~/cdd/olddocs/Ayudas visuales/Camarillo/Moldeo/CNWI-VSHP-000102 Rev. A (084-0109-000).pub</v>
      </c>
      <c r="Q599" s="51" t="str">
        <f>E599</f>
        <v>pub</v>
      </c>
      <c r="R599" s="51"/>
      <c r="S599" s="51"/>
      <c r="T599" s="51"/>
      <c r="U599" s="51"/>
      <c r="V599" s="51"/>
      <c r="W599" s="51"/>
      <c r="X599" s="51"/>
      <c r="Y599" s="51"/>
      <c r="Z599" s="51"/>
      <c r="AA599" s="51"/>
      <c r="AB599" s="51"/>
      <c r="AC599" s="51"/>
      <c r="AD599" s="51"/>
      <c r="AE599" t="s">
        <v>478</v>
      </c>
      <c r="AF599" t="s">
        <v>479</v>
      </c>
      <c r="AG599" t="s">
        <v>494</v>
      </c>
      <c r="AH599" s="51"/>
      <c r="AI599" s="51"/>
    </row>
    <row r="600" spans="2:35">
      <c r="B600" t="s">
        <v>495</v>
      </c>
      <c r="C600" t="s">
        <v>3000</v>
      </c>
      <c r="D600">
        <v>6</v>
      </c>
      <c r="E600" t="s">
        <v>2790</v>
      </c>
      <c r="F600">
        <v>5</v>
      </c>
      <c r="G600">
        <v>13</v>
      </c>
      <c r="H600">
        <v>14</v>
      </c>
      <c r="I600" t="s">
        <v>496</v>
      </c>
      <c r="J600" s="51">
        <v>40637</v>
      </c>
      <c r="K600" t="s">
        <v>27</v>
      </c>
      <c r="L600" t="s">
        <v>438</v>
      </c>
      <c r="M600">
        <v>3</v>
      </c>
      <c r="N600" t="str">
        <f>L600</f>
        <v>NAM\D24B6</v>
      </c>
      <c r="O600" s="51">
        <f>J600</f>
        <v>40637</v>
      </c>
      <c r="P600" s="51" t="str">
        <f>C600</f>
        <v>~/cdd/olddocs/Formas/CNWI-HMRS (Recursos Humanos)/CNWI-HMRS-F018 Matriz de entrenamiento.xlsx</v>
      </c>
      <c r="Q600" s="51" t="str">
        <f>E600</f>
        <v>xlsx</v>
      </c>
      <c r="R600" s="51"/>
      <c r="S600" s="51"/>
      <c r="T600" s="51"/>
      <c r="U600" s="51"/>
      <c r="V600" s="51"/>
      <c r="W600" s="51"/>
      <c r="X600" s="51"/>
      <c r="Y600" s="51"/>
      <c r="Z600" s="51"/>
      <c r="AA600" s="51"/>
      <c r="AB600" s="51"/>
      <c r="AC600" s="51"/>
      <c r="AD600" s="51"/>
      <c r="AE600" t="s">
        <v>478</v>
      </c>
      <c r="AF600" t="s">
        <v>479</v>
      </c>
      <c r="AG600" t="s">
        <v>28</v>
      </c>
      <c r="AH600" s="51"/>
      <c r="AI600" s="51"/>
    </row>
    <row r="601" spans="2:35">
      <c r="B601" t="s">
        <v>2586</v>
      </c>
      <c r="C601" t="s">
        <v>3490</v>
      </c>
      <c r="D601">
        <v>6</v>
      </c>
      <c r="E601" t="s">
        <v>2795</v>
      </c>
      <c r="F601">
        <v>5</v>
      </c>
      <c r="G601">
        <v>10</v>
      </c>
      <c r="H601">
        <v>10</v>
      </c>
      <c r="I601" t="s">
        <v>2587</v>
      </c>
      <c r="J601" s="51">
        <v>40638</v>
      </c>
      <c r="K601" t="s">
        <v>27</v>
      </c>
      <c r="L601" t="s">
        <v>2427</v>
      </c>
      <c r="M601">
        <v>3</v>
      </c>
      <c r="N601" t="str">
        <f>L601</f>
        <v>NAM\MB1911</v>
      </c>
      <c r="O601" s="51">
        <f>J601</f>
        <v>40638</v>
      </c>
      <c r="P601" s="51" t="str">
        <f>C601</f>
        <v>~/cdd/olddocs/Ayudas visuales/Camarillo/Bonding/CNWI-VSHP-000107 Rev. A (000100-0179M).pub</v>
      </c>
      <c r="Q601" s="51" t="str">
        <f>E601</f>
        <v>pub</v>
      </c>
      <c r="R601" s="51"/>
      <c r="S601" s="51"/>
      <c r="T601" s="51"/>
      <c r="U601" s="51"/>
      <c r="V601" s="51"/>
      <c r="W601" s="51"/>
      <c r="X601" s="51"/>
      <c r="Y601" s="51"/>
      <c r="Z601" s="51"/>
      <c r="AA601" s="51"/>
      <c r="AB601" s="51"/>
      <c r="AC601" s="51"/>
      <c r="AD601" s="51"/>
      <c r="AG601" t="s">
        <v>2588</v>
      </c>
      <c r="AH601" s="51"/>
      <c r="AI601" s="51"/>
    </row>
    <row r="602" spans="2:35">
      <c r="B602" t="s">
        <v>2589</v>
      </c>
      <c r="C602" t="s">
        <v>3491</v>
      </c>
      <c r="D602">
        <v>6</v>
      </c>
      <c r="E602" t="s">
        <v>2795</v>
      </c>
      <c r="F602">
        <v>5</v>
      </c>
      <c r="G602">
        <v>10</v>
      </c>
      <c r="H602">
        <v>10</v>
      </c>
      <c r="I602" t="s">
        <v>2590</v>
      </c>
      <c r="J602" s="51">
        <v>40639</v>
      </c>
      <c r="K602" t="s">
        <v>27</v>
      </c>
      <c r="L602" t="s">
        <v>2427</v>
      </c>
      <c r="M602">
        <v>3</v>
      </c>
      <c r="N602" t="str">
        <f>L602</f>
        <v>NAM\MB1911</v>
      </c>
      <c r="O602" s="51">
        <f>J602</f>
        <v>40639</v>
      </c>
      <c r="P602" s="51" t="str">
        <f>C602</f>
        <v>~/cdd/olddocs/Ayudas visuales/Camarillo/Bonding/CNWI-VSHP-000108 Rev. A (BACC65AL-800M).pub</v>
      </c>
      <c r="Q602" s="51" t="str">
        <f>E602</f>
        <v>pub</v>
      </c>
      <c r="R602" s="51"/>
      <c r="S602" s="51"/>
      <c r="T602" s="51"/>
      <c r="U602" s="51"/>
      <c r="V602" s="51"/>
      <c r="W602" s="51"/>
      <c r="X602" s="51"/>
      <c r="Y602" s="51"/>
      <c r="Z602" s="51"/>
      <c r="AA602" s="51"/>
      <c r="AB602" s="51"/>
      <c r="AC602" s="51"/>
      <c r="AD602" s="51"/>
      <c r="AE602" t="s">
        <v>2592</v>
      </c>
      <c r="AF602" t="s">
        <v>1473</v>
      </c>
      <c r="AG602" t="s">
        <v>2591</v>
      </c>
      <c r="AH602" s="51"/>
      <c r="AI602" s="51"/>
    </row>
    <row r="603" spans="2:35">
      <c r="B603" t="s">
        <v>731</v>
      </c>
      <c r="C603" t="s">
        <v>3578</v>
      </c>
      <c r="D603">
        <v>6</v>
      </c>
      <c r="E603" t="s">
        <v>2795</v>
      </c>
      <c r="F603">
        <v>5</v>
      </c>
      <c r="G603">
        <v>12</v>
      </c>
      <c r="H603">
        <v>3</v>
      </c>
      <c r="I603" t="s">
        <v>732</v>
      </c>
      <c r="J603" s="51">
        <v>40639</v>
      </c>
      <c r="K603" t="s">
        <v>27</v>
      </c>
      <c r="L603" t="s">
        <v>605</v>
      </c>
      <c r="M603">
        <v>3</v>
      </c>
      <c r="N603" t="str">
        <f>L603</f>
        <v>NA/MB1049</v>
      </c>
      <c r="O603" s="51">
        <f>J603</f>
        <v>40639</v>
      </c>
      <c r="P603" s="51" t="str">
        <f>C603</f>
        <v>~/cdd/olddocs/Ayudas visuales/Micromini/A y B/CNWI-VSHP-000109 Rev. A (ABP-P1H4-S).pub</v>
      </c>
      <c r="Q603" s="51" t="str">
        <f>E603</f>
        <v>pub</v>
      </c>
      <c r="R603" s="51"/>
      <c r="S603" s="51"/>
      <c r="T603" s="51"/>
      <c r="U603" s="51"/>
      <c r="V603" s="51"/>
      <c r="W603" s="51"/>
      <c r="X603" s="51"/>
      <c r="Y603" s="51"/>
      <c r="Z603" s="51"/>
      <c r="AA603" s="51"/>
      <c r="AB603" s="51"/>
      <c r="AC603" s="51"/>
      <c r="AD603" s="51"/>
      <c r="AG603" t="s">
        <v>733</v>
      </c>
      <c r="AH603" s="51"/>
      <c r="AI603" s="51"/>
    </row>
    <row r="604" spans="2:35">
      <c r="B604" t="s">
        <v>819</v>
      </c>
      <c r="C604" t="s">
        <v>3633</v>
      </c>
      <c r="D604">
        <v>6</v>
      </c>
      <c r="E604" t="s">
        <v>2795</v>
      </c>
      <c r="F604">
        <v>5</v>
      </c>
      <c r="G604">
        <v>12</v>
      </c>
      <c r="H604">
        <v>18</v>
      </c>
      <c r="I604" t="s">
        <v>820</v>
      </c>
      <c r="J604" s="51">
        <v>40659</v>
      </c>
      <c r="K604" t="s">
        <v>27</v>
      </c>
      <c r="L604" t="s">
        <v>605</v>
      </c>
      <c r="M604">
        <v>3</v>
      </c>
      <c r="N604" t="str">
        <f>L604</f>
        <v>NA/MB1049</v>
      </c>
      <c r="O604" s="51">
        <f>J604</f>
        <v>40659</v>
      </c>
      <c r="P604" s="51" t="str">
        <f>C604</f>
        <v>~/cdd/olddocs/Ayudas visuales/Micromini/Potted/CNWI-VSHP-000110 Rev. A (1317142).pub</v>
      </c>
      <c r="Q604" s="51" t="str">
        <f>E604</f>
        <v>pub</v>
      </c>
      <c r="R604" s="51"/>
      <c r="S604" s="51"/>
      <c r="T604" s="51"/>
      <c r="U604" s="51"/>
      <c r="V604" s="51"/>
      <c r="W604" s="51"/>
      <c r="X604" s="51"/>
      <c r="Y604" s="51"/>
      <c r="Z604" s="51"/>
      <c r="AA604" s="51"/>
      <c r="AB604" s="51"/>
      <c r="AC604" s="51"/>
      <c r="AD604" s="51"/>
      <c r="AG604">
        <v>1317142</v>
      </c>
      <c r="AH604" s="51"/>
      <c r="AI604" s="51"/>
    </row>
    <row r="605" spans="2:35">
      <c r="B605" t="s">
        <v>2424</v>
      </c>
      <c r="C605" t="s">
        <v>3461</v>
      </c>
      <c r="D605">
        <v>6</v>
      </c>
      <c r="E605" t="s">
        <v>2796</v>
      </c>
      <c r="F605">
        <v>5</v>
      </c>
      <c r="G605">
        <v>10</v>
      </c>
      <c r="H605">
        <v>7</v>
      </c>
      <c r="I605" t="s">
        <v>2425</v>
      </c>
      <c r="J605" s="51">
        <v>41078</v>
      </c>
      <c r="K605" t="s">
        <v>159</v>
      </c>
      <c r="L605" t="s">
        <v>2427</v>
      </c>
      <c r="M605">
        <v>3</v>
      </c>
      <c r="N605" t="str">
        <f>L605</f>
        <v>NAM\MB1911</v>
      </c>
      <c r="O605" s="51">
        <f>J605</f>
        <v>41078</v>
      </c>
      <c r="P605" s="51" t="str">
        <f>C605</f>
        <v>~/cdd/olddocs/Ayudas visuales/Camarillo/Amsafe/CNWI-VSHP-000111 Rev  C  004005-XXXX  (507735).ppt</v>
      </c>
      <c r="Q605" s="51" t="str">
        <f>E605</f>
        <v>ppt</v>
      </c>
      <c r="R605" s="51"/>
      <c r="S605" s="51"/>
      <c r="T605" s="51"/>
      <c r="U605" s="51"/>
      <c r="V605" s="51"/>
      <c r="W605" s="51"/>
      <c r="X605" s="51"/>
      <c r="Y605" s="51"/>
      <c r="Z605" s="51"/>
      <c r="AA605" s="51"/>
      <c r="AB605" s="51"/>
      <c r="AC605" s="51"/>
      <c r="AD605" s="51"/>
      <c r="AG605">
        <v>507735</v>
      </c>
      <c r="AH605" s="51"/>
      <c r="AI605" s="51"/>
    </row>
    <row r="606" spans="2:35">
      <c r="B606" t="s">
        <v>821</v>
      </c>
      <c r="C606" t="s">
        <v>3634</v>
      </c>
      <c r="D606">
        <v>6</v>
      </c>
      <c r="E606" t="s">
        <v>2795</v>
      </c>
      <c r="F606">
        <v>5</v>
      </c>
      <c r="G606">
        <v>12</v>
      </c>
      <c r="H606">
        <v>18</v>
      </c>
      <c r="I606" t="s">
        <v>822</v>
      </c>
      <c r="J606" s="51">
        <v>40659</v>
      </c>
      <c r="K606" t="s">
        <v>27</v>
      </c>
      <c r="L606" t="s">
        <v>605</v>
      </c>
      <c r="M606">
        <v>3</v>
      </c>
      <c r="N606" t="str">
        <f>L606</f>
        <v>NA/MB1049</v>
      </c>
      <c r="O606" s="51">
        <f>J606</f>
        <v>40659</v>
      </c>
      <c r="P606" s="51" t="str">
        <f>C606</f>
        <v>~/cdd/olddocs/Ayudas visuales/Micromini/Potted/CNWI-VSHP-000112 Rev. A (ABF-P1R5-C).pub</v>
      </c>
      <c r="Q606" s="51" t="str">
        <f>E606</f>
        <v>pub</v>
      </c>
      <c r="R606" s="51"/>
      <c r="S606" s="51"/>
      <c r="T606" s="51"/>
      <c r="U606" s="51"/>
      <c r="V606" s="51"/>
      <c r="W606" s="51"/>
      <c r="X606" s="51"/>
      <c r="Y606" s="51"/>
      <c r="Z606" s="51"/>
      <c r="AA606" s="51"/>
      <c r="AB606" s="51"/>
      <c r="AC606" s="51"/>
      <c r="AD606" s="51"/>
      <c r="AG606" t="s">
        <v>823</v>
      </c>
      <c r="AH606" s="51"/>
      <c r="AI606" s="51"/>
    </row>
    <row r="607" spans="2:35">
      <c r="B607" t="s">
        <v>2769</v>
      </c>
      <c r="C607" t="s">
        <v>3531</v>
      </c>
      <c r="D607">
        <v>6</v>
      </c>
      <c r="E607" t="s">
        <v>2795</v>
      </c>
      <c r="F607">
        <v>5</v>
      </c>
      <c r="G607">
        <v>9</v>
      </c>
      <c r="H607">
        <v>13</v>
      </c>
      <c r="I607" t="s">
        <v>2770</v>
      </c>
      <c r="J607" s="51">
        <v>40672</v>
      </c>
      <c r="K607" t="s">
        <v>27</v>
      </c>
      <c r="L607" t="s">
        <v>2427</v>
      </c>
      <c r="M607">
        <v>3</v>
      </c>
      <c r="N607" t="str">
        <f>L607</f>
        <v>NAM\MB1911</v>
      </c>
      <c r="O607" s="51">
        <f>J607</f>
        <v>40672</v>
      </c>
      <c r="P607" s="51" t="str">
        <f>C607</f>
        <v>~/cdd/olddocs/Ayudas visuales/Camarillo/Itron/CNWI-VSHP-000113 Rev. A (CBA-0217-314).pub</v>
      </c>
      <c r="Q607" s="51" t="str">
        <f>E607</f>
        <v>pub</v>
      </c>
      <c r="R607" s="51"/>
      <c r="S607" s="51"/>
      <c r="T607" s="51"/>
      <c r="U607" s="51"/>
      <c r="V607" s="51"/>
      <c r="W607" s="51"/>
      <c r="X607" s="51"/>
      <c r="Y607" s="51"/>
      <c r="Z607" s="51"/>
      <c r="AA607" s="51"/>
      <c r="AB607" s="51"/>
      <c r="AC607" s="51"/>
      <c r="AD607" s="51"/>
      <c r="AG607" t="s">
        <v>2771</v>
      </c>
      <c r="AH607" s="51"/>
      <c r="AI607" s="51"/>
    </row>
    <row r="608" spans="2:35">
      <c r="B608" t="s">
        <v>2711</v>
      </c>
      <c r="C608" t="s">
        <v>3532</v>
      </c>
      <c r="D608">
        <v>6</v>
      </c>
      <c r="E608" t="s">
        <v>2795</v>
      </c>
      <c r="F608">
        <v>5</v>
      </c>
      <c r="G608">
        <v>9</v>
      </c>
      <c r="H608">
        <v>8</v>
      </c>
      <c r="I608" t="s">
        <v>2712</v>
      </c>
      <c r="J608" s="51">
        <v>40669</v>
      </c>
      <c r="K608" t="s">
        <v>27</v>
      </c>
      <c r="L608" t="s">
        <v>2427</v>
      </c>
      <c r="M608">
        <v>3</v>
      </c>
      <c r="N608" t="str">
        <f>L608</f>
        <v>NAM\MB1911</v>
      </c>
      <c r="O608" s="51">
        <f>J608</f>
        <v>40669</v>
      </c>
      <c r="P608" s="51" t="str">
        <f>C608</f>
        <v>~/cdd/olddocs/Ayudas visuales/Camarillo/Itron/CNWI-VSHP-000114 REV. A (CBA-0349-104).pub</v>
      </c>
      <c r="Q608" s="51" t="str">
        <f>E608</f>
        <v>pub</v>
      </c>
      <c r="R608" s="51"/>
      <c r="S608" s="51"/>
      <c r="T608" s="51"/>
      <c r="U608" s="51"/>
      <c r="V608" s="51"/>
      <c r="W608" s="51"/>
      <c r="X608" s="51"/>
      <c r="Y608" s="51"/>
      <c r="Z608" s="51"/>
      <c r="AA608" s="51"/>
      <c r="AB608" s="51"/>
      <c r="AC608" s="51"/>
      <c r="AD608" s="51"/>
      <c r="AG608" t="s">
        <v>2712</v>
      </c>
      <c r="AH608" s="51"/>
      <c r="AI608" s="51"/>
    </row>
    <row r="609" spans="2:35">
      <c r="B609" t="s">
        <v>2727</v>
      </c>
      <c r="C609" t="s">
        <v>3533</v>
      </c>
      <c r="D609">
        <v>6</v>
      </c>
      <c r="E609" t="s">
        <v>2795</v>
      </c>
      <c r="F609">
        <v>5</v>
      </c>
      <c r="G609">
        <v>9</v>
      </c>
      <c r="H609">
        <v>9</v>
      </c>
      <c r="I609" t="s">
        <v>2728</v>
      </c>
      <c r="J609" s="51">
        <v>40673</v>
      </c>
      <c r="K609" t="s">
        <v>27</v>
      </c>
      <c r="L609" t="s">
        <v>2427</v>
      </c>
      <c r="M609">
        <v>3</v>
      </c>
      <c r="N609" t="str">
        <f>L609</f>
        <v>NAM\MB1911</v>
      </c>
      <c r="O609" s="51">
        <f>J609</f>
        <v>40673</v>
      </c>
      <c r="P609" s="51" t="str">
        <f>C609</f>
        <v>~/cdd/olddocs/Ayudas visuales/Camarillo/Itron/CNWI-VSHP-000115 Rev. A (CBA-0349-105).pub</v>
      </c>
      <c r="Q609" s="51" t="str">
        <f>E609</f>
        <v>pub</v>
      </c>
      <c r="R609" s="51"/>
      <c r="S609" s="51"/>
      <c r="T609" s="51"/>
      <c r="U609" s="51"/>
      <c r="V609" s="51"/>
      <c r="W609" s="51"/>
      <c r="X609" s="51"/>
      <c r="Y609" s="51"/>
      <c r="Z609" s="51"/>
      <c r="AA609" s="51"/>
      <c r="AB609" s="51"/>
      <c r="AC609" s="51"/>
      <c r="AD609" s="51"/>
      <c r="AG609" t="s">
        <v>2729</v>
      </c>
      <c r="AH609" s="51"/>
      <c r="AI609" s="51"/>
    </row>
    <row r="610" spans="2:35">
      <c r="B610" t="s">
        <v>2593</v>
      </c>
      <c r="C610" t="s">
        <v>3492</v>
      </c>
      <c r="D610">
        <v>6</v>
      </c>
      <c r="E610" t="s">
        <v>2795</v>
      </c>
      <c r="F610">
        <v>5</v>
      </c>
      <c r="G610">
        <v>10</v>
      </c>
      <c r="H610">
        <v>10</v>
      </c>
      <c r="I610" t="s">
        <v>2594</v>
      </c>
      <c r="J610" s="51">
        <v>40696</v>
      </c>
      <c r="K610" t="s">
        <v>46</v>
      </c>
      <c r="L610" t="s">
        <v>2427</v>
      </c>
      <c r="M610">
        <v>3</v>
      </c>
      <c r="N610" t="str">
        <f>L610</f>
        <v>NAM\MB1911</v>
      </c>
      <c r="O610" s="51">
        <f>J610</f>
        <v>40696</v>
      </c>
      <c r="P610" s="51" t="str">
        <f>C610</f>
        <v>~/cdd/olddocs/Ayudas visuales/Camarillo/Bonding/CNWI-VSHP-000120 Rev  B (Empaque BACC65XX).pub</v>
      </c>
      <c r="Q610" s="51" t="str">
        <f>E610</f>
        <v>pub</v>
      </c>
      <c r="R610" s="51"/>
      <c r="S610" s="51"/>
      <c r="T610" s="51"/>
      <c r="U610" s="51"/>
      <c r="V610" s="51"/>
      <c r="W610" s="51"/>
      <c r="X610" s="51"/>
      <c r="Y610" s="51"/>
      <c r="Z610" s="51"/>
      <c r="AA610" s="51"/>
      <c r="AB610" s="51"/>
      <c r="AC610" s="51"/>
      <c r="AD610" s="51"/>
      <c r="AE610" t="s">
        <v>30</v>
      </c>
      <c r="AF610" t="s">
        <v>1473</v>
      </c>
      <c r="AG610" t="s">
        <v>28</v>
      </c>
      <c r="AH610" s="51"/>
      <c r="AI610" s="51"/>
    </row>
    <row r="611" spans="2:35">
      <c r="B611" t="s">
        <v>627</v>
      </c>
      <c r="C611" t="s">
        <v>3599</v>
      </c>
      <c r="D611">
        <v>6</v>
      </c>
      <c r="E611" t="s">
        <v>2795</v>
      </c>
      <c r="F611">
        <v>5</v>
      </c>
      <c r="G611">
        <v>33</v>
      </c>
      <c r="H611">
        <v>28</v>
      </c>
      <c r="I611" t="s">
        <v>628</v>
      </c>
      <c r="J611" s="51">
        <v>40708</v>
      </c>
      <c r="K611" t="s">
        <v>27</v>
      </c>
      <c r="L611" t="s">
        <v>605</v>
      </c>
      <c r="M611">
        <v>3</v>
      </c>
      <c r="N611" t="str">
        <f>L611</f>
        <v>NA/MB1049</v>
      </c>
      <c r="O611" s="51">
        <f>J611</f>
        <v>40708</v>
      </c>
      <c r="P611" s="51" t="str">
        <f>C611</f>
        <v>~/cdd/olddocs/Ayudas visuales/Micromini/General/CNWI-VSHP-000121 Formato ofical para ayudas visuales.pub</v>
      </c>
      <c r="Q611" s="51" t="str">
        <f>E611</f>
        <v>pub</v>
      </c>
      <c r="R611" s="51"/>
      <c r="S611" s="51"/>
      <c r="T611" s="51"/>
      <c r="U611" s="51"/>
      <c r="V611" s="51"/>
      <c r="W611" s="51"/>
      <c r="X611" s="51"/>
      <c r="Y611" s="51"/>
      <c r="Z611" s="51"/>
      <c r="AA611" s="51"/>
      <c r="AB611" s="51"/>
      <c r="AC611" s="51"/>
      <c r="AD611" s="51"/>
      <c r="AE611" t="s">
        <v>30</v>
      </c>
      <c r="AF611" t="s">
        <v>90</v>
      </c>
      <c r="AG611" t="s">
        <v>28</v>
      </c>
      <c r="AH611" s="51"/>
      <c r="AI611" s="51"/>
    </row>
    <row r="612" spans="2:35">
      <c r="B612" t="s">
        <v>2670</v>
      </c>
      <c r="C612" t="s">
        <v>3513</v>
      </c>
      <c r="D612">
        <v>6</v>
      </c>
      <c r="E612" t="s">
        <v>2795</v>
      </c>
      <c r="F612">
        <v>5</v>
      </c>
      <c r="G612">
        <v>36</v>
      </c>
      <c r="H612">
        <v>26</v>
      </c>
      <c r="I612" t="s">
        <v>2671</v>
      </c>
      <c r="J612" s="51">
        <v>40870</v>
      </c>
      <c r="K612" t="s">
        <v>27</v>
      </c>
      <c r="L612" t="s">
        <v>2427</v>
      </c>
      <c r="M612">
        <v>3</v>
      </c>
      <c r="N612" t="str">
        <f>L612</f>
        <v>NAM\MB1911</v>
      </c>
      <c r="O612" s="51">
        <f>J612</f>
        <v>40870</v>
      </c>
      <c r="P612" s="51" t="str">
        <f>C612</f>
        <v>~/cdd/olddocs/Ayudas visuales/Camarillo/Ensamble general/CNWI-VSHP-000126 REV.A (28-7603-0000).pub</v>
      </c>
      <c r="Q612" s="51" t="str">
        <f>E612</f>
        <v>pub</v>
      </c>
      <c r="R612" s="51"/>
      <c r="S612" s="51"/>
      <c r="T612" s="51"/>
      <c r="U612" s="51"/>
      <c r="V612" s="51"/>
      <c r="W612" s="51"/>
      <c r="X612" s="51"/>
      <c r="Y612" s="51"/>
      <c r="Z612" s="51"/>
      <c r="AA612" s="51"/>
      <c r="AB612" s="51"/>
      <c r="AC612" s="51"/>
      <c r="AD612" s="51"/>
      <c r="AE612" t="s">
        <v>30</v>
      </c>
      <c r="AF612" t="s">
        <v>479</v>
      </c>
      <c r="AG612" t="s">
        <v>2672</v>
      </c>
      <c r="AH612" s="51"/>
      <c r="AI612" s="51"/>
    </row>
    <row r="613" spans="2:35">
      <c r="B613" t="s">
        <v>2673</v>
      </c>
      <c r="C613" t="s">
        <v>3514</v>
      </c>
      <c r="D613">
        <v>6</v>
      </c>
      <c r="E613" t="s">
        <v>2795</v>
      </c>
      <c r="F613">
        <v>5</v>
      </c>
      <c r="G613">
        <v>36</v>
      </c>
      <c r="H613">
        <v>26</v>
      </c>
      <c r="I613" t="s">
        <v>2674</v>
      </c>
      <c r="J613" s="51">
        <v>40882</v>
      </c>
      <c r="K613" t="s">
        <v>27</v>
      </c>
      <c r="L613" t="s">
        <v>2427</v>
      </c>
      <c r="M613">
        <v>3</v>
      </c>
      <c r="N613" t="str">
        <f>L613</f>
        <v>NAM\MB1911</v>
      </c>
      <c r="O613" s="51">
        <f>J613</f>
        <v>40882</v>
      </c>
      <c r="P613" s="51" t="str">
        <f>C613</f>
        <v>~/cdd/olddocs/Ayudas visuales/Camarillo/Ensamble general/CNWI-VSHP-000127 REV.A 28-2241-0000.pub</v>
      </c>
      <c r="Q613" s="51" t="str">
        <f>E613</f>
        <v>pub</v>
      </c>
      <c r="R613" s="51"/>
      <c r="S613" s="51"/>
      <c r="T613" s="51"/>
      <c r="U613" s="51"/>
      <c r="V613" s="51"/>
      <c r="W613" s="51"/>
      <c r="X613" s="51"/>
      <c r="Y613" s="51"/>
      <c r="Z613" s="51"/>
      <c r="AA613" s="51"/>
      <c r="AB613" s="51"/>
      <c r="AC613" s="51"/>
      <c r="AD613" s="51"/>
      <c r="AE613" t="s">
        <v>30</v>
      </c>
      <c r="AF613" t="s">
        <v>479</v>
      </c>
      <c r="AG613" t="s">
        <v>2675</v>
      </c>
      <c r="AH613" s="51"/>
      <c r="AI613" s="51"/>
    </row>
    <row r="614" spans="2:35">
      <c r="B614" t="s">
        <v>2676</v>
      </c>
      <c r="C614" t="s">
        <v>3515</v>
      </c>
      <c r="D614">
        <v>6</v>
      </c>
      <c r="E614" t="s">
        <v>2795</v>
      </c>
      <c r="F614">
        <v>5</v>
      </c>
      <c r="G614">
        <v>36</v>
      </c>
      <c r="H614">
        <v>26</v>
      </c>
      <c r="I614" t="s">
        <v>2671</v>
      </c>
      <c r="J614" s="51">
        <v>40882</v>
      </c>
      <c r="K614" t="s">
        <v>27</v>
      </c>
      <c r="L614" t="s">
        <v>2427</v>
      </c>
      <c r="M614">
        <v>3</v>
      </c>
      <c r="N614" t="str">
        <f>L614</f>
        <v>NAM\MB1911</v>
      </c>
      <c r="O614" s="51">
        <f>J614</f>
        <v>40882</v>
      </c>
      <c r="P614" s="51" t="str">
        <f>C614</f>
        <v>~/cdd/olddocs/Ayudas visuales/Camarillo/Ensamble general/CNWI-VSHP-000128 REV.A 28-7603-0000.pub</v>
      </c>
      <c r="Q614" s="51" t="str">
        <f>E614</f>
        <v>pub</v>
      </c>
      <c r="R614" s="51"/>
      <c r="S614" s="51"/>
      <c r="T614" s="51"/>
      <c r="U614" s="51"/>
      <c r="V614" s="51"/>
      <c r="W614" s="51"/>
      <c r="X614" s="51"/>
      <c r="Y614" s="51"/>
      <c r="Z614" s="51"/>
      <c r="AA614" s="51"/>
      <c r="AB614" s="51"/>
      <c r="AC614" s="51"/>
      <c r="AD614" s="51"/>
      <c r="AE614" t="s">
        <v>30</v>
      </c>
      <c r="AF614" t="s">
        <v>479</v>
      </c>
      <c r="AG614" t="s">
        <v>2672</v>
      </c>
      <c r="AH614" s="51"/>
      <c r="AI614" s="51"/>
    </row>
    <row r="615" spans="2:35">
      <c r="B615" t="s">
        <v>2595</v>
      </c>
      <c r="C615" t="s">
        <v>3493</v>
      </c>
      <c r="D615">
        <v>6</v>
      </c>
      <c r="E615" t="s">
        <v>2795</v>
      </c>
      <c r="F615">
        <v>5</v>
      </c>
      <c r="G615">
        <v>10</v>
      </c>
      <c r="H615">
        <v>10</v>
      </c>
      <c r="I615" t="s">
        <v>2596</v>
      </c>
      <c r="J615" s="51">
        <v>40882</v>
      </c>
      <c r="K615" t="s">
        <v>27</v>
      </c>
      <c r="L615" t="s">
        <v>2427</v>
      </c>
      <c r="M615">
        <v>3</v>
      </c>
      <c r="N615" t="str">
        <f>L615</f>
        <v>NAM\MB1911</v>
      </c>
      <c r="O615" s="51">
        <f>J615</f>
        <v>40882</v>
      </c>
      <c r="P615" s="51" t="str">
        <f>C615</f>
        <v>~/cdd/olddocs/Ayudas visuales/Camarillo/Bonding/CNWI-VSHP-000129 REV. A 002359-0004.pub</v>
      </c>
      <c r="Q615" s="51" t="str">
        <f>E615</f>
        <v>pub</v>
      </c>
      <c r="R615" s="51"/>
      <c r="S615" s="51"/>
      <c r="T615" s="51"/>
      <c r="U615" s="51"/>
      <c r="V615" s="51"/>
      <c r="W615" s="51"/>
      <c r="X615" s="51"/>
      <c r="Y615" s="51"/>
      <c r="Z615" s="51"/>
      <c r="AA615" s="51"/>
      <c r="AB615" s="51"/>
      <c r="AC615" s="51"/>
      <c r="AD615" s="51"/>
      <c r="AE615" t="s">
        <v>30</v>
      </c>
      <c r="AF615" t="s">
        <v>1473</v>
      </c>
      <c r="AG615" t="s">
        <v>2597</v>
      </c>
      <c r="AH615" s="51"/>
      <c r="AI615" s="51"/>
    </row>
    <row r="616" spans="2:35">
      <c r="B616" t="s">
        <v>2677</v>
      </c>
      <c r="C616" t="s">
        <v>3516</v>
      </c>
      <c r="D616">
        <v>6</v>
      </c>
      <c r="E616" t="s">
        <v>2795</v>
      </c>
      <c r="F616">
        <v>5</v>
      </c>
      <c r="G616">
        <v>36</v>
      </c>
      <c r="H616">
        <v>26</v>
      </c>
      <c r="I616" t="s">
        <v>2678</v>
      </c>
      <c r="J616" s="51">
        <v>40885</v>
      </c>
      <c r="K616" t="s">
        <v>27</v>
      </c>
      <c r="L616" t="s">
        <v>2427</v>
      </c>
      <c r="M616">
        <v>3</v>
      </c>
      <c r="N616" t="str">
        <f>L616</f>
        <v>NAM\MB1911</v>
      </c>
      <c r="O616" s="51">
        <f>J616</f>
        <v>40885</v>
      </c>
      <c r="P616" s="51" t="str">
        <f>C616</f>
        <v>~/cdd/olddocs/Ayudas visuales/Camarillo/Ensamble general/CNWI-VSHP-000130 REV. A.pub</v>
      </c>
      <c r="Q616" s="51" t="str">
        <f>E616</f>
        <v>pub</v>
      </c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t="s">
        <v>30</v>
      </c>
      <c r="AF616" t="s">
        <v>479</v>
      </c>
      <c r="AG616" t="s">
        <v>2679</v>
      </c>
      <c r="AH616" s="51"/>
      <c r="AI616" s="51"/>
    </row>
    <row r="617" spans="2:35">
      <c r="B617" t="s">
        <v>775</v>
      </c>
      <c r="C617" t="s">
        <v>3616</v>
      </c>
      <c r="D617">
        <v>6</v>
      </c>
      <c r="E617" t="s">
        <v>2795</v>
      </c>
      <c r="F617">
        <v>5</v>
      </c>
      <c r="G617">
        <v>12</v>
      </c>
      <c r="H617">
        <v>16</v>
      </c>
      <c r="I617" t="s">
        <v>776</v>
      </c>
      <c r="J617" s="51">
        <v>40885</v>
      </c>
      <c r="K617" t="s">
        <v>27</v>
      </c>
      <c r="L617" t="s">
        <v>605</v>
      </c>
      <c r="M617">
        <v>3</v>
      </c>
      <c r="N617" t="str">
        <f>L617</f>
        <v>NA/MB1049</v>
      </c>
      <c r="O617" s="51">
        <f>J617</f>
        <v>40885</v>
      </c>
      <c r="P617" s="51" t="str">
        <f>C617</f>
        <v>~/cdd/olddocs/Ayudas visuales/Micromini/MS/CNWI-VSHP-000132 REV. A SOLDADURA DE CONTACTOS.pub</v>
      </c>
      <c r="Q617" s="51" t="str">
        <f>E617</f>
        <v>pub</v>
      </c>
      <c r="R617" s="51"/>
      <c r="S617" s="51"/>
      <c r="T617" s="51"/>
      <c r="U617" s="51"/>
      <c r="V617" s="51"/>
      <c r="W617" s="51"/>
      <c r="X617" s="51"/>
      <c r="Y617" s="51"/>
      <c r="Z617" s="51"/>
      <c r="AA617" s="51"/>
      <c r="AB617" s="51"/>
      <c r="AC617" s="51"/>
      <c r="AD617" s="51"/>
      <c r="AE617" t="s">
        <v>30</v>
      </c>
      <c r="AF617" t="s">
        <v>90</v>
      </c>
      <c r="AG617" t="s">
        <v>28</v>
      </c>
      <c r="AH617" s="51"/>
      <c r="AI617" s="51"/>
    </row>
    <row r="618" spans="2:35">
      <c r="B618" t="s">
        <v>2730</v>
      </c>
      <c r="C618" t="s">
        <v>3534</v>
      </c>
      <c r="D618">
        <v>6</v>
      </c>
      <c r="E618" t="s">
        <v>2795</v>
      </c>
      <c r="F618">
        <v>5</v>
      </c>
      <c r="G618">
        <v>9</v>
      </c>
      <c r="H618">
        <v>9</v>
      </c>
      <c r="I618" t="s">
        <v>2731</v>
      </c>
      <c r="J618" s="51">
        <v>40889</v>
      </c>
      <c r="K618" t="s">
        <v>27</v>
      </c>
      <c r="L618" t="s">
        <v>2427</v>
      </c>
      <c r="M618">
        <v>3</v>
      </c>
      <c r="N618" t="str">
        <f>L618</f>
        <v>NAM\MB1911</v>
      </c>
      <c r="O618" s="51">
        <f>J618</f>
        <v>40889</v>
      </c>
      <c r="P618" s="51" t="str">
        <f>C618</f>
        <v>~/cdd/olddocs/Ayudas visuales/Camarillo/Itron/CNWI-VSHP-000133 REV.A 28-3306-0001.pub</v>
      </c>
      <c r="Q618" s="51" t="str">
        <f>E618</f>
        <v>pub</v>
      </c>
      <c r="R618" s="51"/>
      <c r="S618" s="51"/>
      <c r="T618" s="51"/>
      <c r="U618" s="51"/>
      <c r="V618" s="51"/>
      <c r="W618" s="51"/>
      <c r="X618" s="51"/>
      <c r="Y618" s="51"/>
      <c r="Z618" s="51"/>
      <c r="AA618" s="51"/>
      <c r="AB618" s="51"/>
      <c r="AC618" s="51"/>
      <c r="AD618" s="51"/>
      <c r="AE618" t="s">
        <v>30</v>
      </c>
      <c r="AF618" t="s">
        <v>1473</v>
      </c>
      <c r="AG618" t="s">
        <v>28</v>
      </c>
      <c r="AH618" s="51"/>
      <c r="AI618" s="51"/>
    </row>
    <row r="619" spans="2:35">
      <c r="B619" t="s">
        <v>824</v>
      </c>
      <c r="C619" t="s">
        <v>3635</v>
      </c>
      <c r="D619">
        <v>6</v>
      </c>
      <c r="E619" t="s">
        <v>2795</v>
      </c>
      <c r="F619">
        <v>5</v>
      </c>
      <c r="G619">
        <v>12</v>
      </c>
      <c r="H619">
        <v>18</v>
      </c>
      <c r="I619" t="s">
        <v>825</v>
      </c>
      <c r="J619" s="51">
        <v>40893</v>
      </c>
      <c r="K619" t="s">
        <v>27</v>
      </c>
      <c r="L619" t="s">
        <v>605</v>
      </c>
      <c r="M619">
        <v>3</v>
      </c>
      <c r="N619" t="str">
        <f>L619</f>
        <v>NA/MB1049</v>
      </c>
      <c r="O619" s="51">
        <f>J619</f>
        <v>40893</v>
      </c>
      <c r="P619" s="51" t="str">
        <f>C619</f>
        <v>~/cdd/olddocs/Ayudas visuales/Micromini/Potted/CNWI-VSHP-000135 Rev. A (5000113).pub</v>
      </c>
      <c r="Q619" s="51" t="str">
        <f>E619</f>
        <v>pub</v>
      </c>
      <c r="R619" s="51"/>
      <c r="S619" s="51"/>
      <c r="T619" s="51"/>
      <c r="U619" s="51"/>
      <c r="V619" s="51"/>
      <c r="W619" s="51"/>
      <c r="X619" s="51"/>
      <c r="Y619" s="51"/>
      <c r="Z619" s="51"/>
      <c r="AA619" s="51"/>
      <c r="AB619" s="51"/>
      <c r="AC619" s="51"/>
      <c r="AD619" s="51"/>
      <c r="AE619" t="s">
        <v>30</v>
      </c>
      <c r="AF619" t="s">
        <v>90</v>
      </c>
      <c r="AG619" t="s">
        <v>826</v>
      </c>
      <c r="AH619" s="51"/>
      <c r="AI619" s="51"/>
    </row>
    <row r="620" spans="2:35">
      <c r="B620" t="s">
        <v>2713</v>
      </c>
      <c r="C620" t="s">
        <v>3535</v>
      </c>
      <c r="D620">
        <v>6</v>
      </c>
      <c r="E620" t="s">
        <v>2795</v>
      </c>
      <c r="F620">
        <v>5</v>
      </c>
      <c r="G620">
        <v>9</v>
      </c>
      <c r="H620">
        <v>8</v>
      </c>
      <c r="I620" t="s">
        <v>2714</v>
      </c>
      <c r="J620" s="51">
        <v>40897</v>
      </c>
      <c r="K620" t="s">
        <v>27</v>
      </c>
      <c r="L620" t="s">
        <v>2427</v>
      </c>
      <c r="M620">
        <v>3</v>
      </c>
      <c r="N620" t="str">
        <f>L620</f>
        <v>NAM\MB1911</v>
      </c>
      <c r="O620" s="51">
        <f>J620</f>
        <v>40897</v>
      </c>
      <c r="P620" s="51" t="str">
        <f>C620</f>
        <v>~/cdd/olddocs/Ayudas visuales/Camarillo/Itron/CNWI-VSHP-000136  CBA-1300-905 REV A ( 28-2307-0001).pub</v>
      </c>
      <c r="Q620" s="51" t="str">
        <f>E620</f>
        <v>pub</v>
      </c>
      <c r="R620" s="51"/>
      <c r="S620" s="51"/>
      <c r="T620" s="51"/>
      <c r="U620" s="51"/>
      <c r="V620" s="51"/>
      <c r="W620" s="51"/>
      <c r="X620" s="51"/>
      <c r="Y620" s="51"/>
      <c r="Z620" s="51"/>
      <c r="AA620" s="51"/>
      <c r="AB620" s="51"/>
      <c r="AC620" s="51"/>
      <c r="AD620" s="51"/>
      <c r="AE620" t="s">
        <v>30</v>
      </c>
      <c r="AF620" t="s">
        <v>1473</v>
      </c>
      <c r="AG620" t="s">
        <v>2715</v>
      </c>
      <c r="AH620" s="51"/>
      <c r="AI620" s="51"/>
    </row>
    <row r="621" spans="2:35">
      <c r="B621" t="s">
        <v>2680</v>
      </c>
      <c r="C621" t="s">
        <v>3517</v>
      </c>
      <c r="D621">
        <v>6</v>
      </c>
      <c r="E621" t="s">
        <v>2795</v>
      </c>
      <c r="F621">
        <v>5</v>
      </c>
      <c r="G621">
        <v>36</v>
      </c>
      <c r="H621">
        <v>26</v>
      </c>
      <c r="I621" t="s">
        <v>2681</v>
      </c>
      <c r="J621" s="51">
        <v>40898</v>
      </c>
      <c r="K621" t="s">
        <v>27</v>
      </c>
      <c r="L621" t="s">
        <v>2427</v>
      </c>
      <c r="M621">
        <v>3</v>
      </c>
      <c r="N621" t="str">
        <f>L621</f>
        <v>NAM\MB1911</v>
      </c>
      <c r="O621" s="51">
        <f>J621</f>
        <v>40898</v>
      </c>
      <c r="P621" s="51" t="str">
        <f>C621</f>
        <v>~/cdd/olddocs/Ayudas visuales/Camarillo/Ensamble general/CNWI-VSHP-000137 REV. A 000101-0172M (000101-0172).pub</v>
      </c>
      <c r="Q621" s="51" t="str">
        <f>E621</f>
        <v>pub</v>
      </c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t="s">
        <v>30</v>
      </c>
      <c r="AF621" t="s">
        <v>479</v>
      </c>
      <c r="AG621" t="s">
        <v>2605</v>
      </c>
      <c r="AH621" s="51"/>
      <c r="AI621" s="51"/>
    </row>
    <row r="622" spans="2:35">
      <c r="B622" t="s">
        <v>2754</v>
      </c>
      <c r="C622" t="s">
        <v>3536</v>
      </c>
      <c r="D622">
        <v>6</v>
      </c>
      <c r="E622" t="s">
        <v>2795</v>
      </c>
      <c r="F622">
        <v>5</v>
      </c>
      <c r="G622">
        <v>9</v>
      </c>
      <c r="H622">
        <v>1</v>
      </c>
      <c r="I622" t="s">
        <v>2755</v>
      </c>
      <c r="J622" s="51">
        <v>40906</v>
      </c>
      <c r="K622" t="s">
        <v>27</v>
      </c>
      <c r="L622" t="s">
        <v>2427</v>
      </c>
      <c r="M622">
        <v>3</v>
      </c>
      <c r="N622" t="str">
        <f>L622</f>
        <v>NAM\MB1911</v>
      </c>
      <c r="O622" s="51">
        <f>J622</f>
        <v>40906</v>
      </c>
      <c r="P622" s="51" t="str">
        <f>C622</f>
        <v>~/cdd/olddocs/Ayudas visuales/Camarillo/Itron/CNWI-VSHP-000138 REV. A (28-7502-0007M).pub</v>
      </c>
      <c r="Q622" s="51" t="str">
        <f>E622</f>
        <v>pub</v>
      </c>
      <c r="R622" s="51"/>
      <c r="S622" s="51"/>
      <c r="T622" s="51"/>
      <c r="U622" s="51"/>
      <c r="V622" s="51"/>
      <c r="W622" s="51"/>
      <c r="X622" s="51"/>
      <c r="Y622" s="51"/>
      <c r="Z622" s="51"/>
      <c r="AA622" s="51"/>
      <c r="AB622" s="51"/>
      <c r="AC622" s="51"/>
      <c r="AD622" s="51"/>
      <c r="AE622" t="s">
        <v>30</v>
      </c>
      <c r="AF622" t="s">
        <v>1473</v>
      </c>
      <c r="AG622" t="s">
        <v>2756</v>
      </c>
      <c r="AH622" s="51"/>
      <c r="AI622" s="51"/>
    </row>
    <row r="623" spans="2:35">
      <c r="B623" t="s">
        <v>827</v>
      </c>
      <c r="C623" t="s">
        <v>3636</v>
      </c>
      <c r="D623">
        <v>6</v>
      </c>
      <c r="E623" t="s">
        <v>2795</v>
      </c>
      <c r="F623">
        <v>5</v>
      </c>
      <c r="G623">
        <v>12</v>
      </c>
      <c r="H623">
        <v>18</v>
      </c>
      <c r="I623" t="s">
        <v>828</v>
      </c>
      <c r="J623" s="51">
        <v>40928</v>
      </c>
      <c r="K623" t="s">
        <v>27</v>
      </c>
      <c r="L623" t="s">
        <v>605</v>
      </c>
      <c r="M623">
        <v>3</v>
      </c>
      <c r="N623" t="str">
        <f>L623</f>
        <v>NA/MB1049</v>
      </c>
      <c r="O623" s="51">
        <f>J623</f>
        <v>40928</v>
      </c>
      <c r="P623" s="51" t="str">
        <f>C623</f>
        <v>~/cdd/olddocs/Ayudas visuales/Micromini/Potted/CNWI-VSHP-000140 REV. A (ENSAMBLE CAP AB-A-C1).pub</v>
      </c>
      <c r="Q623" s="51" t="str">
        <f>E623</f>
        <v>pub</v>
      </c>
      <c r="R623" s="51"/>
      <c r="S623" s="51"/>
      <c r="T623" s="51"/>
      <c r="U623" s="51"/>
      <c r="V623" s="51"/>
      <c r="W623" s="51"/>
      <c r="X623" s="51"/>
      <c r="Y623" s="51"/>
      <c r="Z623" s="51"/>
      <c r="AA623" s="51"/>
      <c r="AB623" s="51"/>
      <c r="AC623" s="51"/>
      <c r="AD623" s="51"/>
      <c r="AE623" t="s">
        <v>30</v>
      </c>
      <c r="AF623" t="s">
        <v>90</v>
      </c>
      <c r="AG623" t="s">
        <v>829</v>
      </c>
      <c r="AH623" s="51"/>
      <c r="AI623" s="51"/>
    </row>
    <row r="624" spans="2:35">
      <c r="B624" t="s">
        <v>2716</v>
      </c>
      <c r="C624" t="s">
        <v>3537</v>
      </c>
      <c r="D624">
        <v>6</v>
      </c>
      <c r="E624" t="s">
        <v>2795</v>
      </c>
      <c r="F624">
        <v>5</v>
      </c>
      <c r="G624">
        <v>9</v>
      </c>
      <c r="H624">
        <v>8</v>
      </c>
      <c r="I624" t="s">
        <v>2717</v>
      </c>
      <c r="J624" s="51">
        <v>40952</v>
      </c>
      <c r="K624" t="s">
        <v>27</v>
      </c>
      <c r="L624" t="s">
        <v>2427</v>
      </c>
      <c r="M624">
        <v>3</v>
      </c>
      <c r="N624" t="str">
        <f>L624</f>
        <v>NAM\MB1911</v>
      </c>
      <c r="O624" s="51">
        <f>J624</f>
        <v>40952</v>
      </c>
      <c r="P624" s="51" t="str">
        <f>C624</f>
        <v>~/cdd/olddocs/Ayudas visuales/Camarillo/Itron/CNWI-VSHP-000150  REV. A (28-3289-0001).pub</v>
      </c>
      <c r="Q624" s="51" t="str">
        <f>E624</f>
        <v>pub</v>
      </c>
      <c r="R624" s="51"/>
      <c r="S624" s="51"/>
      <c r="T624" s="51"/>
      <c r="U624" s="51"/>
      <c r="V624" s="51"/>
      <c r="W624" s="51"/>
      <c r="X624" s="51"/>
      <c r="Y624" s="51"/>
      <c r="Z624" s="51"/>
      <c r="AA624" s="51"/>
      <c r="AB624" s="51"/>
      <c r="AC624" s="51"/>
      <c r="AD624" s="51"/>
      <c r="AE624" t="s">
        <v>30</v>
      </c>
      <c r="AF624" t="s">
        <v>1473</v>
      </c>
      <c r="AG624" t="s">
        <v>2718</v>
      </c>
      <c r="AH624" s="51"/>
      <c r="AI624" s="51"/>
    </row>
    <row r="625" spans="2:35">
      <c r="B625" t="s">
        <v>2598</v>
      </c>
      <c r="C625" t="s">
        <v>3494</v>
      </c>
      <c r="D625">
        <v>6</v>
      </c>
      <c r="E625" t="s">
        <v>2795</v>
      </c>
      <c r="F625">
        <v>5</v>
      </c>
      <c r="G625">
        <v>10</v>
      </c>
      <c r="H625">
        <v>10</v>
      </c>
      <c r="I625" t="s">
        <v>2599</v>
      </c>
      <c r="J625" s="51">
        <v>40992</v>
      </c>
      <c r="K625" t="s">
        <v>27</v>
      </c>
      <c r="L625" t="s">
        <v>2427</v>
      </c>
      <c r="M625">
        <v>3</v>
      </c>
      <c r="N625" t="str">
        <f>L625</f>
        <v>NAM\MB1911</v>
      </c>
      <c r="O625" s="51">
        <f>J625</f>
        <v>40992</v>
      </c>
      <c r="P625" s="51" t="str">
        <f>C625</f>
        <v>~/cdd/olddocs/Ayudas visuales/Camarillo/Bonding/CNWI-VSHP-000153 REV. A (002360-0006 y 002360-0004).pub</v>
      </c>
      <c r="Q625" s="51" t="str">
        <f>E625</f>
        <v>pub</v>
      </c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t="s">
        <v>30</v>
      </c>
      <c r="AF625" t="s">
        <v>1473</v>
      </c>
      <c r="AG625" t="s">
        <v>2600</v>
      </c>
      <c r="AH625" s="51"/>
      <c r="AI625" s="51"/>
    </row>
    <row r="626" spans="2:35">
      <c r="B626" t="s">
        <v>2601</v>
      </c>
      <c r="C626" t="s">
        <v>3495</v>
      </c>
      <c r="D626">
        <v>6</v>
      </c>
      <c r="E626" t="s">
        <v>2795</v>
      </c>
      <c r="F626">
        <v>5</v>
      </c>
      <c r="G626">
        <v>10</v>
      </c>
      <c r="H626">
        <v>10</v>
      </c>
      <c r="I626" t="s">
        <v>2602</v>
      </c>
      <c r="J626" s="51">
        <v>40995</v>
      </c>
      <c r="K626" t="s">
        <v>27</v>
      </c>
      <c r="L626" t="s">
        <v>2427</v>
      </c>
      <c r="M626">
        <v>3</v>
      </c>
      <c r="N626" t="str">
        <f>L626</f>
        <v>NAM\MB1911</v>
      </c>
      <c r="O626" s="51">
        <f>J626</f>
        <v>40995</v>
      </c>
      <c r="P626" s="51" t="str">
        <f>C626</f>
        <v>~/cdd/olddocs/Ayudas visuales/Camarillo/Bonding/CNWI-VSHP-000155 Rev. A (002359-0006).pub</v>
      </c>
      <c r="Q626" s="51" t="str">
        <f>E626</f>
        <v>pub</v>
      </c>
      <c r="R626" s="51"/>
      <c r="S626" s="51"/>
      <c r="T626" s="51"/>
      <c r="U626" s="51"/>
      <c r="V626" s="51"/>
      <c r="W626" s="51"/>
      <c r="X626" s="51"/>
      <c r="Y626" s="51"/>
      <c r="Z626" s="51"/>
      <c r="AA626" s="51"/>
      <c r="AB626" s="51"/>
      <c r="AC626" s="51"/>
      <c r="AD626" s="51"/>
      <c r="AE626" t="s">
        <v>30</v>
      </c>
      <c r="AF626" t="s">
        <v>1473</v>
      </c>
      <c r="AG626" t="s">
        <v>2603</v>
      </c>
      <c r="AH626" s="51"/>
      <c r="AI626" s="51"/>
    </row>
    <row r="627" spans="2:35">
      <c r="B627" t="s">
        <v>2604</v>
      </c>
      <c r="C627" t="s">
        <v>3496</v>
      </c>
      <c r="D627">
        <v>6</v>
      </c>
      <c r="E627" t="s">
        <v>2795</v>
      </c>
      <c r="F627">
        <v>5</v>
      </c>
      <c r="G627">
        <v>10</v>
      </c>
      <c r="H627">
        <v>10</v>
      </c>
      <c r="I627" t="s">
        <v>2605</v>
      </c>
      <c r="J627" s="51">
        <v>41003</v>
      </c>
      <c r="K627" t="s">
        <v>27</v>
      </c>
      <c r="L627" t="s">
        <v>2427</v>
      </c>
      <c r="M627">
        <v>3</v>
      </c>
      <c r="N627" t="str">
        <f>L627</f>
        <v>NAM\MB1911</v>
      </c>
      <c r="O627" s="51">
        <f>J627</f>
        <v>41003</v>
      </c>
      <c r="P627" s="51" t="str">
        <f>C627</f>
        <v>~/cdd/olddocs/Ayudas visuales/Camarillo/Bonding/CNWI-VSHP-000158 (000101-0172M).pub</v>
      </c>
      <c r="Q627" s="51" t="str">
        <f>E627</f>
        <v>pub</v>
      </c>
      <c r="R627" s="51"/>
      <c r="S627" s="51"/>
      <c r="T627" s="51"/>
      <c r="U627" s="51"/>
      <c r="V627" s="51"/>
      <c r="W627" s="51"/>
      <c r="X627" s="51"/>
      <c r="Y627" s="51"/>
      <c r="Z627" s="51"/>
      <c r="AA627" s="51"/>
      <c r="AB627" s="51"/>
      <c r="AC627" s="51"/>
      <c r="AD627" s="51"/>
      <c r="AE627" t="s">
        <v>30</v>
      </c>
      <c r="AF627" t="s">
        <v>1473</v>
      </c>
      <c r="AG627" t="s">
        <v>2605</v>
      </c>
      <c r="AH627" s="51"/>
      <c r="AI627" s="51"/>
    </row>
    <row r="628" spans="2:35">
      <c r="B628" t="s">
        <v>2428</v>
      </c>
      <c r="C628" t="s">
        <v>3462</v>
      </c>
      <c r="D628">
        <v>6</v>
      </c>
      <c r="E628" t="s">
        <v>2796</v>
      </c>
      <c r="F628">
        <v>5</v>
      </c>
      <c r="G628">
        <v>10</v>
      </c>
      <c r="H628">
        <v>7</v>
      </c>
      <c r="I628" t="s">
        <v>3775</v>
      </c>
      <c r="J628" s="51">
        <v>41029</v>
      </c>
      <c r="K628" t="s">
        <v>159</v>
      </c>
      <c r="L628" t="s">
        <v>2427</v>
      </c>
      <c r="M628">
        <v>3</v>
      </c>
      <c r="N628" t="str">
        <f>L628</f>
        <v>NAM\MB1911</v>
      </c>
      <c r="O628" s="51">
        <f>J628</f>
        <v>41029</v>
      </c>
      <c r="P628" s="51" t="str">
        <f>C628</f>
        <v>~/cdd/olddocs/Ayudas visuales/Camarillo/Amsafe/CNWI-VSHP-000159 REV C 508978-C.ppt</v>
      </c>
      <c r="Q628" s="51" t="str">
        <f>E628</f>
        <v>ppt</v>
      </c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t="s">
        <v>2430</v>
      </c>
      <c r="AF628" t="s">
        <v>479</v>
      </c>
      <c r="AG628">
        <v>508978</v>
      </c>
      <c r="AH628" s="51"/>
      <c r="AI628" s="51"/>
    </row>
    <row r="629" spans="2:35">
      <c r="B629" t="s">
        <v>2682</v>
      </c>
      <c r="C629" t="s">
        <v>3518</v>
      </c>
      <c r="D629">
        <v>6</v>
      </c>
      <c r="E629" t="s">
        <v>2795</v>
      </c>
      <c r="F629">
        <v>5</v>
      </c>
      <c r="G629">
        <v>36</v>
      </c>
      <c r="H629">
        <v>26</v>
      </c>
      <c r="I629" t="s">
        <v>2683</v>
      </c>
      <c r="J629" s="51">
        <v>41004</v>
      </c>
      <c r="K629" t="s">
        <v>27</v>
      </c>
      <c r="L629" t="s">
        <v>2427</v>
      </c>
      <c r="M629">
        <v>3</v>
      </c>
      <c r="N629" t="str">
        <f>L629</f>
        <v>NAM\MB1911</v>
      </c>
      <c r="O629" s="51">
        <f>J629</f>
        <v>41004</v>
      </c>
      <c r="P629" s="51" t="str">
        <f>C629</f>
        <v>~/cdd/olddocs/Ayudas visuales/Camarillo/Ensamble general/CNWI-VSHP-000160 28-7502-0002.pub</v>
      </c>
      <c r="Q629" s="51" t="str">
        <f>E629</f>
        <v>pub</v>
      </c>
      <c r="R629" s="51"/>
      <c r="S629" s="51"/>
      <c r="T629" s="51"/>
      <c r="U629" s="51"/>
      <c r="V629" s="51"/>
      <c r="W629" s="51"/>
      <c r="X629" s="51"/>
      <c r="Y629" s="51"/>
      <c r="Z629" s="51"/>
      <c r="AA629" s="51"/>
      <c r="AB629" s="51"/>
      <c r="AC629" s="51"/>
      <c r="AD629" s="51"/>
      <c r="AE629" t="s">
        <v>30</v>
      </c>
      <c r="AF629" t="s">
        <v>479</v>
      </c>
      <c r="AG629" t="s">
        <v>2684</v>
      </c>
      <c r="AH629" s="51"/>
      <c r="AI629" s="51"/>
    </row>
    <row r="630" spans="2:35">
      <c r="B630" t="s">
        <v>2431</v>
      </c>
      <c r="C630" t="s">
        <v>3463</v>
      </c>
      <c r="D630">
        <v>6</v>
      </c>
      <c r="E630" t="s">
        <v>2795</v>
      </c>
      <c r="F630">
        <v>5</v>
      </c>
      <c r="G630">
        <v>10</v>
      </c>
      <c r="H630">
        <v>7</v>
      </c>
      <c r="I630" t="s">
        <v>3776</v>
      </c>
      <c r="J630" s="51">
        <v>41009</v>
      </c>
      <c r="K630" t="s">
        <v>2433</v>
      </c>
      <c r="L630" t="s">
        <v>2427</v>
      </c>
      <c r="M630">
        <v>3</v>
      </c>
      <c r="N630" t="str">
        <f>L630</f>
        <v>NAM\MB1911</v>
      </c>
      <c r="O630" s="51">
        <f>J630</f>
        <v>41009</v>
      </c>
      <c r="P630" s="51" t="str">
        <f>C630</f>
        <v>~/cdd/olddocs/Ayudas visuales/Camarillo/Amsafe/CNWI-VSHP-000161 509976-C.pub</v>
      </c>
      <c r="Q630" s="51" t="str">
        <f>E630</f>
        <v>pub</v>
      </c>
      <c r="R630" s="51"/>
      <c r="S630" s="51"/>
      <c r="T630" s="51"/>
      <c r="U630" s="51"/>
      <c r="V630" s="51"/>
      <c r="W630" s="51"/>
      <c r="X630" s="51"/>
      <c r="Y630" s="51"/>
      <c r="Z630" s="51"/>
      <c r="AA630" s="51"/>
      <c r="AB630" s="51"/>
      <c r="AC630" s="51"/>
      <c r="AD630" s="51"/>
      <c r="AE630" t="s">
        <v>30</v>
      </c>
      <c r="AF630" t="s">
        <v>479</v>
      </c>
      <c r="AG630">
        <v>509976</v>
      </c>
      <c r="AH630" s="51"/>
      <c r="AI630" s="51"/>
    </row>
    <row r="631" spans="2:35">
      <c r="B631" t="s">
        <v>629</v>
      </c>
      <c r="C631" t="s">
        <v>3600</v>
      </c>
      <c r="D631">
        <v>6</v>
      </c>
      <c r="E631" t="s">
        <v>2795</v>
      </c>
      <c r="F631">
        <v>5</v>
      </c>
      <c r="G631">
        <v>33</v>
      </c>
      <c r="H631">
        <v>28</v>
      </c>
      <c r="I631" t="s">
        <v>630</v>
      </c>
      <c r="J631" s="51">
        <v>41016</v>
      </c>
      <c r="K631" t="s">
        <v>46</v>
      </c>
      <c r="L631" t="s">
        <v>605</v>
      </c>
      <c r="M631">
        <v>3</v>
      </c>
      <c r="N631" t="str">
        <f>L631</f>
        <v>NA/MB1049</v>
      </c>
      <c r="O631" s="51">
        <f>J631</f>
        <v>41016</v>
      </c>
      <c r="P631" s="51" t="str">
        <f>C631</f>
        <v>~/cdd/olddocs/Ayudas visuales/Micromini/General/CNWI-VSHP-000162 Remocion de molde.pub</v>
      </c>
      <c r="Q631" s="51" t="str">
        <f>E631</f>
        <v>pub</v>
      </c>
      <c r="R631" s="51"/>
      <c r="S631" s="51"/>
      <c r="T631" s="51"/>
      <c r="U631" s="51"/>
      <c r="V631" s="51"/>
      <c r="W631" s="51"/>
      <c r="X631" s="51"/>
      <c r="Y631" s="51"/>
      <c r="Z631" s="51"/>
      <c r="AA631" s="51"/>
      <c r="AB631" s="51"/>
      <c r="AC631" s="51"/>
      <c r="AD631" s="51"/>
      <c r="AE631" t="s">
        <v>30</v>
      </c>
      <c r="AF631" t="s">
        <v>90</v>
      </c>
      <c r="AG631" t="s">
        <v>28</v>
      </c>
      <c r="AH631" s="51"/>
      <c r="AI631" s="51"/>
    </row>
    <row r="632" spans="2:35">
      <c r="B632" t="s">
        <v>2685</v>
      </c>
      <c r="C632" t="s">
        <v>3519</v>
      </c>
      <c r="D632">
        <v>6</v>
      </c>
      <c r="E632" t="s">
        <v>2795</v>
      </c>
      <c r="F632">
        <v>5</v>
      </c>
      <c r="G632">
        <v>36</v>
      </c>
      <c r="H632">
        <v>26</v>
      </c>
      <c r="I632" t="s">
        <v>2686</v>
      </c>
      <c r="J632" s="51">
        <v>41015</v>
      </c>
      <c r="K632" t="s">
        <v>27</v>
      </c>
      <c r="L632" t="s">
        <v>2427</v>
      </c>
      <c r="M632">
        <v>3</v>
      </c>
      <c r="N632" t="str">
        <f>L632</f>
        <v>NAM\MB1911</v>
      </c>
      <c r="O632" s="51">
        <f>J632</f>
        <v>41015</v>
      </c>
      <c r="P632" s="51" t="str">
        <f>C632</f>
        <v>~/cdd/olddocs/Ayudas visuales/Camarillo/Ensamble general/CNWI-VSHP-000166  001-0130-001.pub</v>
      </c>
      <c r="Q632" s="51" t="str">
        <f>E632</f>
        <v>pub</v>
      </c>
      <c r="R632" s="51"/>
      <c r="S632" s="51"/>
      <c r="T632" s="51"/>
      <c r="U632" s="51"/>
      <c r="V632" s="51"/>
      <c r="W632" s="51"/>
      <c r="X632" s="51"/>
      <c r="Y632" s="51"/>
      <c r="Z632" s="51"/>
      <c r="AA632" s="51"/>
      <c r="AB632" s="51"/>
      <c r="AC632" s="51"/>
      <c r="AD632" s="51"/>
      <c r="AE632" t="s">
        <v>30</v>
      </c>
      <c r="AF632" t="s">
        <v>479</v>
      </c>
      <c r="AG632" t="s">
        <v>2687</v>
      </c>
      <c r="AH632" s="51"/>
      <c r="AI632" s="51"/>
    </row>
    <row r="633" spans="2:35">
      <c r="B633" t="s">
        <v>734</v>
      </c>
      <c r="C633" t="s">
        <v>3579</v>
      </c>
      <c r="D633">
        <v>6</v>
      </c>
      <c r="E633" t="s">
        <v>2795</v>
      </c>
      <c r="F633">
        <v>5</v>
      </c>
      <c r="G633">
        <v>12</v>
      </c>
      <c r="H633">
        <v>3</v>
      </c>
      <c r="I633" t="s">
        <v>735</v>
      </c>
      <c r="J633" s="51">
        <v>41016</v>
      </c>
      <c r="K633" t="s">
        <v>27</v>
      </c>
      <c r="L633" t="s">
        <v>605</v>
      </c>
      <c r="M633">
        <v>3</v>
      </c>
      <c r="N633" t="str">
        <f>L633</f>
        <v>NA/MB1049</v>
      </c>
      <c r="O633" s="51">
        <f>J633</f>
        <v>41016</v>
      </c>
      <c r="P633" s="51" t="str">
        <f>C633</f>
        <v>~/cdd/olddocs/Ayudas visuales/Micromini/A y B/CNWI-VSHP-000167  5000109-BE.pub</v>
      </c>
      <c r="Q633" s="51" t="str">
        <f>E633</f>
        <v>pub</v>
      </c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t="s">
        <v>30</v>
      </c>
      <c r="AF633" t="s">
        <v>90</v>
      </c>
      <c r="AG633" t="s">
        <v>735</v>
      </c>
      <c r="AH633" s="51"/>
      <c r="AI633" s="51"/>
    </row>
    <row r="634" spans="2:35">
      <c r="B634" t="s">
        <v>830</v>
      </c>
      <c r="C634" t="s">
        <v>3637</v>
      </c>
      <c r="D634">
        <v>6</v>
      </c>
      <c r="E634" t="s">
        <v>2793</v>
      </c>
      <c r="F634">
        <v>5</v>
      </c>
      <c r="G634">
        <v>12</v>
      </c>
      <c r="H634">
        <v>18</v>
      </c>
      <c r="I634" t="s">
        <v>831</v>
      </c>
      <c r="J634" s="51">
        <v>41026</v>
      </c>
      <c r="K634" t="s">
        <v>27</v>
      </c>
      <c r="L634" t="s">
        <v>605</v>
      </c>
      <c r="M634">
        <v>3</v>
      </c>
      <c r="N634" t="str">
        <f>L634</f>
        <v>NA/MB1049</v>
      </c>
      <c r="O634" s="51">
        <f>J634</f>
        <v>41026</v>
      </c>
      <c r="P634" s="51" t="str">
        <f>C634</f>
        <v>~/cdd/olddocs/Ayudas visuales/Micromini/Potted/CNWI-VSHP-000169 Rev A (5000109-GR1).pptx</v>
      </c>
      <c r="Q634" s="51" t="str">
        <f>E634</f>
        <v>pptx</v>
      </c>
      <c r="R634" s="51"/>
      <c r="S634" s="51"/>
      <c r="T634" s="51"/>
      <c r="U634" s="51"/>
      <c r="V634" s="51"/>
      <c r="W634" s="51"/>
      <c r="X634" s="51"/>
      <c r="Y634" s="51"/>
      <c r="Z634" s="51"/>
      <c r="AA634" s="51"/>
      <c r="AB634" s="51"/>
      <c r="AC634" s="51"/>
      <c r="AD634" s="51"/>
      <c r="AF634" t="s">
        <v>90</v>
      </c>
      <c r="AG634" t="s">
        <v>832</v>
      </c>
      <c r="AH634" s="51"/>
      <c r="AI634" s="51"/>
    </row>
    <row r="635" spans="2:35">
      <c r="B635" t="s">
        <v>497</v>
      </c>
      <c r="C635" t="s">
        <v>3000</v>
      </c>
      <c r="D635">
        <v>6</v>
      </c>
      <c r="E635" t="s">
        <v>2790</v>
      </c>
      <c r="F635">
        <v>5</v>
      </c>
      <c r="G635">
        <v>13</v>
      </c>
      <c r="H635">
        <v>14</v>
      </c>
      <c r="I635" t="s">
        <v>498</v>
      </c>
      <c r="J635" s="51">
        <v>41023</v>
      </c>
      <c r="K635" t="s">
        <v>27</v>
      </c>
      <c r="L635" t="s">
        <v>438</v>
      </c>
      <c r="M635">
        <v>3</v>
      </c>
      <c r="N635" t="str">
        <f>L635</f>
        <v>NAM\D24B6</v>
      </c>
      <c r="O635" s="51">
        <f>J635</f>
        <v>41023</v>
      </c>
      <c r="P635" s="51" t="str">
        <f>C635</f>
        <v>~/cdd/olddocs/Formas/CNWI-HMRS (Recursos Humanos)/CNWI-HMRS-F018 Matriz de entrenamiento.xlsx</v>
      </c>
      <c r="Q635" s="51" t="str">
        <f>E635</f>
        <v>xlsx</v>
      </c>
      <c r="R635" s="51"/>
      <c r="S635" s="51"/>
      <c r="T635" s="51"/>
      <c r="U635" s="51"/>
      <c r="V635" s="51"/>
      <c r="W635" s="51"/>
      <c r="X635" s="51"/>
      <c r="Y635" s="51"/>
      <c r="Z635" s="51"/>
      <c r="AA635" s="51"/>
      <c r="AB635" s="51"/>
      <c r="AC635" s="51"/>
      <c r="AD635" s="51"/>
      <c r="AE635" t="s">
        <v>30</v>
      </c>
      <c r="AF635" t="s">
        <v>479</v>
      </c>
      <c r="AG635" t="s">
        <v>28</v>
      </c>
      <c r="AH635" s="51"/>
      <c r="AI635" s="51"/>
    </row>
    <row r="636" spans="2:35">
      <c r="B636" t="s">
        <v>631</v>
      </c>
      <c r="C636" t="s">
        <v>3601</v>
      </c>
      <c r="D636">
        <v>6</v>
      </c>
      <c r="E636" t="s">
        <v>2795</v>
      </c>
      <c r="F636">
        <v>5</v>
      </c>
      <c r="G636">
        <v>33</v>
      </c>
      <c r="H636">
        <v>28</v>
      </c>
      <c r="I636" t="s">
        <v>632</v>
      </c>
      <c r="J636" s="51">
        <v>41019</v>
      </c>
      <c r="K636" t="s">
        <v>27</v>
      </c>
      <c r="L636" t="s">
        <v>605</v>
      </c>
      <c r="M636">
        <v>3</v>
      </c>
      <c r="N636" t="str">
        <f>L636</f>
        <v>NA/MB1049</v>
      </c>
      <c r="O636" s="51">
        <f>J636</f>
        <v>41019</v>
      </c>
      <c r="P636" s="51" t="str">
        <f>C636</f>
        <v>~/cdd/olddocs/Ayudas visuales/Micromini/General/CNWI-VSHP-000173 retiro piezas de molde.pub</v>
      </c>
      <c r="Q636" s="51" t="str">
        <f>E636</f>
        <v>pub</v>
      </c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t="s">
        <v>30</v>
      </c>
      <c r="AF636" t="s">
        <v>90</v>
      </c>
      <c r="AG636" t="s">
        <v>28</v>
      </c>
      <c r="AH636" s="51"/>
      <c r="AI636" s="51"/>
    </row>
    <row r="637" spans="2:35">
      <c r="B637" t="s">
        <v>777</v>
      </c>
      <c r="C637" t="s">
        <v>3617</v>
      </c>
      <c r="D637">
        <v>6</v>
      </c>
      <c r="E637" t="s">
        <v>2793</v>
      </c>
      <c r="F637">
        <v>5</v>
      </c>
      <c r="G637">
        <v>12</v>
      </c>
      <c r="H637">
        <v>16</v>
      </c>
      <c r="I637" t="s">
        <v>778</v>
      </c>
      <c r="J637" s="51">
        <v>41029</v>
      </c>
      <c r="K637" t="s">
        <v>27</v>
      </c>
      <c r="L637" t="s">
        <v>605</v>
      </c>
      <c r="M637">
        <v>3</v>
      </c>
      <c r="N637" t="str">
        <f>L637</f>
        <v>NA/MB1049</v>
      </c>
      <c r="O637" s="51">
        <f>J637</f>
        <v>41029</v>
      </c>
      <c r="P637" s="51" t="str">
        <f>C637</f>
        <v>~/cdd/olddocs/Ayudas visuales/Micromini/MS/CNWI-VSHP-000176 REV A COLOCACION O-RING.pptx</v>
      </c>
      <c r="Q637" s="51" t="str">
        <f>E637</f>
        <v>pptx</v>
      </c>
      <c r="R637" s="51"/>
      <c r="S637" s="51"/>
      <c r="T637" s="51"/>
      <c r="U637" s="51"/>
      <c r="V637" s="51"/>
      <c r="W637" s="51"/>
      <c r="X637" s="51"/>
      <c r="Y637" s="51"/>
      <c r="Z637" s="51"/>
      <c r="AA637" s="51"/>
      <c r="AB637" s="51"/>
      <c r="AC637" s="51"/>
      <c r="AD637" s="51"/>
      <c r="AE637" t="s">
        <v>30</v>
      </c>
      <c r="AF637" t="s">
        <v>90</v>
      </c>
      <c r="AG637" t="s">
        <v>28</v>
      </c>
      <c r="AH637" s="51"/>
      <c r="AI637" s="51"/>
    </row>
    <row r="638" spans="2:35">
      <c r="B638" t="s">
        <v>2434</v>
      </c>
      <c r="C638" t="s">
        <v>3464</v>
      </c>
      <c r="D638">
        <v>6</v>
      </c>
      <c r="E638" t="s">
        <v>2796</v>
      </c>
      <c r="F638">
        <v>5</v>
      </c>
      <c r="G638">
        <v>10</v>
      </c>
      <c r="H638">
        <v>7</v>
      </c>
      <c r="I638" t="s">
        <v>3777</v>
      </c>
      <c r="J638" s="51">
        <v>41031</v>
      </c>
      <c r="K638" t="s">
        <v>46</v>
      </c>
      <c r="L638" t="s">
        <v>2427</v>
      </c>
      <c r="M638">
        <v>3</v>
      </c>
      <c r="N638" t="str">
        <f>L638</f>
        <v>NAM\MB1911</v>
      </c>
      <c r="O638" s="51">
        <f>J638</f>
        <v>41031</v>
      </c>
      <c r="P638" s="51" t="str">
        <f>C638</f>
        <v>~/cdd/olddocs/Ayudas visuales/Camarillo/Amsafe/CNWI-VSHP-000177 Rev B  508978.ppt</v>
      </c>
      <c r="Q638" s="51" t="str">
        <f>E638</f>
        <v>ppt</v>
      </c>
      <c r="R638" s="51"/>
      <c r="S638" s="51"/>
      <c r="T638" s="51"/>
      <c r="U638" s="51"/>
      <c r="V638" s="51"/>
      <c r="W638" s="51"/>
      <c r="X638" s="51"/>
      <c r="Y638" s="51"/>
      <c r="Z638" s="51"/>
      <c r="AA638" s="51"/>
      <c r="AB638" s="51"/>
      <c r="AC638" s="51"/>
      <c r="AD638" s="51"/>
      <c r="AE638" t="s">
        <v>2436</v>
      </c>
      <c r="AF638" t="s">
        <v>479</v>
      </c>
      <c r="AG638">
        <v>508978</v>
      </c>
      <c r="AH638" s="51"/>
      <c r="AI638" s="51"/>
    </row>
    <row r="639" spans="2:35">
      <c r="B639" t="s">
        <v>2688</v>
      </c>
      <c r="C639" t="s">
        <v>3520</v>
      </c>
      <c r="D639">
        <v>6</v>
      </c>
      <c r="E639" t="s">
        <v>2796</v>
      </c>
      <c r="F639">
        <v>5</v>
      </c>
      <c r="G639">
        <v>36</v>
      </c>
      <c r="H639">
        <v>26</v>
      </c>
      <c r="I639" t="s">
        <v>2689</v>
      </c>
      <c r="J639" s="51">
        <v>41036</v>
      </c>
      <c r="K639" t="s">
        <v>27</v>
      </c>
      <c r="L639" t="s">
        <v>2427</v>
      </c>
      <c r="M639">
        <v>3</v>
      </c>
      <c r="N639" t="str">
        <f>L639</f>
        <v>NAM\MB1911</v>
      </c>
      <c r="O639" s="51">
        <f>J639</f>
        <v>41036</v>
      </c>
      <c r="P639" s="51" t="str">
        <f>C639</f>
        <v>~/cdd/olddocs/Ayudas visuales/Camarillo/Ensamble general/CNWI-VSHP-000179 Verificacion de cumplimiento   28-3256-0001.ppt</v>
      </c>
      <c r="Q639" s="51" t="str">
        <f>E639</f>
        <v>ppt</v>
      </c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t="s">
        <v>30</v>
      </c>
      <c r="AF639" t="s">
        <v>479</v>
      </c>
      <c r="AG639" t="s">
        <v>28</v>
      </c>
      <c r="AH639" s="51"/>
      <c r="AI639" s="51"/>
    </row>
    <row r="640" spans="2:35">
      <c r="B640" t="s">
        <v>2690</v>
      </c>
      <c r="C640" t="s">
        <v>3521</v>
      </c>
      <c r="D640">
        <v>6</v>
      </c>
      <c r="E640" t="s">
        <v>2796</v>
      </c>
      <c r="F640">
        <v>5</v>
      </c>
      <c r="G640">
        <v>36</v>
      </c>
      <c r="H640">
        <v>26</v>
      </c>
      <c r="I640" t="s">
        <v>2691</v>
      </c>
      <c r="J640" s="51">
        <v>41036</v>
      </c>
      <c r="K640" t="s">
        <v>27</v>
      </c>
      <c r="L640" t="s">
        <v>2427</v>
      </c>
      <c r="M640">
        <v>3</v>
      </c>
      <c r="N640" t="str">
        <f>L640</f>
        <v>NAM\MB1911</v>
      </c>
      <c r="O640" s="51">
        <f>J640</f>
        <v>41036</v>
      </c>
      <c r="P640" s="51" t="str">
        <f>C640</f>
        <v>~/cdd/olddocs/Ayudas visuales/Camarillo/Ensamble general/CNWI-VSHP-000180  28-3257-0001.ppt</v>
      </c>
      <c r="Q640" s="51" t="str">
        <f>E640</f>
        <v>ppt</v>
      </c>
      <c r="R640" s="51"/>
      <c r="S640" s="51"/>
      <c r="T640" s="51"/>
      <c r="U640" s="51"/>
      <c r="V640" s="51"/>
      <c r="W640" s="51"/>
      <c r="X640" s="51"/>
      <c r="Y640" s="51"/>
      <c r="Z640" s="51"/>
      <c r="AA640" s="51"/>
      <c r="AB640" s="51"/>
      <c r="AC640" s="51"/>
      <c r="AD640" s="51"/>
      <c r="AE640" t="s">
        <v>30</v>
      </c>
      <c r="AF640" t="s">
        <v>479</v>
      </c>
      <c r="AG640" t="s">
        <v>28</v>
      </c>
      <c r="AH640" s="51"/>
      <c r="AI640" s="51"/>
    </row>
    <row r="641" spans="2:35">
      <c r="B641" t="s">
        <v>468</v>
      </c>
      <c r="C641" t="s">
        <v>3551</v>
      </c>
      <c r="D641">
        <v>6</v>
      </c>
      <c r="E641" t="s">
        <v>2793</v>
      </c>
      <c r="F641">
        <v>5</v>
      </c>
      <c r="G641">
        <v>13</v>
      </c>
      <c r="H641">
        <v>15</v>
      </c>
      <c r="I641" t="s">
        <v>472</v>
      </c>
      <c r="J641" s="51">
        <v>41036</v>
      </c>
      <c r="K641" t="s">
        <v>27</v>
      </c>
      <c r="L641" t="s">
        <v>438</v>
      </c>
      <c r="M641">
        <v>3</v>
      </c>
      <c r="N641" t="str">
        <f>L641</f>
        <v>NAM\D24B6</v>
      </c>
      <c r="O641" s="51">
        <f>J641</f>
        <v>41036</v>
      </c>
      <c r="P641" s="51" t="str">
        <f>C641</f>
        <v>~/cdd/olddocs/Ayudas visuales/Camarillo/Moldeo/CNWI-vshp-000181 Rev A  Acoplamiento Dust Cap 009-0537-001.pptx</v>
      </c>
      <c r="Q641" s="51" t="str">
        <f>E641</f>
        <v>pptx</v>
      </c>
      <c r="R641" s="51"/>
      <c r="S641" s="51"/>
      <c r="T641" s="51"/>
      <c r="U641" s="51"/>
      <c r="V641" s="51"/>
      <c r="W641" s="51"/>
      <c r="X641" s="51"/>
      <c r="Y641" s="51"/>
      <c r="Z641" s="51"/>
      <c r="AA641" s="51"/>
      <c r="AB641" s="51"/>
      <c r="AC641" s="51"/>
      <c r="AD641" s="51"/>
      <c r="AG641" t="s">
        <v>28</v>
      </c>
      <c r="AH641" s="51"/>
      <c r="AI641" s="51"/>
    </row>
    <row r="642" spans="2:35">
      <c r="B642" t="s">
        <v>833</v>
      </c>
      <c r="C642" t="s">
        <v>3638</v>
      </c>
      <c r="D642">
        <v>6</v>
      </c>
      <c r="E642" t="s">
        <v>2793</v>
      </c>
      <c r="F642">
        <v>5</v>
      </c>
      <c r="G642">
        <v>12</v>
      </c>
      <c r="H642">
        <v>18</v>
      </c>
      <c r="I642" t="s">
        <v>834</v>
      </c>
      <c r="J642" s="51">
        <v>41046</v>
      </c>
      <c r="K642" t="s">
        <v>27</v>
      </c>
      <c r="L642" t="s">
        <v>605</v>
      </c>
      <c r="M642">
        <v>3</v>
      </c>
      <c r="N642" t="str">
        <f>L642</f>
        <v>NA/MB1049</v>
      </c>
      <c r="O642" s="51">
        <f>J642</f>
        <v>41046</v>
      </c>
      <c r="P642" s="51" t="str">
        <f>C642</f>
        <v>~/cdd/olddocs/Ayudas visuales/Micromini/Potted/CNWI-VSHP-000186   ALTURA CONTACTOS 5000111-D.pptx</v>
      </c>
      <c r="Q642" s="51" t="str">
        <f>E642</f>
        <v>pptx</v>
      </c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F642" t="s">
        <v>90</v>
      </c>
      <c r="AG642" t="s">
        <v>835</v>
      </c>
      <c r="AH642" s="51"/>
      <c r="AI642" s="51"/>
    </row>
    <row r="643" spans="2:35">
      <c r="B643" t="s">
        <v>836</v>
      </c>
      <c r="C643" t="s">
        <v>3639</v>
      </c>
      <c r="D643">
        <v>6</v>
      </c>
      <c r="E643" t="s">
        <v>2793</v>
      </c>
      <c r="F643">
        <v>5</v>
      </c>
      <c r="G643">
        <v>12</v>
      </c>
      <c r="H643">
        <v>18</v>
      </c>
      <c r="I643" t="s">
        <v>837</v>
      </c>
      <c r="J643" s="51">
        <v>41046</v>
      </c>
      <c r="K643" t="s">
        <v>27</v>
      </c>
      <c r="L643" t="s">
        <v>605</v>
      </c>
      <c r="M643">
        <v>3</v>
      </c>
      <c r="N643" t="str">
        <f>L643</f>
        <v>NA/MB1049</v>
      </c>
      <c r="O643" s="51">
        <f>J643</f>
        <v>41046</v>
      </c>
      <c r="P643" s="51" t="str">
        <f>C643</f>
        <v>~/cdd/olddocs/Ayudas visuales/Micromini/Potted/CNWI-VSHP-000187   ENSAMBLE DE LOCK NUT Y GASKET A ENSAMBLE FINAL SEGUN DIBUJO MR3F4B00C-A.pptx</v>
      </c>
      <c r="Q643" s="51" t="str">
        <f>E643</f>
        <v>pptx</v>
      </c>
      <c r="R643" s="51"/>
      <c r="S643" s="51"/>
      <c r="T643" s="51"/>
      <c r="U643" s="51"/>
      <c r="V643" s="51"/>
      <c r="W643" s="51"/>
      <c r="X643" s="51"/>
      <c r="Y643" s="51"/>
      <c r="Z643" s="51"/>
      <c r="AA643" s="51"/>
      <c r="AB643" s="51"/>
      <c r="AC643" s="51"/>
      <c r="AD643" s="51"/>
      <c r="AE643" t="s">
        <v>30</v>
      </c>
      <c r="AF643" t="s">
        <v>90</v>
      </c>
      <c r="AG643" t="s">
        <v>838</v>
      </c>
      <c r="AH643" s="51"/>
      <c r="AI643" s="51"/>
    </row>
    <row r="644" spans="2:35">
      <c r="B644" t="s">
        <v>736</v>
      </c>
      <c r="C644" t="s">
        <v>3580</v>
      </c>
      <c r="D644">
        <v>6</v>
      </c>
      <c r="E644" t="s">
        <v>2793</v>
      </c>
      <c r="F644">
        <v>5</v>
      </c>
      <c r="G644">
        <v>12</v>
      </c>
      <c r="H644">
        <v>3</v>
      </c>
      <c r="I644" t="s">
        <v>737</v>
      </c>
      <c r="J644" s="51">
        <v>41046</v>
      </c>
      <c r="K644" t="s">
        <v>27</v>
      </c>
      <c r="L644" t="s">
        <v>605</v>
      </c>
      <c r="M644">
        <v>3</v>
      </c>
      <c r="N644" t="str">
        <f>L644</f>
        <v>NA/MB1049</v>
      </c>
      <c r="O644" s="51">
        <f>J644</f>
        <v>41046</v>
      </c>
      <c r="P644" s="51" t="str">
        <f>C644</f>
        <v>~/cdd/olddocs/Ayudas visuales/Micromini/A y B/CNWI-VSHP-000188 Rev A  ALTURA CONTACTOS DM4Q2M24E-A.pptx</v>
      </c>
      <c r="Q644" s="51" t="str">
        <f>E644</f>
        <v>pptx</v>
      </c>
      <c r="R644" s="51"/>
      <c r="S644" s="51"/>
      <c r="T644" s="51"/>
      <c r="U644" s="51"/>
      <c r="V644" s="51"/>
      <c r="W644" s="51"/>
      <c r="X644" s="51"/>
      <c r="Y644" s="51"/>
      <c r="Z644" s="51"/>
      <c r="AA644" s="51"/>
      <c r="AB644" s="51"/>
      <c r="AC644" s="51"/>
      <c r="AD644" s="51"/>
      <c r="AE644" t="s">
        <v>30</v>
      </c>
      <c r="AF644" t="s">
        <v>90</v>
      </c>
      <c r="AG644" t="s">
        <v>28</v>
      </c>
      <c r="AH644" s="51"/>
      <c r="AI644" s="51"/>
    </row>
    <row r="645" spans="2:35">
      <c r="B645" t="s">
        <v>738</v>
      </c>
      <c r="C645" t="s">
        <v>3581</v>
      </c>
      <c r="D645">
        <v>6</v>
      </c>
      <c r="E645" t="s">
        <v>2793</v>
      </c>
      <c r="F645">
        <v>5</v>
      </c>
      <c r="G645">
        <v>12</v>
      </c>
      <c r="H645">
        <v>3</v>
      </c>
      <c r="I645" t="s">
        <v>739</v>
      </c>
      <c r="J645" s="51">
        <v>41051</v>
      </c>
      <c r="K645" t="s">
        <v>27</v>
      </c>
      <c r="L645" t="s">
        <v>605</v>
      </c>
      <c r="M645">
        <v>3</v>
      </c>
      <c r="N645" t="str">
        <f>L645</f>
        <v>NA/MB1049</v>
      </c>
      <c r="O645" s="51">
        <f>J645</f>
        <v>41051</v>
      </c>
      <c r="P645" s="51" t="str">
        <f>C645</f>
        <v>~/cdd/olddocs/Ayudas visuales/Micromini/A y B/CNWI-VSHP-000189 ALTURA DE CONTACTOS TEE DIBUJO CHDN-TAER Y  CHDN-TAER-N Y A98N-43PB-N4.pptx</v>
      </c>
      <c r="Q645" s="51" t="str">
        <f>E645</f>
        <v>pptx</v>
      </c>
      <c r="R645" s="51"/>
      <c r="S645" s="51"/>
      <c r="T645" s="51"/>
      <c r="U645" s="51"/>
      <c r="V645" s="51"/>
      <c r="W645" s="51"/>
      <c r="X645" s="51"/>
      <c r="Y645" s="51"/>
      <c r="Z645" s="51"/>
      <c r="AA645" s="51"/>
      <c r="AB645" s="51"/>
      <c r="AC645" s="51"/>
      <c r="AD645" s="51"/>
      <c r="AE645" t="s">
        <v>30</v>
      </c>
      <c r="AF645" t="s">
        <v>90</v>
      </c>
      <c r="AG645" t="s">
        <v>740</v>
      </c>
      <c r="AH645" s="51"/>
      <c r="AI645" s="51"/>
    </row>
    <row r="646" spans="2:35">
      <c r="B646" t="s">
        <v>91</v>
      </c>
      <c r="C646" t="s">
        <v>3451</v>
      </c>
      <c r="D646">
        <v>6</v>
      </c>
      <c r="E646" t="s">
        <v>2796</v>
      </c>
      <c r="F646">
        <v>5</v>
      </c>
      <c r="G646">
        <v>6</v>
      </c>
      <c r="H646">
        <v>14</v>
      </c>
      <c r="I646" t="s">
        <v>95</v>
      </c>
      <c r="J646" s="51">
        <v>41051</v>
      </c>
      <c r="K646" t="s">
        <v>27</v>
      </c>
      <c r="L646" t="s">
        <v>63</v>
      </c>
      <c r="M646">
        <v>3</v>
      </c>
      <c r="N646" t="str">
        <f>L646</f>
        <v>NAM\D6B1B</v>
      </c>
      <c r="O646" s="51">
        <f>J646</f>
        <v>41051</v>
      </c>
      <c r="P646" s="51" t="str">
        <f>C646</f>
        <v>~/cdd/olddocs/Ayudas visuales/Avenal-Solar/CNWI-VSHP-000190 Rev A Proceso de ensamble del area Solar.ppt</v>
      </c>
      <c r="Q646" s="51" t="str">
        <f>E646</f>
        <v>ppt</v>
      </c>
      <c r="R646" s="51"/>
      <c r="S646" s="51"/>
      <c r="T646" s="51"/>
      <c r="U646" s="51"/>
      <c r="V646" s="51"/>
      <c r="W646" s="51"/>
      <c r="X646" s="51"/>
      <c r="Y646" s="51"/>
      <c r="Z646" s="51"/>
      <c r="AA646" s="51"/>
      <c r="AB646" s="51"/>
      <c r="AC646" s="51"/>
      <c r="AD646" s="51"/>
      <c r="AE646" t="s">
        <v>96</v>
      </c>
      <c r="AF646" t="s">
        <v>97</v>
      </c>
      <c r="AG646" t="s">
        <v>28</v>
      </c>
      <c r="AH646" s="51"/>
      <c r="AI646" s="51"/>
    </row>
    <row r="647" spans="2:35">
      <c r="B647" t="s">
        <v>98</v>
      </c>
      <c r="C647" t="s">
        <v>3452</v>
      </c>
      <c r="D647">
        <v>6</v>
      </c>
      <c r="E647" t="s">
        <v>2796</v>
      </c>
      <c r="F647">
        <v>5</v>
      </c>
      <c r="G647">
        <v>6</v>
      </c>
      <c r="H647">
        <v>14</v>
      </c>
      <c r="I647" t="s">
        <v>99</v>
      </c>
      <c r="J647" s="51">
        <v>41052</v>
      </c>
      <c r="K647" t="s">
        <v>27</v>
      </c>
      <c r="L647" t="s">
        <v>63</v>
      </c>
      <c r="M647">
        <v>3</v>
      </c>
      <c r="N647" t="str">
        <f>L647</f>
        <v>NAM\D6B1B</v>
      </c>
      <c r="O647" s="51">
        <f>J647</f>
        <v>41052</v>
      </c>
      <c r="P647" s="51" t="str">
        <f>C647</f>
        <v>~/cdd/olddocs/Ayudas visuales/Avenal-Solar/CNWI-VSHP-000191 Rev  A Proceso de Ensanble del area solar IC-B13-P y IC-B13-N.ppt</v>
      </c>
      <c r="Q647" s="51" t="str">
        <f>E647</f>
        <v>ppt</v>
      </c>
      <c r="R647" s="51"/>
      <c r="S647" s="51"/>
      <c r="T647" s="51"/>
      <c r="U647" s="51"/>
      <c r="V647" s="51"/>
      <c r="W647" s="51"/>
      <c r="X647" s="51"/>
      <c r="Y647" s="51"/>
      <c r="Z647" s="51"/>
      <c r="AA647" s="51"/>
      <c r="AB647" s="51"/>
      <c r="AC647" s="51"/>
      <c r="AD647" s="51"/>
      <c r="AE647" t="s">
        <v>101</v>
      </c>
      <c r="AF647" t="s">
        <v>97</v>
      </c>
      <c r="AG647" t="s">
        <v>100</v>
      </c>
      <c r="AH647" s="51"/>
      <c r="AI647" s="51"/>
    </row>
    <row r="648" spans="2:35">
      <c r="B648" t="s">
        <v>2437</v>
      </c>
      <c r="C648" t="s">
        <v>3465</v>
      </c>
      <c r="D648">
        <v>6</v>
      </c>
      <c r="E648" t="s">
        <v>2796</v>
      </c>
      <c r="F648">
        <v>5</v>
      </c>
      <c r="G648">
        <v>10</v>
      </c>
      <c r="H648">
        <v>7</v>
      </c>
      <c r="I648" t="s">
        <v>2438</v>
      </c>
      <c r="J648" s="51">
        <v>41054</v>
      </c>
      <c r="K648" t="s">
        <v>27</v>
      </c>
      <c r="L648" t="s">
        <v>2427</v>
      </c>
      <c r="M648">
        <v>3</v>
      </c>
      <c r="N648" t="str">
        <f>L648</f>
        <v>NAM\MB1911</v>
      </c>
      <c r="O648" s="51">
        <f>J648</f>
        <v>41054</v>
      </c>
      <c r="P648" s="51" t="str">
        <f>C648</f>
        <v>~/cdd/olddocs/Ayudas visuales/Camarillo/Amsafe/CNWI-VSHP-000200 Rev A CABLE ASSEMBLY INTERFACE 004003-0001.ppt</v>
      </c>
      <c r="Q648" s="51" t="str">
        <f>E648</f>
        <v>ppt</v>
      </c>
      <c r="R648" s="51"/>
      <c r="S648" s="51"/>
      <c r="T648" s="51"/>
      <c r="U648" s="51"/>
      <c r="V648" s="51"/>
      <c r="W648" s="51"/>
      <c r="X648" s="51"/>
      <c r="Y648" s="51"/>
      <c r="Z648" s="51"/>
      <c r="AA648" s="51"/>
      <c r="AB648" s="51"/>
      <c r="AC648" s="51"/>
      <c r="AD648" s="51"/>
      <c r="AE648" t="s">
        <v>30</v>
      </c>
      <c r="AF648" t="s">
        <v>479</v>
      </c>
      <c r="AG648" t="s">
        <v>2439</v>
      </c>
      <c r="AH648" s="51"/>
      <c r="AI648" s="51"/>
    </row>
    <row r="649" spans="2:35">
      <c r="B649" t="s">
        <v>2440</v>
      </c>
      <c r="C649" t="s">
        <v>3466</v>
      </c>
      <c r="D649">
        <v>6</v>
      </c>
      <c r="E649" t="s">
        <v>2796</v>
      </c>
      <c r="F649">
        <v>5</v>
      </c>
      <c r="G649">
        <v>10</v>
      </c>
      <c r="H649">
        <v>7</v>
      </c>
      <c r="I649" t="s">
        <v>2441</v>
      </c>
      <c r="J649" s="51">
        <v>41057</v>
      </c>
      <c r="K649" t="s">
        <v>27</v>
      </c>
      <c r="L649" t="s">
        <v>2427</v>
      </c>
      <c r="M649">
        <v>3</v>
      </c>
      <c r="N649" t="str">
        <f>L649</f>
        <v>NAM\MB1911</v>
      </c>
      <c r="O649" s="51">
        <f>J649</f>
        <v>41057</v>
      </c>
      <c r="P649" s="51" t="str">
        <f>C649</f>
        <v>~/cdd/olddocs/Ayudas visuales/Camarillo/Amsafe/CNWI-VSHP-000201 Rev A  CABLE ASSEMBLY INTERFACE 508976 partes004022-0001 , 004036-0001.ppt</v>
      </c>
      <c r="Q649" s="51" t="str">
        <f>E649</f>
        <v>ppt</v>
      </c>
      <c r="R649" s="51"/>
      <c r="S649" s="51"/>
      <c r="T649" s="51"/>
      <c r="U649" s="51"/>
      <c r="V649" s="51"/>
      <c r="W649" s="51"/>
      <c r="X649" s="51"/>
      <c r="Y649" s="51"/>
      <c r="Z649" s="51"/>
      <c r="AA649" s="51"/>
      <c r="AB649" s="51"/>
      <c r="AC649" s="51"/>
      <c r="AD649" s="51"/>
      <c r="AE649" t="s">
        <v>30</v>
      </c>
      <c r="AF649" t="s">
        <v>479</v>
      </c>
      <c r="AG649">
        <v>508976</v>
      </c>
      <c r="AH649" s="51"/>
      <c r="AI649" s="51"/>
    </row>
    <row r="650" spans="2:35">
      <c r="B650" t="s">
        <v>839</v>
      </c>
      <c r="C650" t="s">
        <v>3640</v>
      </c>
      <c r="D650">
        <v>6</v>
      </c>
      <c r="E650" t="s">
        <v>2793</v>
      </c>
      <c r="F650">
        <v>5</v>
      </c>
      <c r="G650">
        <v>12</v>
      </c>
      <c r="H650">
        <v>18</v>
      </c>
      <c r="I650" t="s">
        <v>840</v>
      </c>
      <c r="J650" s="51">
        <v>41057</v>
      </c>
      <c r="K650" t="s">
        <v>27</v>
      </c>
      <c r="L650" t="s">
        <v>605</v>
      </c>
      <c r="M650">
        <v>3</v>
      </c>
      <c r="N650" t="str">
        <f>L650</f>
        <v>NA/MB1049</v>
      </c>
      <c r="O650" s="51">
        <f>J650</f>
        <v>41057</v>
      </c>
      <c r="P650" s="51" t="str">
        <f>C650</f>
        <v>~/cdd/olddocs/Ayudas visuales/Micromini/Potted/CNWI-VSHP-000202 Rev A  USO DE HORNO POTTED.pptx</v>
      </c>
      <c r="Q650" s="51" t="str">
        <f>E650</f>
        <v>pptx</v>
      </c>
      <c r="R650" s="51"/>
      <c r="S650" s="51"/>
      <c r="T650" s="51"/>
      <c r="U650" s="51"/>
      <c r="V650" s="51"/>
      <c r="W650" s="51"/>
      <c r="X650" s="51"/>
      <c r="Y650" s="51"/>
      <c r="Z650" s="51"/>
      <c r="AA650" s="51"/>
      <c r="AB650" s="51"/>
      <c r="AC650" s="51"/>
      <c r="AD650" s="51"/>
      <c r="AE650" t="s">
        <v>30</v>
      </c>
      <c r="AF650" t="s">
        <v>90</v>
      </c>
      <c r="AG650" t="s">
        <v>28</v>
      </c>
      <c r="AH650" s="51"/>
      <c r="AI650" s="51"/>
    </row>
    <row r="651" spans="2:35">
      <c r="B651" t="s">
        <v>102</v>
      </c>
      <c r="C651" t="s">
        <v>3453</v>
      </c>
      <c r="D651">
        <v>6</v>
      </c>
      <c r="E651" t="s">
        <v>2796</v>
      </c>
      <c r="F651">
        <v>5</v>
      </c>
      <c r="G651">
        <v>6</v>
      </c>
      <c r="H651">
        <v>14</v>
      </c>
      <c r="I651" t="s">
        <v>103</v>
      </c>
      <c r="J651" s="51">
        <v>41057</v>
      </c>
      <c r="K651" t="s">
        <v>27</v>
      </c>
      <c r="L651" t="s">
        <v>63</v>
      </c>
      <c r="M651">
        <v>3</v>
      </c>
      <c r="N651" t="str">
        <f>L651</f>
        <v>NAM\D6B1B</v>
      </c>
      <c r="O651" s="51">
        <f>J651</f>
        <v>41057</v>
      </c>
      <c r="P651" s="51" t="str">
        <f>C651</f>
        <v>~/cdd/olddocs/Ayudas visuales/Avenal-Solar/CNWI-VSHP-000203 Rev A Proceso de estacion de trabajo de soldadura del area solar.ppt</v>
      </c>
      <c r="Q651" s="51" t="str">
        <f>E651</f>
        <v>ppt</v>
      </c>
      <c r="R651" s="51"/>
      <c r="S651" s="51"/>
      <c r="T651" s="51"/>
      <c r="U651" s="51"/>
      <c r="V651" s="51"/>
      <c r="W651" s="51"/>
      <c r="X651" s="51"/>
      <c r="Y651" s="51"/>
      <c r="Z651" s="51"/>
      <c r="AA651" s="51"/>
      <c r="AB651" s="51"/>
      <c r="AC651" s="51"/>
      <c r="AD651" s="51"/>
      <c r="AE651" t="s">
        <v>101</v>
      </c>
      <c r="AF651" t="s">
        <v>97</v>
      </c>
      <c r="AG651" t="s">
        <v>28</v>
      </c>
      <c r="AH651" s="51"/>
      <c r="AI651" s="51"/>
    </row>
    <row r="652" spans="2:35">
      <c r="B652" t="s">
        <v>104</v>
      </c>
      <c r="C652" t="s">
        <v>3454</v>
      </c>
      <c r="D652">
        <v>6</v>
      </c>
      <c r="E652" t="s">
        <v>2796</v>
      </c>
      <c r="F652">
        <v>5</v>
      </c>
      <c r="G652">
        <v>6</v>
      </c>
      <c r="H652">
        <v>14</v>
      </c>
      <c r="I652" t="s">
        <v>105</v>
      </c>
      <c r="J652" s="51">
        <v>41058</v>
      </c>
      <c r="K652" t="s">
        <v>27</v>
      </c>
      <c r="L652" t="s">
        <v>63</v>
      </c>
      <c r="M652">
        <v>3</v>
      </c>
      <c r="N652" t="str">
        <f>L652</f>
        <v>NAM\D6B1B</v>
      </c>
      <c r="O652" s="51">
        <f>J652</f>
        <v>41058</v>
      </c>
      <c r="P652" s="51" t="str">
        <f>C652</f>
        <v>~/cdd/olddocs/Ayudas visuales/Avenal-Solar/CNWI-VSHP-000204 Rev A Ilustrar el proceso correcto de aplicación de goma en Solar.ppt</v>
      </c>
      <c r="Q652" s="51" t="str">
        <f>E652</f>
        <v>ppt</v>
      </c>
      <c r="R652" s="51"/>
      <c r="S652" s="51"/>
      <c r="T652" s="51"/>
      <c r="U652" s="51"/>
      <c r="V652" s="51"/>
      <c r="W652" s="51"/>
      <c r="X652" s="51"/>
      <c r="Y652" s="51"/>
      <c r="Z652" s="51"/>
      <c r="AA652" s="51"/>
      <c r="AB652" s="51"/>
      <c r="AC652" s="51"/>
      <c r="AD652" s="51"/>
      <c r="AE652" t="s">
        <v>106</v>
      </c>
      <c r="AF652" t="s">
        <v>97</v>
      </c>
      <c r="AG652" t="s">
        <v>28</v>
      </c>
      <c r="AH652" s="51"/>
      <c r="AI652" s="51"/>
    </row>
    <row r="653" spans="2:35">
      <c r="B653" t="s">
        <v>779</v>
      </c>
      <c r="C653" t="s">
        <v>3618</v>
      </c>
      <c r="D653">
        <v>6</v>
      </c>
      <c r="E653" t="s">
        <v>2793</v>
      </c>
      <c r="F653">
        <v>5</v>
      </c>
      <c r="G653">
        <v>12</v>
      </c>
      <c r="H653">
        <v>16</v>
      </c>
      <c r="I653" t="s">
        <v>780</v>
      </c>
      <c r="J653" s="51">
        <v>41061</v>
      </c>
      <c r="K653" t="s">
        <v>27</v>
      </c>
      <c r="L653" t="s">
        <v>605</v>
      </c>
      <c r="M653">
        <v>3</v>
      </c>
      <c r="N653" t="str">
        <f>L653</f>
        <v>NA/MB1049</v>
      </c>
      <c r="O653" s="51">
        <f>J653</f>
        <v>41061</v>
      </c>
      <c r="P653" s="51" t="str">
        <f>C653</f>
        <v>~/cdd/olddocs/Ayudas visuales/Micromini/MS/CNWI-VSHP-000217 Rev A GAP DEL DIBUJO 568055-A, 568055-B Y 568055-C.pptx</v>
      </c>
      <c r="Q653" s="51" t="str">
        <f>E653</f>
        <v>pptx</v>
      </c>
      <c r="R653" s="51"/>
      <c r="S653" s="51"/>
      <c r="T653" s="51"/>
      <c r="U653" s="51"/>
      <c r="V653" s="51"/>
      <c r="W653" s="51"/>
      <c r="X653" s="51"/>
      <c r="Y653" s="51"/>
      <c r="Z653" s="51"/>
      <c r="AA653" s="51"/>
      <c r="AB653" s="51"/>
      <c r="AC653" s="51"/>
      <c r="AD653" s="51"/>
      <c r="AE653" t="s">
        <v>30</v>
      </c>
      <c r="AF653" t="s">
        <v>90</v>
      </c>
      <c r="AG653" t="s">
        <v>781</v>
      </c>
      <c r="AH653" s="51"/>
      <c r="AI653" s="51"/>
    </row>
    <row r="654" spans="2:35">
      <c r="B654" t="s">
        <v>107</v>
      </c>
      <c r="C654" t="s">
        <v>3455</v>
      </c>
      <c r="D654">
        <v>6</v>
      </c>
      <c r="E654" t="s">
        <v>2796</v>
      </c>
      <c r="F654">
        <v>5</v>
      </c>
      <c r="G654">
        <v>6</v>
      </c>
      <c r="H654">
        <v>14</v>
      </c>
      <c r="I654" t="s">
        <v>108</v>
      </c>
      <c r="J654" s="51">
        <v>41066</v>
      </c>
      <c r="K654" t="s">
        <v>27</v>
      </c>
      <c r="L654" t="s">
        <v>63</v>
      </c>
      <c r="M654">
        <v>3</v>
      </c>
      <c r="N654" t="str">
        <f>L654</f>
        <v>NAM\D6B1B</v>
      </c>
      <c r="O654" s="51">
        <f>J654</f>
        <v>41066</v>
      </c>
      <c r="P654" s="51" t="str">
        <f>C654</f>
        <v>~/cdd/olddocs/Ayudas visuales/Avenal-Solar/CNWI-VSHP-000218 Rev  A Formato para Instruccion de trabajo  (IC-A92-001).ppt</v>
      </c>
      <c r="Q654" s="51" t="str">
        <f>E654</f>
        <v>ppt</v>
      </c>
      <c r="R654" s="51"/>
      <c r="S654" s="51"/>
      <c r="T654" s="51"/>
      <c r="U654" s="51"/>
      <c r="V654" s="51"/>
      <c r="W654" s="51"/>
      <c r="X654" s="51"/>
      <c r="Y654" s="51"/>
      <c r="Z654" s="51"/>
      <c r="AA654" s="51"/>
      <c r="AB654" s="51"/>
      <c r="AC654" s="51"/>
      <c r="AD654" s="51"/>
      <c r="AE654" t="s">
        <v>101</v>
      </c>
      <c r="AF654" t="s">
        <v>97</v>
      </c>
      <c r="AG654" t="s">
        <v>28</v>
      </c>
      <c r="AH654" s="51"/>
      <c r="AI654" s="51"/>
    </row>
    <row r="655" spans="2:35">
      <c r="B655" t="s">
        <v>845</v>
      </c>
      <c r="C655" t="s">
        <v>3643</v>
      </c>
      <c r="D655">
        <v>6</v>
      </c>
      <c r="E655" t="s">
        <v>2793</v>
      </c>
      <c r="F655">
        <v>5</v>
      </c>
      <c r="G655">
        <v>12</v>
      </c>
      <c r="H655">
        <v>20</v>
      </c>
      <c r="I655" t="s">
        <v>848</v>
      </c>
      <c r="J655" s="51">
        <v>41067</v>
      </c>
      <c r="K655" t="s">
        <v>27</v>
      </c>
      <c r="L655" t="s">
        <v>605</v>
      </c>
      <c r="M655">
        <v>3</v>
      </c>
      <c r="N655" t="str">
        <f>L655</f>
        <v>NA/MB1049</v>
      </c>
      <c r="O655" s="51">
        <f>J655</f>
        <v>41067</v>
      </c>
      <c r="P655" s="51" t="str">
        <f>C655</f>
        <v>~/cdd/olddocs/Ayudas visuales/Micromini/Rocwell/CNWI-VSHP-000220 Rev A EMPAQUE DE COMPONENTES SERIES 1786.pptx</v>
      </c>
      <c r="Q655" s="51" t="str">
        <f>E655</f>
        <v>pptx</v>
      </c>
      <c r="R655" s="51"/>
      <c r="S655" s="51"/>
      <c r="T655" s="51"/>
      <c r="U655" s="51"/>
      <c r="V655" s="51"/>
      <c r="W655" s="51"/>
      <c r="X655" s="51"/>
      <c r="Y655" s="51"/>
      <c r="Z655" s="51"/>
      <c r="AA655" s="51"/>
      <c r="AB655" s="51"/>
      <c r="AC655" s="51"/>
      <c r="AD655" s="51"/>
      <c r="AE655" t="s">
        <v>30</v>
      </c>
      <c r="AF655" t="s">
        <v>601</v>
      </c>
      <c r="AG655" t="s">
        <v>28</v>
      </c>
      <c r="AH655" s="51"/>
      <c r="AI655" s="51"/>
    </row>
    <row r="656" spans="2:35">
      <c r="B656" t="s">
        <v>1214</v>
      </c>
      <c r="C656" t="s">
        <v>3232</v>
      </c>
      <c r="D656">
        <v>5</v>
      </c>
      <c r="E656" t="s">
        <v>2792</v>
      </c>
      <c r="F656">
        <v>6</v>
      </c>
      <c r="G656">
        <v>7</v>
      </c>
      <c r="I656" t="s">
        <v>1217</v>
      </c>
      <c r="J656" s="51" t="s">
        <v>1218</v>
      </c>
      <c r="K656" t="s">
        <v>27</v>
      </c>
      <c r="L656" t="s">
        <v>1220</v>
      </c>
      <c r="M656">
        <v>3</v>
      </c>
      <c r="N656" t="str">
        <f>L656</f>
        <v>NAM\MA6898</v>
      </c>
      <c r="O656" s="51" t="str">
        <f>J656</f>
        <v>05/17/2011</v>
      </c>
      <c r="P656" s="51" t="str">
        <f>C656</f>
        <v>~/cdd/olddocs/Formas/CNWI-WRHS (Almacen)/CNWI-WRHS-F001 Identificacion de ordenes.xls</v>
      </c>
      <c r="Q656" s="51" t="str">
        <f>E656</f>
        <v>xls</v>
      </c>
      <c r="R656" s="51"/>
      <c r="S656" s="51"/>
      <c r="T656" s="51"/>
      <c r="U656" s="51"/>
      <c r="V656" s="51"/>
      <c r="W656" s="51"/>
      <c r="X656" s="51"/>
      <c r="Y656" s="51"/>
      <c r="Z656" s="51"/>
      <c r="AA656" s="51"/>
      <c r="AB656" s="51"/>
      <c r="AC656" s="51"/>
      <c r="AD656" s="51"/>
      <c r="AG656" t="s">
        <v>28</v>
      </c>
      <c r="AH656" s="51"/>
      <c r="AI656" s="51"/>
    </row>
    <row r="657" spans="2:35">
      <c r="B657" t="s">
        <v>1221</v>
      </c>
      <c r="C657" t="s">
        <v>3233</v>
      </c>
      <c r="D657">
        <v>5</v>
      </c>
      <c r="E657" t="s">
        <v>2792</v>
      </c>
      <c r="F657">
        <v>6</v>
      </c>
      <c r="G657">
        <v>7</v>
      </c>
      <c r="I657" t="s">
        <v>1223</v>
      </c>
      <c r="J657" s="51" t="s">
        <v>1218</v>
      </c>
      <c r="K657" t="s">
        <v>27</v>
      </c>
      <c r="L657" t="s">
        <v>1220</v>
      </c>
      <c r="M657">
        <v>3</v>
      </c>
      <c r="N657" t="str">
        <f>L657</f>
        <v>NAM\MA6898</v>
      </c>
      <c r="O657" s="51" t="str">
        <f>J657</f>
        <v>05/17/2011</v>
      </c>
      <c r="P657" s="51" t="str">
        <f>C657</f>
        <v>~/cdd/olddocs/Formas/CNWI-WRHS (Almacen)/CNWI-WRHS-F002 Requisicion de Matarial.xls</v>
      </c>
      <c r="Q657" s="51" t="str">
        <f>E657</f>
        <v>xls</v>
      </c>
      <c r="R657" s="51"/>
      <c r="S657" s="51"/>
      <c r="T657" s="51"/>
      <c r="U657" s="51"/>
      <c r="V657" s="51"/>
      <c r="W657" s="51"/>
      <c r="X657" s="51"/>
      <c r="Y657" s="51"/>
      <c r="Z657" s="51"/>
      <c r="AA657" s="51"/>
      <c r="AB657" s="51"/>
      <c r="AC657" s="51"/>
      <c r="AD657" s="51"/>
      <c r="AG657" t="s">
        <v>28</v>
      </c>
      <c r="AH657" s="51"/>
      <c r="AI657" s="51"/>
    </row>
    <row r="658" spans="2:35">
      <c r="B658" t="s">
        <v>1224</v>
      </c>
      <c r="C658" t="s">
        <v>3234</v>
      </c>
      <c r="D658">
        <v>5</v>
      </c>
      <c r="E658" t="s">
        <v>2792</v>
      </c>
      <c r="F658">
        <v>6</v>
      </c>
      <c r="G658">
        <v>7</v>
      </c>
      <c r="I658" t="s">
        <v>1225</v>
      </c>
      <c r="J658" s="51" t="s">
        <v>1218</v>
      </c>
      <c r="K658" t="s">
        <v>27</v>
      </c>
      <c r="L658" t="s">
        <v>1220</v>
      </c>
      <c r="M658">
        <v>3</v>
      </c>
      <c r="N658" t="str">
        <f>L658</f>
        <v>NAM\MA6898</v>
      </c>
      <c r="O658" s="51" t="str">
        <f>J658</f>
        <v>05/17/2011</v>
      </c>
      <c r="P658" s="51" t="str">
        <f>C658</f>
        <v>~/cdd/olddocs/Formas/CNWI-WRHS (Almacen)/CNWI-WRHS-F003 FORMA CICLOCUENTO.xls</v>
      </c>
      <c r="Q658" s="51" t="str">
        <f>E658</f>
        <v>xls</v>
      </c>
      <c r="R658" s="51"/>
      <c r="S658" s="51"/>
      <c r="T658" s="51"/>
      <c r="U658" s="51"/>
      <c r="V658" s="51"/>
      <c r="W658" s="51"/>
      <c r="X658" s="51"/>
      <c r="Y658" s="51"/>
      <c r="Z658" s="51"/>
      <c r="AA658" s="51"/>
      <c r="AB658" s="51"/>
      <c r="AC658" s="51"/>
      <c r="AD658" s="51"/>
      <c r="AG658" t="s">
        <v>28</v>
      </c>
      <c r="AH658" s="51"/>
      <c r="AI658" s="51"/>
    </row>
    <row r="659" spans="2:35">
      <c r="B659" t="s">
        <v>1226</v>
      </c>
      <c r="C659" t="s">
        <v>3235</v>
      </c>
      <c r="D659">
        <v>5</v>
      </c>
      <c r="E659" t="s">
        <v>2792</v>
      </c>
      <c r="F659">
        <v>6</v>
      </c>
      <c r="G659">
        <v>7</v>
      </c>
      <c r="I659" t="s">
        <v>1227</v>
      </c>
      <c r="J659" s="51" t="s">
        <v>1218</v>
      </c>
      <c r="K659" t="s">
        <v>27</v>
      </c>
      <c r="L659" t="s">
        <v>1220</v>
      </c>
      <c r="M659">
        <v>3</v>
      </c>
      <c r="N659" t="str">
        <f>L659</f>
        <v>NAM\MA6898</v>
      </c>
      <c r="O659" s="51" t="str">
        <f>J659</f>
        <v>05/17/2011</v>
      </c>
      <c r="P659" s="51" t="str">
        <f>C659</f>
        <v>~/cdd/olddocs/Formas/CNWI-WRHS (Almacen)/CNWI-WRHS-F004 FIRMA ACCESO ALMACEN.xls</v>
      </c>
      <c r="Q659" s="51" t="str">
        <f>E659</f>
        <v>xls</v>
      </c>
      <c r="R659" s="51"/>
      <c r="S659" s="51"/>
      <c r="T659" s="51"/>
      <c r="U659" s="51"/>
      <c r="V659" s="51"/>
      <c r="W659" s="51"/>
      <c r="X659" s="51"/>
      <c r="Y659" s="51"/>
      <c r="Z659" s="51"/>
      <c r="AA659" s="51"/>
      <c r="AB659" s="51"/>
      <c r="AC659" s="51"/>
      <c r="AD659" s="51"/>
      <c r="AG659" t="s">
        <v>28</v>
      </c>
      <c r="AH659" s="51"/>
      <c r="AI659" s="51"/>
    </row>
    <row r="660" spans="2:35">
      <c r="B660" t="s">
        <v>1228</v>
      </c>
      <c r="C660" t="s">
        <v>3236</v>
      </c>
      <c r="D660">
        <v>5</v>
      </c>
      <c r="E660" t="s">
        <v>2792</v>
      </c>
      <c r="F660">
        <v>6</v>
      </c>
      <c r="G660">
        <v>7</v>
      </c>
      <c r="I660" t="s">
        <v>1229</v>
      </c>
      <c r="J660" s="51">
        <v>40799</v>
      </c>
      <c r="K660" t="s">
        <v>27</v>
      </c>
      <c r="L660" t="s">
        <v>1220</v>
      </c>
      <c r="M660">
        <v>3</v>
      </c>
      <c r="N660" t="str">
        <f>L660</f>
        <v>NAM\MA6898</v>
      </c>
      <c r="O660" s="51">
        <f>J660</f>
        <v>40799</v>
      </c>
      <c r="P660" s="51" t="str">
        <f>C660</f>
        <v>~/cdd/olddocs/Formas/CNWI-WRHS (Almacen)/CNWI-WRHS-F005 Control recibo de Medidores.xls</v>
      </c>
      <c r="Q660" s="51" t="str">
        <f>E660</f>
        <v>xls</v>
      </c>
      <c r="R660" s="51"/>
      <c r="S660" s="51"/>
      <c r="T660" s="51"/>
      <c r="U660" s="51"/>
      <c r="V660" s="51"/>
      <c r="W660" s="51"/>
      <c r="X660" s="51"/>
      <c r="Y660" s="51"/>
      <c r="Z660" s="51"/>
      <c r="AA660" s="51"/>
      <c r="AB660" s="51"/>
      <c r="AC660" s="51"/>
      <c r="AD660" s="51"/>
      <c r="AG660" t="s">
        <v>28</v>
      </c>
      <c r="AH660" s="51"/>
      <c r="AI660" s="51"/>
    </row>
    <row r="661" spans="2:35">
      <c r="B661" t="s">
        <v>533</v>
      </c>
      <c r="C661" t="s">
        <v>3378</v>
      </c>
      <c r="D661">
        <v>4</v>
      </c>
      <c r="E661" t="s">
        <v>2791</v>
      </c>
      <c r="F661">
        <v>6</v>
      </c>
      <c r="G661">
        <v>7</v>
      </c>
      <c r="I661" t="s">
        <v>3780</v>
      </c>
      <c r="J661" s="51">
        <v>40668</v>
      </c>
      <c r="K661" t="s">
        <v>27</v>
      </c>
      <c r="L661" t="s">
        <v>532</v>
      </c>
      <c r="M661">
        <v>3</v>
      </c>
      <c r="N661" t="str">
        <f>L661</f>
        <v>NAM\MB0615</v>
      </c>
      <c r="O661" s="51">
        <f>J661</f>
        <v>40668</v>
      </c>
      <c r="P661" s="51" t="str">
        <f>C661</f>
        <v>~/cdd/olddocs/Instructivos/CNWI-WRHS/CNWI-WRHS-0001 Instruccion de Almacen.pdf</v>
      </c>
      <c r="Q661" s="51" t="str">
        <f>E661</f>
        <v>pdf</v>
      </c>
      <c r="R661" s="51"/>
      <c r="S661" s="51"/>
      <c r="T661" s="51"/>
      <c r="U661" s="51"/>
      <c r="V661" s="51"/>
      <c r="W661" s="51"/>
      <c r="X661" s="51"/>
      <c r="Y661" s="51"/>
      <c r="Z661" s="51"/>
      <c r="AA661" s="51"/>
      <c r="AB661" s="51"/>
      <c r="AC661" s="51"/>
      <c r="AD661" s="51"/>
      <c r="AG661" t="s">
        <v>28</v>
      </c>
      <c r="AH661" s="51"/>
      <c r="AI661" s="51"/>
    </row>
    <row r="662" spans="2:35">
      <c r="B662" t="s">
        <v>537</v>
      </c>
      <c r="C662" t="s">
        <v>3379</v>
      </c>
      <c r="D662">
        <v>4</v>
      </c>
      <c r="E662" t="s">
        <v>2791</v>
      </c>
      <c r="F662">
        <v>6</v>
      </c>
      <c r="G662">
        <v>7</v>
      </c>
      <c r="I662" t="s">
        <v>538</v>
      </c>
      <c r="J662" s="51" t="s">
        <v>539</v>
      </c>
      <c r="K662" t="s">
        <v>27</v>
      </c>
      <c r="L662" t="s">
        <v>532</v>
      </c>
      <c r="M662">
        <v>3</v>
      </c>
      <c r="N662" t="str">
        <f>L662</f>
        <v>NAM\MB0615</v>
      </c>
      <c r="O662" s="51" t="str">
        <f>J662</f>
        <v>05/23/2011</v>
      </c>
      <c r="P662" s="51" t="str">
        <f>C662</f>
        <v>~/cdd/olddocs/Instructivos/CNWI-WRHS/CNWI-WRHS-F002 Utilizacion de basculas para pines y contactos.pdf</v>
      </c>
      <c r="Q662" s="51" t="str">
        <f>E662</f>
        <v>pdf</v>
      </c>
      <c r="R662" s="51"/>
      <c r="S662" s="51"/>
      <c r="T662" s="51"/>
      <c r="U662" s="51"/>
      <c r="V662" s="51"/>
      <c r="W662" s="51"/>
      <c r="X662" s="51"/>
      <c r="Y662" s="51"/>
      <c r="Z662" s="51"/>
      <c r="AA662" s="51"/>
      <c r="AB662" s="51"/>
      <c r="AC662" s="51"/>
      <c r="AD662" s="51"/>
      <c r="AG662" t="s">
        <v>28</v>
      </c>
      <c r="AH662" s="51"/>
      <c r="AI662" s="51"/>
    </row>
    <row r="663" spans="2:35">
      <c r="B663" t="s">
        <v>540</v>
      </c>
      <c r="C663" t="s">
        <v>3374</v>
      </c>
      <c r="D663">
        <v>4</v>
      </c>
      <c r="E663" t="s">
        <v>2791</v>
      </c>
      <c r="F663">
        <v>6</v>
      </c>
      <c r="G663">
        <v>7</v>
      </c>
      <c r="I663" t="s">
        <v>541</v>
      </c>
      <c r="J663" s="51">
        <v>40998</v>
      </c>
      <c r="K663" t="s">
        <v>27</v>
      </c>
      <c r="L663" t="s">
        <v>532</v>
      </c>
      <c r="M663">
        <v>3</v>
      </c>
      <c r="N663" t="str">
        <f>L663</f>
        <v>NAM\MB0615</v>
      </c>
      <c r="O663" s="51">
        <f>J663</f>
        <v>40998</v>
      </c>
      <c r="P663" s="51" t="str">
        <f>C663</f>
        <v>~/cdd/olddocs/Instructivos/CNWI-WRHS/CNWI-WHSE-0003 Manejo y Preservacion de Materiales.pdf</v>
      </c>
      <c r="Q663" s="51" t="str">
        <f>E663</f>
        <v>pdf</v>
      </c>
      <c r="R663" s="51"/>
      <c r="S663" s="51"/>
      <c r="T663" s="51"/>
      <c r="U663" s="51"/>
      <c r="V663" s="51"/>
      <c r="W663" s="51"/>
      <c r="X663" s="51"/>
      <c r="Y663" s="51"/>
      <c r="Z663" s="51"/>
      <c r="AA663" s="51"/>
      <c r="AB663" s="51"/>
      <c r="AC663" s="51"/>
      <c r="AD663" s="51"/>
      <c r="AG663" t="s">
        <v>28</v>
      </c>
      <c r="AH663" s="51"/>
      <c r="AI663" s="51"/>
    </row>
    <row r="664" spans="2:35">
      <c r="B664" t="s">
        <v>542</v>
      </c>
      <c r="C664" t="s">
        <v>3375</v>
      </c>
      <c r="D664">
        <v>4</v>
      </c>
      <c r="E664" t="s">
        <v>2791</v>
      </c>
      <c r="F664">
        <v>6</v>
      </c>
      <c r="G664">
        <v>7</v>
      </c>
      <c r="I664" t="s">
        <v>543</v>
      </c>
      <c r="J664" s="51">
        <v>40999</v>
      </c>
      <c r="K664" t="s">
        <v>27</v>
      </c>
      <c r="L664" t="s">
        <v>532</v>
      </c>
      <c r="M664">
        <v>3</v>
      </c>
      <c r="N664" t="str">
        <f>L664</f>
        <v>NAM\MB0615</v>
      </c>
      <c r="O664" s="51">
        <f>J664</f>
        <v>40999</v>
      </c>
      <c r="P664" s="51" t="str">
        <f>C664</f>
        <v>~/cdd/olddocs/Instructivos/CNWI-WRHS/CNWI-WHSE-0004 Recibo de Materiales.pdf</v>
      </c>
      <c r="Q664" s="51" t="str">
        <f>E664</f>
        <v>pdf</v>
      </c>
      <c r="R664" s="51"/>
      <c r="S664" s="51"/>
      <c r="T664" s="51"/>
      <c r="U664" s="51"/>
      <c r="V664" s="51"/>
      <c r="W664" s="51"/>
      <c r="X664" s="51"/>
      <c r="Y664" s="51"/>
      <c r="Z664" s="51"/>
      <c r="AA664" s="51"/>
      <c r="AB664" s="51"/>
      <c r="AC664" s="51"/>
      <c r="AD664" s="51"/>
      <c r="AG664" t="s">
        <v>28</v>
      </c>
      <c r="AH664" s="51"/>
      <c r="AI664" s="51"/>
    </row>
    <row r="665" spans="2:35">
      <c r="B665" t="s">
        <v>544</v>
      </c>
      <c r="C665" t="s">
        <v>3376</v>
      </c>
      <c r="D665">
        <v>4</v>
      </c>
      <c r="E665" t="s">
        <v>2791</v>
      </c>
      <c r="F665">
        <v>6</v>
      </c>
      <c r="G665">
        <v>7</v>
      </c>
      <c r="I665" t="s">
        <v>545</v>
      </c>
      <c r="J665" s="51">
        <v>41114</v>
      </c>
      <c r="K665" t="s">
        <v>27</v>
      </c>
      <c r="L665" t="s">
        <v>532</v>
      </c>
      <c r="M665">
        <v>3</v>
      </c>
      <c r="N665" t="str">
        <f>L665</f>
        <v>NAM\MB0615</v>
      </c>
      <c r="O665" s="51">
        <f>J665</f>
        <v>41114</v>
      </c>
      <c r="P665" s="51" t="str">
        <f>C665</f>
        <v>~/cdd/olddocs/Instructivos/CNWI-WRHS/CNWI-WHSE-0005 Procedimiento para surtir ordenes de trabajo.pdf</v>
      </c>
      <c r="Q665" s="51" t="str">
        <f>E665</f>
        <v>pdf</v>
      </c>
      <c r="R665" s="51"/>
      <c r="S665" s="51"/>
      <c r="T665" s="51"/>
      <c r="U665" s="51"/>
      <c r="V665" s="51"/>
      <c r="W665" s="51"/>
      <c r="X665" s="51"/>
      <c r="Y665" s="51"/>
      <c r="Z665" s="51"/>
      <c r="AA665" s="51"/>
      <c r="AB665" s="51"/>
      <c r="AC665" s="51"/>
      <c r="AD665" s="51"/>
      <c r="AG665" t="s">
        <v>28</v>
      </c>
      <c r="AH665" s="51"/>
      <c r="AI665" s="51"/>
    </row>
    <row r="666" spans="2:35">
      <c r="B666" t="s">
        <v>546</v>
      </c>
      <c r="C666" t="s">
        <v>3377</v>
      </c>
      <c r="D666">
        <v>4</v>
      </c>
      <c r="E666" t="s">
        <v>2791</v>
      </c>
      <c r="F666">
        <v>6</v>
      </c>
      <c r="G666">
        <v>7</v>
      </c>
      <c r="I666" t="s">
        <v>547</v>
      </c>
      <c r="J666" s="51">
        <v>41120</v>
      </c>
      <c r="K666" t="s">
        <v>27</v>
      </c>
      <c r="L666" t="s">
        <v>532</v>
      </c>
      <c r="M666">
        <v>3</v>
      </c>
      <c r="N666" t="str">
        <f>L666</f>
        <v>NAM\MB0615</v>
      </c>
      <c r="O666" s="51">
        <f>J666</f>
        <v>41120</v>
      </c>
      <c r="P666" s="51" t="str">
        <f>C666</f>
        <v>~/cdd/olddocs/Instructivos/CNWI-WRHS/CNWI-WHSE-0006 Procedimiento para confirmacion y localizacion de ensambles y subensambles.pdf</v>
      </c>
      <c r="Q666" s="51" t="str">
        <f>E666</f>
        <v>pdf</v>
      </c>
      <c r="R666" s="51"/>
      <c r="S666" s="51"/>
      <c r="T666" s="51"/>
      <c r="U666" s="51"/>
      <c r="V666" s="51"/>
      <c r="W666" s="51"/>
      <c r="X666" s="51"/>
      <c r="Y666" s="51"/>
      <c r="Z666" s="51"/>
      <c r="AA666" s="51"/>
      <c r="AB666" s="51"/>
      <c r="AC666" s="51"/>
      <c r="AD666" s="51"/>
      <c r="AG666" t="s">
        <v>28</v>
      </c>
      <c r="AH666" s="51"/>
      <c r="AI666" s="51"/>
    </row>
    <row r="667" spans="2:35">
      <c r="B667" t="s">
        <v>1230</v>
      </c>
      <c r="C667" t="s">
        <v>3237</v>
      </c>
      <c r="D667">
        <v>5</v>
      </c>
      <c r="E667" t="s">
        <v>2792</v>
      </c>
      <c r="F667">
        <v>6</v>
      </c>
      <c r="G667">
        <v>7</v>
      </c>
      <c r="I667" t="s">
        <v>1231</v>
      </c>
      <c r="J667" s="51">
        <v>40742</v>
      </c>
      <c r="K667" t="s">
        <v>27</v>
      </c>
      <c r="L667" t="s">
        <v>1220</v>
      </c>
      <c r="M667">
        <v>3</v>
      </c>
      <c r="N667" t="str">
        <f>L667</f>
        <v>NAM\MA6898</v>
      </c>
      <c r="O667" s="51">
        <f>J667</f>
        <v>40742</v>
      </c>
      <c r="P667" s="51" t="str">
        <f>C667</f>
        <v>~/cdd/olddocs/Formas/CNWI-WRHS (Almacen)/CNWI-WRHS-F006 Etiqueta identificacion de material almacen para orden de produccion.xls</v>
      </c>
      <c r="Q667" s="51" t="str">
        <f>E667</f>
        <v>xls</v>
      </c>
      <c r="R667" s="51"/>
      <c r="S667" s="51"/>
      <c r="T667" s="51"/>
      <c r="U667" s="51"/>
      <c r="V667" s="51"/>
      <c r="W667" s="51"/>
      <c r="X667" s="51"/>
      <c r="Y667" s="51"/>
      <c r="Z667" s="51"/>
      <c r="AA667" s="51"/>
      <c r="AB667" s="51"/>
      <c r="AC667" s="51"/>
      <c r="AD667" s="51"/>
      <c r="AG667" t="s">
        <v>28</v>
      </c>
      <c r="AH667" s="51"/>
      <c r="AI667" s="51"/>
    </row>
    <row r="668" spans="2:35">
      <c r="B668" t="s">
        <v>1232</v>
      </c>
      <c r="C668" t="s">
        <v>3238</v>
      </c>
      <c r="D668">
        <v>5</v>
      </c>
      <c r="E668" t="s">
        <v>2791</v>
      </c>
      <c r="F668">
        <v>6</v>
      </c>
      <c r="G668">
        <v>7</v>
      </c>
      <c r="I668" t="s">
        <v>1233</v>
      </c>
      <c r="J668" s="51">
        <v>40716</v>
      </c>
      <c r="K668" t="s">
        <v>27</v>
      </c>
      <c r="L668" t="s">
        <v>1220</v>
      </c>
      <c r="M668">
        <v>3</v>
      </c>
      <c r="N668" t="str">
        <f>L668</f>
        <v>NAM\MA6898</v>
      </c>
      <c r="O668" s="51">
        <f>J668</f>
        <v>40716</v>
      </c>
      <c r="P668" s="51" t="str">
        <f>C668</f>
        <v>~/cdd/olddocs/Formas/CNWI-WRHS (Almacen)/CNWI-WRHS-F007 Checklist de almacen.pdf</v>
      </c>
      <c r="Q668" s="51" t="str">
        <f>E668</f>
        <v>pdf</v>
      </c>
      <c r="R668" s="51"/>
      <c r="S668" s="51"/>
      <c r="T668" s="51"/>
      <c r="U668" s="51"/>
      <c r="V668" s="51"/>
      <c r="W668" s="51"/>
      <c r="X668" s="51"/>
      <c r="Y668" s="51"/>
      <c r="Z668" s="51"/>
      <c r="AA668" s="51"/>
      <c r="AB668" s="51"/>
      <c r="AC668" s="51"/>
      <c r="AD668" s="51"/>
      <c r="AG668" t="s">
        <v>28</v>
      </c>
      <c r="AH668" s="51"/>
      <c r="AI668" s="51"/>
    </row>
    <row r="669" spans="2:35">
      <c r="B669" t="s">
        <v>1234</v>
      </c>
      <c r="C669" t="s">
        <v>3239</v>
      </c>
      <c r="D669">
        <v>5</v>
      </c>
      <c r="E669" t="s">
        <v>2792</v>
      </c>
      <c r="F669">
        <v>6</v>
      </c>
      <c r="G669">
        <v>7</v>
      </c>
      <c r="I669" t="s">
        <v>1235</v>
      </c>
      <c r="J669" s="51">
        <v>40787</v>
      </c>
      <c r="K669" t="s">
        <v>27</v>
      </c>
      <c r="L669" t="s">
        <v>1220</v>
      </c>
      <c r="M669">
        <v>3</v>
      </c>
      <c r="N669" t="str">
        <f>L669</f>
        <v>NAM\MA6898</v>
      </c>
      <c r="O669" s="51">
        <f>J669</f>
        <v>40787</v>
      </c>
      <c r="P669" s="51" t="str">
        <f>C669</f>
        <v>~/cdd/olddocs/Formas/CNWI-WRHS (Almacen)/CNWI-WRHS-F008 Control de contactos en almacen.xls</v>
      </c>
      <c r="Q669" s="51" t="str">
        <f>E669</f>
        <v>xls</v>
      </c>
      <c r="R669" s="51"/>
      <c r="S669" s="51"/>
      <c r="T669" s="51"/>
      <c r="U669" s="51"/>
      <c r="V669" s="51"/>
      <c r="W669" s="51"/>
      <c r="X669" s="51"/>
      <c r="Y669" s="51"/>
      <c r="Z669" s="51"/>
      <c r="AA669" s="51"/>
      <c r="AB669" s="51"/>
      <c r="AC669" s="51"/>
      <c r="AD669" s="51"/>
      <c r="AG669" t="s">
        <v>28</v>
      </c>
      <c r="AH669" s="51"/>
      <c r="AI669" s="51"/>
    </row>
    <row r="670" spans="2:35">
      <c r="B670" t="s">
        <v>1236</v>
      </c>
      <c r="C670" t="s">
        <v>3240</v>
      </c>
      <c r="D670">
        <v>5</v>
      </c>
      <c r="E670" t="s">
        <v>2790</v>
      </c>
      <c r="F670">
        <v>6</v>
      </c>
      <c r="G670">
        <v>7</v>
      </c>
      <c r="I670" t="s">
        <v>1237</v>
      </c>
      <c r="J670" s="51">
        <v>40857</v>
      </c>
      <c r="K670" t="s">
        <v>27</v>
      </c>
      <c r="L670" t="s">
        <v>1220</v>
      </c>
      <c r="M670">
        <v>3</v>
      </c>
      <c r="N670" t="str">
        <f>L670</f>
        <v>NAM\MA6898</v>
      </c>
      <c r="O670" s="51">
        <f>J670</f>
        <v>40857</v>
      </c>
      <c r="P670" s="51" t="str">
        <f>C670</f>
        <v>~/cdd/olddocs/Formas/CNWI-WRHS (Almacen)/CNWI-WRHS-F009 Reporte de Recibo y Discrepancia diaria.xlsx</v>
      </c>
      <c r="Q670" s="51" t="str">
        <f>E670</f>
        <v>xlsx</v>
      </c>
      <c r="R670" s="51"/>
      <c r="S670" s="51"/>
      <c r="T670" s="51"/>
      <c r="U670" s="51"/>
      <c r="V670" s="51"/>
      <c r="W670" s="51"/>
      <c r="X670" s="51"/>
      <c r="Y670" s="51"/>
      <c r="Z670" s="51"/>
      <c r="AA670" s="51"/>
      <c r="AB670" s="51"/>
      <c r="AC670" s="51"/>
      <c r="AD670" s="51"/>
      <c r="AG670" t="s">
        <v>28</v>
      </c>
      <c r="AH670" s="51"/>
      <c r="AI670" s="51"/>
    </row>
    <row r="671" spans="2:35">
      <c r="B671" t="s">
        <v>1238</v>
      </c>
      <c r="C671" t="s">
        <v>3241</v>
      </c>
      <c r="D671">
        <v>5</v>
      </c>
      <c r="E671" t="s">
        <v>2792</v>
      </c>
      <c r="F671">
        <v>6</v>
      </c>
      <c r="G671">
        <v>7</v>
      </c>
      <c r="I671" t="s">
        <v>1239</v>
      </c>
      <c r="J671" s="51">
        <v>40938</v>
      </c>
      <c r="K671" t="s">
        <v>27</v>
      </c>
      <c r="L671" t="s">
        <v>1220</v>
      </c>
      <c r="M671">
        <v>3</v>
      </c>
      <c r="N671" t="str">
        <f>L671</f>
        <v>NAM\MA6898</v>
      </c>
      <c r="O671" s="51">
        <f>J671</f>
        <v>40938</v>
      </c>
      <c r="P671" s="51" t="str">
        <f>C671</f>
        <v>~/cdd/olddocs/Formas/CNWI-WRHS (Almacen)/CNWI-WRHS-F010 LSW.xls</v>
      </c>
      <c r="Q671" s="51" t="str">
        <f>E671</f>
        <v>xls</v>
      </c>
      <c r="R671" s="51"/>
      <c r="S671" s="51"/>
      <c r="T671" s="51"/>
      <c r="U671" s="51"/>
      <c r="V671" s="51"/>
      <c r="W671" s="51"/>
      <c r="X671" s="51"/>
      <c r="Y671" s="51"/>
      <c r="Z671" s="51"/>
      <c r="AA671" s="51"/>
      <c r="AB671" s="51"/>
      <c r="AC671" s="51"/>
      <c r="AD671" s="51"/>
      <c r="AG671" t="s">
        <v>28</v>
      </c>
      <c r="AH671" s="51"/>
      <c r="AI671" s="51"/>
    </row>
    <row r="672" spans="2:35">
      <c r="B672" t="s">
        <v>1240</v>
      </c>
      <c r="C672" t="s">
        <v>3242</v>
      </c>
      <c r="D672">
        <v>5</v>
      </c>
      <c r="E672" t="s">
        <v>2792</v>
      </c>
      <c r="F672">
        <v>6</v>
      </c>
      <c r="G672">
        <v>7</v>
      </c>
      <c r="I672" t="s">
        <v>1241</v>
      </c>
      <c r="J672" s="51">
        <v>40976</v>
      </c>
      <c r="K672" t="s">
        <v>27</v>
      </c>
      <c r="L672" t="s">
        <v>1220</v>
      </c>
      <c r="M672">
        <v>3</v>
      </c>
      <c r="N672" t="str">
        <f>L672</f>
        <v>NAM\MA6898</v>
      </c>
      <c r="O672" s="51">
        <f>J672</f>
        <v>40976</v>
      </c>
      <c r="P672" s="51" t="str">
        <f>C672</f>
        <v>~/cdd/olddocs/Formas/CNWI-WRHS (Almacen)/CNWI-WRHS-F011 CONTROL DE ORDENES PARA SOLAR.xls</v>
      </c>
      <c r="Q672" s="51" t="str">
        <f>E672</f>
        <v>xls</v>
      </c>
      <c r="R672" s="51"/>
      <c r="S672" s="51"/>
      <c r="T672" s="51"/>
      <c r="U672" s="51"/>
      <c r="V672" s="51"/>
      <c r="W672" s="51"/>
      <c r="X672" s="51"/>
      <c r="Y672" s="51"/>
      <c r="Z672" s="51"/>
      <c r="AA672" s="51"/>
      <c r="AB672" s="51"/>
      <c r="AC672" s="51"/>
      <c r="AD672" s="51"/>
      <c r="AG672" t="s">
        <v>28</v>
      </c>
      <c r="AH672" s="51"/>
      <c r="AI672" s="51"/>
    </row>
    <row r="673" spans="2:35">
      <c r="B673" t="s">
        <v>1242</v>
      </c>
      <c r="C673" t="s">
        <v>3895</v>
      </c>
      <c r="D673">
        <v>5</v>
      </c>
      <c r="E673" t="s">
        <v>2791</v>
      </c>
      <c r="F673">
        <v>6</v>
      </c>
      <c r="G673">
        <v>7</v>
      </c>
      <c r="I673" t="s">
        <v>1243</v>
      </c>
      <c r="J673" s="51">
        <v>41036</v>
      </c>
      <c r="K673" t="s">
        <v>27</v>
      </c>
      <c r="L673" t="s">
        <v>1220</v>
      </c>
      <c r="M673">
        <v>3</v>
      </c>
      <c r="N673" t="str">
        <f>L673</f>
        <v>NAM\MA6898</v>
      </c>
      <c r="O673" s="51">
        <f>J673</f>
        <v>41036</v>
      </c>
      <c r="P673" s="51" t="str">
        <f>C673</f>
        <v>~cdd/olddocs/Formas/CNWI-WRHS (Almacen)/CNWI-WRHS-F012 Control de material a embarcar.pdf</v>
      </c>
      <c r="Q673" s="51" t="str">
        <f>E673</f>
        <v>pdf</v>
      </c>
      <c r="R673" s="51"/>
      <c r="S673" s="51"/>
      <c r="T673" s="51"/>
      <c r="U673" s="51"/>
      <c r="V673" s="51"/>
      <c r="W673" s="51"/>
      <c r="X673" s="51"/>
      <c r="Y673" s="51"/>
      <c r="Z673" s="51"/>
      <c r="AA673" s="51"/>
      <c r="AB673" s="51"/>
      <c r="AC673" s="51"/>
      <c r="AD673" s="51"/>
      <c r="AG673" t="s">
        <v>28</v>
      </c>
      <c r="AH673" s="51"/>
      <c r="AI673" s="51"/>
    </row>
    <row r="674" spans="2:35">
      <c r="B674" t="s">
        <v>1244</v>
      </c>
      <c r="C674" t="s">
        <v>3896</v>
      </c>
      <c r="D674">
        <v>5</v>
      </c>
      <c r="E674" t="s">
        <v>2791</v>
      </c>
      <c r="F674">
        <v>6</v>
      </c>
      <c r="G674">
        <v>7</v>
      </c>
      <c r="I674" t="s">
        <v>1245</v>
      </c>
      <c r="J674" s="51">
        <v>41081</v>
      </c>
      <c r="K674" t="s">
        <v>27</v>
      </c>
      <c r="L674" t="s">
        <v>1220</v>
      </c>
      <c r="M674">
        <v>3</v>
      </c>
      <c r="N674" t="str">
        <f>L674</f>
        <v>NAM\MA6898</v>
      </c>
      <c r="O674" s="51">
        <f>J674</f>
        <v>41081</v>
      </c>
      <c r="P674" s="51" t="str">
        <f>C674</f>
        <v>~cdd/olddocs/Formas/CNWI-WRHS (Almacen)/CNWI-WRHS-F013 Updated air freight approval process.pdf</v>
      </c>
      <c r="Q674" s="51" t="str">
        <f>E674</f>
        <v>pdf</v>
      </c>
      <c r="R674" s="51"/>
      <c r="S674" s="51"/>
      <c r="T674" s="51"/>
      <c r="U674" s="51"/>
      <c r="V674" s="51"/>
      <c r="W674" s="51"/>
      <c r="X674" s="51"/>
      <c r="Y674" s="51"/>
      <c r="Z674" s="51"/>
      <c r="AA674" s="51"/>
      <c r="AB674" s="51"/>
      <c r="AC674" s="51"/>
      <c r="AD674" s="51"/>
      <c r="AG674" t="s">
        <v>28</v>
      </c>
      <c r="AH674" s="51"/>
      <c r="AI674" s="51"/>
    </row>
    <row r="675" spans="2:35">
      <c r="B675" t="s">
        <v>660</v>
      </c>
      <c r="C675" t="s">
        <v>2835</v>
      </c>
      <c r="D675">
        <v>12</v>
      </c>
      <c r="E675" t="s">
        <v>2790</v>
      </c>
      <c r="F675">
        <v>5</v>
      </c>
      <c r="G675">
        <v>33</v>
      </c>
      <c r="I675" t="s">
        <v>660</v>
      </c>
      <c r="J675" s="51">
        <v>41037</v>
      </c>
      <c r="K675" t="s">
        <v>131</v>
      </c>
      <c r="L675" t="s">
        <v>605</v>
      </c>
      <c r="M675">
        <v>3</v>
      </c>
      <c r="N675" t="str">
        <f>L675</f>
        <v>NA/MB1049</v>
      </c>
      <c r="O675" s="51">
        <f>J675</f>
        <v>41037</v>
      </c>
      <c r="P675" s="51" t="str">
        <f>C675</f>
        <v>~/cdd/olddocs/Especificaciones genericas/Micromini/General/CNWI-ENGI-F019 Rev. J Especificaciones de Corte Micro-Mini.xlsx</v>
      </c>
      <c r="Q675" s="51" t="str">
        <f>E675</f>
        <v>xlsx</v>
      </c>
      <c r="R675" s="51"/>
      <c r="S675" s="51"/>
      <c r="T675" s="51"/>
      <c r="U675" s="51"/>
      <c r="V675" s="51"/>
      <c r="W675" s="51"/>
      <c r="X675" s="51"/>
      <c r="Y675" s="51"/>
      <c r="Z675" s="51"/>
      <c r="AA675" s="51"/>
      <c r="AB675" s="51"/>
      <c r="AC675" s="51"/>
      <c r="AD675" s="51"/>
      <c r="AE675" t="s">
        <v>30</v>
      </c>
      <c r="AF675" t="s">
        <v>31</v>
      </c>
      <c r="AG675" t="s">
        <v>28</v>
      </c>
      <c r="AH675" s="51"/>
      <c r="AI675" s="51"/>
    </row>
    <row r="676" spans="2:35">
      <c r="B676" t="s">
        <v>1588</v>
      </c>
      <c r="C676" t="s">
        <v>3685</v>
      </c>
      <c r="D676">
        <v>9</v>
      </c>
      <c r="E676" t="s">
        <v>2791</v>
      </c>
      <c r="F676">
        <v>5</v>
      </c>
      <c r="G676">
        <v>12</v>
      </c>
      <c r="H676">
        <v>3</v>
      </c>
      <c r="I676" t="s">
        <v>1589</v>
      </c>
      <c r="J676" s="51">
        <v>41083</v>
      </c>
      <c r="K676" t="s">
        <v>27</v>
      </c>
      <c r="L676" t="s">
        <v>1584</v>
      </c>
      <c r="M676">
        <v>3</v>
      </c>
      <c r="N676" t="str">
        <f>L676</f>
        <v>NAM\A8070</v>
      </c>
      <c r="O676" s="51">
        <f>J676</f>
        <v>41083</v>
      </c>
      <c r="P676" s="51" t="str">
        <f>C676</f>
        <v>~/cdd/olddocs/Control Plans/MICROMINI/CELDA A&amp;B/CP-A&amp;B-002  A89N-F8AF-2.pdf</v>
      </c>
      <c r="Q676" s="51" t="str">
        <f>E676</f>
        <v>pdf</v>
      </c>
      <c r="R676" s="51"/>
      <c r="S676" s="51"/>
      <c r="T676" s="51"/>
      <c r="U676" s="51"/>
      <c r="V676" s="51"/>
      <c r="W676" s="51"/>
      <c r="X676" s="51"/>
      <c r="Y676" s="51"/>
      <c r="Z676" s="51"/>
      <c r="AA676" s="51"/>
      <c r="AB676" s="51"/>
      <c r="AC676" s="51"/>
      <c r="AD676" s="51"/>
      <c r="AG676" t="s">
        <v>1590</v>
      </c>
      <c r="AH676" s="51"/>
      <c r="AI676" s="51"/>
    </row>
    <row r="677" spans="2:35">
      <c r="B677" t="s">
        <v>1591</v>
      </c>
      <c r="C677" t="s">
        <v>3686</v>
      </c>
      <c r="D677">
        <v>9</v>
      </c>
      <c r="E677" t="s">
        <v>2791</v>
      </c>
      <c r="F677">
        <v>5</v>
      </c>
      <c r="G677">
        <v>12</v>
      </c>
      <c r="H677">
        <v>3</v>
      </c>
      <c r="I677" t="s">
        <v>1592</v>
      </c>
      <c r="J677" s="51">
        <v>41047</v>
      </c>
      <c r="K677" t="s">
        <v>27</v>
      </c>
      <c r="L677" t="s">
        <v>1584</v>
      </c>
      <c r="M677">
        <v>3</v>
      </c>
      <c r="N677" t="str">
        <f>L677</f>
        <v>NAM\A8070</v>
      </c>
      <c r="O677" s="51">
        <f>J677</f>
        <v>41047</v>
      </c>
      <c r="P677" s="51" t="str">
        <f>C677</f>
        <v>~/cdd/olddocs/Control Plans/MICROMINI/CELDA A&amp;B/CP-A&amp;B-005  AT3RC3R.pdf</v>
      </c>
      <c r="Q677" s="51" t="str">
        <f>E677</f>
        <v>pdf</v>
      </c>
      <c r="R677" s="51"/>
      <c r="S677" s="51"/>
      <c r="T677" s="51"/>
      <c r="U677" s="51"/>
      <c r="V677" s="51"/>
      <c r="W677" s="51"/>
      <c r="X677" s="51"/>
      <c r="Y677" s="51"/>
      <c r="Z677" s="51"/>
      <c r="AA677" s="51"/>
      <c r="AB677" s="51"/>
      <c r="AC677" s="51"/>
      <c r="AD677" s="51"/>
      <c r="AG677" t="s">
        <v>1593</v>
      </c>
      <c r="AH677" s="51"/>
      <c r="AI677" s="51"/>
    </row>
    <row r="678" spans="2:35">
      <c r="B678" t="s">
        <v>1594</v>
      </c>
      <c r="C678" t="s">
        <v>3687</v>
      </c>
      <c r="D678">
        <v>9</v>
      </c>
      <c r="E678" t="s">
        <v>2791</v>
      </c>
      <c r="F678">
        <v>5</v>
      </c>
      <c r="G678">
        <v>12</v>
      </c>
      <c r="H678">
        <v>3</v>
      </c>
      <c r="I678" t="s">
        <v>1595</v>
      </c>
      <c r="J678" s="51">
        <v>41045</v>
      </c>
      <c r="K678" t="s">
        <v>27</v>
      </c>
      <c r="L678" t="s">
        <v>1584</v>
      </c>
      <c r="M678">
        <v>3</v>
      </c>
      <c r="N678" t="str">
        <f>L678</f>
        <v>NAM\A8070</v>
      </c>
      <c r="O678" s="51">
        <f>J678</f>
        <v>41045</v>
      </c>
      <c r="P678" s="51" t="str">
        <f>C678</f>
        <v>~/cdd/olddocs/Control Plans/MICROMINI/CELDA A&amp;B/CP-A&amp;B-006  DM4R2ME-C.pdf</v>
      </c>
      <c r="Q678" s="51" t="str">
        <f>E678</f>
        <v>pdf</v>
      </c>
      <c r="R678" s="51"/>
      <c r="S678" s="51"/>
      <c r="T678" s="51"/>
      <c r="U678" s="51"/>
      <c r="V678" s="51"/>
      <c r="W678" s="51"/>
      <c r="X678" s="51"/>
      <c r="Y678" s="51"/>
      <c r="Z678" s="51"/>
      <c r="AA678" s="51"/>
      <c r="AB678" s="51"/>
      <c r="AC678" s="51"/>
      <c r="AD678" s="51"/>
      <c r="AG678" t="s">
        <v>1596</v>
      </c>
      <c r="AH678" s="51"/>
      <c r="AI678" s="51"/>
    </row>
    <row r="679" spans="2:35">
      <c r="B679" t="s">
        <v>1597</v>
      </c>
      <c r="C679" t="s">
        <v>3688</v>
      </c>
      <c r="D679">
        <v>9</v>
      </c>
      <c r="E679" t="s">
        <v>2791</v>
      </c>
      <c r="F679">
        <v>5</v>
      </c>
      <c r="G679">
        <v>12</v>
      </c>
      <c r="H679">
        <v>3</v>
      </c>
      <c r="I679" t="s">
        <v>1598</v>
      </c>
      <c r="J679" s="51">
        <v>41079</v>
      </c>
      <c r="K679" t="s">
        <v>27</v>
      </c>
      <c r="L679" t="s">
        <v>1584</v>
      </c>
      <c r="M679">
        <v>3</v>
      </c>
      <c r="N679" t="str">
        <f>L679</f>
        <v>NAM\A8070</v>
      </c>
      <c r="O679" s="51">
        <f>J679</f>
        <v>41079</v>
      </c>
      <c r="P679" s="51" t="str">
        <f>C679</f>
        <v>~/cdd/olddocs/Control Plans/MICROMINI/CELDA A&amp;B/CP-A&amp;B-007  A98N-43PB-N4.pdf</v>
      </c>
      <c r="Q679" s="51" t="str">
        <f>E679</f>
        <v>pdf</v>
      </c>
      <c r="R679" s="51"/>
      <c r="S679" s="51"/>
      <c r="T679" s="51"/>
      <c r="U679" s="51"/>
      <c r="V679" s="51"/>
      <c r="W679" s="51"/>
      <c r="X679" s="51"/>
      <c r="Y679" s="51"/>
      <c r="Z679" s="51"/>
      <c r="AA679" s="51"/>
      <c r="AB679" s="51"/>
      <c r="AC679" s="51"/>
      <c r="AD679" s="51"/>
      <c r="AG679" t="s">
        <v>1599</v>
      </c>
      <c r="AH679" s="51"/>
      <c r="AI679" s="51"/>
    </row>
    <row r="680" spans="2:35">
      <c r="B680" t="s">
        <v>1600</v>
      </c>
      <c r="C680" t="s">
        <v>3689</v>
      </c>
      <c r="D680">
        <v>9</v>
      </c>
      <c r="E680" t="s">
        <v>2791</v>
      </c>
      <c r="F680">
        <v>5</v>
      </c>
      <c r="G680">
        <v>12</v>
      </c>
      <c r="H680">
        <v>3</v>
      </c>
      <c r="I680" t="s">
        <v>1601</v>
      </c>
      <c r="J680" s="51">
        <v>41079</v>
      </c>
      <c r="K680" t="s">
        <v>27</v>
      </c>
      <c r="L680" t="s">
        <v>1584</v>
      </c>
      <c r="M680">
        <v>3</v>
      </c>
      <c r="N680" t="str">
        <f>L680</f>
        <v>NAM\A8070</v>
      </c>
      <c r="O680" s="51">
        <f>J680</f>
        <v>41079</v>
      </c>
      <c r="P680" s="51" t="str">
        <f>C680</f>
        <v>~/cdd/olddocs/Control Plans/MICROMINI/CELDA A&amp;B/CP-A&amp;B-008  CHDN-TAER-N.pdf</v>
      </c>
      <c r="Q680" s="51" t="str">
        <f>E680</f>
        <v>pdf</v>
      </c>
      <c r="R680" s="51"/>
      <c r="S680" s="51"/>
      <c r="T680" s="51"/>
      <c r="U680" s="51"/>
      <c r="V680" s="51"/>
      <c r="W680" s="51"/>
      <c r="X680" s="51"/>
      <c r="Y680" s="51"/>
      <c r="Z680" s="51"/>
      <c r="AA680" s="51"/>
      <c r="AB680" s="51"/>
      <c r="AC680" s="51"/>
      <c r="AD680" s="51"/>
      <c r="AG680" t="s">
        <v>1602</v>
      </c>
      <c r="AH680" s="51"/>
      <c r="AI680" s="51"/>
    </row>
    <row r="681" spans="2:35">
      <c r="B681" t="s">
        <v>1603</v>
      </c>
      <c r="C681" t="s">
        <v>3690</v>
      </c>
      <c r="D681">
        <v>9</v>
      </c>
      <c r="E681" t="s">
        <v>2791</v>
      </c>
      <c r="F681">
        <v>5</v>
      </c>
      <c r="G681">
        <v>12</v>
      </c>
      <c r="H681">
        <v>3</v>
      </c>
      <c r="I681" t="s">
        <v>1601</v>
      </c>
      <c r="J681" s="51">
        <v>41079</v>
      </c>
      <c r="K681" t="s">
        <v>27</v>
      </c>
      <c r="L681" t="s">
        <v>1584</v>
      </c>
      <c r="M681">
        <v>3</v>
      </c>
      <c r="N681" t="str">
        <f>L681</f>
        <v>NAM\A8070</v>
      </c>
      <c r="O681" s="51">
        <f>J681</f>
        <v>41079</v>
      </c>
      <c r="P681" s="51" t="str">
        <f>C681</f>
        <v>~/cdd/olddocs/Control Plans/MICROMINI/CELDA A&amp;B/CP-A&amp;B-009  CHDN-TAER-NG.pdf</v>
      </c>
      <c r="Q681" s="51" t="str">
        <f>E681</f>
        <v>pdf</v>
      </c>
      <c r="R681" s="51"/>
      <c r="S681" s="51"/>
      <c r="T681" s="51"/>
      <c r="U681" s="51"/>
      <c r="V681" s="51"/>
      <c r="W681" s="51"/>
      <c r="X681" s="51"/>
      <c r="Y681" s="51"/>
      <c r="Z681" s="51"/>
      <c r="AA681" s="51"/>
      <c r="AB681" s="51"/>
      <c r="AC681" s="51"/>
      <c r="AD681" s="51"/>
      <c r="AG681" t="s">
        <v>1604</v>
      </c>
      <c r="AH681" s="51"/>
      <c r="AI681" s="51"/>
    </row>
    <row r="682" spans="2:35">
      <c r="B682" t="s">
        <v>1605</v>
      </c>
      <c r="C682" t="s">
        <v>3691</v>
      </c>
      <c r="D682">
        <v>9</v>
      </c>
      <c r="E682" t="s">
        <v>2791</v>
      </c>
      <c r="F682">
        <v>5</v>
      </c>
      <c r="G682">
        <v>12</v>
      </c>
      <c r="H682">
        <v>3</v>
      </c>
      <c r="I682" t="s">
        <v>1606</v>
      </c>
      <c r="J682" s="51">
        <v>41046</v>
      </c>
      <c r="K682" t="s">
        <v>27</v>
      </c>
      <c r="L682" t="s">
        <v>1584</v>
      </c>
      <c r="M682">
        <v>3</v>
      </c>
      <c r="N682" t="str">
        <f>L682</f>
        <v>NAM\A8070</v>
      </c>
      <c r="O682" s="51">
        <f>J682</f>
        <v>41046</v>
      </c>
      <c r="P682" s="51" t="str">
        <f>C682</f>
        <v>~/cdd/olddocs/Control Plans/MICROMINI/CELDA A&amp;B/CP-A&amp;B-010  DM4Q2M24E.pdf</v>
      </c>
      <c r="Q682" s="51" t="str">
        <f>E682</f>
        <v>pdf</v>
      </c>
      <c r="R682" s="51"/>
      <c r="S682" s="51"/>
      <c r="T682" s="51"/>
      <c r="U682" s="51"/>
      <c r="V682" s="51"/>
      <c r="W682" s="51"/>
      <c r="X682" s="51"/>
      <c r="Y682" s="51"/>
      <c r="Z682" s="51"/>
      <c r="AA682" s="51"/>
      <c r="AB682" s="51"/>
      <c r="AC682" s="51"/>
      <c r="AD682" s="51"/>
      <c r="AG682" t="s">
        <v>1607</v>
      </c>
      <c r="AH682" s="51"/>
      <c r="AI682" s="51"/>
    </row>
    <row r="683" spans="2:35">
      <c r="B683" t="s">
        <v>1608</v>
      </c>
      <c r="C683" t="s">
        <v>3692</v>
      </c>
      <c r="D683">
        <v>9</v>
      </c>
      <c r="E683" t="s">
        <v>2791</v>
      </c>
      <c r="F683">
        <v>5</v>
      </c>
      <c r="G683">
        <v>12</v>
      </c>
      <c r="H683">
        <v>3</v>
      </c>
      <c r="I683" t="s">
        <v>1592</v>
      </c>
      <c r="J683" s="51">
        <v>41047</v>
      </c>
      <c r="K683" t="s">
        <v>27</v>
      </c>
      <c r="L683" t="s">
        <v>1584</v>
      </c>
      <c r="M683">
        <v>3</v>
      </c>
      <c r="N683" t="str">
        <f>L683</f>
        <v>NAM\A8070</v>
      </c>
      <c r="O683" s="51">
        <f>J683</f>
        <v>41047</v>
      </c>
      <c r="P683" s="51" t="str">
        <f>C683</f>
        <v>~/cdd/olddocs/Control Plans/MICROMINI/CELDA A&amp;B/CP-A&amp;B-011  AT3RC3R.pdf</v>
      </c>
      <c r="Q683" s="51" t="str">
        <f>E683</f>
        <v>pdf</v>
      </c>
      <c r="R683" s="51"/>
      <c r="S683" s="51"/>
      <c r="T683" s="51"/>
      <c r="U683" s="51"/>
      <c r="V683" s="51"/>
      <c r="W683" s="51"/>
      <c r="X683" s="51"/>
      <c r="Y683" s="51"/>
      <c r="Z683" s="51"/>
      <c r="AA683" s="51"/>
      <c r="AB683" s="51"/>
      <c r="AC683" s="51"/>
      <c r="AD683" s="51"/>
      <c r="AG683" t="s">
        <v>1609</v>
      </c>
      <c r="AH683" s="51"/>
      <c r="AI683" s="51"/>
    </row>
    <row r="684" spans="2:35">
      <c r="B684" t="s">
        <v>1610</v>
      </c>
      <c r="C684" t="s">
        <v>3926</v>
      </c>
      <c r="D684">
        <v>9</v>
      </c>
      <c r="E684" t="s">
        <v>2790</v>
      </c>
      <c r="F684">
        <v>5</v>
      </c>
      <c r="G684">
        <v>12</v>
      </c>
      <c r="H684">
        <v>3</v>
      </c>
      <c r="I684" t="s">
        <v>1611</v>
      </c>
      <c r="J684" s="51">
        <v>41047</v>
      </c>
      <c r="K684" t="s">
        <v>27</v>
      </c>
      <c r="L684" t="s">
        <v>1584</v>
      </c>
      <c r="M684">
        <v>3</v>
      </c>
      <c r="N684" t="str">
        <f>L684</f>
        <v>NAM\A8070</v>
      </c>
      <c r="O684" s="51">
        <f>J684</f>
        <v>41047</v>
      </c>
      <c r="P684" s="51" t="str">
        <f>C684</f>
        <v>~/cdd/olddocs/CN-QAAS (Aseguranza de calidad)/Control Plans/MICROMINI/CELDA A-B/CP-A&amp;B-012  Rev. A  PDR1-18.xlsx</v>
      </c>
      <c r="Q684" s="51" t="str">
        <f>E684</f>
        <v>xlsx</v>
      </c>
      <c r="R684" s="51"/>
      <c r="S684" s="51"/>
      <c r="T684" s="51"/>
      <c r="U684" s="51"/>
      <c r="V684" s="51"/>
      <c r="W684" s="51"/>
      <c r="X684" s="51"/>
      <c r="Y684" s="51"/>
      <c r="Z684" s="51"/>
      <c r="AA684" s="51"/>
      <c r="AB684" s="51"/>
      <c r="AC684" s="51"/>
      <c r="AD684" s="51"/>
      <c r="AG684" t="s">
        <v>1612</v>
      </c>
      <c r="AH684" s="51"/>
      <c r="AI684" s="51"/>
    </row>
    <row r="685" spans="2:35">
      <c r="B685" t="s">
        <v>1613</v>
      </c>
      <c r="C685" t="s">
        <v>3693</v>
      </c>
      <c r="D685">
        <v>9</v>
      </c>
      <c r="E685" t="s">
        <v>2791</v>
      </c>
      <c r="F685">
        <v>5</v>
      </c>
      <c r="G685">
        <v>12</v>
      </c>
      <c r="H685">
        <v>3</v>
      </c>
      <c r="I685" t="s">
        <v>1614</v>
      </c>
      <c r="J685" s="51">
        <v>41076</v>
      </c>
      <c r="K685" t="s">
        <v>27</v>
      </c>
      <c r="L685" t="s">
        <v>1584</v>
      </c>
      <c r="M685">
        <v>3</v>
      </c>
      <c r="N685" t="str">
        <f>L685</f>
        <v>NAM\A8070</v>
      </c>
      <c r="O685" s="51">
        <f>J685</f>
        <v>41076</v>
      </c>
      <c r="P685" s="51" t="str">
        <f>C685</f>
        <v>~/cdd/olddocs/Control Plans/MICROMINI/CELDA A&amp;B/CP-A&amp;B-013  1326304.pdf</v>
      </c>
      <c r="Q685" s="51" t="str">
        <f>E685</f>
        <v>pdf</v>
      </c>
      <c r="R685" s="51"/>
      <c r="S685" s="51"/>
      <c r="T685" s="51"/>
      <c r="U685" s="51"/>
      <c r="V685" s="51"/>
      <c r="W685" s="51"/>
      <c r="X685" s="51"/>
      <c r="Y685" s="51"/>
      <c r="Z685" s="51"/>
      <c r="AA685" s="51"/>
      <c r="AB685" s="51"/>
      <c r="AC685" s="51"/>
      <c r="AD685" s="51"/>
      <c r="AG685">
        <v>1326304</v>
      </c>
      <c r="AH685" s="51"/>
      <c r="AI685" s="51"/>
    </row>
    <row r="686" spans="2:35">
      <c r="B686" t="s">
        <v>1615</v>
      </c>
      <c r="C686" t="s">
        <v>3694</v>
      </c>
      <c r="D686">
        <v>9</v>
      </c>
      <c r="E686" t="s">
        <v>2791</v>
      </c>
      <c r="F686">
        <v>5</v>
      </c>
      <c r="G686">
        <v>12</v>
      </c>
      <c r="H686">
        <v>3</v>
      </c>
      <c r="I686" t="s">
        <v>1616</v>
      </c>
      <c r="J686" s="51">
        <v>41083</v>
      </c>
      <c r="K686" t="s">
        <v>27</v>
      </c>
      <c r="L686" t="s">
        <v>1584</v>
      </c>
      <c r="M686">
        <v>3</v>
      </c>
      <c r="N686" t="str">
        <f>L686</f>
        <v>NAM\A8070</v>
      </c>
      <c r="O686" s="51">
        <f>J686</f>
        <v>41083</v>
      </c>
      <c r="P686" s="51" t="str">
        <f>C686</f>
        <v>~/cdd/olddocs/Control Plans/MICROMINI/CELDA A&amp;B/CP-A&amp;B-014  A89N-F7AF-5.pdf</v>
      </c>
      <c r="Q686" s="51" t="str">
        <f>E686</f>
        <v>pdf</v>
      </c>
      <c r="R686" s="51"/>
      <c r="S686" s="51"/>
      <c r="T686" s="51"/>
      <c r="U686" s="51"/>
      <c r="V686" s="51"/>
      <c r="W686" s="51"/>
      <c r="X686" s="51"/>
      <c r="Y686" s="51"/>
      <c r="Z686" s="51"/>
      <c r="AA686" s="51"/>
      <c r="AB686" s="51"/>
      <c r="AC686" s="51"/>
      <c r="AD686" s="51"/>
      <c r="AG686" t="s">
        <v>1617</v>
      </c>
      <c r="AH686" s="51"/>
      <c r="AI686" s="51"/>
    </row>
    <row r="687" spans="2:35">
      <c r="B687" t="s">
        <v>1618</v>
      </c>
      <c r="C687" t="s">
        <v>3695</v>
      </c>
      <c r="D687">
        <v>9</v>
      </c>
      <c r="E687" t="s">
        <v>2791</v>
      </c>
      <c r="F687">
        <v>5</v>
      </c>
      <c r="G687">
        <v>12</v>
      </c>
      <c r="H687">
        <v>3</v>
      </c>
      <c r="I687" t="s">
        <v>1619</v>
      </c>
      <c r="J687" s="51">
        <v>41036</v>
      </c>
      <c r="K687" t="s">
        <v>27</v>
      </c>
      <c r="L687" t="s">
        <v>1584</v>
      </c>
      <c r="M687">
        <v>3</v>
      </c>
      <c r="N687" t="str">
        <f>L687</f>
        <v>NAM\A8070</v>
      </c>
      <c r="O687" s="51">
        <f>J687</f>
        <v>41036</v>
      </c>
      <c r="P687" s="51" t="str">
        <f>C687</f>
        <v>~/cdd/olddocs/Control Plans/MICROMINI/CELDA A&amp;B/CP-A&amp;B-015  XC6XXXXXXXXX.pdf</v>
      </c>
      <c r="Q687" s="51" t="str">
        <f>E687</f>
        <v>pdf</v>
      </c>
      <c r="R687" s="51"/>
      <c r="S687" s="51"/>
      <c r="T687" s="51"/>
      <c r="U687" s="51"/>
      <c r="V687" s="51"/>
      <c r="W687" s="51"/>
      <c r="X687" s="51"/>
      <c r="Y687" s="51"/>
      <c r="Z687" s="51"/>
      <c r="AA687" s="51"/>
      <c r="AB687" s="51"/>
      <c r="AC687" s="51"/>
      <c r="AD687" s="51"/>
      <c r="AG687" t="s">
        <v>1620</v>
      </c>
      <c r="AH687" s="51"/>
      <c r="AI687" s="51"/>
    </row>
    <row r="688" spans="2:35">
      <c r="B688" t="s">
        <v>1621</v>
      </c>
      <c r="C688" t="s">
        <v>3696</v>
      </c>
      <c r="D688">
        <v>9</v>
      </c>
      <c r="E688" t="s">
        <v>2791</v>
      </c>
      <c r="F688">
        <v>5</v>
      </c>
      <c r="G688">
        <v>12</v>
      </c>
      <c r="H688">
        <v>3</v>
      </c>
      <c r="I688" t="s">
        <v>1622</v>
      </c>
      <c r="J688" s="51">
        <v>40980</v>
      </c>
      <c r="K688" t="s">
        <v>27</v>
      </c>
      <c r="L688" t="s">
        <v>1584</v>
      </c>
      <c r="M688">
        <v>3</v>
      </c>
      <c r="N688" t="str">
        <f>L688</f>
        <v>NAM\A8070</v>
      </c>
      <c r="O688" s="51">
        <f>J688</f>
        <v>40980</v>
      </c>
      <c r="P688" s="51" t="str">
        <f>C688</f>
        <v>~/cdd/olddocs/Control Plans/MICROMINI/CELDA A&amp;B/CP-A&amp;B-016  ML4C4TC.pdf</v>
      </c>
      <c r="Q688" s="51" t="str">
        <f>E688</f>
        <v>pdf</v>
      </c>
      <c r="R688" s="51"/>
      <c r="S688" s="51"/>
      <c r="T688" s="51"/>
      <c r="U688" s="51"/>
      <c r="V688" s="51"/>
      <c r="W688" s="51"/>
      <c r="X688" s="51"/>
      <c r="Y688" s="51"/>
      <c r="Z688" s="51"/>
      <c r="AA688" s="51"/>
      <c r="AB688" s="51"/>
      <c r="AC688" s="51"/>
      <c r="AD688" s="51"/>
      <c r="AG688" t="s">
        <v>1623</v>
      </c>
      <c r="AH688" s="51"/>
      <c r="AI688" s="51"/>
    </row>
    <row r="689" spans="2:35">
      <c r="B689" t="s">
        <v>1624</v>
      </c>
      <c r="C689" t="s">
        <v>3696</v>
      </c>
      <c r="D689">
        <v>9</v>
      </c>
      <c r="E689" t="s">
        <v>2791</v>
      </c>
      <c r="F689">
        <v>5</v>
      </c>
      <c r="G689">
        <v>12</v>
      </c>
      <c r="H689">
        <v>3</v>
      </c>
      <c r="I689" t="s">
        <v>1625</v>
      </c>
      <c r="J689" s="51">
        <v>41025</v>
      </c>
      <c r="K689" t="s">
        <v>27</v>
      </c>
      <c r="L689" t="s">
        <v>1584</v>
      </c>
      <c r="M689">
        <v>3</v>
      </c>
      <c r="N689" t="str">
        <f>L689</f>
        <v>NAM\A8070</v>
      </c>
      <c r="O689" s="51">
        <f>J689</f>
        <v>41025</v>
      </c>
      <c r="P689" s="51" t="str">
        <f>C689</f>
        <v>~/cdd/olddocs/Control Plans/MICROMINI/CELDA A&amp;B/CP-A&amp;B-016  ML4C4TC.pdf</v>
      </c>
      <c r="Q689" s="51" t="str">
        <f>E689</f>
        <v>pdf</v>
      </c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G689" t="s">
        <v>1626</v>
      </c>
      <c r="AH689" s="51"/>
      <c r="AI689" s="51"/>
    </row>
    <row r="690" spans="2:35">
      <c r="B690" t="s">
        <v>1627</v>
      </c>
      <c r="C690" t="s">
        <v>3697</v>
      </c>
      <c r="D690">
        <v>9</v>
      </c>
      <c r="E690" t="s">
        <v>2791</v>
      </c>
      <c r="F690">
        <v>5</v>
      </c>
      <c r="G690">
        <v>12</v>
      </c>
      <c r="H690">
        <v>3</v>
      </c>
      <c r="I690" t="s">
        <v>1595</v>
      </c>
      <c r="J690" s="51">
        <v>40997</v>
      </c>
      <c r="K690" t="s">
        <v>27</v>
      </c>
      <c r="L690" t="s">
        <v>1584</v>
      </c>
      <c r="M690">
        <v>3</v>
      </c>
      <c r="N690" t="str">
        <f>L690</f>
        <v>NAM\A8070</v>
      </c>
      <c r="O690" s="51">
        <f>J690</f>
        <v>40997</v>
      </c>
      <c r="P690" s="51" t="str">
        <f>C690</f>
        <v>~/cdd/olddocs/Control Plans/MICROMINI/CELDA A&amp;B/CP-A&amp;B-018  ADM4Q2M24E.pdf</v>
      </c>
      <c r="Q690" s="51" t="str">
        <f>E690</f>
        <v>pdf</v>
      </c>
      <c r="R690" s="51"/>
      <c r="S690" s="51"/>
      <c r="T690" s="51"/>
      <c r="U690" s="51"/>
      <c r="V690" s="51"/>
      <c r="W690" s="51"/>
      <c r="X690" s="51"/>
      <c r="Y690" s="51"/>
      <c r="Z690" s="51"/>
      <c r="AA690" s="51"/>
      <c r="AB690" s="51"/>
      <c r="AC690" s="51"/>
      <c r="AD690" s="51"/>
      <c r="AG690" t="s">
        <v>1628</v>
      </c>
      <c r="AH690" s="51"/>
      <c r="AI690" s="51"/>
    </row>
    <row r="691" spans="2:35">
      <c r="B691" t="s">
        <v>1629</v>
      </c>
      <c r="C691" t="s">
        <v>3698</v>
      </c>
      <c r="D691">
        <v>9</v>
      </c>
      <c r="E691" t="s">
        <v>2791</v>
      </c>
      <c r="F691">
        <v>5</v>
      </c>
      <c r="G691">
        <v>12</v>
      </c>
      <c r="H691">
        <v>3</v>
      </c>
      <c r="I691" t="s">
        <v>1630</v>
      </c>
      <c r="J691" s="51">
        <v>40980</v>
      </c>
      <c r="K691" t="s">
        <v>27</v>
      </c>
      <c r="L691" t="s">
        <v>1584</v>
      </c>
      <c r="M691">
        <v>3</v>
      </c>
      <c r="N691" t="str">
        <f>L691</f>
        <v>NAM\A8070</v>
      </c>
      <c r="O691" s="51">
        <f>J691</f>
        <v>40980</v>
      </c>
      <c r="P691" s="51" t="str">
        <f>C691</f>
        <v>~/cdd/olddocs/Control Plans/MICROMINI/CELDA A&amp;B/CP-A&amp;B-019  DM4F2TE.pdf</v>
      </c>
      <c r="Q691" s="51" t="str">
        <f>E691</f>
        <v>pdf</v>
      </c>
      <c r="R691" s="51"/>
      <c r="S691" s="51"/>
      <c r="T691" s="51"/>
      <c r="U691" s="51"/>
      <c r="V691" s="51"/>
      <c r="W691" s="51"/>
      <c r="X691" s="51"/>
      <c r="Y691" s="51"/>
      <c r="Z691" s="51"/>
      <c r="AA691" s="51"/>
      <c r="AB691" s="51"/>
      <c r="AC691" s="51"/>
      <c r="AD691" s="51"/>
      <c r="AG691" t="s">
        <v>1631</v>
      </c>
      <c r="AH691" s="51"/>
      <c r="AI691" s="51"/>
    </row>
    <row r="692" spans="2:35">
      <c r="B692" t="s">
        <v>1632</v>
      </c>
      <c r="C692" t="s">
        <v>3699</v>
      </c>
      <c r="D692">
        <v>9</v>
      </c>
      <c r="E692" t="s">
        <v>2791</v>
      </c>
      <c r="F692">
        <v>5</v>
      </c>
      <c r="G692">
        <v>12</v>
      </c>
      <c r="H692">
        <v>3</v>
      </c>
      <c r="I692" t="s">
        <v>1633</v>
      </c>
      <c r="J692" s="51">
        <v>40997</v>
      </c>
      <c r="K692" t="s">
        <v>27</v>
      </c>
      <c r="L692" t="s">
        <v>1584</v>
      </c>
      <c r="M692">
        <v>3</v>
      </c>
      <c r="N692" t="str">
        <f>L692</f>
        <v>NAM\A8070</v>
      </c>
      <c r="O692" s="51">
        <f>J692</f>
        <v>40997</v>
      </c>
      <c r="P692" s="51" t="str">
        <f>C692</f>
        <v>~/cdd/olddocs/Control Plans/MICROMINI/CELDA A&amp;B/CP-A&amp;B-020  DM4B2ME010M.pdf</v>
      </c>
      <c r="Q692" s="51" t="str">
        <f>E692</f>
        <v>pdf</v>
      </c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G692" t="s">
        <v>1634</v>
      </c>
      <c r="AH692" s="51"/>
      <c r="AI692" s="51"/>
    </row>
    <row r="693" spans="2:35">
      <c r="B693" t="s">
        <v>1635</v>
      </c>
      <c r="C693" t="s">
        <v>3700</v>
      </c>
      <c r="D693">
        <v>9</v>
      </c>
      <c r="E693" t="s">
        <v>2791</v>
      </c>
      <c r="F693">
        <v>5</v>
      </c>
      <c r="G693">
        <v>12</v>
      </c>
      <c r="H693">
        <v>3</v>
      </c>
      <c r="I693" t="s">
        <v>1636</v>
      </c>
      <c r="J693" s="51">
        <v>41079</v>
      </c>
      <c r="K693" t="s">
        <v>27</v>
      </c>
      <c r="L693" t="s">
        <v>1584</v>
      </c>
      <c r="M693">
        <v>3</v>
      </c>
      <c r="N693" t="str">
        <f>L693</f>
        <v>NAM\A8070</v>
      </c>
      <c r="O693" s="51">
        <f>J693</f>
        <v>41079</v>
      </c>
      <c r="P693" s="51" t="str">
        <f>C693</f>
        <v>~/cdd/olddocs/Control Plans/MICROMINI/CELDA A&amp;B/CP-A&amp;B-021  CHDN-TAER-NG.pdf</v>
      </c>
      <c r="Q693" s="51" t="str">
        <f>E693</f>
        <v>pdf</v>
      </c>
      <c r="R693" s="51"/>
      <c r="S693" s="51"/>
      <c r="T693" s="51"/>
      <c r="U693" s="51"/>
      <c r="V693" s="51"/>
      <c r="W693" s="51"/>
      <c r="X693" s="51"/>
      <c r="Y693" s="51"/>
      <c r="Z693" s="51"/>
      <c r="AA693" s="51"/>
      <c r="AB693" s="51"/>
      <c r="AC693" s="51"/>
      <c r="AD693" s="51"/>
      <c r="AG693" t="s">
        <v>1637</v>
      </c>
      <c r="AH693" s="51"/>
      <c r="AI693" s="51"/>
    </row>
    <row r="694" spans="2:35">
      <c r="B694" t="s">
        <v>1638</v>
      </c>
      <c r="C694" t="s">
        <v>3701</v>
      </c>
      <c r="D694">
        <v>9</v>
      </c>
      <c r="E694" t="s">
        <v>2791</v>
      </c>
      <c r="F694">
        <v>5</v>
      </c>
      <c r="G694">
        <v>12</v>
      </c>
      <c r="H694">
        <v>3</v>
      </c>
      <c r="I694" t="s">
        <v>1639</v>
      </c>
      <c r="J694" s="51">
        <v>41074</v>
      </c>
      <c r="K694" t="s">
        <v>27</v>
      </c>
      <c r="L694" t="s">
        <v>1584</v>
      </c>
      <c r="M694">
        <v>3</v>
      </c>
      <c r="N694" t="str">
        <f>L694</f>
        <v>NAM\A8070</v>
      </c>
      <c r="O694" s="51">
        <f>J694</f>
        <v>41074</v>
      </c>
      <c r="P694" s="51" t="str">
        <f>C694</f>
        <v>~/cdd/olddocs/Control Plans/MICROMINI/CELDA A&amp;B/CP-A&amp;B-022  CA4P7C09C040MY.pdf</v>
      </c>
      <c r="Q694" s="51" t="str">
        <f>E694</f>
        <v>pdf</v>
      </c>
      <c r="R694" s="51"/>
      <c r="S694" s="51"/>
      <c r="T694" s="51"/>
      <c r="U694" s="51"/>
      <c r="V694" s="51"/>
      <c r="W694" s="51"/>
      <c r="X694" s="51"/>
      <c r="Y694" s="51"/>
      <c r="Z694" s="51"/>
      <c r="AA694" s="51"/>
      <c r="AB694" s="51"/>
      <c r="AC694" s="51"/>
      <c r="AD694" s="51"/>
      <c r="AG694" t="s">
        <v>1640</v>
      </c>
      <c r="AH694" s="51"/>
      <c r="AI694" s="51"/>
    </row>
    <row r="695" spans="2:35">
      <c r="B695" t="s">
        <v>1641</v>
      </c>
      <c r="C695" t="s">
        <v>3702</v>
      </c>
      <c r="D695">
        <v>9</v>
      </c>
      <c r="E695" t="s">
        <v>2791</v>
      </c>
      <c r="F695">
        <v>5</v>
      </c>
      <c r="G695">
        <v>12</v>
      </c>
      <c r="H695">
        <v>3</v>
      </c>
      <c r="I695" t="s">
        <v>1592</v>
      </c>
      <c r="J695" s="51">
        <v>41047</v>
      </c>
      <c r="K695" t="s">
        <v>27</v>
      </c>
      <c r="L695" t="s">
        <v>1584</v>
      </c>
      <c r="M695">
        <v>3</v>
      </c>
      <c r="N695" t="str">
        <f>L695</f>
        <v>NAM\A8070</v>
      </c>
      <c r="O695" s="51">
        <f>J695</f>
        <v>41047</v>
      </c>
      <c r="P695" s="51" t="str">
        <f>C695</f>
        <v>~/cdd/olddocs/Control Plans/MICROMINI/CELDA A&amp;B/CP-A&amp;B-023  AT3RC3R.pdf</v>
      </c>
      <c r="Q695" s="51" t="str">
        <f>E695</f>
        <v>pdf</v>
      </c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G695" t="s">
        <v>1593</v>
      </c>
      <c r="AH695" s="51"/>
      <c r="AI695" s="51"/>
    </row>
    <row r="696" spans="2:35">
      <c r="B696" t="s">
        <v>1642</v>
      </c>
      <c r="C696" t="s">
        <v>3703</v>
      </c>
      <c r="D696">
        <v>9</v>
      </c>
      <c r="E696" t="s">
        <v>2791</v>
      </c>
      <c r="F696">
        <v>5</v>
      </c>
      <c r="G696">
        <v>12</v>
      </c>
      <c r="H696">
        <v>3</v>
      </c>
      <c r="I696" t="s">
        <v>1643</v>
      </c>
      <c r="J696" s="51">
        <v>41048</v>
      </c>
      <c r="K696" t="s">
        <v>27</v>
      </c>
      <c r="L696" t="s">
        <v>1584</v>
      </c>
      <c r="M696">
        <v>3</v>
      </c>
      <c r="N696" t="str">
        <f>L696</f>
        <v>NAM\A8070</v>
      </c>
      <c r="O696" s="51">
        <f>J696</f>
        <v>41048</v>
      </c>
      <c r="P696" s="51" t="str">
        <f>C696</f>
        <v>~/cdd/olddocs/Control Plans/MICROMINI/CELDA A&amp;B/CP-A&amp;B-024  AM3F2MG.pdf</v>
      </c>
      <c r="Q696" s="51" t="str">
        <f>E696</f>
        <v>pdf</v>
      </c>
      <c r="R696" s="51"/>
      <c r="S696" s="51"/>
      <c r="T696" s="51"/>
      <c r="U696" s="51"/>
      <c r="V696" s="51"/>
      <c r="W696" s="51"/>
      <c r="X696" s="51"/>
      <c r="Y696" s="51"/>
      <c r="Z696" s="51"/>
      <c r="AA696" s="51"/>
      <c r="AB696" s="51"/>
      <c r="AC696" s="51"/>
      <c r="AD696" s="51"/>
      <c r="AG696" t="s">
        <v>1644</v>
      </c>
      <c r="AH696" s="51"/>
      <c r="AI696" s="51"/>
    </row>
    <row r="697" spans="2:35">
      <c r="B697" t="s">
        <v>1645</v>
      </c>
      <c r="C697" t="s">
        <v>3704</v>
      </c>
      <c r="D697">
        <v>9</v>
      </c>
      <c r="E697" t="s">
        <v>2791</v>
      </c>
      <c r="F697">
        <v>5</v>
      </c>
      <c r="G697">
        <v>12</v>
      </c>
      <c r="H697">
        <v>3</v>
      </c>
      <c r="I697" t="s">
        <v>1646</v>
      </c>
      <c r="J697" s="51">
        <v>41030</v>
      </c>
      <c r="K697" t="s">
        <v>27</v>
      </c>
      <c r="L697" t="s">
        <v>1584</v>
      </c>
      <c r="M697">
        <v>3</v>
      </c>
      <c r="N697" t="str">
        <f>L697</f>
        <v>NAM\A8070</v>
      </c>
      <c r="O697" s="51">
        <f>J697</f>
        <v>41030</v>
      </c>
      <c r="P697" s="51" t="str">
        <f>C697</f>
        <v>~/cdd/olddocs/Control Plans/MICROMINI/CELDA A&amp;B/CP-A&amp;B-025  ABSP4R5C.pdf</v>
      </c>
      <c r="Q697" s="51" t="str">
        <f>E697</f>
        <v>pdf</v>
      </c>
      <c r="R697" s="51"/>
      <c r="S697" s="51"/>
      <c r="T697" s="51"/>
      <c r="U697" s="51"/>
      <c r="V697" s="51"/>
      <c r="W697" s="51"/>
      <c r="X697" s="51"/>
      <c r="Y697" s="51"/>
      <c r="Z697" s="51"/>
      <c r="AA697" s="51"/>
      <c r="AB697" s="51"/>
      <c r="AC697" s="51"/>
      <c r="AD697" s="51"/>
      <c r="AG697" t="s">
        <v>1647</v>
      </c>
      <c r="AH697" s="51"/>
      <c r="AI697" s="51"/>
    </row>
    <row r="698" spans="2:35">
      <c r="B698" t="s">
        <v>1648</v>
      </c>
      <c r="C698" t="s">
        <v>3705</v>
      </c>
      <c r="D698">
        <v>9</v>
      </c>
      <c r="E698" t="s">
        <v>2791</v>
      </c>
      <c r="F698">
        <v>5</v>
      </c>
      <c r="G698">
        <v>12</v>
      </c>
      <c r="H698">
        <v>3</v>
      </c>
      <c r="I698" t="s">
        <v>1649</v>
      </c>
      <c r="J698" s="51">
        <v>41079</v>
      </c>
      <c r="K698" t="s">
        <v>27</v>
      </c>
      <c r="L698" t="s">
        <v>1584</v>
      </c>
      <c r="M698">
        <v>3</v>
      </c>
      <c r="N698" t="str">
        <f>L698</f>
        <v>NAM\A8070</v>
      </c>
      <c r="O698" s="51">
        <f>J698</f>
        <v>41079</v>
      </c>
      <c r="P698" s="51" t="str">
        <f>C698</f>
        <v>~/cdd/olddocs/Control Plans/MICROMINI/CELDA A&amp;B/CP-A&amp;B-026  A98N43PBN4.pdf</v>
      </c>
      <c r="Q698" s="51" t="str">
        <f>E698</f>
        <v>pdf</v>
      </c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G698" t="s">
        <v>1650</v>
      </c>
      <c r="AH698" s="51"/>
      <c r="AI698" s="51"/>
    </row>
    <row r="699" spans="2:35">
      <c r="B699" t="s">
        <v>1651</v>
      </c>
      <c r="C699" t="s">
        <v>3706</v>
      </c>
      <c r="D699">
        <v>9</v>
      </c>
      <c r="E699" t="s">
        <v>2791</v>
      </c>
      <c r="F699">
        <v>5</v>
      </c>
      <c r="G699">
        <v>12</v>
      </c>
      <c r="H699">
        <v>3</v>
      </c>
      <c r="I699" t="s">
        <v>1652</v>
      </c>
      <c r="J699" s="51">
        <v>41046</v>
      </c>
      <c r="K699" t="s">
        <v>27</v>
      </c>
      <c r="L699" t="s">
        <v>1584</v>
      </c>
      <c r="M699">
        <v>3</v>
      </c>
      <c r="N699" t="str">
        <f>L699</f>
        <v>NAM\A8070</v>
      </c>
      <c r="O699" s="51">
        <f>J699</f>
        <v>41046</v>
      </c>
      <c r="P699" s="51" t="str">
        <f>C699</f>
        <v>~/cdd/olddocs/Control Plans/MICROMINI/CELDA A&amp;B/CP-A&amp;B-027  A89DR4HC.pdf</v>
      </c>
      <c r="Q699" s="51" t="str">
        <f>E699</f>
        <v>pdf</v>
      </c>
      <c r="R699" s="51"/>
      <c r="S699" s="51"/>
      <c r="T699" s="51"/>
      <c r="U699" s="51"/>
      <c r="V699" s="51"/>
      <c r="W699" s="51"/>
      <c r="X699" s="51"/>
      <c r="Y699" s="51"/>
      <c r="Z699" s="51"/>
      <c r="AA699" s="51"/>
      <c r="AB699" s="51"/>
      <c r="AC699" s="51"/>
      <c r="AD699" s="51"/>
      <c r="AG699" t="s">
        <v>1653</v>
      </c>
      <c r="AH699" s="51"/>
      <c r="AI699" s="51"/>
    </row>
    <row r="700" spans="2:35">
      <c r="B700" t="s">
        <v>1654</v>
      </c>
      <c r="C700" t="s">
        <v>3707</v>
      </c>
      <c r="D700">
        <v>9</v>
      </c>
      <c r="E700" t="s">
        <v>2791</v>
      </c>
      <c r="F700">
        <v>5</v>
      </c>
      <c r="G700">
        <v>12</v>
      </c>
      <c r="H700">
        <v>3</v>
      </c>
      <c r="I700" t="s">
        <v>1655</v>
      </c>
      <c r="J700" s="51">
        <v>41017</v>
      </c>
      <c r="K700" t="s">
        <v>27</v>
      </c>
      <c r="L700" t="s">
        <v>1584</v>
      </c>
      <c r="M700">
        <v>3</v>
      </c>
      <c r="N700" t="str">
        <f>L700</f>
        <v>NAM\A8070</v>
      </c>
      <c r="O700" s="51">
        <f>J700</f>
        <v>41017</v>
      </c>
      <c r="P700" s="51" t="str">
        <f>C700</f>
        <v>~/cdd/olddocs/Control Plans/MICROMINI/CELDA A&amp;B/CP-A&amp;B-028  A79DM3AERF50F5.pdf</v>
      </c>
      <c r="Q700" s="51" t="str">
        <f>E700</f>
        <v>pdf</v>
      </c>
      <c r="R700" s="51"/>
      <c r="S700" s="51"/>
      <c r="T700" s="51"/>
      <c r="U700" s="51"/>
      <c r="V700" s="51"/>
      <c r="W700" s="51"/>
      <c r="X700" s="51"/>
      <c r="Y700" s="51"/>
      <c r="Z700" s="51"/>
      <c r="AA700" s="51"/>
      <c r="AB700" s="51"/>
      <c r="AC700" s="51"/>
      <c r="AD700" s="51"/>
      <c r="AG700" t="s">
        <v>1656</v>
      </c>
      <c r="AH700" s="51"/>
      <c r="AI700" s="51"/>
    </row>
    <row r="701" spans="2:35">
      <c r="B701" t="s">
        <v>1657</v>
      </c>
      <c r="C701" t="s">
        <v>3708</v>
      </c>
      <c r="D701">
        <v>9</v>
      </c>
      <c r="E701" t="s">
        <v>2791</v>
      </c>
      <c r="F701">
        <v>5</v>
      </c>
      <c r="G701">
        <v>12</v>
      </c>
      <c r="H701">
        <v>3</v>
      </c>
      <c r="I701" t="s">
        <v>1614</v>
      </c>
      <c r="J701" s="51">
        <v>41076</v>
      </c>
      <c r="K701" t="s">
        <v>27</v>
      </c>
      <c r="L701" t="s">
        <v>1584</v>
      </c>
      <c r="M701">
        <v>3</v>
      </c>
      <c r="N701" t="str">
        <f>L701</f>
        <v>NAM\A8070</v>
      </c>
      <c r="O701" s="51">
        <f>J701</f>
        <v>41076</v>
      </c>
      <c r="P701" s="51" t="str">
        <f>C701</f>
        <v>~/cdd/olddocs/Control Plans/MICROMINI/CELDA A&amp;B/CP-A&amp;B-029  1326304.pdf</v>
      </c>
      <c r="Q701" s="51" t="str">
        <f>E701</f>
        <v>pdf</v>
      </c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G701">
        <v>1326304</v>
      </c>
      <c r="AH701" s="51"/>
      <c r="AI701" s="51"/>
    </row>
    <row r="702" spans="2:35">
      <c r="B702" t="s">
        <v>1658</v>
      </c>
      <c r="C702" t="s">
        <v>3709</v>
      </c>
      <c r="D702">
        <v>9</v>
      </c>
      <c r="E702" t="s">
        <v>2791</v>
      </c>
      <c r="F702">
        <v>5</v>
      </c>
      <c r="G702">
        <v>12</v>
      </c>
      <c r="H702">
        <v>3</v>
      </c>
      <c r="I702" t="s">
        <v>1659</v>
      </c>
      <c r="J702" s="51">
        <v>41036</v>
      </c>
      <c r="K702" t="s">
        <v>27</v>
      </c>
      <c r="L702" t="s">
        <v>1584</v>
      </c>
      <c r="M702">
        <v>3</v>
      </c>
      <c r="N702" t="str">
        <f>L702</f>
        <v>NAM\A8070</v>
      </c>
      <c r="O702" s="51">
        <f>J702</f>
        <v>41036</v>
      </c>
      <c r="P702" s="51" t="str">
        <f>C702</f>
        <v>~/cdd/olddocs/Control Plans/MICROMINI/CELDA A&amp;B/CP-A&amp;B-030  ZC5XXXXXXXXX.pdf</v>
      </c>
      <c r="Q702" s="51" t="str">
        <f>E702</f>
        <v>pdf</v>
      </c>
      <c r="R702" s="51"/>
      <c r="S702" s="51"/>
      <c r="T702" s="51"/>
      <c r="U702" s="51"/>
      <c r="V702" s="51"/>
      <c r="W702" s="51"/>
      <c r="X702" s="51"/>
      <c r="Y702" s="51"/>
      <c r="Z702" s="51"/>
      <c r="AA702" s="51"/>
      <c r="AB702" s="51"/>
      <c r="AC702" s="51"/>
      <c r="AD702" s="51"/>
      <c r="AG702" t="s">
        <v>1660</v>
      </c>
      <c r="AH702" s="51"/>
      <c r="AI702" s="51"/>
    </row>
    <row r="703" spans="2:35">
      <c r="B703" t="s">
        <v>1661</v>
      </c>
      <c r="C703" t="s">
        <v>3710</v>
      </c>
      <c r="D703">
        <v>9</v>
      </c>
      <c r="E703" t="s">
        <v>2791</v>
      </c>
      <c r="F703">
        <v>5</v>
      </c>
      <c r="G703">
        <v>12</v>
      </c>
      <c r="H703">
        <v>3</v>
      </c>
      <c r="I703" t="s">
        <v>1662</v>
      </c>
      <c r="J703" s="51">
        <v>41036</v>
      </c>
      <c r="K703" t="s">
        <v>27</v>
      </c>
      <c r="L703" t="s">
        <v>1584</v>
      </c>
      <c r="M703">
        <v>3</v>
      </c>
      <c r="N703" t="str">
        <f>L703</f>
        <v>NAM\A8070</v>
      </c>
      <c r="O703" s="51">
        <f>J703</f>
        <v>41036</v>
      </c>
      <c r="P703" s="51" t="str">
        <f>C703</f>
        <v>~/cdd/olddocs/Control Plans/MICROMINI/CELDA A&amp;B/CP-A&amp;B-031 ZC2XXXXXXXXX.pdf</v>
      </c>
      <c r="Q703" s="51" t="str">
        <f>E703</f>
        <v>pdf</v>
      </c>
      <c r="R703" s="51"/>
      <c r="S703" s="51"/>
      <c r="T703" s="51"/>
      <c r="U703" s="51"/>
      <c r="V703" s="51"/>
      <c r="W703" s="51"/>
      <c r="X703" s="51"/>
      <c r="Y703" s="51"/>
      <c r="Z703" s="51"/>
      <c r="AA703" s="51"/>
      <c r="AB703" s="51"/>
      <c r="AC703" s="51"/>
      <c r="AD703" s="51"/>
      <c r="AG703" t="s">
        <v>1663</v>
      </c>
      <c r="AH703" s="51"/>
      <c r="AI703" s="51"/>
    </row>
    <row r="704" spans="2:35">
      <c r="B704" t="s">
        <v>1664</v>
      </c>
      <c r="C704" t="s">
        <v>3711</v>
      </c>
      <c r="D704">
        <v>9</v>
      </c>
      <c r="E704" t="s">
        <v>2791</v>
      </c>
      <c r="F704">
        <v>5</v>
      </c>
      <c r="G704">
        <v>12</v>
      </c>
      <c r="H704">
        <v>3</v>
      </c>
      <c r="I704" t="s">
        <v>1665</v>
      </c>
      <c r="J704" s="51">
        <v>41036</v>
      </c>
      <c r="K704" t="s">
        <v>27</v>
      </c>
      <c r="L704" t="s">
        <v>1584</v>
      </c>
      <c r="M704">
        <v>3</v>
      </c>
      <c r="N704" t="str">
        <f>L704</f>
        <v>NAM\A8070</v>
      </c>
      <c r="O704" s="51">
        <f>J704</f>
        <v>41036</v>
      </c>
      <c r="P704" s="51" t="str">
        <f>C704</f>
        <v>~/cdd/olddocs/Control Plans/MICROMINI/CELDA A&amp;B/CP-A&amp;B-032  XC3XXXXXXXXX.pdf</v>
      </c>
      <c r="Q704" s="51" t="str">
        <f>E704</f>
        <v>pdf</v>
      </c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G704" t="s">
        <v>1666</v>
      </c>
      <c r="AH704" s="51"/>
      <c r="AI704" s="51"/>
    </row>
    <row r="705" spans="2:35">
      <c r="B705" t="s">
        <v>1667</v>
      </c>
      <c r="C705" t="s">
        <v>3826</v>
      </c>
      <c r="D705">
        <v>9</v>
      </c>
      <c r="E705" t="s">
        <v>2791</v>
      </c>
      <c r="F705">
        <v>5</v>
      </c>
      <c r="G705">
        <v>12</v>
      </c>
      <c r="H705">
        <v>3</v>
      </c>
      <c r="I705" t="s">
        <v>1668</v>
      </c>
      <c r="J705" s="51">
        <v>41095</v>
      </c>
      <c r="K705" t="s">
        <v>27</v>
      </c>
      <c r="L705" t="s">
        <v>1584</v>
      </c>
      <c r="M705">
        <v>3</v>
      </c>
      <c r="N705" t="str">
        <f>L705</f>
        <v>NAM\A8070</v>
      </c>
      <c r="O705" s="51">
        <f>J705</f>
        <v>41095</v>
      </c>
      <c r="P705" s="51" t="str">
        <f>C705</f>
        <v>~cdd/olddocs/Control Plans/MICROMINI/CELDA A&amp;B/CP-A&amp;B-033  A89DF4HEDM-XXX.pdf</v>
      </c>
      <c r="Q705" s="51" t="str">
        <f>E705</f>
        <v>pdf</v>
      </c>
      <c r="R705" s="51"/>
      <c r="S705" s="51"/>
      <c r="T705" s="51"/>
      <c r="U705" s="51"/>
      <c r="V705" s="51"/>
      <c r="W705" s="51"/>
      <c r="X705" s="51"/>
      <c r="Y705" s="51"/>
      <c r="Z705" s="51"/>
      <c r="AA705" s="51"/>
      <c r="AB705" s="51"/>
      <c r="AC705" s="51"/>
      <c r="AD705" s="51"/>
      <c r="AG705" t="s">
        <v>1669</v>
      </c>
      <c r="AH705" s="51"/>
      <c r="AI705" s="51"/>
    </row>
    <row r="706" spans="2:35">
      <c r="B706" t="s">
        <v>1670</v>
      </c>
      <c r="C706" t="s">
        <v>3712</v>
      </c>
      <c r="D706">
        <v>9</v>
      </c>
      <c r="E706" t="s">
        <v>2791</v>
      </c>
      <c r="F706">
        <v>5</v>
      </c>
      <c r="G706">
        <v>12</v>
      </c>
      <c r="H706">
        <v>3</v>
      </c>
      <c r="I706" t="s">
        <v>1671</v>
      </c>
      <c r="J706" s="51">
        <v>41104</v>
      </c>
      <c r="K706" t="s">
        <v>27</v>
      </c>
      <c r="L706" t="s">
        <v>1584</v>
      </c>
      <c r="M706">
        <v>3</v>
      </c>
      <c r="N706" t="str">
        <f>L706</f>
        <v>NAM\A8070</v>
      </c>
      <c r="O706" s="51">
        <f>J706</f>
        <v>41104</v>
      </c>
      <c r="P706" s="51" t="str">
        <f>C706</f>
        <v>~/cdd/olddocs/Control Plans/MICROMINI/CELDA A&amp;B/CP-A&amp;B-034  ABT-P1M4-MN5R1.pdf</v>
      </c>
      <c r="Q706" s="51" t="str">
        <f>E706</f>
        <v>pdf</v>
      </c>
      <c r="R706" s="51"/>
      <c r="S706" s="51"/>
      <c r="T706" s="51"/>
      <c r="U706" s="51"/>
      <c r="V706" s="51"/>
      <c r="W706" s="51"/>
      <c r="X706" s="51"/>
      <c r="Y706" s="51"/>
      <c r="Z706" s="51"/>
      <c r="AA706" s="51"/>
      <c r="AB706" s="51"/>
      <c r="AC706" s="51"/>
      <c r="AD706" s="51"/>
      <c r="AG706" t="s">
        <v>1672</v>
      </c>
      <c r="AH706" s="51"/>
      <c r="AI706" s="51"/>
    </row>
    <row r="707" spans="2:35">
      <c r="B707" t="s">
        <v>1673</v>
      </c>
      <c r="C707" t="s">
        <v>3713</v>
      </c>
      <c r="D707">
        <v>9</v>
      </c>
      <c r="E707" t="s">
        <v>2791</v>
      </c>
      <c r="F707">
        <v>5</v>
      </c>
      <c r="G707">
        <v>12</v>
      </c>
      <c r="H707">
        <v>3</v>
      </c>
      <c r="I707" t="s">
        <v>1674</v>
      </c>
      <c r="J707" s="51">
        <v>41104</v>
      </c>
      <c r="K707" t="s">
        <v>27</v>
      </c>
      <c r="L707" t="s">
        <v>1584</v>
      </c>
      <c r="M707">
        <v>3</v>
      </c>
      <c r="N707" t="str">
        <f>L707</f>
        <v>NAM\A8070</v>
      </c>
      <c r="O707" s="51">
        <f>J707</f>
        <v>41104</v>
      </c>
      <c r="P707" s="51" t="str">
        <f>C707</f>
        <v>~/cdd/olddocs/Control Plans/MICROMINI/CELDA A&amp;B/CP-A&amp;B-035 5000129-BE.pdf</v>
      </c>
      <c r="Q707" s="51" t="str">
        <f>E707</f>
        <v>pdf</v>
      </c>
      <c r="R707" s="51"/>
      <c r="S707" s="51"/>
      <c r="T707" s="51"/>
      <c r="U707" s="51"/>
      <c r="V707" s="51"/>
      <c r="W707" s="51"/>
      <c r="X707" s="51"/>
      <c r="Y707" s="51"/>
      <c r="Z707" s="51"/>
      <c r="AA707" s="51"/>
      <c r="AB707" s="51"/>
      <c r="AC707" s="51"/>
      <c r="AD707" s="51"/>
      <c r="AG707" t="s">
        <v>1675</v>
      </c>
      <c r="AH707" s="51"/>
      <c r="AI707" s="51"/>
    </row>
    <row r="708" spans="2:35">
      <c r="B708" t="s">
        <v>1676</v>
      </c>
      <c r="C708" t="s">
        <v>3827</v>
      </c>
      <c r="D708">
        <v>9</v>
      </c>
      <c r="E708" t="s">
        <v>2791</v>
      </c>
      <c r="F708">
        <v>5</v>
      </c>
      <c r="G708">
        <v>12</v>
      </c>
      <c r="H708">
        <v>3</v>
      </c>
      <c r="I708" t="s">
        <v>1677</v>
      </c>
      <c r="J708" s="51">
        <v>41104</v>
      </c>
      <c r="K708" t="s">
        <v>27</v>
      </c>
      <c r="L708" t="s">
        <v>1584</v>
      </c>
      <c r="M708">
        <v>3</v>
      </c>
      <c r="N708" t="str">
        <f>L708</f>
        <v>NAM\A8070</v>
      </c>
      <c r="O708" s="51">
        <f>J708</f>
        <v>41104</v>
      </c>
      <c r="P708" s="51" t="str">
        <f>C708</f>
        <v>~cdd/olddocs/Control Plans/MICROMINI/CELDA A&amp;B/CP-A&amp;B-036  PC5QADD0XXM.pdf</v>
      </c>
      <c r="Q708" s="51" t="str">
        <f>E708</f>
        <v>pdf</v>
      </c>
      <c r="R708" s="51"/>
      <c r="S708" s="51"/>
      <c r="T708" s="51"/>
      <c r="U708" s="51"/>
      <c r="V708" s="51"/>
      <c r="W708" s="51"/>
      <c r="X708" s="51"/>
      <c r="Y708" s="51"/>
      <c r="Z708" s="51"/>
      <c r="AA708" s="51"/>
      <c r="AB708" s="51"/>
      <c r="AC708" s="51"/>
      <c r="AD708" s="51"/>
      <c r="AG708" t="s">
        <v>1678</v>
      </c>
      <c r="AH708" s="51"/>
      <c r="AI708" s="51"/>
    </row>
    <row r="709" spans="2:35">
      <c r="B709" t="s">
        <v>1679</v>
      </c>
      <c r="C709" t="s">
        <v>3828</v>
      </c>
      <c r="D709">
        <v>9</v>
      </c>
      <c r="E709" t="s">
        <v>2791</v>
      </c>
      <c r="F709">
        <v>5</v>
      </c>
      <c r="G709">
        <v>12</v>
      </c>
      <c r="H709">
        <v>3</v>
      </c>
      <c r="I709" t="s">
        <v>1680</v>
      </c>
      <c r="J709" s="51">
        <v>41115</v>
      </c>
      <c r="K709" t="s">
        <v>27</v>
      </c>
      <c r="L709" t="s">
        <v>1584</v>
      </c>
      <c r="M709">
        <v>3</v>
      </c>
      <c r="N709" t="str">
        <f>L709</f>
        <v>NAM\A8070</v>
      </c>
      <c r="O709" s="51">
        <f>J709</f>
        <v>41115</v>
      </c>
      <c r="P709" s="51" t="str">
        <f>C709</f>
        <v>~cdd/olddocs/Control Plans/MICROMINI/CELDA A&amp;B/CP-A&amp;B-037 Control Plan ABC-P6N5-M5  MM-A-B.xlsx.pdf</v>
      </c>
      <c r="Q709" s="51" t="str">
        <f>E709</f>
        <v>pdf</v>
      </c>
      <c r="R709" s="51"/>
      <c r="S709" s="51"/>
      <c r="T709" s="51"/>
      <c r="U709" s="51"/>
      <c r="V709" s="51"/>
      <c r="W709" s="51"/>
      <c r="X709" s="51"/>
      <c r="Y709" s="51"/>
      <c r="Z709" s="51"/>
      <c r="AA709" s="51"/>
      <c r="AB709" s="51"/>
      <c r="AC709" s="51"/>
      <c r="AD709" s="51"/>
      <c r="AG709" t="s">
        <v>1681</v>
      </c>
      <c r="AH709" s="51"/>
      <c r="AI709" s="51"/>
    </row>
    <row r="710" spans="2:35">
      <c r="B710" t="s">
        <v>1682</v>
      </c>
      <c r="C710" t="s">
        <v>3714</v>
      </c>
      <c r="D710">
        <v>9</v>
      </c>
      <c r="E710" t="s">
        <v>2791</v>
      </c>
      <c r="F710">
        <v>5</v>
      </c>
      <c r="G710">
        <v>12</v>
      </c>
      <c r="H710">
        <v>3</v>
      </c>
      <c r="I710" t="s">
        <v>1683</v>
      </c>
      <c r="J710" s="51">
        <v>41129</v>
      </c>
      <c r="K710" t="s">
        <v>27</v>
      </c>
      <c r="L710" t="s">
        <v>1584</v>
      </c>
      <c r="M710">
        <v>3</v>
      </c>
      <c r="N710" t="str">
        <f>L710</f>
        <v>NAM\A8070</v>
      </c>
      <c r="O710" s="51">
        <f>J710</f>
        <v>41129</v>
      </c>
      <c r="P710" s="51" t="str">
        <f>C710</f>
        <v>~/cdd/olddocs/Control Plans/MICROMINI/CELDA A&amp;B/CP-A&amp;B-038 Rev. 5000118-JY.pdf</v>
      </c>
      <c r="Q710" s="51" t="str">
        <f>E710</f>
        <v>pdf</v>
      </c>
      <c r="R710" s="51"/>
      <c r="S710" s="51"/>
      <c r="T710" s="51"/>
      <c r="U710" s="51"/>
      <c r="V710" s="51"/>
      <c r="W710" s="51"/>
      <c r="X710" s="51"/>
      <c r="Y710" s="51"/>
      <c r="Z710" s="51"/>
      <c r="AA710" s="51"/>
      <c r="AB710" s="51"/>
      <c r="AC710" s="51"/>
      <c r="AD710" s="51"/>
      <c r="AG710" t="s">
        <v>1684</v>
      </c>
      <c r="AH710" s="51"/>
      <c r="AI710" s="51"/>
    </row>
    <row r="711" spans="2:35">
      <c r="B711" t="s">
        <v>1685</v>
      </c>
      <c r="C711" t="s">
        <v>3927</v>
      </c>
      <c r="D711">
        <v>9</v>
      </c>
      <c r="E711" t="s">
        <v>2790</v>
      </c>
      <c r="F711">
        <v>5</v>
      </c>
      <c r="G711">
        <v>12</v>
      </c>
      <c r="H711">
        <v>3</v>
      </c>
      <c r="I711" t="s">
        <v>1686</v>
      </c>
      <c r="J711" s="51">
        <v>41138</v>
      </c>
      <c r="K711" t="s">
        <v>27</v>
      </c>
      <c r="L711" t="s">
        <v>1584</v>
      </c>
      <c r="M711">
        <v>3</v>
      </c>
      <c r="N711" t="str">
        <f>L711</f>
        <v>NAM\A8070</v>
      </c>
      <c r="O711" s="51">
        <f>J711</f>
        <v>41138</v>
      </c>
      <c r="P711" s="51" t="str">
        <f>C711</f>
        <v>~/cdd/olddocs/CN-QAAS (Aseguranza de calidad)/Control Plans/MICROMINI/CELDA A-B/CP-A&amp;B-039 Rev. A 5000118-DM.xlsx</v>
      </c>
      <c r="Q711" s="51" t="str">
        <f>E711</f>
        <v>xlsx</v>
      </c>
      <c r="R711" s="51"/>
      <c r="S711" s="51"/>
      <c r="T711" s="51"/>
      <c r="U711" s="51"/>
      <c r="V711" s="51"/>
      <c r="W711" s="51"/>
      <c r="X711" s="51"/>
      <c r="Y711" s="51"/>
      <c r="Z711" s="51"/>
      <c r="AA711" s="51"/>
      <c r="AB711" s="51"/>
      <c r="AC711" s="51"/>
      <c r="AD711" s="51"/>
      <c r="AG711" t="s">
        <v>1687</v>
      </c>
      <c r="AH711" s="51"/>
      <c r="AI711" s="51"/>
    </row>
    <row r="712" spans="2:35">
      <c r="B712" t="s">
        <v>1249</v>
      </c>
      <c r="C712" t="s">
        <v>3715</v>
      </c>
      <c r="D712">
        <v>9</v>
      </c>
      <c r="E712" t="s">
        <v>2791</v>
      </c>
      <c r="F712">
        <v>5</v>
      </c>
      <c r="G712">
        <v>12</v>
      </c>
      <c r="H712">
        <v>3</v>
      </c>
      <c r="I712" t="s">
        <v>1250</v>
      </c>
      <c r="J712" s="51">
        <v>41206</v>
      </c>
      <c r="K712" t="s">
        <v>27</v>
      </c>
      <c r="L712" t="s">
        <v>1253</v>
      </c>
      <c r="M712">
        <v>3</v>
      </c>
      <c r="N712" t="str">
        <f>L712</f>
        <v>NAM\MB3505</v>
      </c>
      <c r="O712" s="51">
        <f>J712</f>
        <v>41206</v>
      </c>
      <c r="P712" s="51" t="str">
        <f>C712</f>
        <v>~/cdd/olddocs/Control Plans/MICROMINI/CELDA A&amp;B/CP-A&amp;B-040  AM2C2MG030F, AM3C2MG030F, AM4C2MG030F, AM5C2MG030F.pdf</v>
      </c>
      <c r="Q712" s="51" t="str">
        <f>E712</f>
        <v>pdf</v>
      </c>
      <c r="R712" s="51"/>
      <c r="S712" s="51"/>
      <c r="T712" s="51"/>
      <c r="U712" s="51"/>
      <c r="V712" s="51"/>
      <c r="W712" s="51"/>
      <c r="X712" s="51"/>
      <c r="Y712" s="51"/>
      <c r="Z712" s="51"/>
      <c r="AA712" s="51"/>
      <c r="AB712" s="51"/>
      <c r="AC712" s="51"/>
      <c r="AD712" s="51"/>
      <c r="AG712" t="s">
        <v>1251</v>
      </c>
      <c r="AH712" s="51"/>
      <c r="AI712" s="51"/>
    </row>
    <row r="713" spans="2:35">
      <c r="B713" t="s">
        <v>1254</v>
      </c>
      <c r="C713" t="s">
        <v>3716</v>
      </c>
      <c r="D713">
        <v>9</v>
      </c>
      <c r="E713" t="s">
        <v>2791</v>
      </c>
      <c r="F713">
        <v>5</v>
      </c>
      <c r="G713">
        <v>12</v>
      </c>
      <c r="H713">
        <v>3</v>
      </c>
      <c r="I713" t="s">
        <v>1255</v>
      </c>
      <c r="J713" s="51">
        <v>41206</v>
      </c>
      <c r="K713" t="s">
        <v>27</v>
      </c>
      <c r="L713" t="s">
        <v>1253</v>
      </c>
      <c r="M713">
        <v>3</v>
      </c>
      <c r="N713" t="str">
        <f>L713</f>
        <v>NAM\MB3505</v>
      </c>
      <c r="O713" s="51">
        <f>J713</f>
        <v>41206</v>
      </c>
      <c r="P713" s="51" t="str">
        <f>C713</f>
        <v>~/cdd/olddocs/Control Plans/MICROMINI/CELDA A&amp;B/CP-A&amp;B-041 DM2B3JE010M, DM3B3JE010M,DM4B3JE010M,DM5B3JE010M.pdf</v>
      </c>
      <c r="Q713" s="51" t="str">
        <f>E713</f>
        <v>pdf</v>
      </c>
      <c r="R713" s="51"/>
      <c r="S713" s="51"/>
      <c r="T713" s="51"/>
      <c r="U713" s="51"/>
      <c r="V713" s="51"/>
      <c r="W713" s="51"/>
      <c r="X713" s="51"/>
      <c r="Y713" s="51"/>
      <c r="Z713" s="51"/>
      <c r="AA713" s="51"/>
      <c r="AB713" s="51"/>
      <c r="AC713" s="51"/>
      <c r="AD713" s="51"/>
      <c r="AG713" t="s">
        <v>1256</v>
      </c>
      <c r="AH713" s="51"/>
      <c r="AI713" s="51"/>
    </row>
    <row r="714" spans="2:35">
      <c r="B714" t="s">
        <v>1257</v>
      </c>
      <c r="C714" t="s">
        <v>3717</v>
      </c>
      <c r="D714">
        <v>9</v>
      </c>
      <c r="E714" t="s">
        <v>2791</v>
      </c>
      <c r="F714">
        <v>5</v>
      </c>
      <c r="G714">
        <v>12</v>
      </c>
      <c r="H714">
        <v>3</v>
      </c>
      <c r="I714" t="s">
        <v>1258</v>
      </c>
      <c r="J714" s="51">
        <v>41206</v>
      </c>
      <c r="K714" t="s">
        <v>27</v>
      </c>
      <c r="L714" t="s">
        <v>1253</v>
      </c>
      <c r="M714">
        <v>3</v>
      </c>
      <c r="N714" t="str">
        <f>L714</f>
        <v>NAM\MB3505</v>
      </c>
      <c r="O714" s="51">
        <f>J714</f>
        <v>41206</v>
      </c>
      <c r="P714" s="51" t="str">
        <f>C714</f>
        <v>~/cdd/olddocs/Control Plans/MICROMINI/CELDA A&amp;B/CP-A&amp;B-042 DM2C2ME010M, DM3C2ME010M, DM4C2ME010M, DM5C2ME010M, DM6C2ME010M.pdf</v>
      </c>
      <c r="Q714" s="51" t="str">
        <f>E714</f>
        <v>pdf</v>
      </c>
      <c r="R714" s="51"/>
      <c r="S714" s="51"/>
      <c r="T714" s="51"/>
      <c r="U714" s="51"/>
      <c r="V714" s="51"/>
      <c r="W714" s="51"/>
      <c r="X714" s="51"/>
      <c r="Y714" s="51"/>
      <c r="Z714" s="51"/>
      <c r="AA714" s="51"/>
      <c r="AB714" s="51"/>
      <c r="AC714" s="51"/>
      <c r="AD714" s="51"/>
      <c r="AG714" t="s">
        <v>1259</v>
      </c>
      <c r="AH714" s="51"/>
      <c r="AI714" s="51"/>
    </row>
    <row r="715" spans="2:35">
      <c r="B715" t="s">
        <v>1260</v>
      </c>
      <c r="C715" t="s">
        <v>3829</v>
      </c>
      <c r="D715">
        <v>9</v>
      </c>
      <c r="E715" t="s">
        <v>2790</v>
      </c>
      <c r="F715">
        <v>5</v>
      </c>
      <c r="G715">
        <v>12</v>
      </c>
      <c r="H715">
        <v>3</v>
      </c>
      <c r="I715" t="s">
        <v>1261</v>
      </c>
      <c r="J715" s="51">
        <v>41206</v>
      </c>
      <c r="K715" t="s">
        <v>27</v>
      </c>
      <c r="L715" t="s">
        <v>1253</v>
      </c>
      <c r="M715">
        <v>3</v>
      </c>
      <c r="N715" t="str">
        <f>L715</f>
        <v>NAM\MB3505</v>
      </c>
      <c r="O715" s="51">
        <f>J715</f>
        <v>41206</v>
      </c>
      <c r="P715" s="51" t="str">
        <f>C715</f>
        <v>~cdd/olddocs/Control Plans/MICROMINI/CELDA A&amp;B/CP-A&amp;B-043 Rev. A .xlsx</v>
      </c>
      <c r="Q715" s="51" t="str">
        <f>E715</f>
        <v>xlsx</v>
      </c>
      <c r="R715" s="51"/>
      <c r="S715" s="51"/>
      <c r="T715" s="51"/>
      <c r="U715" s="51"/>
      <c r="V715" s="51"/>
      <c r="W715" s="51"/>
      <c r="X715" s="51"/>
      <c r="Y715" s="51"/>
      <c r="Z715" s="51"/>
      <c r="AA715" s="51"/>
      <c r="AB715" s="51"/>
      <c r="AC715" s="51"/>
      <c r="AD715" s="51"/>
      <c r="AG715" t="s">
        <v>1259</v>
      </c>
      <c r="AH715" s="51"/>
      <c r="AI715" s="51"/>
    </row>
    <row r="716" spans="2:35">
      <c r="B716" t="s">
        <v>872</v>
      </c>
      <c r="C716" t="s">
        <v>3646</v>
      </c>
      <c r="D716">
        <v>9</v>
      </c>
      <c r="E716" t="s">
        <v>2791</v>
      </c>
      <c r="F716">
        <v>5</v>
      </c>
      <c r="G716">
        <v>10</v>
      </c>
      <c r="H716">
        <v>7</v>
      </c>
      <c r="I716" t="s">
        <v>877</v>
      </c>
      <c r="K716" t="s">
        <v>27</v>
      </c>
      <c r="L716" t="s">
        <v>880</v>
      </c>
      <c r="M716">
        <v>3</v>
      </c>
      <c r="N716" t="str">
        <f>L716</f>
        <v>NAM\MB3488</v>
      </c>
      <c r="O716" s="51">
        <f>J716</f>
        <v>0</v>
      </c>
      <c r="P716" s="51" t="str">
        <f>C716</f>
        <v>~/cdd/olddocs/Control Plans/ITRON/AMSAFE/CP-AMSA-001  004065-0001, 004065-0002, 004065-0006, 004065-0007 &amp; 004065-008.pdf</v>
      </c>
      <c r="Q716" s="51" t="str">
        <f>E716</f>
        <v>pdf</v>
      </c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>
        <v>41141</v>
      </c>
      <c r="AG716" t="s">
        <v>878</v>
      </c>
      <c r="AH716" s="51"/>
      <c r="AI716" s="51"/>
    </row>
    <row r="717" spans="2:35">
      <c r="B717" t="s">
        <v>881</v>
      </c>
      <c r="C717" t="s">
        <v>3647</v>
      </c>
      <c r="D717">
        <v>9</v>
      </c>
      <c r="E717" t="s">
        <v>2791</v>
      </c>
      <c r="F717">
        <v>5</v>
      </c>
      <c r="G717">
        <v>10</v>
      </c>
      <c r="H717">
        <v>7</v>
      </c>
      <c r="I717" t="s">
        <v>882</v>
      </c>
      <c r="K717" t="s">
        <v>27</v>
      </c>
      <c r="L717" t="s">
        <v>880</v>
      </c>
      <c r="M717">
        <v>3</v>
      </c>
      <c r="N717" t="str">
        <f>L717</f>
        <v>NAM\MB3488</v>
      </c>
      <c r="O717" s="51">
        <f>J717</f>
        <v>0</v>
      </c>
      <c r="P717" s="51" t="str">
        <f>C717</f>
        <v>~/cdd/olddocs/Control Plans/ITRON/AMSAFE/CP-AMSA-002 004046-0083 004043-0001.pdf</v>
      </c>
      <c r="Q717" s="51" t="str">
        <f>E717</f>
        <v>pdf</v>
      </c>
      <c r="R717" s="51"/>
      <c r="S717" s="51"/>
      <c r="T717" s="51"/>
      <c r="U717" s="51"/>
      <c r="V717" s="51"/>
      <c r="W717" s="51"/>
      <c r="X717" s="51"/>
      <c r="Y717" s="51"/>
      <c r="Z717" s="51"/>
      <c r="AA717" s="51"/>
      <c r="AB717" s="51"/>
      <c r="AC717" s="51"/>
      <c r="AD717" s="51"/>
      <c r="AE717">
        <v>41141</v>
      </c>
      <c r="AG717" t="s">
        <v>883</v>
      </c>
      <c r="AH717" s="51"/>
      <c r="AI717" s="51"/>
    </row>
    <row r="718" spans="2:35">
      <c r="B718" t="s">
        <v>884</v>
      </c>
      <c r="C718" t="s">
        <v>3648</v>
      </c>
      <c r="D718">
        <v>9</v>
      </c>
      <c r="E718" t="s">
        <v>2791</v>
      </c>
      <c r="F718">
        <v>5</v>
      </c>
      <c r="G718">
        <v>10</v>
      </c>
      <c r="H718">
        <v>7</v>
      </c>
      <c r="I718" t="s">
        <v>885</v>
      </c>
      <c r="K718" t="s">
        <v>27</v>
      </c>
      <c r="L718" t="s">
        <v>880</v>
      </c>
      <c r="M718">
        <v>3</v>
      </c>
      <c r="N718" t="str">
        <f>L718</f>
        <v>NAM\MB3488</v>
      </c>
      <c r="O718" s="51">
        <f>J718</f>
        <v>0</v>
      </c>
      <c r="P718" s="51" t="str">
        <f>C718</f>
        <v>~/cdd/olddocs/Control Plans/ITRON/AMSAFE/CP-AMSA-003 509800004038-0001 004038-0002 004038-0003  004038-0005.pdf</v>
      </c>
      <c r="Q718" s="51" t="str">
        <f>E718</f>
        <v>pdf</v>
      </c>
      <c r="R718" s="51"/>
      <c r="S718" s="51"/>
      <c r="T718" s="51"/>
      <c r="U718" s="51"/>
      <c r="V718" s="51"/>
      <c r="W718" s="51"/>
      <c r="X718" s="51"/>
      <c r="Y718" s="51"/>
      <c r="Z718" s="51"/>
      <c r="AA718" s="51"/>
      <c r="AB718" s="51"/>
      <c r="AC718" s="51"/>
      <c r="AD718" s="51"/>
      <c r="AE718">
        <v>41141</v>
      </c>
      <c r="AG718" t="s">
        <v>886</v>
      </c>
      <c r="AH718" s="51"/>
      <c r="AI718" s="51"/>
    </row>
    <row r="719" spans="2:35">
      <c r="B719" t="s">
        <v>887</v>
      </c>
      <c r="C719" t="s">
        <v>3649</v>
      </c>
      <c r="D719">
        <v>9</v>
      </c>
      <c r="E719" t="s">
        <v>2791</v>
      </c>
      <c r="F719">
        <v>5</v>
      </c>
      <c r="G719">
        <v>10</v>
      </c>
      <c r="H719">
        <v>7</v>
      </c>
      <c r="I719" t="s">
        <v>888</v>
      </c>
      <c r="K719" t="s">
        <v>27</v>
      </c>
      <c r="L719" t="s">
        <v>880</v>
      </c>
      <c r="M719">
        <v>3</v>
      </c>
      <c r="N719" t="str">
        <f>L719</f>
        <v>NAM\MB3488</v>
      </c>
      <c r="O719" s="51">
        <f>J719</f>
        <v>0</v>
      </c>
      <c r="P719" s="51" t="str">
        <f>C719</f>
        <v>~/cdd/olddocs/Control Plans/ITRON/AMSAFE/CP-AMSA-004 A 004035-TAB 004034-0001 004014-0001  003082-0001.pdf</v>
      </c>
      <c r="Q719" s="51" t="str">
        <f>E719</f>
        <v>pdf</v>
      </c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>
        <v>41141</v>
      </c>
      <c r="AG719" t="s">
        <v>889</v>
      </c>
      <c r="AH719" s="51"/>
      <c r="AI719" s="51"/>
    </row>
    <row r="720" spans="2:35">
      <c r="B720" t="s">
        <v>890</v>
      </c>
      <c r="C720" t="s">
        <v>3650</v>
      </c>
      <c r="D720">
        <v>9</v>
      </c>
      <c r="E720" t="s">
        <v>2791</v>
      </c>
      <c r="F720">
        <v>5</v>
      </c>
      <c r="G720">
        <v>10</v>
      </c>
      <c r="H720">
        <v>7</v>
      </c>
      <c r="I720" t="s">
        <v>891</v>
      </c>
      <c r="K720" t="s">
        <v>27</v>
      </c>
      <c r="L720" t="s">
        <v>880</v>
      </c>
      <c r="M720">
        <v>3</v>
      </c>
      <c r="N720" t="str">
        <f>L720</f>
        <v>NAM\MB3488</v>
      </c>
      <c r="O720" s="51">
        <f>J720</f>
        <v>0</v>
      </c>
      <c r="P720" s="51" t="str">
        <f>C720</f>
        <v>~/cdd/olddocs/Control Plans/ITRON/AMSAFE/CP-AMSA-005 003064-0001.pdf</v>
      </c>
      <c r="Q720" s="51" t="str">
        <f>E720</f>
        <v>pdf</v>
      </c>
      <c r="R720" s="51"/>
      <c r="S720" s="51"/>
      <c r="T720" s="51"/>
      <c r="U720" s="51"/>
      <c r="V720" s="51"/>
      <c r="W720" s="51"/>
      <c r="X720" s="51"/>
      <c r="Y720" s="51"/>
      <c r="Z720" s="51"/>
      <c r="AA720" s="51"/>
      <c r="AB720" s="51"/>
      <c r="AC720" s="51"/>
      <c r="AD720" s="51"/>
      <c r="AE720">
        <v>41141</v>
      </c>
      <c r="AG720" t="s">
        <v>892</v>
      </c>
      <c r="AH720" s="51"/>
      <c r="AI720" s="51"/>
    </row>
    <row r="721" spans="2:35">
      <c r="B721" t="s">
        <v>893</v>
      </c>
      <c r="C721" t="s">
        <v>3651</v>
      </c>
      <c r="D721">
        <v>9</v>
      </c>
      <c r="E721" t="s">
        <v>2791</v>
      </c>
      <c r="F721">
        <v>5</v>
      </c>
      <c r="G721">
        <v>10</v>
      </c>
      <c r="H721">
        <v>7</v>
      </c>
      <c r="I721" t="s">
        <v>894</v>
      </c>
      <c r="K721" t="s">
        <v>27</v>
      </c>
      <c r="L721" t="s">
        <v>880</v>
      </c>
      <c r="M721">
        <v>3</v>
      </c>
      <c r="N721" t="str">
        <f>L721</f>
        <v>NAM\MB3488</v>
      </c>
      <c r="O721" s="51">
        <f>J721</f>
        <v>0</v>
      </c>
      <c r="P721" s="51" t="str">
        <f>C721</f>
        <v>~/cdd/olddocs/Control Plans/ITRON/AMSAFE/CP-AMSA-006  004005-TAB.pdf</v>
      </c>
      <c r="Q721" s="51" t="str">
        <f>E721</f>
        <v>pdf</v>
      </c>
      <c r="R721" s="51"/>
      <c r="S721" s="51"/>
      <c r="T721" s="51"/>
      <c r="U721" s="51"/>
      <c r="V721" s="51"/>
      <c r="W721" s="51"/>
      <c r="X721" s="51"/>
      <c r="Y721" s="51"/>
      <c r="Z721" s="51"/>
      <c r="AA721" s="51"/>
      <c r="AB721" s="51"/>
      <c r="AC721" s="51"/>
      <c r="AD721" s="51"/>
      <c r="AE721">
        <v>41141</v>
      </c>
      <c r="AG721" t="s">
        <v>895</v>
      </c>
      <c r="AH721" s="51"/>
      <c r="AI721" s="51"/>
    </row>
    <row r="722" spans="2:35">
      <c r="B722" t="s">
        <v>896</v>
      </c>
      <c r="C722" t="s">
        <v>3652</v>
      </c>
      <c r="D722">
        <v>9</v>
      </c>
      <c r="E722" t="s">
        <v>2791</v>
      </c>
      <c r="F722">
        <v>5</v>
      </c>
      <c r="G722">
        <v>10</v>
      </c>
      <c r="H722">
        <v>7</v>
      </c>
      <c r="I722" t="s">
        <v>897</v>
      </c>
      <c r="K722" t="s">
        <v>27</v>
      </c>
      <c r="L722" t="s">
        <v>880</v>
      </c>
      <c r="M722">
        <v>3</v>
      </c>
      <c r="N722" t="str">
        <f>L722</f>
        <v>NAM\MB3488</v>
      </c>
      <c r="O722" s="51">
        <f>J722</f>
        <v>0</v>
      </c>
      <c r="P722" s="51" t="str">
        <f>C722</f>
        <v>~/cdd/olddocs/Control Plans/ITRON/AMSAFE/CP-AMSA-007  0004080-0001 AL 004080-0012.pdf</v>
      </c>
      <c r="Q722" s="51" t="str">
        <f>E722</f>
        <v>pdf</v>
      </c>
      <c r="R722" s="51"/>
      <c r="S722" s="51"/>
      <c r="T722" s="51"/>
      <c r="U722" s="51"/>
      <c r="V722" s="51"/>
      <c r="W722" s="51"/>
      <c r="X722" s="51"/>
      <c r="Y722" s="51"/>
      <c r="Z722" s="51"/>
      <c r="AA722" s="51"/>
      <c r="AB722" s="51"/>
      <c r="AC722" s="51"/>
      <c r="AD722" s="51"/>
      <c r="AE722">
        <v>41164</v>
      </c>
      <c r="AG722" t="s">
        <v>898</v>
      </c>
      <c r="AH722" s="51"/>
      <c r="AI722" s="51"/>
    </row>
    <row r="723" spans="2:35">
      <c r="B723" t="s">
        <v>899</v>
      </c>
      <c r="C723" t="s">
        <v>3653</v>
      </c>
      <c r="D723">
        <v>9</v>
      </c>
      <c r="E723" t="s">
        <v>2791</v>
      </c>
      <c r="F723">
        <v>5</v>
      </c>
      <c r="G723">
        <v>10</v>
      </c>
      <c r="H723">
        <v>7</v>
      </c>
      <c r="I723" t="s">
        <v>900</v>
      </c>
      <c r="K723" t="s">
        <v>27</v>
      </c>
      <c r="L723" t="s">
        <v>880</v>
      </c>
      <c r="M723">
        <v>3</v>
      </c>
      <c r="N723" t="str">
        <f>L723</f>
        <v>NAM\MB3488</v>
      </c>
      <c r="O723" s="51">
        <f>J723</f>
        <v>0</v>
      </c>
      <c r="P723" s="51" t="str">
        <f>C723</f>
        <v>~/cdd/olddocs/Control Plans/ITRON/AMSAFE/CP-AMSA-008  4004070-0001.pdf</v>
      </c>
      <c r="Q723" s="51" t="str">
        <f>E723</f>
        <v>pdf</v>
      </c>
      <c r="R723" s="51"/>
      <c r="S723" s="51"/>
      <c r="T723" s="51"/>
      <c r="U723" s="51"/>
      <c r="V723" s="51"/>
      <c r="W723" s="51"/>
      <c r="X723" s="51"/>
      <c r="Y723" s="51"/>
      <c r="Z723" s="51"/>
      <c r="AA723" s="51"/>
      <c r="AB723" s="51"/>
      <c r="AC723" s="51"/>
      <c r="AD723" s="51"/>
      <c r="AE723">
        <v>41164</v>
      </c>
      <c r="AG723" t="s">
        <v>901</v>
      </c>
      <c r="AH723" s="51"/>
      <c r="AI723" s="51"/>
    </row>
    <row r="724" spans="2:35">
      <c r="B724" t="s">
        <v>902</v>
      </c>
      <c r="C724" t="s">
        <v>3654</v>
      </c>
      <c r="D724">
        <v>9</v>
      </c>
      <c r="E724" t="s">
        <v>2791</v>
      </c>
      <c r="F724">
        <v>5</v>
      </c>
      <c r="G724">
        <v>10</v>
      </c>
      <c r="H724">
        <v>7</v>
      </c>
      <c r="I724" t="s">
        <v>903</v>
      </c>
      <c r="K724" t="s">
        <v>27</v>
      </c>
      <c r="L724" t="s">
        <v>880</v>
      </c>
      <c r="M724">
        <v>3</v>
      </c>
      <c r="N724" t="str">
        <f>L724</f>
        <v>NAM\MB3488</v>
      </c>
      <c r="O724" s="51">
        <f>J724</f>
        <v>0</v>
      </c>
      <c r="P724" s="51" t="str">
        <f>C724</f>
        <v>~/cdd/olddocs/Control Plans/ITRON/AMSAFE/CP-AMSA-009  0004071-0001.pdf</v>
      </c>
      <c r="Q724" s="51" t="str">
        <f>E724</f>
        <v>pdf</v>
      </c>
      <c r="R724" s="51"/>
      <c r="S724" s="51"/>
      <c r="T724" s="51"/>
      <c r="U724" s="51"/>
      <c r="V724" s="51"/>
      <c r="W724" s="51"/>
      <c r="X724" s="51"/>
      <c r="Y724" s="51"/>
      <c r="Z724" s="51"/>
      <c r="AA724" s="51"/>
      <c r="AB724" s="51"/>
      <c r="AC724" s="51"/>
      <c r="AD724" s="51"/>
      <c r="AE724">
        <v>41164</v>
      </c>
      <c r="AG724" t="s">
        <v>904</v>
      </c>
      <c r="AH724" s="51"/>
      <c r="AI724" s="51"/>
    </row>
    <row r="725" spans="2:35">
      <c r="B725" t="s">
        <v>905</v>
      </c>
      <c r="C725" t="s">
        <v>3655</v>
      </c>
      <c r="D725">
        <v>9</v>
      </c>
      <c r="E725" t="s">
        <v>2791</v>
      </c>
      <c r="F725">
        <v>5</v>
      </c>
      <c r="G725">
        <v>10</v>
      </c>
      <c r="H725">
        <v>7</v>
      </c>
      <c r="I725" t="s">
        <v>877</v>
      </c>
      <c r="K725" t="s">
        <v>27</v>
      </c>
      <c r="L725" t="s">
        <v>880</v>
      </c>
      <c r="M725">
        <v>3</v>
      </c>
      <c r="N725" t="str">
        <f>L725</f>
        <v>NAM\MB3488</v>
      </c>
      <c r="O725" s="51">
        <f>J725</f>
        <v>0</v>
      </c>
      <c r="P725" s="51" t="str">
        <f>C725</f>
        <v>~/cdd/olddocs/Control Plans/ITRON/AMSAFE/CP-AMSA-010  004049-0001.pdf</v>
      </c>
      <c r="Q725" s="51" t="str">
        <f>E725</f>
        <v>pdf</v>
      </c>
      <c r="R725" s="51"/>
      <c r="S725" s="51"/>
      <c r="T725" s="51"/>
      <c r="U725" s="51"/>
      <c r="V725" s="51"/>
      <c r="W725" s="51"/>
      <c r="X725" s="51"/>
      <c r="Y725" s="51"/>
      <c r="Z725" s="51"/>
      <c r="AA725" s="51"/>
      <c r="AB725" s="51"/>
      <c r="AC725" s="51"/>
      <c r="AD725" s="51"/>
      <c r="AE725">
        <v>41165</v>
      </c>
      <c r="AG725" t="s">
        <v>906</v>
      </c>
      <c r="AH725" s="51"/>
      <c r="AI725" s="51"/>
    </row>
    <row r="726" spans="2:35">
      <c r="B726" t="s">
        <v>907</v>
      </c>
      <c r="C726" t="s">
        <v>3656</v>
      </c>
      <c r="D726">
        <v>9</v>
      </c>
      <c r="E726" t="s">
        <v>2791</v>
      </c>
      <c r="F726">
        <v>5</v>
      </c>
      <c r="G726">
        <v>10</v>
      </c>
      <c r="H726">
        <v>7</v>
      </c>
      <c r="I726" t="s">
        <v>908</v>
      </c>
      <c r="K726" t="s">
        <v>27</v>
      </c>
      <c r="L726" t="s">
        <v>880</v>
      </c>
      <c r="M726">
        <v>3</v>
      </c>
      <c r="N726" t="str">
        <f>L726</f>
        <v>NAM\MB3488</v>
      </c>
      <c r="O726" s="51">
        <f>J726</f>
        <v>0</v>
      </c>
      <c r="P726" s="51" t="str">
        <f>C726</f>
        <v>~/cdd/olddocs/Control Plans/ITRON/AMSAFE/CP-AMSA-011 004041-0001 &amp; 004041-0002.pdf</v>
      </c>
      <c r="Q726" s="51" t="str">
        <f>E726</f>
        <v>pdf</v>
      </c>
      <c r="R726" s="51"/>
      <c r="S726" s="51"/>
      <c r="T726" s="51"/>
      <c r="U726" s="51"/>
      <c r="V726" s="51"/>
      <c r="W726" s="51"/>
      <c r="X726" s="51"/>
      <c r="Y726" s="51"/>
      <c r="Z726" s="51"/>
      <c r="AA726" s="51"/>
      <c r="AB726" s="51"/>
      <c r="AC726" s="51"/>
      <c r="AD726" s="51"/>
      <c r="AE726">
        <v>41165</v>
      </c>
      <c r="AG726" t="s">
        <v>909</v>
      </c>
      <c r="AH726" s="51"/>
      <c r="AI726" s="51"/>
    </row>
    <row r="727" spans="2:35">
      <c r="B727" t="s">
        <v>910</v>
      </c>
      <c r="C727" t="s">
        <v>3657</v>
      </c>
      <c r="D727">
        <v>9</v>
      </c>
      <c r="E727" t="s">
        <v>2791</v>
      </c>
      <c r="F727">
        <v>5</v>
      </c>
      <c r="G727">
        <v>10</v>
      </c>
      <c r="H727">
        <v>7</v>
      </c>
      <c r="I727" t="s">
        <v>911</v>
      </c>
      <c r="K727" t="s">
        <v>27</v>
      </c>
      <c r="L727" t="s">
        <v>880</v>
      </c>
      <c r="M727">
        <v>3</v>
      </c>
      <c r="N727" t="str">
        <f>L727</f>
        <v>NAM\MB3488</v>
      </c>
      <c r="O727" s="51">
        <f>J727</f>
        <v>0</v>
      </c>
      <c r="P727" s="51" t="str">
        <f>C727</f>
        <v>~/cdd/olddocs/Control Plans/ITRON/AMSAFE/CP-AMSA-012 004002-0001.pdf</v>
      </c>
      <c r="Q727" s="51" t="str">
        <f>E727</f>
        <v>pdf</v>
      </c>
      <c r="R727" s="51"/>
      <c r="S727" s="51"/>
      <c r="T727" s="51"/>
      <c r="U727" s="51"/>
      <c r="V727" s="51"/>
      <c r="W727" s="51"/>
      <c r="X727" s="51"/>
      <c r="Y727" s="51"/>
      <c r="Z727" s="51"/>
      <c r="AA727" s="51"/>
      <c r="AB727" s="51"/>
      <c r="AC727" s="51"/>
      <c r="AD727" s="51"/>
      <c r="AE727">
        <v>41165</v>
      </c>
      <c r="AG727" t="s">
        <v>912</v>
      </c>
      <c r="AH727" s="51"/>
      <c r="AI727" s="51"/>
    </row>
    <row r="728" spans="2:35">
      <c r="B728" t="s">
        <v>913</v>
      </c>
      <c r="C728" t="s">
        <v>3658</v>
      </c>
      <c r="D728">
        <v>9</v>
      </c>
      <c r="E728" t="s">
        <v>2791</v>
      </c>
      <c r="F728">
        <v>5</v>
      </c>
      <c r="G728">
        <v>10</v>
      </c>
      <c r="H728">
        <v>7</v>
      </c>
      <c r="I728" t="s">
        <v>914</v>
      </c>
      <c r="K728" t="s">
        <v>27</v>
      </c>
      <c r="L728" t="s">
        <v>880</v>
      </c>
      <c r="M728">
        <v>3</v>
      </c>
      <c r="N728" t="str">
        <f>L728</f>
        <v>NAM\MB3488</v>
      </c>
      <c r="O728" s="51">
        <f>J728</f>
        <v>0</v>
      </c>
      <c r="P728" s="51" t="str">
        <f>C728</f>
        <v>~/cdd/olddocs/Control Plans/ITRON/AMSAFE/CP-AMSA-013 004055-0002.pdf</v>
      </c>
      <c r="Q728" s="51" t="str">
        <f>E728</f>
        <v>pdf</v>
      </c>
      <c r="R728" s="51"/>
      <c r="S728" s="51"/>
      <c r="T728" s="51"/>
      <c r="U728" s="51"/>
      <c r="V728" s="51"/>
      <c r="W728" s="51"/>
      <c r="X728" s="51"/>
      <c r="Y728" s="51"/>
      <c r="Z728" s="51"/>
      <c r="AA728" s="51"/>
      <c r="AB728" s="51"/>
      <c r="AC728" s="51"/>
      <c r="AD728" s="51"/>
      <c r="AE728">
        <v>41165</v>
      </c>
      <c r="AG728" t="s">
        <v>915</v>
      </c>
      <c r="AH728" s="51"/>
      <c r="AI728" s="51"/>
    </row>
    <row r="729" spans="2:35">
      <c r="B729" t="s">
        <v>916</v>
      </c>
      <c r="C729" t="s">
        <v>3645</v>
      </c>
      <c r="D729">
        <v>9</v>
      </c>
      <c r="E729" t="s">
        <v>2791</v>
      </c>
      <c r="F729">
        <v>5</v>
      </c>
      <c r="G729">
        <v>10</v>
      </c>
      <c r="H729">
        <v>7</v>
      </c>
      <c r="I729" t="s">
        <v>917</v>
      </c>
      <c r="K729" t="s">
        <v>27</v>
      </c>
      <c r="L729" t="s">
        <v>880</v>
      </c>
      <c r="M729">
        <v>3</v>
      </c>
      <c r="N729" t="str">
        <f>L729</f>
        <v>NAM\MB3488</v>
      </c>
      <c r="O729" s="51">
        <f>J729</f>
        <v>0</v>
      </c>
      <c r="P729" s="51" t="str">
        <f>C729</f>
        <v>~/cdd/olddocs/Control Plans/ITRON/AMSAFE/CP-AMSA -014 003075-0001.pdf</v>
      </c>
      <c r="Q729" s="51" t="str">
        <f>E729</f>
        <v>pdf</v>
      </c>
      <c r="R729" s="51"/>
      <c r="S729" s="51"/>
      <c r="T729" s="51"/>
      <c r="U729" s="51"/>
      <c r="V729" s="51"/>
      <c r="W729" s="51"/>
      <c r="X729" s="51"/>
      <c r="Y729" s="51"/>
      <c r="Z729" s="51"/>
      <c r="AA729" s="51"/>
      <c r="AB729" s="51"/>
      <c r="AC729" s="51"/>
      <c r="AD729" s="51"/>
      <c r="AE729">
        <v>41165</v>
      </c>
      <c r="AG729" t="s">
        <v>918</v>
      </c>
      <c r="AH729" s="51"/>
      <c r="AI729" s="51"/>
    </row>
    <row r="730" spans="2:35">
      <c r="B730" t="s">
        <v>919</v>
      </c>
      <c r="C730" t="e">
        <v>#VALUE!</v>
      </c>
      <c r="D730">
        <v>9</v>
      </c>
      <c r="E730" t="e">
        <v>#VALUE!</v>
      </c>
      <c r="F730">
        <v>5</v>
      </c>
      <c r="G730">
        <v>10</v>
      </c>
      <c r="H730">
        <v>7</v>
      </c>
      <c r="I730" t="s">
        <v>891</v>
      </c>
      <c r="K730" t="s">
        <v>27</v>
      </c>
      <c r="L730" t="s">
        <v>880</v>
      </c>
      <c r="M730">
        <v>3</v>
      </c>
      <c r="N730" t="str">
        <f>L730</f>
        <v>NAM\MB3488</v>
      </c>
      <c r="O730" s="51">
        <f>J730</f>
        <v>0</v>
      </c>
      <c r="P730" s="51" t="e">
        <f>C730</f>
        <v>#VALUE!</v>
      </c>
      <c r="Q730" s="51" t="e">
        <f>E730</f>
        <v>#VALUE!</v>
      </c>
      <c r="R730" s="51"/>
      <c r="S730" s="51"/>
      <c r="T730" s="51"/>
      <c r="U730" s="51"/>
      <c r="V730" s="51"/>
      <c r="W730" s="51"/>
      <c r="X730" s="51"/>
      <c r="Y730" s="51"/>
      <c r="Z730" s="51"/>
      <c r="AA730" s="51"/>
      <c r="AB730" s="51"/>
      <c r="AC730" s="51"/>
      <c r="AD730" s="51"/>
      <c r="AE730">
        <v>41165</v>
      </c>
      <c r="AG730" t="s">
        <v>920</v>
      </c>
      <c r="AH730" s="51"/>
      <c r="AI730" s="51"/>
    </row>
    <row r="731" spans="2:35">
      <c r="B731" t="s">
        <v>921</v>
      </c>
      <c r="C731" t="e">
        <v>#VALUE!</v>
      </c>
      <c r="D731">
        <v>9</v>
      </c>
      <c r="E731" t="e">
        <v>#VALUE!</v>
      </c>
      <c r="F731">
        <v>5</v>
      </c>
      <c r="G731">
        <v>10</v>
      </c>
      <c r="H731">
        <v>7</v>
      </c>
      <c r="I731" t="s">
        <v>911</v>
      </c>
      <c r="K731" t="s">
        <v>27</v>
      </c>
      <c r="L731" t="s">
        <v>880</v>
      </c>
      <c r="M731">
        <v>3</v>
      </c>
      <c r="N731" t="str">
        <f>L731</f>
        <v>NAM\MB3488</v>
      </c>
      <c r="O731" s="51">
        <f>J731</f>
        <v>0</v>
      </c>
      <c r="P731" s="51" t="e">
        <f>C731</f>
        <v>#VALUE!</v>
      </c>
      <c r="Q731" s="51" t="e">
        <f>E731</f>
        <v>#VALUE!</v>
      </c>
      <c r="R731" s="51"/>
      <c r="S731" s="51"/>
      <c r="T731" s="51"/>
      <c r="U731" s="51"/>
      <c r="V731" s="51"/>
      <c r="W731" s="51"/>
      <c r="X731" s="51"/>
      <c r="Y731" s="51"/>
      <c r="Z731" s="51"/>
      <c r="AA731" s="51"/>
      <c r="AB731" s="51"/>
      <c r="AC731" s="51"/>
      <c r="AD731" s="51"/>
      <c r="AE731">
        <v>41165</v>
      </c>
      <c r="AG731" t="s">
        <v>922</v>
      </c>
      <c r="AH731" s="51"/>
      <c r="AI731" s="51"/>
    </row>
    <row r="732" spans="2:35">
      <c r="B732" t="s">
        <v>923</v>
      </c>
      <c r="C732" t="e">
        <v>#VALUE!</v>
      </c>
      <c r="D732">
        <v>9</v>
      </c>
      <c r="E732" t="e">
        <v>#VALUE!</v>
      </c>
      <c r="F732">
        <v>5</v>
      </c>
      <c r="G732">
        <v>10</v>
      </c>
      <c r="H732">
        <v>7</v>
      </c>
      <c r="I732" t="s">
        <v>924</v>
      </c>
      <c r="K732" t="s">
        <v>27</v>
      </c>
      <c r="L732" t="s">
        <v>880</v>
      </c>
      <c r="M732">
        <v>3</v>
      </c>
      <c r="N732" t="str">
        <f>L732</f>
        <v>NAM\MB3488</v>
      </c>
      <c r="O732" s="51">
        <f>J732</f>
        <v>0</v>
      </c>
      <c r="P732" s="51" t="e">
        <f>C732</f>
        <v>#VALUE!</v>
      </c>
      <c r="Q732" s="51" t="e">
        <f>E732</f>
        <v>#VALUE!</v>
      </c>
      <c r="R732" s="51"/>
      <c r="S732" s="51"/>
      <c r="T732" s="51"/>
      <c r="U732" s="51"/>
      <c r="V732" s="51"/>
      <c r="W732" s="51"/>
      <c r="X732" s="51"/>
      <c r="Y732" s="51"/>
      <c r="Z732" s="51"/>
      <c r="AA732" s="51"/>
      <c r="AB732" s="51"/>
      <c r="AC732" s="51"/>
      <c r="AD732" s="51"/>
      <c r="AE732">
        <v>41165</v>
      </c>
      <c r="AG732" t="s">
        <v>925</v>
      </c>
      <c r="AH732" s="51"/>
      <c r="AI732" s="51"/>
    </row>
    <row r="733" spans="2:35">
      <c r="B733" t="s">
        <v>926</v>
      </c>
      <c r="C733" t="s">
        <v>3659</v>
      </c>
      <c r="D733">
        <v>9</v>
      </c>
      <c r="E733" t="s">
        <v>2791</v>
      </c>
      <c r="F733">
        <v>5</v>
      </c>
      <c r="G733">
        <v>10</v>
      </c>
      <c r="H733">
        <v>7</v>
      </c>
      <c r="I733" t="s">
        <v>911</v>
      </c>
      <c r="K733" t="s">
        <v>27</v>
      </c>
      <c r="L733" t="s">
        <v>880</v>
      </c>
      <c r="M733">
        <v>3</v>
      </c>
      <c r="N733" t="str">
        <f>L733</f>
        <v>NAM\MB3488</v>
      </c>
      <c r="O733" s="51">
        <f>J733</f>
        <v>0</v>
      </c>
      <c r="P733" s="51" t="str">
        <f>C733</f>
        <v>~/cdd/olddocs/Control Plans/ITRON/AMSAFE/CP-AMSA-018  004062-0001.pdf</v>
      </c>
      <c r="Q733" s="51" t="str">
        <f>E733</f>
        <v>pdf</v>
      </c>
      <c r="R733" s="51"/>
      <c r="S733" s="51"/>
      <c r="T733" s="51"/>
      <c r="U733" s="51"/>
      <c r="V733" s="51"/>
      <c r="W733" s="51"/>
      <c r="X733" s="51"/>
      <c r="Y733" s="51"/>
      <c r="Z733" s="51"/>
      <c r="AA733" s="51"/>
      <c r="AB733" s="51"/>
      <c r="AC733" s="51"/>
      <c r="AD733" s="51"/>
      <c r="AE733">
        <v>41165</v>
      </c>
      <c r="AG733" t="s">
        <v>927</v>
      </c>
      <c r="AH733" s="51"/>
      <c r="AI733" s="51"/>
    </row>
    <row r="734" spans="2:35">
      <c r="B734" t="s">
        <v>928</v>
      </c>
      <c r="C734" t="s">
        <v>3660</v>
      </c>
      <c r="D734">
        <v>9</v>
      </c>
      <c r="E734" t="s">
        <v>2791</v>
      </c>
      <c r="F734">
        <v>5</v>
      </c>
      <c r="G734">
        <v>10</v>
      </c>
      <c r="H734">
        <v>7</v>
      </c>
      <c r="I734" t="s">
        <v>882</v>
      </c>
      <c r="K734" t="s">
        <v>27</v>
      </c>
      <c r="L734" t="s">
        <v>880</v>
      </c>
      <c r="M734">
        <v>3</v>
      </c>
      <c r="N734" t="str">
        <f>L734</f>
        <v>NAM\MB3488</v>
      </c>
      <c r="O734" s="51">
        <f>J734</f>
        <v>0</v>
      </c>
      <c r="P734" s="51" t="str">
        <f>C734</f>
        <v>~/cdd/olddocs/Control Plans/ITRON/AMSAFE/CP-AMSA-019  3084 3085 3086 3087 3088 3093 3095 4000 4001.pdf</v>
      </c>
      <c r="Q734" s="51" t="str">
        <f>E734</f>
        <v>pdf</v>
      </c>
      <c r="R734" s="51"/>
      <c r="S734" s="51"/>
      <c r="T734" s="51"/>
      <c r="U734" s="51"/>
      <c r="V734" s="51"/>
      <c r="W734" s="51"/>
      <c r="X734" s="51"/>
      <c r="Y734" s="51"/>
      <c r="Z734" s="51"/>
      <c r="AA734" s="51"/>
      <c r="AB734" s="51"/>
      <c r="AC734" s="51"/>
      <c r="AD734" s="51"/>
      <c r="AE734">
        <v>41172</v>
      </c>
      <c r="AG734" t="s">
        <v>929</v>
      </c>
      <c r="AH734" s="51"/>
      <c r="AI734" s="51"/>
    </row>
    <row r="735" spans="2:35">
      <c r="B735" t="s">
        <v>966</v>
      </c>
      <c r="C735" t="s">
        <v>3661</v>
      </c>
      <c r="D735">
        <v>9</v>
      </c>
      <c r="E735" t="s">
        <v>2791</v>
      </c>
      <c r="F735">
        <v>5</v>
      </c>
      <c r="G735">
        <v>10</v>
      </c>
      <c r="H735">
        <v>10</v>
      </c>
      <c r="I735" t="s">
        <v>969</v>
      </c>
      <c r="K735" t="s">
        <v>27</v>
      </c>
      <c r="L735" t="s">
        <v>880</v>
      </c>
      <c r="M735">
        <v>3</v>
      </c>
      <c r="N735" t="str">
        <f>L735</f>
        <v>NAM\MB3488</v>
      </c>
      <c r="O735" s="51">
        <f>J735</f>
        <v>0</v>
      </c>
      <c r="P735" s="51" t="str">
        <f>C735</f>
        <v>~/cdd/olddocs/Control Plans/ITRON/BONDING/CP-BOND-001  000100-0113M, 000100-0179, 000102-TAB, 000103-TAB, 000104-TAB &amp; 000105-TAB..pdf</v>
      </c>
      <c r="Q735" s="51" t="str">
        <f>E735</f>
        <v>pdf</v>
      </c>
      <c r="R735" s="51"/>
      <c r="S735" s="51"/>
      <c r="T735" s="51"/>
      <c r="U735" s="51"/>
      <c r="V735" s="51"/>
      <c r="W735" s="51"/>
      <c r="X735" s="51"/>
      <c r="Y735" s="51"/>
      <c r="Z735" s="51"/>
      <c r="AA735" s="51"/>
      <c r="AB735" s="51"/>
      <c r="AC735" s="51"/>
      <c r="AD735" s="51"/>
      <c r="AE735">
        <v>41141</v>
      </c>
      <c r="AG735" t="s">
        <v>970</v>
      </c>
      <c r="AH735" s="51"/>
      <c r="AI735" s="51"/>
    </row>
    <row r="736" spans="2:35">
      <c r="B736" t="s">
        <v>971</v>
      </c>
      <c r="C736" t="s">
        <v>3662</v>
      </c>
      <c r="D736">
        <v>9</v>
      </c>
      <c r="E736" t="s">
        <v>2791</v>
      </c>
      <c r="F736">
        <v>5</v>
      </c>
      <c r="G736">
        <v>10</v>
      </c>
      <c r="H736">
        <v>10</v>
      </c>
      <c r="I736" t="s">
        <v>972</v>
      </c>
      <c r="K736" t="s">
        <v>27</v>
      </c>
      <c r="L736" t="s">
        <v>880</v>
      </c>
      <c r="M736">
        <v>3</v>
      </c>
      <c r="N736" t="str">
        <f>L736</f>
        <v>NAM\MB3488</v>
      </c>
      <c r="O736" s="51">
        <f>J736</f>
        <v>0</v>
      </c>
      <c r="P736" s="51" t="str">
        <f>C736</f>
        <v>~/cdd/olddocs/Control Plans/ITRON/BONDING/CP-BOND-002  002359-TAB 002360-TAB  002361-TAB.pdf</v>
      </c>
      <c r="Q736" s="51" t="str">
        <f>E736</f>
        <v>pdf</v>
      </c>
      <c r="R736" s="51"/>
      <c r="S736" s="51"/>
      <c r="T736" s="51"/>
      <c r="U736" s="51"/>
      <c r="V736" s="51"/>
      <c r="W736" s="51"/>
      <c r="X736" s="51"/>
      <c r="Y736" s="51"/>
      <c r="Z736" s="51"/>
      <c r="AA736" s="51"/>
      <c r="AB736" s="51"/>
      <c r="AC736" s="51"/>
      <c r="AD736" s="51"/>
      <c r="AE736">
        <v>41149</v>
      </c>
      <c r="AG736" t="s">
        <v>973</v>
      </c>
      <c r="AH736" s="51"/>
      <c r="AI736" s="51"/>
    </row>
    <row r="737" spans="2:35">
      <c r="B737" t="s">
        <v>974</v>
      </c>
      <c r="C737" t="s">
        <v>3663</v>
      </c>
      <c r="D737">
        <v>9</v>
      </c>
      <c r="E737" t="s">
        <v>2791</v>
      </c>
      <c r="F737">
        <v>5</v>
      </c>
      <c r="G737">
        <v>10</v>
      </c>
      <c r="H737">
        <v>10</v>
      </c>
      <c r="I737" t="s">
        <v>975</v>
      </c>
      <c r="K737" t="s">
        <v>27</v>
      </c>
      <c r="L737" t="s">
        <v>880</v>
      </c>
      <c r="M737">
        <v>3</v>
      </c>
      <c r="N737" t="str">
        <f>L737</f>
        <v>NAM\MB3488</v>
      </c>
      <c r="O737" s="51">
        <f>J737</f>
        <v>0</v>
      </c>
      <c r="P737" s="51" t="str">
        <f>C737</f>
        <v>~/cdd/olddocs/Control Plans/ITRON/BONDING/CP-BOND-003  Conector BACC65 TODOS.pdf</v>
      </c>
      <c r="Q737" s="51" t="str">
        <f>E737</f>
        <v>pdf</v>
      </c>
      <c r="R737" s="51"/>
      <c r="S737" s="51"/>
      <c r="T737" s="51"/>
      <c r="U737" s="51"/>
      <c r="V737" s="51"/>
      <c r="W737" s="51"/>
      <c r="X737" s="51"/>
      <c r="Y737" s="51"/>
      <c r="Z737" s="51"/>
      <c r="AA737" s="51"/>
      <c r="AB737" s="51"/>
      <c r="AC737" s="51"/>
      <c r="AD737" s="51"/>
      <c r="AE737">
        <v>41180</v>
      </c>
      <c r="AG737" t="s">
        <v>976</v>
      </c>
      <c r="AH737" s="51"/>
      <c r="AI737" s="51"/>
    </row>
    <row r="738" spans="2:35">
      <c r="B738" t="s">
        <v>977</v>
      </c>
      <c r="C738" t="s">
        <v>3664</v>
      </c>
      <c r="D738">
        <v>9</v>
      </c>
      <c r="E738" t="s">
        <v>2791</v>
      </c>
      <c r="F738">
        <v>5</v>
      </c>
      <c r="G738">
        <v>10</v>
      </c>
      <c r="H738">
        <v>10</v>
      </c>
      <c r="I738" t="s">
        <v>972</v>
      </c>
      <c r="K738" t="s">
        <v>27</v>
      </c>
      <c r="L738" t="s">
        <v>880</v>
      </c>
      <c r="M738">
        <v>3</v>
      </c>
      <c r="N738" t="str">
        <f>L738</f>
        <v>NAM\MB3488</v>
      </c>
      <c r="O738" s="51">
        <f>J738</f>
        <v>0</v>
      </c>
      <c r="P738" s="51" t="str">
        <f>C738</f>
        <v>~/cdd/olddocs/Control Plans/ITRON/BONDING/CP-BOND-004  002359-TAB, 002360-TAB &amp; 002361-TAB..pdf</v>
      </c>
      <c r="Q738" s="51" t="str">
        <f>E738</f>
        <v>pdf</v>
      </c>
      <c r="R738" s="51"/>
      <c r="S738" s="51"/>
      <c r="T738" s="51"/>
      <c r="U738" s="51"/>
      <c r="V738" s="51"/>
      <c r="W738" s="51"/>
      <c r="X738" s="51"/>
      <c r="Y738" s="51"/>
      <c r="Z738" s="51"/>
      <c r="AA738" s="51"/>
      <c r="AB738" s="51"/>
      <c r="AC738" s="51"/>
      <c r="AD738" s="51"/>
      <c r="AE738">
        <v>41206</v>
      </c>
      <c r="AG738" t="s">
        <v>973</v>
      </c>
      <c r="AH738" s="51"/>
      <c r="AI738" s="51"/>
    </row>
    <row r="739" spans="2:35">
      <c r="B739" t="s">
        <v>978</v>
      </c>
      <c r="C739" t="e">
        <v>#VALUE!</v>
      </c>
      <c r="D739">
        <v>9</v>
      </c>
      <c r="E739" t="e">
        <v>#VALUE!</v>
      </c>
      <c r="F739">
        <v>5</v>
      </c>
      <c r="G739">
        <v>10</v>
      </c>
      <c r="H739">
        <v>10</v>
      </c>
      <c r="I739" t="s">
        <v>969</v>
      </c>
      <c r="K739" t="s">
        <v>27</v>
      </c>
      <c r="L739" t="s">
        <v>880</v>
      </c>
      <c r="M739">
        <v>3</v>
      </c>
      <c r="N739" t="str">
        <f>L739</f>
        <v>NAM\MB3488</v>
      </c>
      <c r="O739" s="51">
        <f>J739</f>
        <v>0</v>
      </c>
      <c r="P739" s="51" t="e">
        <f>C739</f>
        <v>#VALUE!</v>
      </c>
      <c r="Q739" s="51" t="e">
        <f>E739</f>
        <v>#VALUE!</v>
      </c>
      <c r="R739" s="51"/>
      <c r="S739" s="51"/>
      <c r="T739" s="51"/>
      <c r="U739" s="51"/>
      <c r="V739" s="51"/>
      <c r="W739" s="51"/>
      <c r="X739" s="51"/>
      <c r="Y739" s="51"/>
      <c r="Z739" s="51"/>
      <c r="AA739" s="51"/>
      <c r="AB739" s="51"/>
      <c r="AC739" s="51"/>
      <c r="AD739" s="51"/>
      <c r="AE739">
        <v>41206</v>
      </c>
      <c r="AG739" t="s">
        <v>979</v>
      </c>
      <c r="AH739" s="51"/>
      <c r="AI739" s="51"/>
    </row>
    <row r="740" spans="2:35">
      <c r="B740" t="s">
        <v>980</v>
      </c>
      <c r="C740" t="e">
        <v>#VALUE!</v>
      </c>
      <c r="D740">
        <v>9</v>
      </c>
      <c r="E740" t="e">
        <v>#VALUE!</v>
      </c>
      <c r="F740">
        <v>5</v>
      </c>
      <c r="G740">
        <v>10</v>
      </c>
      <c r="H740">
        <v>10</v>
      </c>
      <c r="I740" t="s">
        <v>981</v>
      </c>
      <c r="K740" t="s">
        <v>27</v>
      </c>
      <c r="L740" t="s">
        <v>880</v>
      </c>
      <c r="M740">
        <v>3</v>
      </c>
      <c r="N740" t="str">
        <f>L740</f>
        <v>NAM\MB3488</v>
      </c>
      <c r="O740" s="51">
        <f>J740</f>
        <v>0</v>
      </c>
      <c r="P740" s="51" t="e">
        <f>C740</f>
        <v>#VALUE!</v>
      </c>
      <c r="Q740" s="51" t="e">
        <f>E740</f>
        <v>#VALUE!</v>
      </c>
      <c r="R740" s="51"/>
      <c r="S740" s="51"/>
      <c r="T740" s="51"/>
      <c r="U740" s="51"/>
      <c r="V740" s="51"/>
      <c r="W740" s="51"/>
      <c r="X740" s="51"/>
      <c r="Y740" s="51"/>
      <c r="Z740" s="51"/>
      <c r="AA740" s="51"/>
      <c r="AB740" s="51"/>
      <c r="AC740" s="51"/>
      <c r="AD740" s="51"/>
      <c r="AE740">
        <v>41206</v>
      </c>
      <c r="AG740" t="s">
        <v>982</v>
      </c>
      <c r="AH740" s="51"/>
      <c r="AI740" s="51"/>
    </row>
    <row r="741" spans="2:35">
      <c r="B741" t="s">
        <v>983</v>
      </c>
      <c r="C741" t="s">
        <v>3665</v>
      </c>
      <c r="D741">
        <v>9</v>
      </c>
      <c r="E741" t="s">
        <v>2791</v>
      </c>
      <c r="F741">
        <v>5</v>
      </c>
      <c r="G741">
        <v>10</v>
      </c>
      <c r="H741">
        <v>10</v>
      </c>
      <c r="I741" t="s">
        <v>984</v>
      </c>
      <c r="K741" t="s">
        <v>27</v>
      </c>
      <c r="L741" t="s">
        <v>880</v>
      </c>
      <c r="M741">
        <v>3</v>
      </c>
      <c r="N741" t="str">
        <f>L741</f>
        <v>NAM\MB3488</v>
      </c>
      <c r="O741" s="51">
        <f>J741</f>
        <v>0</v>
      </c>
      <c r="P741" s="51" t="str">
        <f>C741</f>
        <v>~/cdd/olddocs/Control Plans/ITRON/BONDING/CP-BOND-007   002367-0121.pdf</v>
      </c>
      <c r="Q741" s="51" t="str">
        <f>E741</f>
        <v>pdf</v>
      </c>
      <c r="R741" s="51"/>
      <c r="S741" s="51"/>
      <c r="T741" s="51"/>
      <c r="U741" s="51"/>
      <c r="V741" s="51"/>
      <c r="W741" s="51"/>
      <c r="X741" s="51"/>
      <c r="Y741" s="51"/>
      <c r="Z741" s="51"/>
      <c r="AA741" s="51"/>
      <c r="AB741" s="51"/>
      <c r="AC741" s="51"/>
      <c r="AD741" s="51"/>
      <c r="AE741">
        <v>41206</v>
      </c>
      <c r="AG741" t="s">
        <v>985</v>
      </c>
      <c r="AH741" s="51"/>
      <c r="AI741" s="51"/>
    </row>
    <row r="742" spans="2:35">
      <c r="B742" t="s">
        <v>986</v>
      </c>
      <c r="C742" t="e">
        <v>#VALUE!</v>
      </c>
      <c r="D742">
        <v>9</v>
      </c>
      <c r="E742" t="e">
        <v>#VALUE!</v>
      </c>
      <c r="F742">
        <v>5</v>
      </c>
      <c r="G742">
        <v>10</v>
      </c>
      <c r="H742">
        <v>10</v>
      </c>
      <c r="I742" t="s">
        <v>987</v>
      </c>
      <c r="K742" t="s">
        <v>27</v>
      </c>
      <c r="L742" t="s">
        <v>880</v>
      </c>
      <c r="M742">
        <v>3</v>
      </c>
      <c r="N742" t="str">
        <f>L742</f>
        <v>NAM\MB3488</v>
      </c>
      <c r="O742" s="51">
        <f>J742</f>
        <v>0</v>
      </c>
      <c r="P742" s="51" t="e">
        <f>C742</f>
        <v>#VALUE!</v>
      </c>
      <c r="Q742" s="51" t="e">
        <f>E742</f>
        <v>#VALUE!</v>
      </c>
      <c r="R742" s="51"/>
      <c r="S742" s="51"/>
      <c r="T742" s="51"/>
      <c r="U742" s="51"/>
      <c r="V742" s="51"/>
      <c r="W742" s="51"/>
      <c r="X742" s="51"/>
      <c r="Y742" s="51"/>
      <c r="Z742" s="51"/>
      <c r="AA742" s="51"/>
      <c r="AB742" s="51"/>
      <c r="AC742" s="51"/>
      <c r="AD742" s="51"/>
      <c r="AE742">
        <v>41206</v>
      </c>
      <c r="AG742" t="s">
        <v>988</v>
      </c>
      <c r="AH742" s="51"/>
      <c r="AI742" s="51"/>
    </row>
    <row r="743" spans="2:35">
      <c r="B743" t="s">
        <v>989</v>
      </c>
      <c r="C743" t="s">
        <v>3666</v>
      </c>
      <c r="D743">
        <v>9</v>
      </c>
      <c r="E743" t="s">
        <v>2791</v>
      </c>
      <c r="F743">
        <v>5</v>
      </c>
      <c r="G743">
        <v>10</v>
      </c>
      <c r="H743">
        <v>10</v>
      </c>
      <c r="I743" t="s">
        <v>990</v>
      </c>
      <c r="K743" t="s">
        <v>27</v>
      </c>
      <c r="L743" t="s">
        <v>880</v>
      </c>
      <c r="M743">
        <v>3</v>
      </c>
      <c r="N743" t="str">
        <f>L743</f>
        <v>NAM\MB3488</v>
      </c>
      <c r="O743" s="51">
        <f>J743</f>
        <v>0</v>
      </c>
      <c r="P743" s="51" t="str">
        <f>C743</f>
        <v>~/cdd/olddocs/Control Plans/ITRON/BONDING/CP-BOND-009  02368-0211A.pdf</v>
      </c>
      <c r="Q743" s="51" t="str">
        <f>E743</f>
        <v>pdf</v>
      </c>
      <c r="R743" s="51"/>
      <c r="S743" s="51"/>
      <c r="T743" s="51"/>
      <c r="U743" s="51"/>
      <c r="V743" s="51"/>
      <c r="W743" s="51"/>
      <c r="X743" s="51"/>
      <c r="Y743" s="51"/>
      <c r="Z743" s="51"/>
      <c r="AA743" s="51"/>
      <c r="AB743" s="51"/>
      <c r="AC743" s="51"/>
      <c r="AD743" s="51"/>
      <c r="AE743">
        <v>41206</v>
      </c>
      <c r="AG743" t="s">
        <v>991</v>
      </c>
      <c r="AH743" s="51"/>
      <c r="AI743" s="51"/>
    </row>
    <row r="744" spans="2:35">
      <c r="B744" t="s">
        <v>992</v>
      </c>
      <c r="C744" t="s">
        <v>3667</v>
      </c>
      <c r="D744">
        <v>9</v>
      </c>
      <c r="E744" t="s">
        <v>2791</v>
      </c>
      <c r="F744">
        <v>5</v>
      </c>
      <c r="G744">
        <v>10</v>
      </c>
      <c r="H744">
        <v>10</v>
      </c>
      <c r="I744" t="s">
        <v>993</v>
      </c>
      <c r="K744" t="s">
        <v>27</v>
      </c>
      <c r="L744" t="s">
        <v>880</v>
      </c>
      <c r="M744">
        <v>3</v>
      </c>
      <c r="N744" t="str">
        <f>L744</f>
        <v>NAM\MB3488</v>
      </c>
      <c r="O744" s="51">
        <f>J744</f>
        <v>0</v>
      </c>
      <c r="P744" s="51" t="str">
        <f>C744</f>
        <v>~/cdd/olddocs/Control Plans/ITRON/BONDING/CP-BOND-010   002368-0221.pdf</v>
      </c>
      <c r="Q744" s="51" t="str">
        <f>E744</f>
        <v>pdf</v>
      </c>
      <c r="R744" s="51"/>
      <c r="S744" s="51"/>
      <c r="T744" s="51"/>
      <c r="U744" s="51"/>
      <c r="V744" s="51"/>
      <c r="W744" s="51"/>
      <c r="X744" s="51"/>
      <c r="Y744" s="51"/>
      <c r="Z744" s="51"/>
      <c r="AA744" s="51"/>
      <c r="AB744" s="51"/>
      <c r="AC744" s="51"/>
      <c r="AD744" s="51"/>
      <c r="AE744">
        <v>41206</v>
      </c>
      <c r="AG744" t="s">
        <v>994</v>
      </c>
      <c r="AH744" s="51"/>
      <c r="AI744" s="51"/>
    </row>
    <row r="745" spans="2:35">
      <c r="B745" t="s">
        <v>995</v>
      </c>
      <c r="C745" t="s">
        <v>3668</v>
      </c>
      <c r="D745">
        <v>9</v>
      </c>
      <c r="E745" t="s">
        <v>2791</v>
      </c>
      <c r="F745">
        <v>5</v>
      </c>
      <c r="G745">
        <v>10</v>
      </c>
      <c r="H745">
        <v>10</v>
      </c>
      <c r="I745" t="s">
        <v>996</v>
      </c>
      <c r="K745" t="s">
        <v>27</v>
      </c>
      <c r="L745" t="s">
        <v>880</v>
      </c>
      <c r="M745">
        <v>3</v>
      </c>
      <c r="N745" t="str">
        <f>L745</f>
        <v>NAM\MB3488</v>
      </c>
      <c r="O745" s="51">
        <f>J745</f>
        <v>0</v>
      </c>
      <c r="P745" s="51" t="str">
        <f>C745</f>
        <v>~/cdd/olddocs/Control Plans/ITRON/BONDING/CP-BOND-011   002368-0221A.pdf</v>
      </c>
      <c r="Q745" s="51" t="str">
        <f>E745</f>
        <v>pdf</v>
      </c>
      <c r="R745" s="51"/>
      <c r="S745" s="51"/>
      <c r="T745" s="51"/>
      <c r="U745" s="51"/>
      <c r="V745" s="51"/>
      <c r="W745" s="51"/>
      <c r="X745" s="51"/>
      <c r="Y745" s="51"/>
      <c r="Z745" s="51"/>
      <c r="AA745" s="51"/>
      <c r="AB745" s="51"/>
      <c r="AC745" s="51"/>
      <c r="AD745" s="51"/>
      <c r="AE745">
        <v>41206</v>
      </c>
      <c r="AG745" t="s">
        <v>997</v>
      </c>
      <c r="AH745" s="51"/>
      <c r="AI745" s="51"/>
    </row>
    <row r="746" spans="2:35">
      <c r="B746" t="s">
        <v>998</v>
      </c>
      <c r="C746" t="s">
        <v>3669</v>
      </c>
      <c r="D746">
        <v>9</v>
      </c>
      <c r="E746" t="s">
        <v>2791</v>
      </c>
      <c r="F746">
        <v>5</v>
      </c>
      <c r="G746">
        <v>10</v>
      </c>
      <c r="H746">
        <v>10</v>
      </c>
      <c r="I746" t="s">
        <v>999</v>
      </c>
      <c r="K746" t="s">
        <v>27</v>
      </c>
      <c r="L746" t="s">
        <v>880</v>
      </c>
      <c r="M746">
        <v>3</v>
      </c>
      <c r="N746" t="str">
        <f>L746</f>
        <v>NAM\MB3488</v>
      </c>
      <c r="O746" s="51">
        <f>J746</f>
        <v>0</v>
      </c>
      <c r="P746" s="51" t="str">
        <f>C746</f>
        <v>~/cdd/olddocs/Control Plans/ITRON/BONDING/CP-BOND-012   002368-0802.pdf</v>
      </c>
      <c r="Q746" s="51" t="str">
        <f>E746</f>
        <v>pdf</v>
      </c>
      <c r="R746" s="51"/>
      <c r="S746" s="51"/>
      <c r="T746" s="51"/>
      <c r="U746" s="51"/>
      <c r="V746" s="51"/>
      <c r="W746" s="51"/>
      <c r="X746" s="51"/>
      <c r="Y746" s="51"/>
      <c r="Z746" s="51"/>
      <c r="AA746" s="51"/>
      <c r="AB746" s="51"/>
      <c r="AC746" s="51"/>
      <c r="AD746" s="51"/>
      <c r="AE746">
        <v>41206</v>
      </c>
      <c r="AG746" t="s">
        <v>1000</v>
      </c>
      <c r="AH746" s="51"/>
      <c r="AI746" s="51"/>
    </row>
    <row r="747" spans="2:35">
      <c r="B747" t="s">
        <v>1001</v>
      </c>
      <c r="C747" t="s">
        <v>3670</v>
      </c>
      <c r="D747">
        <v>9</v>
      </c>
      <c r="E747" t="s">
        <v>2791</v>
      </c>
      <c r="F747">
        <v>5</v>
      </c>
      <c r="G747">
        <v>10</v>
      </c>
      <c r="H747">
        <v>10</v>
      </c>
      <c r="I747" t="s">
        <v>1002</v>
      </c>
      <c r="K747" t="s">
        <v>27</v>
      </c>
      <c r="L747" t="s">
        <v>880</v>
      </c>
      <c r="M747">
        <v>3</v>
      </c>
      <c r="N747" t="str">
        <f>L747</f>
        <v>NAM\MB3488</v>
      </c>
      <c r="O747" s="51">
        <f>J747</f>
        <v>0</v>
      </c>
      <c r="P747" s="51" t="str">
        <f>C747</f>
        <v>~/cdd/olddocs/Control Plans/ITRON/BONDING/CP-BOND-013   002369-0001.pdf</v>
      </c>
      <c r="Q747" s="51" t="str">
        <f>E747</f>
        <v>pdf</v>
      </c>
      <c r="R747" s="51"/>
      <c r="S747" s="51"/>
      <c r="T747" s="51"/>
      <c r="U747" s="51"/>
      <c r="V747" s="51"/>
      <c r="W747" s="51"/>
      <c r="X747" s="51"/>
      <c r="Y747" s="51"/>
      <c r="Z747" s="51"/>
      <c r="AA747" s="51"/>
      <c r="AB747" s="51"/>
      <c r="AC747" s="51"/>
      <c r="AD747" s="51"/>
      <c r="AE747">
        <v>41207</v>
      </c>
      <c r="AG747" t="s">
        <v>1003</v>
      </c>
      <c r="AH747" s="51"/>
      <c r="AI747" s="51"/>
    </row>
    <row r="748" spans="2:35">
      <c r="B748" t="s">
        <v>1004</v>
      </c>
      <c r="C748" t="s">
        <v>3671</v>
      </c>
      <c r="D748">
        <v>9</v>
      </c>
      <c r="E748" t="s">
        <v>2791</v>
      </c>
      <c r="F748">
        <v>5</v>
      </c>
      <c r="G748">
        <v>10</v>
      </c>
      <c r="H748">
        <v>10</v>
      </c>
      <c r="I748" t="s">
        <v>1005</v>
      </c>
      <c r="K748" t="s">
        <v>27</v>
      </c>
      <c r="L748" t="s">
        <v>880</v>
      </c>
      <c r="M748">
        <v>3</v>
      </c>
      <c r="N748" t="str">
        <f>L748</f>
        <v>NAM\MB3488</v>
      </c>
      <c r="O748" s="51">
        <f>J748</f>
        <v>0</v>
      </c>
      <c r="P748" s="51" t="str">
        <f>C748</f>
        <v>~/cdd/olddocs/Control Plans/ITRON/BONDING/CP-BOND-014   002371-0002 &amp; 002371-0004.pdf</v>
      </c>
      <c r="Q748" s="51" t="str">
        <f>E748</f>
        <v>pdf</v>
      </c>
      <c r="R748" s="51"/>
      <c r="S748" s="51"/>
      <c r="T748" s="51"/>
      <c r="U748" s="51"/>
      <c r="V748" s="51"/>
      <c r="W748" s="51"/>
      <c r="X748" s="51"/>
      <c r="Y748" s="51"/>
      <c r="Z748" s="51"/>
      <c r="AA748" s="51"/>
      <c r="AB748" s="51"/>
      <c r="AC748" s="51"/>
      <c r="AD748" s="51"/>
      <c r="AE748">
        <v>41207</v>
      </c>
      <c r="AG748" t="s">
        <v>1006</v>
      </c>
      <c r="AH748" s="51"/>
      <c r="AI748" s="51"/>
    </row>
    <row r="749" spans="2:35">
      <c r="B749" t="s">
        <v>1007</v>
      </c>
      <c r="C749" t="s">
        <v>3672</v>
      </c>
      <c r="D749">
        <v>9</v>
      </c>
      <c r="E749" t="s">
        <v>2791</v>
      </c>
      <c r="F749">
        <v>5</v>
      </c>
      <c r="G749">
        <v>10</v>
      </c>
      <c r="H749">
        <v>10</v>
      </c>
      <c r="I749" t="s">
        <v>1005</v>
      </c>
      <c r="K749" t="s">
        <v>27</v>
      </c>
      <c r="L749" t="s">
        <v>880</v>
      </c>
      <c r="M749">
        <v>3</v>
      </c>
      <c r="N749" t="str">
        <f>L749</f>
        <v>NAM\MB3488</v>
      </c>
      <c r="O749" s="51">
        <f>J749</f>
        <v>0</v>
      </c>
      <c r="P749" s="51" t="str">
        <f>C749</f>
        <v>~/cdd/olddocs/Control Plans/ITRON/BONDING/CP-BOND-015   002371-0003.pdf</v>
      </c>
      <c r="Q749" s="51" t="str">
        <f>E749</f>
        <v>pdf</v>
      </c>
      <c r="R749" s="51"/>
      <c r="S749" s="51"/>
      <c r="T749" s="51"/>
      <c r="U749" s="51"/>
      <c r="V749" s="51"/>
      <c r="W749" s="51"/>
      <c r="X749" s="51"/>
      <c r="Y749" s="51"/>
      <c r="Z749" s="51"/>
      <c r="AA749" s="51"/>
      <c r="AB749" s="51"/>
      <c r="AC749" s="51"/>
      <c r="AD749" s="51"/>
      <c r="AE749">
        <v>41207</v>
      </c>
      <c r="AG749" t="s">
        <v>1008</v>
      </c>
      <c r="AH749" s="51"/>
      <c r="AI749" s="51"/>
    </row>
    <row r="750" spans="2:35">
      <c r="B750" t="s">
        <v>1009</v>
      </c>
      <c r="C750" t="s">
        <v>3673</v>
      </c>
      <c r="D750">
        <v>9</v>
      </c>
      <c r="E750" t="s">
        <v>2791</v>
      </c>
      <c r="F750">
        <v>5</v>
      </c>
      <c r="G750">
        <v>10</v>
      </c>
      <c r="H750">
        <v>10</v>
      </c>
      <c r="I750" t="s">
        <v>1010</v>
      </c>
      <c r="K750" t="s">
        <v>27</v>
      </c>
      <c r="L750" t="s">
        <v>880</v>
      </c>
      <c r="M750">
        <v>3</v>
      </c>
      <c r="N750" t="str">
        <f>L750</f>
        <v>NAM\MB3488</v>
      </c>
      <c r="O750" s="51">
        <f>J750</f>
        <v>0</v>
      </c>
      <c r="P750" s="51" t="str">
        <f>C750</f>
        <v>~/cdd/olddocs/Control Plans/ITRON/BONDING/CP-BOND-016   002378-0001.pdf</v>
      </c>
      <c r="Q750" s="51" t="str">
        <f>E750</f>
        <v>pdf</v>
      </c>
      <c r="R750" s="51"/>
      <c r="S750" s="51"/>
      <c r="T750" s="51"/>
      <c r="U750" s="51"/>
      <c r="V750" s="51"/>
      <c r="W750" s="51"/>
      <c r="X750" s="51"/>
      <c r="Y750" s="51"/>
      <c r="Z750" s="51"/>
      <c r="AA750" s="51"/>
      <c r="AB750" s="51"/>
      <c r="AC750" s="51"/>
      <c r="AD750" s="51"/>
      <c r="AE750">
        <v>41207</v>
      </c>
      <c r="AG750" t="s">
        <v>1011</v>
      </c>
      <c r="AH750" s="51"/>
      <c r="AI750" s="51"/>
    </row>
    <row r="751" spans="2:35">
      <c r="B751" t="s">
        <v>1012</v>
      </c>
      <c r="C751" t="s">
        <v>3674</v>
      </c>
      <c r="D751">
        <v>9</v>
      </c>
      <c r="E751" t="s">
        <v>2791</v>
      </c>
      <c r="F751">
        <v>5</v>
      </c>
      <c r="G751">
        <v>10</v>
      </c>
      <c r="H751">
        <v>10</v>
      </c>
      <c r="I751" t="s">
        <v>1013</v>
      </c>
      <c r="K751" t="s">
        <v>27</v>
      </c>
      <c r="L751" t="s">
        <v>880</v>
      </c>
      <c r="M751">
        <v>3</v>
      </c>
      <c r="N751" t="str">
        <f>L751</f>
        <v>NAM\MB3488</v>
      </c>
      <c r="O751" s="51">
        <f>J751</f>
        <v>0</v>
      </c>
      <c r="P751" s="51" t="str">
        <f>C751</f>
        <v>~/cdd/olddocs/Control Plans/ITRON/BONDING/CP-BOND-017   002379-0001.pdf</v>
      </c>
      <c r="Q751" s="51" t="str">
        <f>E751</f>
        <v>pdf</v>
      </c>
      <c r="R751" s="51"/>
      <c r="S751" s="51"/>
      <c r="T751" s="51"/>
      <c r="U751" s="51"/>
      <c r="V751" s="51"/>
      <c r="W751" s="51"/>
      <c r="X751" s="51"/>
      <c r="Y751" s="51"/>
      <c r="Z751" s="51"/>
      <c r="AA751" s="51"/>
      <c r="AB751" s="51"/>
      <c r="AC751" s="51"/>
      <c r="AD751" s="51"/>
      <c r="AE751">
        <v>41207</v>
      </c>
      <c r="AG751" t="s">
        <v>1014</v>
      </c>
      <c r="AH751" s="51"/>
      <c r="AI751" s="51"/>
    </row>
    <row r="752" spans="2:35">
      <c r="B752" t="s">
        <v>1015</v>
      </c>
      <c r="C752" t="s">
        <v>3675</v>
      </c>
      <c r="D752">
        <v>9</v>
      </c>
      <c r="E752" t="s">
        <v>2791</v>
      </c>
      <c r="F752">
        <v>5</v>
      </c>
      <c r="G752">
        <v>10</v>
      </c>
      <c r="H752">
        <v>10</v>
      </c>
      <c r="I752" t="s">
        <v>1016</v>
      </c>
      <c r="K752" t="s">
        <v>27</v>
      </c>
      <c r="L752" t="s">
        <v>880</v>
      </c>
      <c r="M752">
        <v>3</v>
      </c>
      <c r="N752" t="str">
        <f>L752</f>
        <v>NAM\MB3488</v>
      </c>
      <c r="O752" s="51">
        <f>J752</f>
        <v>0</v>
      </c>
      <c r="P752" s="51" t="str">
        <f>C752</f>
        <v>~/cdd/olddocs/Control Plans/ITRON/BONDING/CP-BOND-018   002501-0001 y 002505-0001.pdf</v>
      </c>
      <c r="Q752" s="51" t="str">
        <f>E752</f>
        <v>pdf</v>
      </c>
      <c r="R752" s="51"/>
      <c r="S752" s="51"/>
      <c r="T752" s="51"/>
      <c r="U752" s="51"/>
      <c r="V752" s="51"/>
      <c r="W752" s="51"/>
      <c r="X752" s="51"/>
      <c r="Y752" s="51"/>
      <c r="Z752" s="51"/>
      <c r="AA752" s="51"/>
      <c r="AB752" s="51"/>
      <c r="AC752" s="51"/>
      <c r="AD752" s="51"/>
      <c r="AE752">
        <v>41207</v>
      </c>
      <c r="AG752" t="s">
        <v>1017</v>
      </c>
      <c r="AH752" s="51"/>
      <c r="AI752" s="51"/>
    </row>
    <row r="753" spans="2:35">
      <c r="B753" t="s">
        <v>1018</v>
      </c>
      <c r="C753" t="s">
        <v>3676</v>
      </c>
      <c r="D753">
        <v>9</v>
      </c>
      <c r="E753" t="s">
        <v>2791</v>
      </c>
      <c r="F753">
        <v>5</v>
      </c>
      <c r="G753">
        <v>10</v>
      </c>
      <c r="H753">
        <v>10</v>
      </c>
      <c r="I753" t="s">
        <v>1019</v>
      </c>
      <c r="K753" t="s">
        <v>27</v>
      </c>
      <c r="L753" t="s">
        <v>880</v>
      </c>
      <c r="M753">
        <v>3</v>
      </c>
      <c r="N753" t="str">
        <f>L753</f>
        <v>NAM\MB3488</v>
      </c>
      <c r="O753" s="51">
        <f>J753</f>
        <v>0</v>
      </c>
      <c r="P753" s="51" t="str">
        <f>C753</f>
        <v>~/cdd/olddocs/Control Plans/ITRON/BONDING/CP-BOND-019   002600-000X &amp; 002601-000X.pdf</v>
      </c>
      <c r="Q753" s="51" t="str">
        <f>E753</f>
        <v>pdf</v>
      </c>
      <c r="R753" s="51"/>
      <c r="S753" s="51"/>
      <c r="T753" s="51"/>
      <c r="U753" s="51"/>
      <c r="V753" s="51"/>
      <c r="W753" s="51"/>
      <c r="X753" s="51"/>
      <c r="Y753" s="51"/>
      <c r="Z753" s="51"/>
      <c r="AA753" s="51"/>
      <c r="AB753" s="51"/>
      <c r="AC753" s="51"/>
      <c r="AD753" s="51"/>
      <c r="AE753">
        <v>41207</v>
      </c>
      <c r="AG753" t="s">
        <v>1020</v>
      </c>
      <c r="AH753" s="51"/>
      <c r="AI753" s="51"/>
    </row>
    <row r="754" spans="2:35">
      <c r="B754" t="s">
        <v>1021</v>
      </c>
      <c r="C754" t="s">
        <v>3677</v>
      </c>
      <c r="D754">
        <v>9</v>
      </c>
      <c r="E754" t="s">
        <v>2791</v>
      </c>
      <c r="F754">
        <v>5</v>
      </c>
      <c r="G754">
        <v>10</v>
      </c>
      <c r="H754">
        <v>10</v>
      </c>
      <c r="I754" t="s">
        <v>1022</v>
      </c>
      <c r="K754" t="s">
        <v>27</v>
      </c>
      <c r="L754" t="s">
        <v>880</v>
      </c>
      <c r="M754">
        <v>3</v>
      </c>
      <c r="N754" t="str">
        <f>L754</f>
        <v>NAM\MB3488</v>
      </c>
      <c r="O754" s="51">
        <f>J754</f>
        <v>0</v>
      </c>
      <c r="P754" s="51" t="str">
        <f>C754</f>
        <v>~/cdd/olddocs/Control Plans/ITRON/BONDING/CP-BOND-020  002701-0001 al 0010.pdf</v>
      </c>
      <c r="Q754" s="51" t="str">
        <f>E754</f>
        <v>pdf</v>
      </c>
      <c r="R754" s="51"/>
      <c r="S754" s="51"/>
      <c r="T754" s="51"/>
      <c r="U754" s="51"/>
      <c r="V754" s="51"/>
      <c r="W754" s="51"/>
      <c r="X754" s="51"/>
      <c r="Y754" s="51"/>
      <c r="Z754" s="51"/>
      <c r="AA754" s="51"/>
      <c r="AB754" s="51"/>
      <c r="AC754" s="51"/>
      <c r="AD754" s="51"/>
      <c r="AE754">
        <v>41207</v>
      </c>
      <c r="AG754" t="s">
        <v>1023</v>
      </c>
      <c r="AH754" s="51"/>
      <c r="AI754" s="51"/>
    </row>
    <row r="755" spans="2:35">
      <c r="B755" t="s">
        <v>1024</v>
      </c>
      <c r="C755" t="s">
        <v>3678</v>
      </c>
      <c r="D755">
        <v>9</v>
      </c>
      <c r="E755" t="s">
        <v>2791</v>
      </c>
      <c r="F755">
        <v>5</v>
      </c>
      <c r="G755">
        <v>10</v>
      </c>
      <c r="H755">
        <v>10</v>
      </c>
      <c r="I755" t="s">
        <v>1025</v>
      </c>
      <c r="K755" t="s">
        <v>27</v>
      </c>
      <c r="L755" t="s">
        <v>880</v>
      </c>
      <c r="M755">
        <v>3</v>
      </c>
      <c r="N755" t="str">
        <f>L755</f>
        <v>NAM\MB3488</v>
      </c>
      <c r="O755" s="51">
        <f>J755</f>
        <v>0</v>
      </c>
      <c r="P755" s="51" t="str">
        <f>C755</f>
        <v>~/cdd/olddocs/Control Plans/ITRON/BONDING/CP-BOND-021   003004-0001.pdf</v>
      </c>
      <c r="Q755" s="51" t="str">
        <f>E755</f>
        <v>pdf</v>
      </c>
      <c r="R755" s="51"/>
      <c r="S755" s="51"/>
      <c r="T755" s="51"/>
      <c r="U755" s="51"/>
      <c r="V755" s="51"/>
      <c r="W755" s="51"/>
      <c r="X755" s="51"/>
      <c r="Y755" s="51"/>
      <c r="Z755" s="51"/>
      <c r="AA755" s="51"/>
      <c r="AB755" s="51"/>
      <c r="AC755" s="51"/>
      <c r="AD755" s="51"/>
      <c r="AE755">
        <v>41207</v>
      </c>
      <c r="AG755" t="s">
        <v>1026</v>
      </c>
      <c r="AH755" s="51"/>
      <c r="AI755" s="51"/>
    </row>
    <row r="756" spans="2:35">
      <c r="B756" t="s">
        <v>1027</v>
      </c>
      <c r="C756" t="s">
        <v>3679</v>
      </c>
      <c r="D756">
        <v>9</v>
      </c>
      <c r="E756" t="s">
        <v>2791</v>
      </c>
      <c r="F756">
        <v>5</v>
      </c>
      <c r="G756">
        <v>10</v>
      </c>
      <c r="H756">
        <v>10</v>
      </c>
      <c r="I756" t="s">
        <v>1028</v>
      </c>
      <c r="K756" t="s">
        <v>27</v>
      </c>
      <c r="L756" t="s">
        <v>880</v>
      </c>
      <c r="M756">
        <v>3</v>
      </c>
      <c r="N756" t="str">
        <f>L756</f>
        <v>NAM\MB3488</v>
      </c>
      <c r="O756" s="51">
        <f>J756</f>
        <v>0</v>
      </c>
      <c r="P756" s="51" t="str">
        <f>C756</f>
        <v>~/cdd/olddocs/Control Plans/ITRON/BONDING/CP-BOND-022   003094-0001.pdf</v>
      </c>
      <c r="Q756" s="51" t="str">
        <f>E756</f>
        <v>pdf</v>
      </c>
      <c r="R756" s="51"/>
      <c r="S756" s="51"/>
      <c r="T756" s="51"/>
      <c r="U756" s="51"/>
      <c r="V756" s="51"/>
      <c r="W756" s="51"/>
      <c r="X756" s="51"/>
      <c r="Y756" s="51"/>
      <c r="Z756" s="51"/>
      <c r="AA756" s="51"/>
      <c r="AB756" s="51"/>
      <c r="AC756" s="51"/>
      <c r="AD756" s="51"/>
      <c r="AE756">
        <v>41207</v>
      </c>
      <c r="AG756" t="s">
        <v>1029</v>
      </c>
      <c r="AH756" s="51"/>
      <c r="AI756" s="51"/>
    </row>
    <row r="757" spans="2:35">
      <c r="B757" t="s">
        <v>1030</v>
      </c>
      <c r="C757" t="s">
        <v>3680</v>
      </c>
      <c r="D757">
        <v>9</v>
      </c>
      <c r="E757" t="s">
        <v>2791</v>
      </c>
      <c r="F757">
        <v>5</v>
      </c>
      <c r="G757">
        <v>10</v>
      </c>
      <c r="H757">
        <v>10</v>
      </c>
      <c r="I757" t="s">
        <v>1031</v>
      </c>
      <c r="K757" t="s">
        <v>27</v>
      </c>
      <c r="L757" t="s">
        <v>880</v>
      </c>
      <c r="M757">
        <v>3</v>
      </c>
      <c r="N757" t="str">
        <f>L757</f>
        <v>NAM\MB3488</v>
      </c>
      <c r="O757" s="51">
        <f>J757</f>
        <v>0</v>
      </c>
      <c r="P757" s="51" t="str">
        <f>C757</f>
        <v>~/cdd/olddocs/Control Plans/ITRON/BONDING/CP-BOND-023   BACC65AJXXXS.pdf</v>
      </c>
      <c r="Q757" s="51" t="str">
        <f>E757</f>
        <v>pdf</v>
      </c>
      <c r="R757" s="51"/>
      <c r="S757" s="51"/>
      <c r="T757" s="51"/>
      <c r="U757" s="51"/>
      <c r="V757" s="51"/>
      <c r="W757" s="51"/>
      <c r="X757" s="51"/>
      <c r="Y757" s="51"/>
      <c r="Z757" s="51"/>
      <c r="AA757" s="51"/>
      <c r="AB757" s="51"/>
      <c r="AC757" s="51"/>
      <c r="AD757" s="51"/>
      <c r="AE757">
        <v>41207</v>
      </c>
      <c r="AG757" t="s">
        <v>1032</v>
      </c>
      <c r="AH757" s="51"/>
      <c r="AI757" s="51"/>
    </row>
    <row r="758" spans="2:35">
      <c r="B758" t="s">
        <v>1033</v>
      </c>
      <c r="C758" t="e">
        <v>#VALUE!</v>
      </c>
      <c r="D758">
        <v>9</v>
      </c>
      <c r="E758" t="e">
        <v>#VALUE!</v>
      </c>
      <c r="F758">
        <v>5</v>
      </c>
      <c r="G758">
        <v>10</v>
      </c>
      <c r="H758">
        <v>10</v>
      </c>
      <c r="I758" t="s">
        <v>1031</v>
      </c>
      <c r="K758" t="s">
        <v>27</v>
      </c>
      <c r="L758" t="s">
        <v>880</v>
      </c>
      <c r="M758">
        <v>3</v>
      </c>
      <c r="N758" t="str">
        <f>L758</f>
        <v>NAM\MB3488</v>
      </c>
      <c r="O758" s="51">
        <f>J758</f>
        <v>0</v>
      </c>
      <c r="P758" s="51" t="e">
        <f>C758</f>
        <v>#VALUE!</v>
      </c>
      <c r="Q758" s="51" t="e">
        <f>E758</f>
        <v>#VALUE!</v>
      </c>
      <c r="R758" s="51"/>
      <c r="S758" s="51"/>
      <c r="T758" s="51"/>
      <c r="U758" s="51"/>
      <c r="V758" s="51"/>
      <c r="W758" s="51"/>
      <c r="X758" s="51"/>
      <c r="Y758" s="51"/>
      <c r="Z758" s="51"/>
      <c r="AA758" s="51"/>
      <c r="AB758" s="51"/>
      <c r="AC758" s="51"/>
      <c r="AD758" s="51"/>
      <c r="AE758">
        <v>41207</v>
      </c>
      <c r="AG758" t="s">
        <v>1034</v>
      </c>
      <c r="AH758" s="51"/>
      <c r="AI758" s="51"/>
    </row>
    <row r="759" spans="2:35">
      <c r="B759" t="s">
        <v>1035</v>
      </c>
      <c r="C759" t="s">
        <v>3681</v>
      </c>
      <c r="D759">
        <v>9</v>
      </c>
      <c r="E759" t="s">
        <v>2791</v>
      </c>
      <c r="F759">
        <v>5</v>
      </c>
      <c r="G759">
        <v>10</v>
      </c>
      <c r="H759">
        <v>10</v>
      </c>
      <c r="I759" t="s">
        <v>1031</v>
      </c>
      <c r="K759" t="s">
        <v>27</v>
      </c>
      <c r="L759" t="s">
        <v>880</v>
      </c>
      <c r="M759">
        <v>3</v>
      </c>
      <c r="N759" t="str">
        <f>L759</f>
        <v>NAM\MB3488</v>
      </c>
      <c r="O759" s="51">
        <f>J759</f>
        <v>0</v>
      </c>
      <c r="P759" s="51" t="str">
        <f>C759</f>
        <v>~/cdd/olddocs/Control Plans/ITRON/BONDING/CP-BOND-025   BACC65ALXXXS.pdf</v>
      </c>
      <c r="Q759" s="51" t="str">
        <f>E759</f>
        <v>pdf</v>
      </c>
      <c r="R759" s="51"/>
      <c r="S759" s="51"/>
      <c r="T759" s="51"/>
      <c r="U759" s="51"/>
      <c r="V759" s="51"/>
      <c r="W759" s="51"/>
      <c r="X759" s="51"/>
      <c r="Y759" s="51"/>
      <c r="Z759" s="51"/>
      <c r="AA759" s="51"/>
      <c r="AB759" s="51"/>
      <c r="AC759" s="51"/>
      <c r="AD759" s="51"/>
      <c r="AE759">
        <v>41207</v>
      </c>
      <c r="AG759" t="s">
        <v>1036</v>
      </c>
      <c r="AH759" s="51"/>
      <c r="AI759" s="51"/>
    </row>
    <row r="760" spans="2:35">
      <c r="B760" t="s">
        <v>1037</v>
      </c>
      <c r="C760" t="s">
        <v>3682</v>
      </c>
      <c r="D760">
        <v>9</v>
      </c>
      <c r="E760" t="s">
        <v>2791</v>
      </c>
      <c r="F760">
        <v>5</v>
      </c>
      <c r="G760">
        <v>10</v>
      </c>
      <c r="H760">
        <v>10</v>
      </c>
      <c r="I760" t="s">
        <v>1038</v>
      </c>
      <c r="K760" t="s">
        <v>27</v>
      </c>
      <c r="L760" t="s">
        <v>880</v>
      </c>
      <c r="M760">
        <v>3</v>
      </c>
      <c r="N760" t="str">
        <f>L760</f>
        <v>NAM\MB3488</v>
      </c>
      <c r="O760" s="51">
        <f>J760</f>
        <v>0</v>
      </c>
      <c r="P760" s="51" t="str">
        <f>C760</f>
        <v>~/cdd/olddocs/Control Plans/ITRON/BONDING/CP-BOND-026   BACS16W, BACS16X, VB10-1UWC11 &amp; VB10-PWC11.pdf</v>
      </c>
      <c r="Q760" s="51" t="str">
        <f>E760</f>
        <v>pdf</v>
      </c>
      <c r="R760" s="51"/>
      <c r="S760" s="51"/>
      <c r="T760" s="51"/>
      <c r="U760" s="51"/>
      <c r="V760" s="51"/>
      <c r="W760" s="51"/>
      <c r="X760" s="51"/>
      <c r="Y760" s="51"/>
      <c r="Z760" s="51"/>
      <c r="AA760" s="51"/>
      <c r="AB760" s="51"/>
      <c r="AC760" s="51"/>
      <c r="AD760" s="51"/>
      <c r="AE760">
        <v>41207</v>
      </c>
      <c r="AG760" t="s">
        <v>1039</v>
      </c>
      <c r="AH760" s="51"/>
      <c r="AI760" s="51"/>
    </row>
    <row r="761" spans="2:35">
      <c r="B761" t="s">
        <v>1040</v>
      </c>
      <c r="C761" t="s">
        <v>3683</v>
      </c>
      <c r="D761">
        <v>9</v>
      </c>
      <c r="E761" t="s">
        <v>2791</v>
      </c>
      <c r="F761">
        <v>5</v>
      </c>
      <c r="G761">
        <v>10</v>
      </c>
      <c r="H761">
        <v>10</v>
      </c>
      <c r="I761" t="s">
        <v>1005</v>
      </c>
      <c r="K761" t="s">
        <v>27</v>
      </c>
      <c r="L761" t="s">
        <v>880</v>
      </c>
      <c r="M761">
        <v>3</v>
      </c>
      <c r="N761" t="str">
        <f>L761</f>
        <v>NAM\MB3488</v>
      </c>
      <c r="O761" s="51">
        <f>J761</f>
        <v>0</v>
      </c>
      <c r="P761" s="51" t="str">
        <f>C761</f>
        <v>~/cdd/olddocs/Control Plans/ITRON/BONDING/CP-BOND-027  BACT44E1S.pdf</v>
      </c>
      <c r="Q761" s="51" t="str">
        <f>E761</f>
        <v>pdf</v>
      </c>
      <c r="R761" s="51"/>
      <c r="S761" s="51"/>
      <c r="T761" s="51"/>
      <c r="U761" s="51"/>
      <c r="V761" s="51"/>
      <c r="W761" s="51"/>
      <c r="X761" s="51"/>
      <c r="Y761" s="51"/>
      <c r="Z761" s="51"/>
      <c r="AA761" s="51"/>
      <c r="AB761" s="51"/>
      <c r="AC761" s="51"/>
      <c r="AD761" s="51"/>
      <c r="AE761">
        <v>41207</v>
      </c>
      <c r="AG761" t="s">
        <v>1041</v>
      </c>
      <c r="AH761" s="51"/>
      <c r="AI761" s="51"/>
    </row>
    <row r="762" spans="2:35">
      <c r="B762" t="s">
        <v>2786</v>
      </c>
      <c r="C762" t="e">
        <v>#VALUE!</v>
      </c>
      <c r="D762">
        <v>9</v>
      </c>
      <c r="E762" t="e">
        <v>#VALUE!</v>
      </c>
      <c r="F762">
        <v>5</v>
      </c>
      <c r="G762">
        <v>10</v>
      </c>
      <c r="H762">
        <v>10</v>
      </c>
      <c r="M762">
        <v>3</v>
      </c>
      <c r="N762">
        <f>L762</f>
        <v>0</v>
      </c>
      <c r="O762" s="51">
        <f>J762</f>
        <v>0</v>
      </c>
      <c r="P762" s="51" t="e">
        <f>C762</f>
        <v>#VALUE!</v>
      </c>
      <c r="Q762" s="51" t="e">
        <f>E762</f>
        <v>#VALUE!</v>
      </c>
      <c r="R762" s="51"/>
      <c r="S762" s="51"/>
      <c r="T762" s="51"/>
      <c r="U762" s="51"/>
      <c r="V762" s="51"/>
      <c r="W762" s="51"/>
      <c r="X762" s="51"/>
      <c r="Y762" s="51"/>
      <c r="Z762" s="51"/>
      <c r="AA762" s="51"/>
      <c r="AB762" s="51"/>
      <c r="AC762" s="51"/>
      <c r="AD762" s="51"/>
      <c r="AH762" s="51"/>
      <c r="AI762" s="51"/>
    </row>
    <row r="763" spans="2:35">
      <c r="B763" t="s">
        <v>1704</v>
      </c>
      <c r="C763" t="s">
        <v>3718</v>
      </c>
      <c r="D763">
        <v>9</v>
      </c>
      <c r="E763" t="s">
        <v>2791</v>
      </c>
      <c r="F763">
        <v>5</v>
      </c>
      <c r="G763">
        <v>12</v>
      </c>
      <c r="H763">
        <v>4</v>
      </c>
      <c r="I763" t="s">
        <v>1705</v>
      </c>
      <c r="J763" s="51">
        <v>41026</v>
      </c>
      <c r="K763" t="s">
        <v>27</v>
      </c>
      <c r="L763" t="s">
        <v>1584</v>
      </c>
      <c r="M763">
        <v>3</v>
      </c>
      <c r="N763" t="str">
        <f>L763</f>
        <v>NAM\A8070</v>
      </c>
      <c r="O763" s="51">
        <f>J763</f>
        <v>41026</v>
      </c>
      <c r="P763" s="51" t="str">
        <f>C763</f>
        <v>~/cdd/olddocs/Control Plans/MICROMINI/CHANGE-OUT/CP-CHGO-001  CA4C5SC060M.pdf</v>
      </c>
      <c r="Q763" s="51" t="str">
        <f>E763</f>
        <v>pdf</v>
      </c>
      <c r="R763" s="51"/>
      <c r="S763" s="51"/>
      <c r="T763" s="51"/>
      <c r="U763" s="51"/>
      <c r="V763" s="51"/>
      <c r="W763" s="51"/>
      <c r="X763" s="51"/>
      <c r="Y763" s="51"/>
      <c r="Z763" s="51"/>
      <c r="AA763" s="51"/>
      <c r="AB763" s="51"/>
      <c r="AC763" s="51"/>
      <c r="AD763" s="51"/>
      <c r="AG763" t="s">
        <v>1706</v>
      </c>
      <c r="AH763" s="51"/>
      <c r="AI763" s="51"/>
    </row>
    <row r="764" spans="2:35">
      <c r="B764" t="s">
        <v>1707</v>
      </c>
      <c r="C764" t="s">
        <v>3719</v>
      </c>
      <c r="D764">
        <v>9</v>
      </c>
      <c r="E764" t="s">
        <v>2791</v>
      </c>
      <c r="F764">
        <v>5</v>
      </c>
      <c r="G764">
        <v>12</v>
      </c>
      <c r="H764">
        <v>4</v>
      </c>
      <c r="I764" t="s">
        <v>1263</v>
      </c>
      <c r="J764" s="51">
        <v>41051</v>
      </c>
      <c r="K764" t="s">
        <v>27</v>
      </c>
      <c r="L764" t="s">
        <v>1584</v>
      </c>
      <c r="M764">
        <v>3</v>
      </c>
      <c r="N764" t="str">
        <f>L764</f>
        <v>NAM\A8070</v>
      </c>
      <c r="O764" s="51">
        <f>J764</f>
        <v>41051</v>
      </c>
      <c r="P764" s="51" t="str">
        <f>C764</f>
        <v>~/cdd/olddocs/Control Plans/MICROMINI/CHANGE-OUT/CP-CHGO-002  CX852-CX852-37AN.pdf</v>
      </c>
      <c r="Q764" s="51" t="str">
        <f>E764</f>
        <v>pdf</v>
      </c>
      <c r="R764" s="51"/>
      <c r="S764" s="51"/>
      <c r="T764" s="51"/>
      <c r="U764" s="51"/>
      <c r="V764" s="51"/>
      <c r="W764" s="51"/>
      <c r="X764" s="51"/>
      <c r="Y764" s="51"/>
      <c r="Z764" s="51"/>
      <c r="AA764" s="51"/>
      <c r="AB764" s="51"/>
      <c r="AC764" s="51"/>
      <c r="AD764" s="51"/>
      <c r="AG764" t="s">
        <v>1708</v>
      </c>
      <c r="AH764" s="51"/>
      <c r="AI764" s="51"/>
    </row>
    <row r="765" spans="2:35">
      <c r="B765" t="s">
        <v>1709</v>
      </c>
      <c r="C765" t="s">
        <v>3720</v>
      </c>
      <c r="D765">
        <v>9</v>
      </c>
      <c r="E765" t="s">
        <v>2791</v>
      </c>
      <c r="F765">
        <v>5</v>
      </c>
      <c r="G765">
        <v>12</v>
      </c>
      <c r="H765">
        <v>4</v>
      </c>
      <c r="I765" t="s">
        <v>1710</v>
      </c>
      <c r="J765" s="51">
        <v>44718</v>
      </c>
      <c r="K765" t="s">
        <v>27</v>
      </c>
      <c r="L765" t="s">
        <v>1584</v>
      </c>
      <c r="M765">
        <v>3</v>
      </c>
      <c r="N765" t="str">
        <f>L765</f>
        <v>NAM\A8070</v>
      </c>
      <c r="O765" s="51">
        <f>J765</f>
        <v>44718</v>
      </c>
      <c r="P765" s="51" t="str">
        <f>C765</f>
        <v>~/cdd/olddocs/Control Plans/MICROMINI/CHANGE-OUT/CP-CHGO-003  X8652-CS.pdf</v>
      </c>
      <c r="Q765" s="51" t="str">
        <f>E765</f>
        <v>pdf</v>
      </c>
      <c r="R765" s="51"/>
      <c r="S765" s="51"/>
      <c r="T765" s="51"/>
      <c r="U765" s="51"/>
      <c r="V765" s="51"/>
      <c r="W765" s="51"/>
      <c r="X765" s="51"/>
      <c r="Y765" s="51"/>
      <c r="Z765" s="51"/>
      <c r="AA765" s="51"/>
      <c r="AB765" s="51"/>
      <c r="AC765" s="51"/>
      <c r="AD765" s="51"/>
      <c r="AG765" t="s">
        <v>1711</v>
      </c>
      <c r="AH765" s="51"/>
      <c r="AI765" s="51"/>
    </row>
    <row r="766" spans="2:35">
      <c r="B766" t="s">
        <v>1712</v>
      </c>
      <c r="C766" t="s">
        <v>3721</v>
      </c>
      <c r="D766">
        <v>9</v>
      </c>
      <c r="E766" t="s">
        <v>2791</v>
      </c>
      <c r="F766">
        <v>5</v>
      </c>
      <c r="G766">
        <v>12</v>
      </c>
      <c r="H766">
        <v>4</v>
      </c>
      <c r="I766" t="s">
        <v>1713</v>
      </c>
      <c r="J766" s="51">
        <v>41113</v>
      </c>
      <c r="K766" t="s">
        <v>27</v>
      </c>
      <c r="L766" t="s">
        <v>1584</v>
      </c>
      <c r="M766">
        <v>3</v>
      </c>
      <c r="N766" t="str">
        <f>L766</f>
        <v>NAM\A8070</v>
      </c>
      <c r="O766" s="51">
        <f>J766</f>
        <v>41113</v>
      </c>
      <c r="P766" s="51" t="str">
        <f>C766</f>
        <v>~/cdd/olddocs/Control Plans/MICROMINI/CHANGE-OUT/CP-CHGO-004 Control Plan X8653-FN.pdf</v>
      </c>
      <c r="Q766" s="51" t="str">
        <f>E766</f>
        <v>pdf</v>
      </c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G766" t="s">
        <v>1714</v>
      </c>
      <c r="AH766" s="51"/>
      <c r="AI766" s="51"/>
    </row>
    <row r="767" spans="2:35">
      <c r="B767" t="s">
        <v>1262</v>
      </c>
      <c r="C767" t="s">
        <v>3722</v>
      </c>
      <c r="D767">
        <v>9</v>
      </c>
      <c r="E767" t="s">
        <v>2791</v>
      </c>
      <c r="F767">
        <v>5</v>
      </c>
      <c r="G767">
        <v>12</v>
      </c>
      <c r="H767">
        <v>4</v>
      </c>
      <c r="I767" t="s">
        <v>1263</v>
      </c>
      <c r="K767" t="s">
        <v>27</v>
      </c>
      <c r="L767" t="s">
        <v>1253</v>
      </c>
      <c r="M767">
        <v>3</v>
      </c>
      <c r="N767" t="str">
        <f>L767</f>
        <v>NAM\MB3505</v>
      </c>
      <c r="O767" s="51">
        <f>J767</f>
        <v>0</v>
      </c>
      <c r="P767" s="51" t="str">
        <f>C767</f>
        <v>~/cdd/olddocs/Control Plans/MICROMINI/CHANGE-OUT/CP-CHGO-006  CX865237AN.pdf</v>
      </c>
      <c r="Q767" s="51" t="str">
        <f>E767</f>
        <v>pdf</v>
      </c>
      <c r="R767" s="51"/>
      <c r="S767" s="51"/>
      <c r="T767" s="51"/>
      <c r="U767" s="51"/>
      <c r="V767" s="51"/>
      <c r="W767" s="51"/>
      <c r="X767" s="51"/>
      <c r="Y767" s="51"/>
      <c r="Z767" s="51"/>
      <c r="AA767" s="51"/>
      <c r="AB767" s="51"/>
      <c r="AC767" s="51"/>
      <c r="AD767" s="51"/>
      <c r="AE767">
        <v>41193</v>
      </c>
      <c r="AG767" t="s">
        <v>1264</v>
      </c>
      <c r="AH767" s="51"/>
      <c r="AI767" s="51"/>
    </row>
    <row r="768" spans="2:35">
      <c r="B768" t="s">
        <v>1265</v>
      </c>
      <c r="C768" t="s">
        <v>3723</v>
      </c>
      <c r="D768">
        <v>9</v>
      </c>
      <c r="E768" t="s">
        <v>2791</v>
      </c>
      <c r="F768">
        <v>5</v>
      </c>
      <c r="G768">
        <v>12</v>
      </c>
      <c r="H768">
        <v>4</v>
      </c>
      <c r="I768" t="s">
        <v>1266</v>
      </c>
      <c r="K768" t="s">
        <v>27</v>
      </c>
      <c r="L768" t="s">
        <v>1253</v>
      </c>
      <c r="M768">
        <v>3</v>
      </c>
      <c r="N768" t="str">
        <f>L768</f>
        <v>NAM\MB3505</v>
      </c>
      <c r="O768" s="51">
        <f>J768</f>
        <v>0</v>
      </c>
      <c r="P768" s="51" t="str">
        <f>C768</f>
        <v>~/cdd/olddocs/Control Plans/MICROMINI/CHANGE-OUT/CP-CHGO-007  CX8653312P.pdf</v>
      </c>
      <c r="Q768" s="51" t="str">
        <f>E768</f>
        <v>pdf</v>
      </c>
      <c r="R768" s="51"/>
      <c r="S768" s="51"/>
      <c r="T768" s="51"/>
      <c r="U768" s="51"/>
      <c r="V768" s="51"/>
      <c r="W768" s="51"/>
      <c r="X768" s="51"/>
      <c r="Y768" s="51"/>
      <c r="Z768" s="51"/>
      <c r="AA768" s="51"/>
      <c r="AB768" s="51"/>
      <c r="AC768" s="51"/>
      <c r="AD768" s="51"/>
      <c r="AE768">
        <v>41193</v>
      </c>
      <c r="AG768" t="s">
        <v>1267</v>
      </c>
      <c r="AH768" s="51"/>
      <c r="AI768" s="51"/>
    </row>
    <row r="769" spans="2:35">
      <c r="B769" t="s">
        <v>1268</v>
      </c>
      <c r="C769" t="s">
        <v>3724</v>
      </c>
      <c r="D769">
        <v>9</v>
      </c>
      <c r="E769" t="s">
        <v>2791</v>
      </c>
      <c r="F769">
        <v>5</v>
      </c>
      <c r="G769">
        <v>12</v>
      </c>
      <c r="H769">
        <v>4</v>
      </c>
      <c r="I769" t="s">
        <v>1266</v>
      </c>
      <c r="K769" t="s">
        <v>27</v>
      </c>
      <c r="L769" t="s">
        <v>1253</v>
      </c>
      <c r="M769">
        <v>3</v>
      </c>
      <c r="N769" t="str">
        <f>L769</f>
        <v>NAM\MB3505</v>
      </c>
      <c r="O769" s="51">
        <f>J769</f>
        <v>0</v>
      </c>
      <c r="P769" s="51" t="str">
        <f>C769</f>
        <v>~/cdd/olddocs/Control Plans/MICROMINI/CHANGE-OUT/CP-CHGO-008  CX8653316P.pdf</v>
      </c>
      <c r="Q769" s="51" t="str">
        <f>E769</f>
        <v>pdf</v>
      </c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>
        <v>41193</v>
      </c>
      <c r="AG769" t="s">
        <v>1269</v>
      </c>
      <c r="AH769" s="51"/>
      <c r="AI769" s="51"/>
    </row>
    <row r="770" spans="2:35">
      <c r="B770" t="s">
        <v>1270</v>
      </c>
      <c r="C770" t="s">
        <v>3725</v>
      </c>
      <c r="D770">
        <v>9</v>
      </c>
      <c r="E770" t="s">
        <v>2791</v>
      </c>
      <c r="F770">
        <v>5</v>
      </c>
      <c r="G770">
        <v>12</v>
      </c>
      <c r="H770">
        <v>4</v>
      </c>
      <c r="I770" t="s">
        <v>1266</v>
      </c>
      <c r="K770" t="s">
        <v>27</v>
      </c>
      <c r="L770" t="s">
        <v>1253</v>
      </c>
      <c r="M770">
        <v>3</v>
      </c>
      <c r="N770" t="str">
        <f>L770</f>
        <v>NAM\MB3505</v>
      </c>
      <c r="O770" s="51">
        <f>J770</f>
        <v>0</v>
      </c>
      <c r="P770" s="51" t="str">
        <f>C770</f>
        <v>~/cdd/olddocs/Control Plans/MICROMINI/CHANGE-OUT/CP-CHGO-009  CX8653330.pdf</v>
      </c>
      <c r="Q770" s="51" t="str">
        <f>E770</f>
        <v>pdf</v>
      </c>
      <c r="R770" s="51"/>
      <c r="S770" s="51"/>
      <c r="T770" s="51"/>
      <c r="U770" s="51"/>
      <c r="V770" s="51"/>
      <c r="W770" s="51"/>
      <c r="X770" s="51"/>
      <c r="Y770" s="51"/>
      <c r="Z770" s="51"/>
      <c r="AA770" s="51"/>
      <c r="AB770" s="51"/>
      <c r="AC770" s="51"/>
      <c r="AD770" s="51"/>
      <c r="AE770">
        <v>41193</v>
      </c>
      <c r="AG770" t="s">
        <v>1271</v>
      </c>
      <c r="AH770" s="51"/>
      <c r="AI770" s="51"/>
    </row>
    <row r="771" spans="2:35">
      <c r="B771" t="s">
        <v>1272</v>
      </c>
      <c r="C771" t="s">
        <v>3726</v>
      </c>
      <c r="D771">
        <v>9</v>
      </c>
      <c r="E771" t="s">
        <v>2791</v>
      </c>
      <c r="F771">
        <v>5</v>
      </c>
      <c r="G771">
        <v>12</v>
      </c>
      <c r="H771">
        <v>4</v>
      </c>
      <c r="I771" t="s">
        <v>1273</v>
      </c>
      <c r="K771" t="s">
        <v>27</v>
      </c>
      <c r="L771" t="s">
        <v>1253</v>
      </c>
      <c r="M771">
        <v>3</v>
      </c>
      <c r="N771" t="str">
        <f>L771</f>
        <v>NAM\MB3505</v>
      </c>
      <c r="O771" s="51">
        <f>J771</f>
        <v>0</v>
      </c>
      <c r="P771" s="51" t="str">
        <f>C771</f>
        <v>~/cdd/olddocs/Control Plans/MICROMINI/CHANGE-OUT/CP-CHGO-010  CX8653346P.pdf</v>
      </c>
      <c r="Q771" s="51" t="str">
        <f>E771</f>
        <v>pdf</v>
      </c>
      <c r="R771" s="51"/>
      <c r="S771" s="51"/>
      <c r="T771" s="51"/>
      <c r="U771" s="51"/>
      <c r="V771" s="51"/>
      <c r="W771" s="51"/>
      <c r="X771" s="51"/>
      <c r="Y771" s="51"/>
      <c r="Z771" s="51"/>
      <c r="AA771" s="51"/>
      <c r="AB771" s="51"/>
      <c r="AC771" s="51"/>
      <c r="AD771" s="51"/>
      <c r="AE771">
        <v>41193</v>
      </c>
      <c r="AG771" t="s">
        <v>1274</v>
      </c>
      <c r="AH771" s="51"/>
      <c r="AI771" s="51"/>
    </row>
    <row r="772" spans="2:35">
      <c r="B772" t="s">
        <v>1275</v>
      </c>
      <c r="C772" t="s">
        <v>3727</v>
      </c>
      <c r="D772">
        <v>9</v>
      </c>
      <c r="E772" t="s">
        <v>2791</v>
      </c>
      <c r="F772">
        <v>5</v>
      </c>
      <c r="G772">
        <v>12</v>
      </c>
      <c r="H772">
        <v>4</v>
      </c>
      <c r="I772" t="s">
        <v>1276</v>
      </c>
      <c r="K772" t="s">
        <v>27</v>
      </c>
      <c r="L772" t="s">
        <v>1253</v>
      </c>
      <c r="M772">
        <v>3</v>
      </c>
      <c r="N772" t="str">
        <f>L772</f>
        <v>NAM\MB3505</v>
      </c>
      <c r="O772" s="51">
        <f>J772</f>
        <v>0</v>
      </c>
      <c r="P772" s="51" t="str">
        <f>C772</f>
        <v>~/cdd/olddocs/Control Plans/MICROMINI/CHANGE-OUT/CP-CHGO-011   X865248P.pdf</v>
      </c>
      <c r="Q772" s="51" t="str">
        <f>E772</f>
        <v>pdf</v>
      </c>
      <c r="R772" s="51"/>
      <c r="S772" s="51"/>
      <c r="T772" s="51"/>
      <c r="U772" s="51"/>
      <c r="V772" s="51"/>
      <c r="W772" s="51"/>
      <c r="X772" s="51"/>
      <c r="Y772" s="51"/>
      <c r="Z772" s="51"/>
      <c r="AA772" s="51"/>
      <c r="AB772" s="51"/>
      <c r="AC772" s="51"/>
      <c r="AD772" s="51"/>
      <c r="AE772">
        <v>41193</v>
      </c>
      <c r="AG772" t="s">
        <v>1277</v>
      </c>
      <c r="AH772" s="51"/>
      <c r="AI772" s="51"/>
    </row>
    <row r="773" spans="2:35">
      <c r="B773" t="s">
        <v>1278</v>
      </c>
      <c r="C773" t="s">
        <v>3728</v>
      </c>
      <c r="D773">
        <v>9</v>
      </c>
      <c r="E773" t="s">
        <v>2791</v>
      </c>
      <c r="F773">
        <v>5</v>
      </c>
      <c r="G773">
        <v>12</v>
      </c>
      <c r="H773">
        <v>4</v>
      </c>
      <c r="I773" t="s">
        <v>1279</v>
      </c>
      <c r="K773" t="s">
        <v>27</v>
      </c>
      <c r="L773" t="s">
        <v>1253</v>
      </c>
      <c r="M773">
        <v>3</v>
      </c>
      <c r="N773" t="str">
        <f>L773</f>
        <v>NAM\MB3505</v>
      </c>
      <c r="O773" s="51">
        <f>J773</f>
        <v>0</v>
      </c>
      <c r="P773" s="51" t="str">
        <f>C773</f>
        <v>~/cdd/olddocs/Control Plans/MICROMINI/CHANGE-OUT/CP-CHGO-012   X865251P.pdf</v>
      </c>
      <c r="Q773" s="51" t="str">
        <f>E773</f>
        <v>pdf</v>
      </c>
      <c r="R773" s="51"/>
      <c r="S773" s="51"/>
      <c r="T773" s="51"/>
      <c r="U773" s="51"/>
      <c r="V773" s="51"/>
      <c r="W773" s="51"/>
      <c r="X773" s="51"/>
      <c r="Y773" s="51"/>
      <c r="Z773" s="51"/>
      <c r="AA773" s="51"/>
      <c r="AB773" s="51"/>
      <c r="AC773" s="51"/>
      <c r="AD773" s="51"/>
      <c r="AE773">
        <v>41193</v>
      </c>
      <c r="AG773" t="s">
        <v>1280</v>
      </c>
      <c r="AH773" s="51"/>
      <c r="AI773" s="51"/>
    </row>
    <row r="774" spans="2:35">
      <c r="B774" t="s">
        <v>1281</v>
      </c>
      <c r="C774" t="s">
        <v>3729</v>
      </c>
      <c r="D774">
        <v>9</v>
      </c>
      <c r="E774" t="s">
        <v>2791</v>
      </c>
      <c r="F774">
        <v>5</v>
      </c>
      <c r="G774">
        <v>12</v>
      </c>
      <c r="H774">
        <v>4</v>
      </c>
      <c r="I774" t="s">
        <v>1282</v>
      </c>
      <c r="K774" t="s">
        <v>27</v>
      </c>
      <c r="L774" t="s">
        <v>1253</v>
      </c>
      <c r="M774">
        <v>3</v>
      </c>
      <c r="N774" t="str">
        <f>L774</f>
        <v>NAM\MB3505</v>
      </c>
      <c r="O774" s="51">
        <f>J774</f>
        <v>0</v>
      </c>
      <c r="P774" s="51" t="str">
        <f>C774</f>
        <v>~/cdd/olddocs/Control Plans/MICROMINI/CHANGE-OUT/CP-CHGO-013  X865316P, X865398P.pdf</v>
      </c>
      <c r="Q774" s="51" t="str">
        <f>E774</f>
        <v>pdf</v>
      </c>
      <c r="R774" s="51"/>
      <c r="S774" s="51"/>
      <c r="T774" s="51"/>
      <c r="U774" s="51"/>
      <c r="V774" s="51"/>
      <c r="W774" s="51"/>
      <c r="X774" s="51"/>
      <c r="Y774" s="51"/>
      <c r="Z774" s="51"/>
      <c r="AA774" s="51"/>
      <c r="AB774" s="51"/>
      <c r="AC774" s="51"/>
      <c r="AD774" s="51"/>
      <c r="AE774">
        <v>41193</v>
      </c>
      <c r="AG774" t="s">
        <v>1283</v>
      </c>
      <c r="AH774" s="51"/>
      <c r="AI774" s="51"/>
    </row>
    <row r="775" spans="2:35">
      <c r="B775" t="s">
        <v>1284</v>
      </c>
      <c r="C775" t="s">
        <v>3730</v>
      </c>
      <c r="D775">
        <v>9</v>
      </c>
      <c r="E775" t="s">
        <v>2791</v>
      </c>
      <c r="F775">
        <v>5</v>
      </c>
      <c r="G775">
        <v>12</v>
      </c>
      <c r="H775">
        <v>4</v>
      </c>
      <c r="I775" t="s">
        <v>1285</v>
      </c>
      <c r="K775" t="s">
        <v>27</v>
      </c>
      <c r="L775" t="s">
        <v>1253</v>
      </c>
      <c r="M775">
        <v>3</v>
      </c>
      <c r="N775" t="str">
        <f>L775</f>
        <v>NAM\MB3505</v>
      </c>
      <c r="O775" s="51">
        <f>J775</f>
        <v>0</v>
      </c>
      <c r="P775" s="51" t="str">
        <f>C775</f>
        <v>~/cdd/olddocs/Control Plans/MICROMINI/CHANGE-OUT/CP-CHGO-014  X865344P.pdf</v>
      </c>
      <c r="Q775" s="51" t="str">
        <f>E775</f>
        <v>pdf</v>
      </c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>
        <v>41193</v>
      </c>
      <c r="AG775" t="s">
        <v>1286</v>
      </c>
      <c r="AH775" s="51"/>
      <c r="AI775" s="51"/>
    </row>
    <row r="776" spans="2:35">
      <c r="B776" t="s">
        <v>1287</v>
      </c>
      <c r="C776" t="s">
        <v>3731</v>
      </c>
      <c r="D776">
        <v>9</v>
      </c>
      <c r="E776" t="s">
        <v>2791</v>
      </c>
      <c r="F776">
        <v>5</v>
      </c>
      <c r="G776">
        <v>12</v>
      </c>
      <c r="H776">
        <v>4</v>
      </c>
      <c r="I776" t="s">
        <v>1288</v>
      </c>
      <c r="J776" s="51">
        <v>41187</v>
      </c>
      <c r="K776" t="s">
        <v>27</v>
      </c>
      <c r="L776" t="s">
        <v>1253</v>
      </c>
      <c r="M776">
        <v>3</v>
      </c>
      <c r="N776" t="str">
        <f>L776</f>
        <v>NAM\MB3505</v>
      </c>
      <c r="O776" s="51">
        <f>J776</f>
        <v>41187</v>
      </c>
      <c r="P776" s="51" t="str">
        <f>C776</f>
        <v>~/cdd/olddocs/Control Plans/MICROMINI/CHANGE-OUT/CP-CHGO-015  X865393P.pdf</v>
      </c>
      <c r="Q776" s="51" t="str">
        <f>E776</f>
        <v>pdf</v>
      </c>
      <c r="R776" s="51"/>
      <c r="S776" s="51"/>
      <c r="T776" s="51"/>
      <c r="U776" s="51"/>
      <c r="V776" s="51"/>
      <c r="W776" s="51"/>
      <c r="X776" s="51"/>
      <c r="Y776" s="51"/>
      <c r="Z776" s="51"/>
      <c r="AA776" s="51"/>
      <c r="AB776" s="51"/>
      <c r="AC776" s="51"/>
      <c r="AD776" s="51"/>
      <c r="AG776" t="s">
        <v>1289</v>
      </c>
      <c r="AH776" s="51"/>
      <c r="AI776" s="51"/>
    </row>
    <row r="777" spans="2:35">
      <c r="B777" t="s">
        <v>1290</v>
      </c>
      <c r="C777" t="s">
        <v>3732</v>
      </c>
      <c r="D777">
        <v>9</v>
      </c>
      <c r="E777" t="s">
        <v>2791</v>
      </c>
      <c r="F777">
        <v>5</v>
      </c>
      <c r="G777">
        <v>12</v>
      </c>
      <c r="H777">
        <v>4</v>
      </c>
      <c r="I777" t="s">
        <v>1291</v>
      </c>
      <c r="J777" s="51">
        <v>41187</v>
      </c>
      <c r="K777" t="s">
        <v>27</v>
      </c>
      <c r="L777" t="s">
        <v>1253</v>
      </c>
      <c r="M777">
        <v>3</v>
      </c>
      <c r="N777" t="str">
        <f>L777</f>
        <v>NAM\MB3505</v>
      </c>
      <c r="O777" s="51">
        <f>J777</f>
        <v>41187</v>
      </c>
      <c r="P777" s="51" t="str">
        <f>C777</f>
        <v>~/cdd/olddocs/Control Plans/MICROMINI/CHANGE-OUT/CP-CHGO-016   X8651648P.pdf</v>
      </c>
      <c r="Q777" s="51" t="str">
        <f>E777</f>
        <v>pdf</v>
      </c>
      <c r="R777" s="51"/>
      <c r="S777" s="51"/>
      <c r="T777" s="51"/>
      <c r="U777" s="51"/>
      <c r="V777" s="51"/>
      <c r="W777" s="51"/>
      <c r="X777" s="51"/>
      <c r="Y777" s="51"/>
      <c r="Z777" s="51"/>
      <c r="AA777" s="51"/>
      <c r="AB777" s="51"/>
      <c r="AC777" s="51"/>
      <c r="AD777" s="51"/>
      <c r="AG777" t="s">
        <v>1292</v>
      </c>
      <c r="AH777" s="51"/>
      <c r="AI777" s="51"/>
    </row>
    <row r="778" spans="2:35">
      <c r="B778" t="s">
        <v>1293</v>
      </c>
      <c r="C778" t="s">
        <v>3733</v>
      </c>
      <c r="D778">
        <v>9</v>
      </c>
      <c r="E778" t="s">
        <v>2791</v>
      </c>
      <c r="F778">
        <v>5</v>
      </c>
      <c r="G778">
        <v>12</v>
      </c>
      <c r="H778">
        <v>4</v>
      </c>
      <c r="I778" t="s">
        <v>1285</v>
      </c>
      <c r="J778" s="51">
        <v>41191</v>
      </c>
      <c r="K778" t="s">
        <v>27</v>
      </c>
      <c r="L778" t="s">
        <v>1253</v>
      </c>
      <c r="M778">
        <v>3</v>
      </c>
      <c r="N778" t="str">
        <f>L778</f>
        <v>NAM\MB3505</v>
      </c>
      <c r="O778" s="51">
        <f>J778</f>
        <v>41191</v>
      </c>
      <c r="P778" s="51" t="str">
        <f>C778</f>
        <v>~/cdd/olddocs/Control Plans/MICROMINI/CHANGE-OUT/CP-CHGO-017  X8653325.pdf</v>
      </c>
      <c r="Q778" s="51" t="str">
        <f>E778</f>
        <v>pdf</v>
      </c>
      <c r="R778" s="51"/>
      <c r="S778" s="51"/>
      <c r="T778" s="51"/>
      <c r="U778" s="51"/>
      <c r="V778" s="51"/>
      <c r="W778" s="51"/>
      <c r="X778" s="51"/>
      <c r="Y778" s="51"/>
      <c r="Z778" s="51"/>
      <c r="AA778" s="51"/>
      <c r="AB778" s="51"/>
      <c r="AC778" s="51"/>
      <c r="AD778" s="51"/>
      <c r="AG778" t="s">
        <v>1294</v>
      </c>
      <c r="AH778" s="51"/>
      <c r="AI778" s="51"/>
    </row>
    <row r="779" spans="2:35">
      <c r="B779" t="s">
        <v>1295</v>
      </c>
      <c r="C779" t="s">
        <v>3734</v>
      </c>
      <c r="D779">
        <v>9</v>
      </c>
      <c r="E779" t="s">
        <v>2791</v>
      </c>
      <c r="F779">
        <v>5</v>
      </c>
      <c r="G779">
        <v>12</v>
      </c>
      <c r="H779">
        <v>4</v>
      </c>
      <c r="I779" t="s">
        <v>1296</v>
      </c>
      <c r="J779" s="51">
        <v>41191</v>
      </c>
      <c r="K779" t="s">
        <v>27</v>
      </c>
      <c r="L779" t="s">
        <v>1253</v>
      </c>
      <c r="M779">
        <v>3</v>
      </c>
      <c r="N779" t="str">
        <f>L779</f>
        <v>NAM\MB3505</v>
      </c>
      <c r="O779" s="51">
        <f>J779</f>
        <v>41191</v>
      </c>
      <c r="P779" s="51" t="str">
        <f>C779</f>
        <v>~/cdd/olddocs/Control Plans/MICROMINI/CHANGE-OUT/CP-CHGO-018     X8653382P.pdf</v>
      </c>
      <c r="Q779" s="51" t="str">
        <f>E779</f>
        <v>pdf</v>
      </c>
      <c r="R779" s="51"/>
      <c r="S779" s="51"/>
      <c r="T779" s="51"/>
      <c r="U779" s="51"/>
      <c r="V779" s="51"/>
      <c r="W779" s="51"/>
      <c r="X779" s="51"/>
      <c r="Y779" s="51"/>
      <c r="Z779" s="51"/>
      <c r="AA779" s="51"/>
      <c r="AB779" s="51"/>
      <c r="AC779" s="51"/>
      <c r="AD779" s="51"/>
      <c r="AG779" t="s">
        <v>1297</v>
      </c>
      <c r="AH779" s="51"/>
      <c r="AI779" s="51"/>
    </row>
    <row r="780" spans="2:35">
      <c r="B780" t="s">
        <v>1298</v>
      </c>
      <c r="C780" t="s">
        <v>3735</v>
      </c>
      <c r="D780">
        <v>9</v>
      </c>
      <c r="E780" t="s">
        <v>2791</v>
      </c>
      <c r="F780">
        <v>5</v>
      </c>
      <c r="G780">
        <v>12</v>
      </c>
      <c r="H780">
        <v>4</v>
      </c>
      <c r="I780" t="s">
        <v>1299</v>
      </c>
      <c r="J780" s="51">
        <v>41191</v>
      </c>
      <c r="K780" t="s">
        <v>27</v>
      </c>
      <c r="L780" t="s">
        <v>1253</v>
      </c>
      <c r="M780">
        <v>3</v>
      </c>
      <c r="N780" t="str">
        <f>L780</f>
        <v>NAM\MB3505</v>
      </c>
      <c r="O780" s="51">
        <f>J780</f>
        <v>41191</v>
      </c>
      <c r="P780" s="51" t="str">
        <f>C780</f>
        <v>~/cdd/olddocs/Control Plans/MICROMINI/CHANGE-OUT/CP-CHGO-019    X8653568P.pdf</v>
      </c>
      <c r="Q780" s="51" t="str">
        <f>E780</f>
        <v>pdf</v>
      </c>
      <c r="R780" s="51"/>
      <c r="S780" s="51"/>
      <c r="T780" s="51"/>
      <c r="U780" s="51"/>
      <c r="V780" s="51"/>
      <c r="W780" s="51"/>
      <c r="X780" s="51"/>
      <c r="Y780" s="51"/>
      <c r="Z780" s="51"/>
      <c r="AA780" s="51"/>
      <c r="AB780" s="51"/>
      <c r="AC780" s="51"/>
      <c r="AD780" s="51"/>
      <c r="AG780" t="s">
        <v>1300</v>
      </c>
      <c r="AH780" s="51"/>
      <c r="AI780" s="51"/>
    </row>
    <row r="781" spans="2:35">
      <c r="B781" t="s">
        <v>1301</v>
      </c>
      <c r="C781" t="s">
        <v>3736</v>
      </c>
      <c r="D781">
        <v>9</v>
      </c>
      <c r="E781" t="s">
        <v>2791</v>
      </c>
      <c r="F781">
        <v>5</v>
      </c>
      <c r="G781">
        <v>12</v>
      </c>
      <c r="H781">
        <v>4</v>
      </c>
      <c r="I781" t="s">
        <v>1302</v>
      </c>
      <c r="J781" s="51">
        <v>41191</v>
      </c>
      <c r="K781" t="s">
        <v>27</v>
      </c>
      <c r="L781" t="s">
        <v>1253</v>
      </c>
      <c r="M781">
        <v>3</v>
      </c>
      <c r="N781" t="str">
        <f>L781</f>
        <v>NAM\MB3505</v>
      </c>
      <c r="O781" s="51">
        <f>J781</f>
        <v>41191</v>
      </c>
      <c r="P781" s="51" t="str">
        <f>C781</f>
        <v>~/cdd/olddocs/Control Plans/MICROMINI/CHANGE-OUT/CP-CHGO-020    X8653687P.pdf</v>
      </c>
      <c r="Q781" s="51" t="str">
        <f>E781</f>
        <v>pdf</v>
      </c>
      <c r="R781" s="51"/>
      <c r="S781" s="51"/>
      <c r="T781" s="51"/>
      <c r="U781" s="51"/>
      <c r="V781" s="51"/>
      <c r="W781" s="51"/>
      <c r="X781" s="51"/>
      <c r="Y781" s="51"/>
      <c r="Z781" s="51"/>
      <c r="AA781" s="51"/>
      <c r="AB781" s="51"/>
      <c r="AC781" s="51"/>
      <c r="AD781" s="51"/>
      <c r="AG781" t="s">
        <v>1303</v>
      </c>
      <c r="AH781" s="51"/>
      <c r="AI781" s="51"/>
    </row>
    <row r="782" spans="2:35">
      <c r="B782" t="s">
        <v>1304</v>
      </c>
      <c r="C782" t="s">
        <v>3737</v>
      </c>
      <c r="D782">
        <v>9</v>
      </c>
      <c r="E782" t="s">
        <v>2791</v>
      </c>
      <c r="F782">
        <v>5</v>
      </c>
      <c r="G782">
        <v>12</v>
      </c>
      <c r="H782">
        <v>4</v>
      </c>
      <c r="I782" t="s">
        <v>1276</v>
      </c>
      <c r="J782" s="51">
        <v>41193</v>
      </c>
      <c r="K782" t="s">
        <v>27</v>
      </c>
      <c r="L782" t="s">
        <v>1253</v>
      </c>
      <c r="M782">
        <v>3</v>
      </c>
      <c r="N782" t="str">
        <f>L782</f>
        <v>NAM\MB3505</v>
      </c>
      <c r="O782" s="51">
        <f>J782</f>
        <v>41193</v>
      </c>
      <c r="P782" s="51" t="str">
        <f>C782</f>
        <v>~/cdd/olddocs/Control Plans/MICROMINI/CHANGE-OUT/CP-CHGO-021   X86521624P.pdf</v>
      </c>
      <c r="Q782" s="51" t="str">
        <f>E782</f>
        <v>pdf</v>
      </c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G782" t="s">
        <v>1305</v>
      </c>
      <c r="AH782" s="51"/>
      <c r="AI782" s="51"/>
    </row>
    <row r="783" spans="2:35">
      <c r="B783" t="s">
        <v>1306</v>
      </c>
      <c r="C783" t="s">
        <v>3738</v>
      </c>
      <c r="D783">
        <v>9</v>
      </c>
      <c r="E783" t="s">
        <v>2791</v>
      </c>
      <c r="F783">
        <v>5</v>
      </c>
      <c r="G783">
        <v>12</v>
      </c>
      <c r="H783">
        <v>4</v>
      </c>
      <c r="I783" t="s">
        <v>1307</v>
      </c>
      <c r="J783" s="51">
        <v>41193</v>
      </c>
      <c r="K783" t="s">
        <v>27</v>
      </c>
      <c r="L783" t="s">
        <v>1253</v>
      </c>
      <c r="M783">
        <v>3</v>
      </c>
      <c r="N783" t="str">
        <f>L783</f>
        <v>NAM\MB3505</v>
      </c>
      <c r="O783" s="51">
        <f>J783</f>
        <v>41193</v>
      </c>
      <c r="P783" s="51" t="str">
        <f>C783</f>
        <v>~/cdd/olddocs/Control Plans/MICROMINI/CHANGE-OUT/CP-CHGO-022   X86531621P.pdf</v>
      </c>
      <c r="Q783" s="51" t="str">
        <f>E783</f>
        <v>pdf</v>
      </c>
      <c r="R783" s="51"/>
      <c r="S783" s="51"/>
      <c r="T783" s="51"/>
      <c r="U783" s="51"/>
      <c r="V783" s="51"/>
      <c r="W783" s="51"/>
      <c r="X783" s="51"/>
      <c r="Y783" s="51"/>
      <c r="Z783" s="51"/>
      <c r="AA783" s="51"/>
      <c r="AB783" s="51"/>
      <c r="AC783" s="51"/>
      <c r="AD783" s="51"/>
      <c r="AG783" t="s">
        <v>1308</v>
      </c>
      <c r="AH783" s="51"/>
      <c r="AI783" s="51"/>
    </row>
    <row r="784" spans="2:35">
      <c r="B784" t="s">
        <v>1089</v>
      </c>
      <c r="C784" t="s">
        <v>3684</v>
      </c>
      <c r="D784">
        <v>9</v>
      </c>
      <c r="E784" t="s">
        <v>2791</v>
      </c>
      <c r="F784">
        <v>5</v>
      </c>
      <c r="G784">
        <v>9</v>
      </c>
      <c r="H784">
        <v>9</v>
      </c>
      <c r="I784" t="s">
        <v>1092</v>
      </c>
      <c r="J784" s="51">
        <v>41142</v>
      </c>
      <c r="K784" t="s">
        <v>27</v>
      </c>
      <c r="L784" t="s">
        <v>880</v>
      </c>
      <c r="M784">
        <v>3</v>
      </c>
      <c r="N784" t="str">
        <f>L784</f>
        <v>NAM\MB3488</v>
      </c>
      <c r="O784" s="51">
        <f>J784</f>
        <v>41142</v>
      </c>
      <c r="P784" s="51" t="str">
        <f>C784</f>
        <v>~/cdd/olddocs/Control Plans/ITRON/MILTICELL A&amp;B/CP-IMB-001 Rev. A (CON-1300-005  00628-2304-0001  28-2305-0001) (5).pdf</v>
      </c>
      <c r="Q784" s="51" t="str">
        <f>E784</f>
        <v>pdf</v>
      </c>
      <c r="R784" s="51"/>
      <c r="S784" s="51"/>
      <c r="T784" s="51"/>
      <c r="U784" s="51"/>
      <c r="V784" s="51"/>
      <c r="W784" s="51"/>
      <c r="X784" s="51"/>
      <c r="Y784" s="51"/>
      <c r="Z784" s="51"/>
      <c r="AA784" s="51"/>
      <c r="AB784" s="51"/>
      <c r="AC784" s="51"/>
      <c r="AD784" s="51"/>
      <c r="AE784">
        <v>41142</v>
      </c>
      <c r="AG784" t="s">
        <v>1093</v>
      </c>
      <c r="AH784" s="51"/>
      <c r="AI784" s="51"/>
    </row>
    <row r="785" spans="2:35">
      <c r="B785" t="s">
        <v>1585</v>
      </c>
      <c r="C785" t="s">
        <v>2816</v>
      </c>
      <c r="D785">
        <v>9</v>
      </c>
      <c r="E785" t="s">
        <v>2791</v>
      </c>
      <c r="F785">
        <v>5</v>
      </c>
      <c r="G785">
        <v>13</v>
      </c>
      <c r="H785">
        <v>15</v>
      </c>
      <c r="I785" t="s">
        <v>1586</v>
      </c>
      <c r="J785" s="51">
        <v>41081</v>
      </c>
      <c r="K785" t="s">
        <v>27</v>
      </c>
      <c r="L785" t="s">
        <v>1584</v>
      </c>
      <c r="M785">
        <v>3</v>
      </c>
      <c r="N785" t="str">
        <f>L785</f>
        <v>NAM\A8070</v>
      </c>
      <c r="O785" s="51">
        <f>J785</f>
        <v>41081</v>
      </c>
      <c r="P785" s="51" t="str">
        <f>C785</f>
        <v>~/cdd/olddocs/Control Plans/MOLDEO/MOLDEO MOORPARK/CP-MRPK-001 Rev. A   096-0278-001.pdf</v>
      </c>
      <c r="Q785" s="51" t="str">
        <f>E785</f>
        <v>pdf</v>
      </c>
      <c r="R785" s="51"/>
      <c r="S785" s="51"/>
      <c r="T785" s="51"/>
      <c r="U785" s="51"/>
      <c r="V785" s="51"/>
      <c r="W785" s="51"/>
      <c r="X785" s="51"/>
      <c r="Y785" s="51"/>
      <c r="Z785" s="51"/>
      <c r="AA785" s="51"/>
      <c r="AB785" s="51"/>
      <c r="AC785" s="51"/>
      <c r="AD785" s="51"/>
      <c r="AE785">
        <v>41081</v>
      </c>
      <c r="AG785" t="s">
        <v>1587</v>
      </c>
      <c r="AH785" s="51"/>
      <c r="AI785" s="51"/>
    </row>
    <row r="786" spans="2:35">
      <c r="B786" t="s">
        <v>1718</v>
      </c>
      <c r="C786" t="s">
        <v>3739</v>
      </c>
      <c r="D786">
        <v>9</v>
      </c>
      <c r="E786" t="s">
        <v>2791</v>
      </c>
      <c r="F786">
        <v>5</v>
      </c>
      <c r="G786">
        <v>12</v>
      </c>
      <c r="H786">
        <v>16</v>
      </c>
      <c r="I786" t="s">
        <v>1719</v>
      </c>
      <c r="J786" s="51">
        <v>41064</v>
      </c>
      <c r="K786" t="s">
        <v>46</v>
      </c>
      <c r="L786" t="s">
        <v>1584</v>
      </c>
      <c r="M786">
        <v>3</v>
      </c>
      <c r="N786" t="str">
        <f>L786</f>
        <v>NAM\A8070</v>
      </c>
      <c r="O786" s="51">
        <f>J786</f>
        <v>41064</v>
      </c>
      <c r="P786" s="51" t="str">
        <f>C786</f>
        <v>~/cdd/olddocs/Control Plans/MICROMINI/MS/CP-MS-001  568055-J.pdf</v>
      </c>
      <c r="Q786" s="51" t="str">
        <f>E786</f>
        <v>pdf</v>
      </c>
      <c r="R786" s="51"/>
      <c r="S786" s="51"/>
      <c r="T786" s="51"/>
      <c r="U786" s="51"/>
      <c r="V786" s="51"/>
      <c r="W786" s="51"/>
      <c r="X786" s="51"/>
      <c r="Y786" s="51"/>
      <c r="Z786" s="51"/>
      <c r="AA786" s="51"/>
      <c r="AB786" s="51"/>
      <c r="AC786" s="51"/>
      <c r="AD786" s="51"/>
      <c r="AG786" t="s">
        <v>1720</v>
      </c>
      <c r="AH786" s="51"/>
      <c r="AI786" s="51"/>
    </row>
    <row r="787" spans="2:35">
      <c r="B787" t="s">
        <v>1721</v>
      </c>
      <c r="C787" t="s">
        <v>3740</v>
      </c>
      <c r="D787">
        <v>9</v>
      </c>
      <c r="E787" t="s">
        <v>2791</v>
      </c>
      <c r="F787">
        <v>5</v>
      </c>
      <c r="G787">
        <v>12</v>
      </c>
      <c r="H787">
        <v>16</v>
      </c>
      <c r="I787" t="s">
        <v>1722</v>
      </c>
      <c r="J787" s="51">
        <v>41019</v>
      </c>
      <c r="K787" t="s">
        <v>27</v>
      </c>
      <c r="L787" t="s">
        <v>1584</v>
      </c>
      <c r="M787">
        <v>3</v>
      </c>
      <c r="N787" t="str">
        <f>L787</f>
        <v>NAM\A8070</v>
      </c>
      <c r="O787" s="51">
        <f>J787</f>
        <v>41019</v>
      </c>
      <c r="P787" s="51" t="str">
        <f>C787</f>
        <v>~/cdd/olddocs/Control Plans/MICROMINI/MS/CP-MS-002  568055.pdf</v>
      </c>
      <c r="Q787" s="51" t="str">
        <f>E787</f>
        <v>pdf</v>
      </c>
      <c r="R787" s="51"/>
      <c r="S787" s="51"/>
      <c r="T787" s="51"/>
      <c r="U787" s="51"/>
      <c r="V787" s="51"/>
      <c r="W787" s="51"/>
      <c r="X787" s="51"/>
      <c r="Y787" s="51"/>
      <c r="Z787" s="51"/>
      <c r="AA787" s="51"/>
      <c r="AB787" s="51"/>
      <c r="AC787" s="51"/>
      <c r="AD787" s="51"/>
      <c r="AG787">
        <v>568055</v>
      </c>
      <c r="AH787" s="51"/>
      <c r="AI787" s="51"/>
    </row>
    <row r="788" spans="2:35">
      <c r="B788" t="s">
        <v>1723</v>
      </c>
      <c r="C788" t="s">
        <v>3741</v>
      </c>
      <c r="D788">
        <v>9</v>
      </c>
      <c r="E788" t="s">
        <v>2791</v>
      </c>
      <c r="F788">
        <v>5</v>
      </c>
      <c r="G788">
        <v>12</v>
      </c>
      <c r="H788">
        <v>16</v>
      </c>
      <c r="I788" t="s">
        <v>1448</v>
      </c>
      <c r="J788" s="51">
        <v>41019</v>
      </c>
      <c r="K788" t="s">
        <v>27</v>
      </c>
      <c r="L788" t="s">
        <v>1584</v>
      </c>
      <c r="M788">
        <v>3</v>
      </c>
      <c r="N788" t="str">
        <f>L788</f>
        <v>NAM\A8070</v>
      </c>
      <c r="O788" s="51">
        <f>J788</f>
        <v>41019</v>
      </c>
      <c r="P788" s="51" t="str">
        <f>C788</f>
        <v>~/cdd/olddocs/Control Plans/MICROMINI/MS/CP-MS-003  CHK08022110X.pdf</v>
      </c>
      <c r="Q788" s="51" t="str">
        <f>E788</f>
        <v>pdf</v>
      </c>
      <c r="R788" s="51"/>
      <c r="S788" s="51"/>
      <c r="T788" s="51"/>
      <c r="U788" s="51"/>
      <c r="V788" s="51"/>
      <c r="W788" s="51"/>
      <c r="X788" s="51"/>
      <c r="Y788" s="51"/>
      <c r="Z788" s="51"/>
      <c r="AA788" s="51"/>
      <c r="AB788" s="51"/>
      <c r="AC788" s="51"/>
      <c r="AD788" s="51"/>
      <c r="AG788" t="s">
        <v>1724</v>
      </c>
      <c r="AH788" s="51"/>
      <c r="AI788" s="51"/>
    </row>
    <row r="789" spans="2:35">
      <c r="B789" t="s">
        <v>1725</v>
      </c>
      <c r="C789" t="s">
        <v>3742</v>
      </c>
      <c r="D789">
        <v>9</v>
      </c>
      <c r="E789" t="s">
        <v>2791</v>
      </c>
      <c r="F789">
        <v>5</v>
      </c>
      <c r="G789">
        <v>12</v>
      </c>
      <c r="H789">
        <v>16</v>
      </c>
      <c r="I789" t="s">
        <v>1719</v>
      </c>
      <c r="J789" s="51">
        <v>41064</v>
      </c>
      <c r="K789" t="s">
        <v>27</v>
      </c>
      <c r="L789" t="s">
        <v>1584</v>
      </c>
      <c r="M789">
        <v>3</v>
      </c>
      <c r="N789" t="str">
        <f>L789</f>
        <v>NAM\A8070</v>
      </c>
      <c r="O789" s="51">
        <f>J789</f>
        <v>41064</v>
      </c>
      <c r="P789" s="51" t="str">
        <f>C789</f>
        <v>~/cdd/olddocs/Control Plans/MICROMINI/MS/CP-MS-004  568055-E.pdf</v>
      </c>
      <c r="Q789" s="51" t="str">
        <f>E789</f>
        <v>pdf</v>
      </c>
      <c r="R789" s="51"/>
      <c r="S789" s="51"/>
      <c r="T789" s="51"/>
      <c r="U789" s="51"/>
      <c r="V789" s="51"/>
      <c r="W789" s="51"/>
      <c r="X789" s="51"/>
      <c r="Y789" s="51"/>
      <c r="Z789" s="51"/>
      <c r="AA789" s="51"/>
      <c r="AB789" s="51"/>
      <c r="AC789" s="51"/>
      <c r="AD789" s="51"/>
      <c r="AG789" t="s">
        <v>1726</v>
      </c>
      <c r="AH789" s="51"/>
      <c r="AI789" s="51"/>
    </row>
    <row r="790" spans="2:35">
      <c r="B790" t="s">
        <v>1727</v>
      </c>
      <c r="C790" t="s">
        <v>3743</v>
      </c>
      <c r="D790">
        <v>9</v>
      </c>
      <c r="E790" t="s">
        <v>2791</v>
      </c>
      <c r="F790">
        <v>5</v>
      </c>
      <c r="G790">
        <v>12</v>
      </c>
      <c r="H790">
        <v>16</v>
      </c>
      <c r="I790" t="s">
        <v>1728</v>
      </c>
      <c r="J790" s="51">
        <v>41017</v>
      </c>
      <c r="K790" t="s">
        <v>27</v>
      </c>
      <c r="L790" t="s">
        <v>1584</v>
      </c>
      <c r="M790">
        <v>3</v>
      </c>
      <c r="N790" t="str">
        <f>L790</f>
        <v>NAM\A8070</v>
      </c>
      <c r="O790" s="51">
        <f>J790</f>
        <v>41017</v>
      </c>
      <c r="P790" s="51" t="str">
        <f>C790</f>
        <v>~/cdd/olddocs/Control Plans/MICROMINI/MS/CP-MS-005  P15-32302C.pdf</v>
      </c>
      <c r="Q790" s="51" t="str">
        <f>E790</f>
        <v>pdf</v>
      </c>
      <c r="R790" s="51"/>
      <c r="S790" s="51"/>
      <c r="T790" s="51"/>
      <c r="U790" s="51"/>
      <c r="V790" s="51"/>
      <c r="W790" s="51"/>
      <c r="X790" s="51"/>
      <c r="Y790" s="51"/>
      <c r="Z790" s="51"/>
      <c r="AA790" s="51"/>
      <c r="AB790" s="51"/>
      <c r="AC790" s="51"/>
      <c r="AD790" s="51"/>
      <c r="AG790" t="s">
        <v>1729</v>
      </c>
      <c r="AH790" s="51"/>
      <c r="AI790" s="51"/>
    </row>
    <row r="791" spans="2:35">
      <c r="B791" t="s">
        <v>1730</v>
      </c>
      <c r="C791" t="s">
        <v>3928</v>
      </c>
      <c r="D791">
        <v>9</v>
      </c>
      <c r="E791" t="s">
        <v>2790</v>
      </c>
      <c r="F791">
        <v>5</v>
      </c>
      <c r="G791">
        <v>12</v>
      </c>
      <c r="H791">
        <v>16</v>
      </c>
      <c r="I791" t="s">
        <v>1731</v>
      </c>
      <c r="J791" s="51">
        <v>41064</v>
      </c>
      <c r="K791" t="s">
        <v>27</v>
      </c>
      <c r="L791" t="s">
        <v>1584</v>
      </c>
      <c r="M791">
        <v>3</v>
      </c>
      <c r="N791" t="str">
        <f>L791</f>
        <v>NAM\A8070</v>
      </c>
      <c r="O791" s="51">
        <f>J791</f>
        <v>41064</v>
      </c>
      <c r="P791" s="51" t="str">
        <f>C791</f>
        <v>~/cdd/olddocs/CN-QAAS (Aseguranza de calidad)/Control Plans/MICROMINI/MS/CP-MS-007 Rev. A 568055-H.xlsx</v>
      </c>
      <c r="Q791" s="51" t="str">
        <f>E791</f>
        <v>xlsx</v>
      </c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G791" t="s">
        <v>1732</v>
      </c>
      <c r="AH791" s="51"/>
      <c r="AI791" s="51"/>
    </row>
    <row r="792" spans="2:35">
      <c r="B792" t="s">
        <v>1733</v>
      </c>
      <c r="C792" t="s">
        <v>3744</v>
      </c>
      <c r="D792">
        <v>9</v>
      </c>
      <c r="E792" t="s">
        <v>2791</v>
      </c>
      <c r="F792">
        <v>5</v>
      </c>
      <c r="G792">
        <v>12</v>
      </c>
      <c r="H792">
        <v>16</v>
      </c>
      <c r="I792" t="s">
        <v>1734</v>
      </c>
      <c r="J792" s="51">
        <v>41102</v>
      </c>
      <c r="K792" t="s">
        <v>46</v>
      </c>
      <c r="L792" t="s">
        <v>1584</v>
      </c>
      <c r="M792">
        <v>3</v>
      </c>
      <c r="N792" t="str">
        <f>L792</f>
        <v>NAM\A8070</v>
      </c>
      <c r="O792" s="51">
        <f>J792</f>
        <v>41102</v>
      </c>
      <c r="P792" s="51" t="str">
        <f>C792</f>
        <v>~/cdd/olddocs/Control Plans/MICROMINI/MS/CP-MS-008  CH504148B-A.pdf</v>
      </c>
      <c r="Q792" s="51" t="str">
        <f>E792</f>
        <v>pdf</v>
      </c>
      <c r="R792" s="51"/>
      <c r="S792" s="51"/>
      <c r="T792" s="51"/>
      <c r="U792" s="51"/>
      <c r="V792" s="51"/>
      <c r="W792" s="51"/>
      <c r="X792" s="51"/>
      <c r="Y792" s="51"/>
      <c r="Z792" s="51"/>
      <c r="AA792" s="51"/>
      <c r="AB792" s="51"/>
      <c r="AC792" s="51"/>
      <c r="AD792" s="51"/>
      <c r="AG792" t="s">
        <v>1735</v>
      </c>
      <c r="AH792" s="51"/>
      <c r="AI792" s="51"/>
    </row>
    <row r="793" spans="2:35">
      <c r="B793" t="s">
        <v>1736</v>
      </c>
      <c r="C793" t="s">
        <v>3745</v>
      </c>
      <c r="D793">
        <v>9</v>
      </c>
      <c r="E793" t="s">
        <v>2791</v>
      </c>
      <c r="F793">
        <v>5</v>
      </c>
      <c r="G793">
        <v>12</v>
      </c>
      <c r="H793">
        <v>16</v>
      </c>
      <c r="I793" t="s">
        <v>1734</v>
      </c>
      <c r="J793" s="51">
        <v>40995</v>
      </c>
      <c r="K793" t="s">
        <v>27</v>
      </c>
      <c r="L793" t="s">
        <v>1584</v>
      </c>
      <c r="M793">
        <v>3</v>
      </c>
      <c r="N793" t="str">
        <f>L793</f>
        <v>NAM\A8070</v>
      </c>
      <c r="O793" s="51">
        <f>J793</f>
        <v>40995</v>
      </c>
      <c r="P793" s="51" t="str">
        <f>C793</f>
        <v>~/cdd/olddocs/Control Plans/MICROMINI/MS/CP-MS-009  CH5041490B.pdf</v>
      </c>
      <c r="Q793" s="51" t="str">
        <f>E793</f>
        <v>pdf</v>
      </c>
      <c r="R793" s="51"/>
      <c r="S793" s="51"/>
      <c r="T793" s="51"/>
      <c r="U793" s="51"/>
      <c r="V793" s="51"/>
      <c r="W793" s="51"/>
      <c r="X793" s="51"/>
      <c r="Y793" s="51"/>
      <c r="Z793" s="51"/>
      <c r="AA793" s="51"/>
      <c r="AB793" s="51"/>
      <c r="AC793" s="51"/>
      <c r="AD793" s="51"/>
      <c r="AG793" t="s">
        <v>1737</v>
      </c>
      <c r="AH793" s="51"/>
      <c r="AI793" s="51"/>
    </row>
    <row r="794" spans="2:35">
      <c r="B794" t="s">
        <v>1738</v>
      </c>
      <c r="C794" t="s">
        <v>3746</v>
      </c>
      <c r="D794">
        <v>9</v>
      </c>
      <c r="E794" t="s">
        <v>2791</v>
      </c>
      <c r="F794">
        <v>5</v>
      </c>
      <c r="G794">
        <v>12</v>
      </c>
      <c r="H794">
        <v>16</v>
      </c>
      <c r="I794" t="s">
        <v>1739</v>
      </c>
      <c r="J794" s="51">
        <v>41038</v>
      </c>
      <c r="K794" t="s">
        <v>27</v>
      </c>
      <c r="L794" t="s">
        <v>1584</v>
      </c>
      <c r="M794">
        <v>3</v>
      </c>
      <c r="N794" t="str">
        <f>L794</f>
        <v>NAM\A8070</v>
      </c>
      <c r="O794" s="51">
        <f>J794</f>
        <v>41038</v>
      </c>
      <c r="P794" s="51" t="str">
        <f>C794</f>
        <v>~/cdd/olddocs/Control Plans/MICROMINI/MS/CP-MS-010  CH5041497B.pdf</v>
      </c>
      <c r="Q794" s="51" t="str">
        <f>E794</f>
        <v>pdf</v>
      </c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G794" t="s">
        <v>1740</v>
      </c>
      <c r="AH794" s="51"/>
      <c r="AI794" s="51"/>
    </row>
    <row r="795" spans="2:35">
      <c r="B795" t="s">
        <v>1741</v>
      </c>
      <c r="C795" t="s">
        <v>3747</v>
      </c>
      <c r="D795">
        <v>9</v>
      </c>
      <c r="E795" t="s">
        <v>2791</v>
      </c>
      <c r="F795">
        <v>5</v>
      </c>
      <c r="G795">
        <v>12</v>
      </c>
      <c r="H795">
        <v>16</v>
      </c>
      <c r="I795" t="s">
        <v>1742</v>
      </c>
      <c r="J795" s="51">
        <v>41102</v>
      </c>
      <c r="K795" t="s">
        <v>27</v>
      </c>
      <c r="L795" t="s">
        <v>1584</v>
      </c>
      <c r="M795">
        <v>3</v>
      </c>
      <c r="N795" t="str">
        <f>L795</f>
        <v>NAM\A8070</v>
      </c>
      <c r="O795" s="51">
        <f>J795</f>
        <v>41102</v>
      </c>
      <c r="P795" s="51" t="str">
        <f>C795</f>
        <v>~/cdd/olddocs/Control Plans/MICROMINI/MS/CP-MS-011  568055-A.pdf</v>
      </c>
      <c r="Q795" s="51" t="str">
        <f>E795</f>
        <v>pdf</v>
      </c>
      <c r="R795" s="51"/>
      <c r="S795" s="51"/>
      <c r="T795" s="51"/>
      <c r="U795" s="51"/>
      <c r="V795" s="51"/>
      <c r="W795" s="51"/>
      <c r="X795" s="51"/>
      <c r="Y795" s="51"/>
      <c r="Z795" s="51"/>
      <c r="AA795" s="51"/>
      <c r="AB795" s="51"/>
      <c r="AC795" s="51"/>
      <c r="AD795" s="51"/>
      <c r="AG795" t="s">
        <v>1743</v>
      </c>
      <c r="AH795" s="51"/>
      <c r="AI795" s="51"/>
    </row>
    <row r="796" spans="2:35">
      <c r="B796" t="s">
        <v>1744</v>
      </c>
      <c r="C796" t="s">
        <v>3929</v>
      </c>
      <c r="D796">
        <v>9</v>
      </c>
      <c r="E796" t="s">
        <v>2790</v>
      </c>
      <c r="F796">
        <v>5</v>
      </c>
      <c r="G796">
        <v>12</v>
      </c>
      <c r="H796">
        <v>16</v>
      </c>
      <c r="I796" t="s">
        <v>1745</v>
      </c>
      <c r="J796" s="51">
        <v>41117</v>
      </c>
      <c r="K796" t="s">
        <v>27</v>
      </c>
      <c r="L796" t="s">
        <v>1584</v>
      </c>
      <c r="M796">
        <v>3</v>
      </c>
      <c r="N796" t="str">
        <f>L796</f>
        <v>NAM\A8070</v>
      </c>
      <c r="O796" s="51">
        <f>J796</f>
        <v>41117</v>
      </c>
      <c r="P796" s="51" t="str">
        <f>C796</f>
        <v>~/cdd/olddocs/CN-QAAS (Aseguranza de calidad)/Control Plans/MICROMINI/MS/CP-MS-012 Rev. A SP15-32302C.xlsx</v>
      </c>
      <c r="Q796" s="51" t="str">
        <f>E796</f>
        <v>xlsx</v>
      </c>
      <c r="R796" s="51"/>
      <c r="S796" s="51"/>
      <c r="T796" s="51"/>
      <c r="U796" s="51"/>
      <c r="V796" s="51"/>
      <c r="W796" s="51"/>
      <c r="X796" s="51"/>
      <c r="Y796" s="51"/>
      <c r="Z796" s="51"/>
      <c r="AA796" s="51"/>
      <c r="AB796" s="51"/>
      <c r="AC796" s="51"/>
      <c r="AD796" s="51"/>
      <c r="AG796" t="s">
        <v>1746</v>
      </c>
      <c r="AH796" s="51"/>
      <c r="AI796" s="51"/>
    </row>
    <row r="797" spans="2:35">
      <c r="B797" t="s">
        <v>1367</v>
      </c>
      <c r="C797" t="s">
        <v>3748</v>
      </c>
      <c r="D797">
        <v>9</v>
      </c>
      <c r="E797" t="s">
        <v>2791</v>
      </c>
      <c r="F797">
        <v>5</v>
      </c>
      <c r="G797">
        <v>12</v>
      </c>
      <c r="H797">
        <v>16</v>
      </c>
      <c r="I797" t="s">
        <v>1368</v>
      </c>
      <c r="K797" t="s">
        <v>27</v>
      </c>
      <c r="L797" t="s">
        <v>1253</v>
      </c>
      <c r="M797">
        <v>3</v>
      </c>
      <c r="N797" t="str">
        <f>L797</f>
        <v>NAM\MB3505</v>
      </c>
      <c r="O797" s="51">
        <f>J797</f>
        <v>0</v>
      </c>
      <c r="P797" s="51" t="str">
        <f>C797</f>
        <v>~/cdd/olddocs/Control Plans/MICROMINI/MS/CP-MS-013  203205a.pdf</v>
      </c>
      <c r="Q797" s="51" t="str">
        <f>E797</f>
        <v>pdf</v>
      </c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>
        <v>41193</v>
      </c>
      <c r="AG797" t="s">
        <v>1369</v>
      </c>
      <c r="AH797" s="51"/>
      <c r="AI797" s="51"/>
    </row>
    <row r="798" spans="2:35">
      <c r="B798" t="s">
        <v>1370</v>
      </c>
      <c r="C798" t="s">
        <v>3749</v>
      </c>
      <c r="D798">
        <v>9</v>
      </c>
      <c r="E798" t="s">
        <v>2791</v>
      </c>
      <c r="F798">
        <v>5</v>
      </c>
      <c r="G798">
        <v>12</v>
      </c>
      <c r="H798">
        <v>16</v>
      </c>
      <c r="I798" t="s">
        <v>1371</v>
      </c>
      <c r="K798" t="s">
        <v>27</v>
      </c>
      <c r="L798" t="s">
        <v>1253</v>
      </c>
      <c r="M798">
        <v>3</v>
      </c>
      <c r="N798" t="str">
        <f>L798</f>
        <v>NAM\MB3505</v>
      </c>
      <c r="O798" s="51">
        <f>J798</f>
        <v>0</v>
      </c>
      <c r="P798" s="51" t="str">
        <f>C798</f>
        <v>~/cdd/olddocs/Control Plans/MICROMINI/MS/CP-MS-014  5680551.pdf</v>
      </c>
      <c r="Q798" s="51" t="str">
        <f>E798</f>
        <v>pdf</v>
      </c>
      <c r="R798" s="51"/>
      <c r="S798" s="51"/>
      <c r="T798" s="51"/>
      <c r="U798" s="51"/>
      <c r="V798" s="51"/>
      <c r="W798" s="51"/>
      <c r="X798" s="51"/>
      <c r="Y798" s="51"/>
      <c r="Z798" s="51"/>
      <c r="AA798" s="51"/>
      <c r="AB798" s="51"/>
      <c r="AC798" s="51"/>
      <c r="AD798" s="51"/>
      <c r="AE798">
        <v>41193</v>
      </c>
      <c r="AG798" t="s">
        <v>1372</v>
      </c>
      <c r="AH798" s="51"/>
      <c r="AI798" s="51"/>
    </row>
    <row r="799" spans="2:35">
      <c r="B799" t="s">
        <v>1373</v>
      </c>
      <c r="C799" t="s">
        <v>3750</v>
      </c>
      <c r="D799">
        <v>9</v>
      </c>
      <c r="E799" t="s">
        <v>2791</v>
      </c>
      <c r="F799">
        <v>5</v>
      </c>
      <c r="G799">
        <v>12</v>
      </c>
      <c r="H799">
        <v>16</v>
      </c>
      <c r="I799" t="s">
        <v>1374</v>
      </c>
      <c r="K799" t="s">
        <v>27</v>
      </c>
      <c r="L799" t="s">
        <v>1253</v>
      </c>
      <c r="M799">
        <v>3</v>
      </c>
      <c r="N799" t="str">
        <f>L799</f>
        <v>NAM\MB3505</v>
      </c>
      <c r="O799" s="51">
        <f>J799</f>
        <v>0</v>
      </c>
      <c r="P799" s="51" t="str">
        <f>C799</f>
        <v>~/cdd/olddocs/Control Plans/MICROMINI/MS/CP-MS-015  11613668 &amp; 11536313.pdf</v>
      </c>
      <c r="Q799" s="51" t="str">
        <f>E799</f>
        <v>pdf</v>
      </c>
      <c r="R799" s="51"/>
      <c r="S799" s="51"/>
      <c r="T799" s="51"/>
      <c r="U799" s="51"/>
      <c r="V799" s="51"/>
      <c r="W799" s="51"/>
      <c r="X799" s="51"/>
      <c r="Y799" s="51"/>
      <c r="Z799" s="51"/>
      <c r="AA799" s="51"/>
      <c r="AB799" s="51"/>
      <c r="AC799" s="51"/>
      <c r="AD799" s="51"/>
      <c r="AE799">
        <v>41193</v>
      </c>
      <c r="AG799" t="s">
        <v>1375</v>
      </c>
      <c r="AH799" s="51"/>
      <c r="AI799" s="51"/>
    </row>
    <row r="800" spans="2:35">
      <c r="B800" t="s">
        <v>1376</v>
      </c>
      <c r="C800" t="s">
        <v>3751</v>
      </c>
      <c r="D800">
        <v>9</v>
      </c>
      <c r="E800" t="s">
        <v>2791</v>
      </c>
      <c r="F800">
        <v>5</v>
      </c>
      <c r="G800">
        <v>12</v>
      </c>
      <c r="H800">
        <v>16</v>
      </c>
      <c r="I800" t="s">
        <v>1377</v>
      </c>
      <c r="K800" t="s">
        <v>27</v>
      </c>
      <c r="L800" t="s">
        <v>1253</v>
      </c>
      <c r="M800">
        <v>3</v>
      </c>
      <c r="N800" t="str">
        <f>L800</f>
        <v>NAM\MB3505</v>
      </c>
      <c r="O800" s="51">
        <f>J800</f>
        <v>0</v>
      </c>
      <c r="P800" s="51" t="str">
        <f>C800</f>
        <v>~/cdd/olddocs/Control Plans/MICROMINI/MS/CP-MS-016   11547793.pdf</v>
      </c>
      <c r="Q800" s="51" t="str">
        <f>E800</f>
        <v>pdf</v>
      </c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>
        <v>41193</v>
      </c>
      <c r="AG800" t="s">
        <v>1378</v>
      </c>
      <c r="AH800" s="51"/>
      <c r="AI800" s="51"/>
    </row>
    <row r="801" spans="2:35">
      <c r="B801" t="s">
        <v>1379</v>
      </c>
      <c r="C801" t="s">
        <v>3752</v>
      </c>
      <c r="D801">
        <v>9</v>
      </c>
      <c r="E801" t="s">
        <v>2791</v>
      </c>
      <c r="F801">
        <v>5</v>
      </c>
      <c r="G801">
        <v>12</v>
      </c>
      <c r="H801">
        <v>16</v>
      </c>
      <c r="I801" t="s">
        <v>1374</v>
      </c>
      <c r="K801" t="s">
        <v>27</v>
      </c>
      <c r="L801" t="s">
        <v>1253</v>
      </c>
      <c r="M801">
        <v>3</v>
      </c>
      <c r="N801" t="str">
        <f>L801</f>
        <v>NAM\MB3505</v>
      </c>
      <c r="O801" s="51">
        <f>J801</f>
        <v>0</v>
      </c>
      <c r="P801" s="51" t="str">
        <f>C801</f>
        <v>~/cdd/olddocs/Control Plans/MICROMINI/MS/CP-MS-017  CH5041495B0360.pdf</v>
      </c>
      <c r="Q801" s="51" t="str">
        <f>E801</f>
        <v>pdf</v>
      </c>
      <c r="R801" s="51"/>
      <c r="S801" s="51"/>
      <c r="T801" s="51"/>
      <c r="U801" s="51"/>
      <c r="V801" s="51"/>
      <c r="W801" s="51"/>
      <c r="X801" s="51"/>
      <c r="Y801" s="51"/>
      <c r="Z801" s="51"/>
      <c r="AA801" s="51"/>
      <c r="AB801" s="51"/>
      <c r="AC801" s="51"/>
      <c r="AD801" s="51"/>
      <c r="AE801">
        <v>41193</v>
      </c>
      <c r="AG801" t="s">
        <v>1380</v>
      </c>
      <c r="AH801" s="51"/>
      <c r="AI801" s="51"/>
    </row>
    <row r="802" spans="2:35">
      <c r="B802" t="s">
        <v>1381</v>
      </c>
      <c r="C802" t="s">
        <v>3753</v>
      </c>
      <c r="D802">
        <v>9</v>
      </c>
      <c r="E802" t="s">
        <v>2791</v>
      </c>
      <c r="F802">
        <v>5</v>
      </c>
      <c r="G802">
        <v>12</v>
      </c>
      <c r="H802">
        <v>16</v>
      </c>
      <c r="I802" t="s">
        <v>1377</v>
      </c>
      <c r="K802" t="s">
        <v>27</v>
      </c>
      <c r="L802" t="s">
        <v>1253</v>
      </c>
      <c r="M802">
        <v>3</v>
      </c>
      <c r="N802" t="str">
        <f>L802</f>
        <v>NAM\MB3505</v>
      </c>
      <c r="O802" s="51">
        <f>J802</f>
        <v>0</v>
      </c>
      <c r="P802" s="51" t="str">
        <f>C802</f>
        <v>~/cdd/olddocs/Control Plans/MICROMINI/MS/CP-MS-018  CHCCR003P.pdf</v>
      </c>
      <c r="Q802" s="51" t="str">
        <f>E802</f>
        <v>pdf</v>
      </c>
      <c r="R802" s="51"/>
      <c r="S802" s="51"/>
      <c r="T802" s="51"/>
      <c r="U802" s="51"/>
      <c r="V802" s="51"/>
      <c r="W802" s="51"/>
      <c r="X802" s="51"/>
      <c r="Y802" s="51"/>
      <c r="Z802" s="51"/>
      <c r="AA802" s="51"/>
      <c r="AB802" s="51"/>
      <c r="AC802" s="51"/>
      <c r="AD802" s="51"/>
      <c r="AE802">
        <v>41193</v>
      </c>
      <c r="AG802" t="s">
        <v>1382</v>
      </c>
      <c r="AH802" s="51"/>
      <c r="AI802" s="51"/>
    </row>
    <row r="803" spans="2:35">
      <c r="B803" t="s">
        <v>1383</v>
      </c>
      <c r="C803" t="s">
        <v>3754</v>
      </c>
      <c r="D803">
        <v>9</v>
      </c>
      <c r="E803" t="s">
        <v>2791</v>
      </c>
      <c r="F803">
        <v>5</v>
      </c>
      <c r="G803">
        <v>12</v>
      </c>
      <c r="H803">
        <v>16</v>
      </c>
      <c r="I803" t="s">
        <v>1368</v>
      </c>
      <c r="K803" t="s">
        <v>27</v>
      </c>
      <c r="L803" t="s">
        <v>1253</v>
      </c>
      <c r="M803">
        <v>3</v>
      </c>
      <c r="N803" t="str">
        <f>L803</f>
        <v>NAM\MB3505</v>
      </c>
      <c r="O803" s="51">
        <f>J803</f>
        <v>0</v>
      </c>
      <c r="P803" s="51" t="str">
        <f>C803</f>
        <v>~/cdd/olddocs/Control Plans/MICROMINI/MS/CP-MS-019  M5E1811A230MH.pdf</v>
      </c>
      <c r="Q803" s="51" t="str">
        <f>E803</f>
        <v>pdf</v>
      </c>
      <c r="R803" s="51"/>
      <c r="S803" s="51"/>
      <c r="T803" s="51"/>
      <c r="U803" s="51"/>
      <c r="V803" s="51"/>
      <c r="W803" s="51"/>
      <c r="X803" s="51"/>
      <c r="Y803" s="51"/>
      <c r="Z803" s="51"/>
      <c r="AA803" s="51"/>
      <c r="AB803" s="51"/>
      <c r="AC803" s="51"/>
      <c r="AD803" s="51"/>
      <c r="AE803">
        <v>41193</v>
      </c>
      <c r="AG803" t="s">
        <v>1384</v>
      </c>
      <c r="AH803" s="51"/>
      <c r="AI803" s="51"/>
    </row>
    <row r="804" spans="2:35">
      <c r="B804" t="s">
        <v>1385</v>
      </c>
      <c r="C804" t="s">
        <v>3755</v>
      </c>
      <c r="D804">
        <v>9</v>
      </c>
      <c r="E804" t="s">
        <v>2791</v>
      </c>
      <c r="F804">
        <v>5</v>
      </c>
      <c r="G804">
        <v>12</v>
      </c>
      <c r="H804">
        <v>16</v>
      </c>
      <c r="I804" t="s">
        <v>1386</v>
      </c>
      <c r="K804" t="s">
        <v>27</v>
      </c>
      <c r="L804" t="s">
        <v>1253</v>
      </c>
      <c r="M804">
        <v>3</v>
      </c>
      <c r="N804" t="str">
        <f>L804</f>
        <v>NAM\MB3505</v>
      </c>
      <c r="O804" s="51">
        <f>J804</f>
        <v>0</v>
      </c>
      <c r="P804" s="51" t="str">
        <f>C804</f>
        <v>~/cdd/olddocs/Control Plans/MICROMINI/MS/CP-MS-020   P1526042B130, P1529042B130, P1532302C21, P1532302C27.pdf</v>
      </c>
      <c r="Q804" s="51" t="str">
        <f>E804</f>
        <v>pdf</v>
      </c>
      <c r="R804" s="51"/>
      <c r="S804" s="51"/>
      <c r="T804" s="51"/>
      <c r="U804" s="51"/>
      <c r="V804" s="51"/>
      <c r="W804" s="51"/>
      <c r="X804" s="51"/>
      <c r="Y804" s="51"/>
      <c r="Z804" s="51"/>
      <c r="AA804" s="51"/>
      <c r="AB804" s="51"/>
      <c r="AC804" s="51"/>
      <c r="AD804" s="51"/>
      <c r="AE804">
        <v>41193</v>
      </c>
      <c r="AG804" t="s">
        <v>1387</v>
      </c>
      <c r="AH804" s="51"/>
      <c r="AI804" s="51"/>
    </row>
    <row r="805" spans="2:35">
      <c r="B805" t="s">
        <v>1388</v>
      </c>
      <c r="C805" t="s">
        <v>3756</v>
      </c>
      <c r="D805">
        <v>9</v>
      </c>
      <c r="E805" t="s">
        <v>2791</v>
      </c>
      <c r="F805">
        <v>5</v>
      </c>
      <c r="G805">
        <v>12</v>
      </c>
      <c r="H805">
        <v>16</v>
      </c>
      <c r="I805" t="s">
        <v>1386</v>
      </c>
      <c r="K805" t="s">
        <v>27</v>
      </c>
      <c r="L805" t="s">
        <v>1253</v>
      </c>
      <c r="M805">
        <v>3</v>
      </c>
      <c r="N805" t="str">
        <f>L805</f>
        <v>NAM\MB3505</v>
      </c>
      <c r="O805" s="51">
        <f>J805</f>
        <v>0</v>
      </c>
      <c r="P805" s="51" t="str">
        <f>C805</f>
        <v>~/cdd/olddocs/Control Plans/MICROMINI/MS/CP-MS-021  SMEA0092010, SMEA0092025, SMEA0092030, SMEA0092040, SMEA0092045, SMEA0092050.pdf</v>
      </c>
      <c r="Q805" s="51" t="str">
        <f>E805</f>
        <v>pdf</v>
      </c>
      <c r="R805" s="51"/>
      <c r="S805" s="51"/>
      <c r="T805" s="51"/>
      <c r="U805" s="51"/>
      <c r="V805" s="51"/>
      <c r="W805" s="51"/>
      <c r="X805" s="51"/>
      <c r="Y805" s="51"/>
      <c r="Z805" s="51"/>
      <c r="AA805" s="51"/>
      <c r="AB805" s="51"/>
      <c r="AC805" s="51"/>
      <c r="AD805" s="51"/>
      <c r="AE805">
        <v>41193</v>
      </c>
      <c r="AG805" t="s">
        <v>1389</v>
      </c>
      <c r="AH805" s="51"/>
      <c r="AI805" s="51"/>
    </row>
    <row r="806" spans="2:35">
      <c r="B806" t="s">
        <v>1390</v>
      </c>
      <c r="C806" t="s">
        <v>3757</v>
      </c>
      <c r="D806">
        <v>9</v>
      </c>
      <c r="E806" t="s">
        <v>2791</v>
      </c>
      <c r="F806">
        <v>5</v>
      </c>
      <c r="G806">
        <v>12</v>
      </c>
      <c r="H806">
        <v>16</v>
      </c>
      <c r="I806" t="s">
        <v>1391</v>
      </c>
      <c r="K806" t="s">
        <v>27</v>
      </c>
      <c r="L806" t="s">
        <v>1253</v>
      </c>
      <c r="M806">
        <v>3</v>
      </c>
      <c r="N806" t="str">
        <f>L806</f>
        <v>NAM\MB3505</v>
      </c>
      <c r="O806" s="51">
        <f>J806</f>
        <v>0</v>
      </c>
      <c r="P806" s="51" t="str">
        <f>C806</f>
        <v>~/cdd/olddocs/Control Plans/MICROMINI/MS/CP-MS-022  SMEA0094007, SMEA0094030.pdf</v>
      </c>
      <c r="Q806" s="51" t="str">
        <f>E806</f>
        <v>pdf</v>
      </c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>
        <v>41193</v>
      </c>
      <c r="AG806" t="s">
        <v>1392</v>
      </c>
      <c r="AH806" s="51"/>
      <c r="AI806" s="51"/>
    </row>
    <row r="807" spans="2:35">
      <c r="B807" t="s">
        <v>1393</v>
      </c>
      <c r="C807" t="s">
        <v>3758</v>
      </c>
      <c r="D807">
        <v>9</v>
      </c>
      <c r="E807" t="s">
        <v>2791</v>
      </c>
      <c r="F807">
        <v>5</v>
      </c>
      <c r="G807">
        <v>12</v>
      </c>
      <c r="H807">
        <v>16</v>
      </c>
      <c r="I807" t="s">
        <v>1394</v>
      </c>
      <c r="K807" t="s">
        <v>27</v>
      </c>
      <c r="L807" t="s">
        <v>1253</v>
      </c>
      <c r="M807">
        <v>3</v>
      </c>
      <c r="N807" t="str">
        <f>L807</f>
        <v>NAM\MB3505</v>
      </c>
      <c r="O807" s="51">
        <f>J807</f>
        <v>0</v>
      </c>
      <c r="P807" s="51" t="str">
        <f>C807</f>
        <v>~/cdd/olddocs/Control Plans/MICROMINI/MS/CP-MS-023  SMEA0114007, 4010, 4015, 4030.pdf</v>
      </c>
      <c r="Q807" s="51" t="str">
        <f>E807</f>
        <v>pdf</v>
      </c>
      <c r="R807" s="51"/>
      <c r="S807" s="51"/>
      <c r="T807" s="51"/>
      <c r="U807" s="51"/>
      <c r="V807" s="51"/>
      <c r="W807" s="51"/>
      <c r="X807" s="51"/>
      <c r="Y807" s="51"/>
      <c r="Z807" s="51"/>
      <c r="AA807" s="51"/>
      <c r="AB807" s="51"/>
      <c r="AC807" s="51"/>
      <c r="AD807" s="51"/>
      <c r="AE807">
        <v>41193</v>
      </c>
      <c r="AG807" t="s">
        <v>1395</v>
      </c>
      <c r="AH807" s="51"/>
      <c r="AI807" s="51"/>
    </row>
    <row r="808" spans="2:35">
      <c r="B808" t="s">
        <v>1396</v>
      </c>
      <c r="C808" t="s">
        <v>2806</v>
      </c>
      <c r="D808">
        <v>9</v>
      </c>
      <c r="E808" t="s">
        <v>2791</v>
      </c>
      <c r="F808">
        <v>5</v>
      </c>
      <c r="G808">
        <v>12</v>
      </c>
      <c r="H808">
        <v>16</v>
      </c>
      <c r="I808" t="s">
        <v>1397</v>
      </c>
      <c r="K808" t="s">
        <v>27</v>
      </c>
      <c r="L808" t="s">
        <v>1253</v>
      </c>
      <c r="M808">
        <v>3</v>
      </c>
      <c r="N808" t="str">
        <f>L808</f>
        <v>NAM\MB3505</v>
      </c>
      <c r="O808" s="51">
        <f>J808</f>
        <v>0</v>
      </c>
      <c r="P808" s="51" t="str">
        <f>C808</f>
        <v>~/cdd/olddocs/Control Plans/MICROMINI/MS/CP-MS-024  SMEA0115010, 5015, 5020, 5030, 5035, 5060.pdf</v>
      </c>
      <c r="Q808" s="51" t="str">
        <f>E808</f>
        <v>pdf</v>
      </c>
      <c r="R808" s="51"/>
      <c r="S808" s="51"/>
      <c r="T808" s="51"/>
      <c r="U808" s="51"/>
      <c r="V808" s="51"/>
      <c r="W808" s="51"/>
      <c r="X808" s="51"/>
      <c r="Y808" s="51"/>
      <c r="Z808" s="51"/>
      <c r="AA808" s="51"/>
      <c r="AB808" s="51"/>
      <c r="AC808" s="51"/>
      <c r="AD808" s="51"/>
      <c r="AE808">
        <v>41180</v>
      </c>
      <c r="AG808" t="s">
        <v>1398</v>
      </c>
      <c r="AH808" s="51"/>
      <c r="AI808" s="51"/>
    </row>
    <row r="809" spans="2:35">
      <c r="B809" t="s">
        <v>1399</v>
      </c>
      <c r="C809" t="s">
        <v>2807</v>
      </c>
      <c r="D809">
        <v>9</v>
      </c>
      <c r="E809" t="s">
        <v>2791</v>
      </c>
      <c r="F809">
        <v>5</v>
      </c>
      <c r="G809">
        <v>12</v>
      </c>
      <c r="H809">
        <v>16</v>
      </c>
      <c r="I809" t="s">
        <v>1400</v>
      </c>
      <c r="K809" t="s">
        <v>27</v>
      </c>
      <c r="L809" t="s">
        <v>1253</v>
      </c>
      <c r="M809">
        <v>3</v>
      </c>
      <c r="N809" t="str">
        <f>L809</f>
        <v>NAM\MB3505</v>
      </c>
      <c r="O809" s="51">
        <f>J809</f>
        <v>0</v>
      </c>
      <c r="P809" s="51" t="str">
        <f>C809</f>
        <v>~/cdd/olddocs/Control Plans/MICROMINI/MS/CP-MS-025  SMEA0120010, 0030, 0040, 0040, 0045.pdf</v>
      </c>
      <c r="Q809" s="51" t="str">
        <f>E809</f>
        <v>pdf</v>
      </c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>
        <v>41180</v>
      </c>
      <c r="AG809" t="s">
        <v>1401</v>
      </c>
      <c r="AH809" s="51"/>
      <c r="AI809" s="51"/>
    </row>
    <row r="810" spans="2:35">
      <c r="B810" t="s">
        <v>2787</v>
      </c>
      <c r="C810" t="e">
        <v>#VALUE!</v>
      </c>
      <c r="D810">
        <v>9</v>
      </c>
      <c r="E810" t="e">
        <v>#VALUE!</v>
      </c>
      <c r="F810">
        <v>5</v>
      </c>
      <c r="G810">
        <v>12</v>
      </c>
      <c r="H810">
        <v>16</v>
      </c>
      <c r="M810">
        <v>3</v>
      </c>
      <c r="N810">
        <f>L810</f>
        <v>0</v>
      </c>
      <c r="O810" s="51">
        <f>J810</f>
        <v>0</v>
      </c>
      <c r="P810" s="51" t="e">
        <f>C810</f>
        <v>#VALUE!</v>
      </c>
      <c r="Q810" s="51" t="e">
        <f>E810</f>
        <v>#VALUE!</v>
      </c>
      <c r="R810" s="51"/>
      <c r="S810" s="51"/>
      <c r="T810" s="51"/>
      <c r="U810" s="51"/>
      <c r="V810" s="51"/>
      <c r="W810" s="51"/>
      <c r="X810" s="51"/>
      <c r="Y810" s="51"/>
      <c r="Z810" s="51"/>
      <c r="AA810" s="51"/>
      <c r="AB810" s="51"/>
      <c r="AC810" s="51"/>
      <c r="AD810" s="51"/>
      <c r="AH810" s="51"/>
      <c r="AI810" s="51"/>
    </row>
    <row r="811" spans="2:35">
      <c r="B811" t="s">
        <v>1787</v>
      </c>
      <c r="C811" t="s">
        <v>2808</v>
      </c>
      <c r="D811">
        <v>9</v>
      </c>
      <c r="E811" t="s">
        <v>2791</v>
      </c>
      <c r="F811">
        <v>5</v>
      </c>
      <c r="G811">
        <v>12</v>
      </c>
      <c r="H811">
        <v>18</v>
      </c>
      <c r="I811" t="s">
        <v>1788</v>
      </c>
      <c r="J811" s="51">
        <v>41019</v>
      </c>
      <c r="K811" t="s">
        <v>27</v>
      </c>
      <c r="L811" t="s">
        <v>1584</v>
      </c>
      <c r="M811">
        <v>3</v>
      </c>
      <c r="N811" t="str">
        <f>L811</f>
        <v>NAM\A8070</v>
      </c>
      <c r="O811" s="51">
        <f>J811</f>
        <v>41019</v>
      </c>
      <c r="P811" s="51" t="str">
        <f>C811</f>
        <v>~/cdd/olddocs/Control Plans/MICROMINI/POTTED/CP-POTT-001 Rev.A 5000108.pdf</v>
      </c>
      <c r="Q811" s="51" t="str">
        <f>E811</f>
        <v>pdf</v>
      </c>
      <c r="R811" s="51"/>
      <c r="S811" s="51"/>
      <c r="T811" s="51"/>
      <c r="U811" s="51"/>
      <c r="V811" s="51"/>
      <c r="W811" s="51"/>
      <c r="X811" s="51"/>
      <c r="Y811" s="51"/>
      <c r="Z811" s="51"/>
      <c r="AA811" s="51"/>
      <c r="AB811" s="51"/>
      <c r="AC811" s="51"/>
      <c r="AD811" s="51"/>
      <c r="AG811">
        <v>5000108</v>
      </c>
      <c r="AH811" s="51"/>
      <c r="AI811" s="51"/>
    </row>
    <row r="812" spans="2:35">
      <c r="B812" t="s">
        <v>1789</v>
      </c>
      <c r="C812" t="s">
        <v>2809</v>
      </c>
      <c r="D812">
        <v>9</v>
      </c>
      <c r="E812" t="s">
        <v>2791</v>
      </c>
      <c r="F812">
        <v>5</v>
      </c>
      <c r="G812">
        <v>12</v>
      </c>
      <c r="H812">
        <v>18</v>
      </c>
      <c r="I812" t="s">
        <v>1273</v>
      </c>
      <c r="J812" s="51">
        <v>41051</v>
      </c>
      <c r="K812" t="s">
        <v>27</v>
      </c>
      <c r="L812" t="s">
        <v>1584</v>
      </c>
      <c r="M812">
        <v>3</v>
      </c>
      <c r="N812" t="str">
        <f>L812</f>
        <v>NAM\A8070</v>
      </c>
      <c r="O812" s="51">
        <f>J812</f>
        <v>41051</v>
      </c>
      <c r="P812" s="51" t="str">
        <f>C812</f>
        <v>~/cdd/olddocs/Control Plans/MICROMINI/POTTED/CP-POTT-002 Rev.A  CX8653 PART CX8653 -343P Y -346P.pdf</v>
      </c>
      <c r="Q812" s="51" t="str">
        <f>E812</f>
        <v>pdf</v>
      </c>
      <c r="R812" s="51"/>
      <c r="S812" s="51"/>
      <c r="T812" s="51"/>
      <c r="U812" s="51"/>
      <c r="V812" s="51"/>
      <c r="W812" s="51"/>
      <c r="X812" s="51"/>
      <c r="Y812" s="51"/>
      <c r="Z812" s="51"/>
      <c r="AA812" s="51"/>
      <c r="AB812" s="51"/>
      <c r="AC812" s="51"/>
      <c r="AD812" s="51"/>
      <c r="AG812" t="s">
        <v>1790</v>
      </c>
      <c r="AH812" s="51"/>
      <c r="AI812" s="51"/>
    </row>
    <row r="813" spans="2:35">
      <c r="B813" t="s">
        <v>1791</v>
      </c>
      <c r="C813" t="s">
        <v>2810</v>
      </c>
      <c r="D813">
        <v>9</v>
      </c>
      <c r="E813" t="s">
        <v>2791</v>
      </c>
      <c r="F813">
        <v>5</v>
      </c>
      <c r="G813">
        <v>12</v>
      </c>
      <c r="H813">
        <v>18</v>
      </c>
      <c r="I813" t="s">
        <v>1792</v>
      </c>
      <c r="J813" s="51">
        <v>41083</v>
      </c>
      <c r="K813" t="s">
        <v>27</v>
      </c>
      <c r="L813" t="s">
        <v>1584</v>
      </c>
      <c r="M813">
        <v>3</v>
      </c>
      <c r="N813" t="str">
        <f>L813</f>
        <v>NAM\A8070</v>
      </c>
      <c r="O813" s="51">
        <f>J813</f>
        <v>41083</v>
      </c>
      <c r="P813" s="51" t="str">
        <f>C813</f>
        <v>~/cdd/olddocs/Control Plans/MICROMINI/POTTED/CP-POTT-003 Rev.A  50001101 -  5000110-Z.pdf</v>
      </c>
      <c r="Q813" s="51" t="str">
        <f>E813</f>
        <v>pdf</v>
      </c>
      <c r="R813" s="51"/>
      <c r="S813" s="51"/>
      <c r="T813" s="51"/>
      <c r="U813" s="51"/>
      <c r="V813" s="51"/>
      <c r="W813" s="51"/>
      <c r="X813" s="51"/>
      <c r="Y813" s="51"/>
      <c r="Z813" s="51"/>
      <c r="AA813" s="51"/>
      <c r="AB813" s="51"/>
      <c r="AC813" s="51"/>
      <c r="AD813" s="51"/>
      <c r="AG813" t="s">
        <v>1793</v>
      </c>
      <c r="AH813" s="51"/>
      <c r="AI813" s="51"/>
    </row>
    <row r="814" spans="2:35">
      <c r="B814" t="s">
        <v>1794</v>
      </c>
      <c r="C814" t="s">
        <v>2811</v>
      </c>
      <c r="D814">
        <v>9</v>
      </c>
      <c r="E814" t="s">
        <v>2791</v>
      </c>
      <c r="F814">
        <v>5</v>
      </c>
      <c r="G814">
        <v>12</v>
      </c>
      <c r="H814">
        <v>18</v>
      </c>
      <c r="I814" t="s">
        <v>1795</v>
      </c>
      <c r="J814" s="51">
        <v>41047</v>
      </c>
      <c r="K814" t="s">
        <v>27</v>
      </c>
      <c r="L814" t="s">
        <v>1584</v>
      </c>
      <c r="M814">
        <v>3</v>
      </c>
      <c r="N814" t="str">
        <f>L814</f>
        <v>NAM\A8070</v>
      </c>
      <c r="O814" s="51">
        <f>J814</f>
        <v>41047</v>
      </c>
      <c r="P814" s="51" t="str">
        <f>C814</f>
        <v>~/cdd/olddocs/Control Plans/MICROMINI/POTTED/CP-POTT-004 Rev.A  5000117- 4053R y 4054R.pdf</v>
      </c>
      <c r="Q814" s="51" t="str">
        <f>E814</f>
        <v>pdf</v>
      </c>
      <c r="R814" s="51"/>
      <c r="S814" s="51"/>
      <c r="T814" s="51"/>
      <c r="U814" s="51"/>
      <c r="V814" s="51"/>
      <c r="W814" s="51"/>
      <c r="X814" s="51"/>
      <c r="Y814" s="51"/>
      <c r="Z814" s="51"/>
      <c r="AA814" s="51"/>
      <c r="AB814" s="51"/>
      <c r="AC814" s="51"/>
      <c r="AD814" s="51"/>
      <c r="AG814" t="s">
        <v>1796</v>
      </c>
      <c r="AH814" s="51"/>
      <c r="AI814" s="51"/>
    </row>
    <row r="815" spans="2:35">
      <c r="B815" t="s">
        <v>1797</v>
      </c>
      <c r="C815" t="s">
        <v>2812</v>
      </c>
      <c r="D815">
        <v>9</v>
      </c>
      <c r="E815" t="s">
        <v>2791</v>
      </c>
      <c r="F815">
        <v>5</v>
      </c>
      <c r="G815">
        <v>12</v>
      </c>
      <c r="H815">
        <v>18</v>
      </c>
      <c r="I815" t="s">
        <v>1739</v>
      </c>
      <c r="J815" s="51">
        <v>40995</v>
      </c>
      <c r="K815" t="s">
        <v>27</v>
      </c>
      <c r="L815" t="s">
        <v>1584</v>
      </c>
      <c r="M815">
        <v>3</v>
      </c>
      <c r="N815" t="str">
        <f>L815</f>
        <v>NAM\A8070</v>
      </c>
      <c r="O815" s="51">
        <f>J815</f>
        <v>40995</v>
      </c>
      <c r="P815" s="51" t="str">
        <f>C815</f>
        <v>~/cdd/olddocs/Control Plans/MICROMINI/POTTED/CP-POTT-005 Rev.A  CH5041494B.pdf</v>
      </c>
      <c r="Q815" s="51" t="str">
        <f>E815</f>
        <v>pdf</v>
      </c>
      <c r="R815" s="51"/>
      <c r="S815" s="51"/>
      <c r="T815" s="51"/>
      <c r="U815" s="51"/>
      <c r="V815" s="51"/>
      <c r="W815" s="51"/>
      <c r="X815" s="51"/>
      <c r="Y815" s="51"/>
      <c r="Z815" s="51"/>
      <c r="AA815" s="51"/>
      <c r="AB815" s="51"/>
      <c r="AC815" s="51"/>
      <c r="AD815" s="51"/>
      <c r="AG815" t="s">
        <v>1798</v>
      </c>
      <c r="AH815" s="51"/>
      <c r="AI815" s="51"/>
    </row>
    <row r="816" spans="2:35">
      <c r="B816" t="s">
        <v>1799</v>
      </c>
      <c r="C816" t="s">
        <v>2813</v>
      </c>
      <c r="D816">
        <v>9</v>
      </c>
      <c r="E816" t="s">
        <v>2791</v>
      </c>
      <c r="F816">
        <v>5</v>
      </c>
      <c r="G816">
        <v>12</v>
      </c>
      <c r="H816">
        <v>18</v>
      </c>
      <c r="I816" t="s">
        <v>1739</v>
      </c>
      <c r="J816" s="51">
        <v>40995</v>
      </c>
      <c r="K816" t="s">
        <v>27</v>
      </c>
      <c r="L816" t="s">
        <v>1584</v>
      </c>
      <c r="M816">
        <v>3</v>
      </c>
      <c r="N816" t="str">
        <f>L816</f>
        <v>NAM\A8070</v>
      </c>
      <c r="O816" s="51">
        <f>J816</f>
        <v>40995</v>
      </c>
      <c r="P816" s="51" t="str">
        <f>C816</f>
        <v>~/cdd/olddocs/Control Plans/MICROMINI/POTTED/CP-POTT-006 Rev.A  CH5041493B.pdf</v>
      </c>
      <c r="Q816" s="51" t="str">
        <f>E816</f>
        <v>pdf</v>
      </c>
      <c r="R816" s="51"/>
      <c r="S816" s="51"/>
      <c r="T816" s="51"/>
      <c r="U816" s="51"/>
      <c r="V816" s="51"/>
      <c r="W816" s="51"/>
      <c r="X816" s="51"/>
      <c r="Y816" s="51"/>
      <c r="Z816" s="51"/>
      <c r="AA816" s="51"/>
      <c r="AB816" s="51"/>
      <c r="AC816" s="51"/>
      <c r="AD816" s="51"/>
      <c r="AG816" t="s">
        <v>1800</v>
      </c>
      <c r="AH816" s="51"/>
      <c r="AI816" s="51"/>
    </row>
    <row r="817" spans="2:35">
      <c r="B817" t="s">
        <v>1801</v>
      </c>
      <c r="C817" t="s">
        <v>2814</v>
      </c>
      <c r="D817">
        <v>9</v>
      </c>
      <c r="E817" t="s">
        <v>2791</v>
      </c>
      <c r="F817">
        <v>5</v>
      </c>
      <c r="G817">
        <v>12</v>
      </c>
      <c r="H817">
        <v>18</v>
      </c>
      <c r="I817" t="s">
        <v>1802</v>
      </c>
      <c r="J817" s="51">
        <v>40994</v>
      </c>
      <c r="K817" t="s">
        <v>27</v>
      </c>
      <c r="L817" t="s">
        <v>1584</v>
      </c>
      <c r="M817">
        <v>3</v>
      </c>
      <c r="N817" t="str">
        <f>L817</f>
        <v>NAM\A8070</v>
      </c>
      <c r="O817" s="51">
        <f>J817</f>
        <v>40994</v>
      </c>
      <c r="P817" s="51" t="str">
        <f>C817</f>
        <v>~/cdd/olddocs/Control Plans/MICROMINI/POTTED/CP-POTT-008 Rev.A  5000129.pdf</v>
      </c>
      <c r="Q817" s="51" t="str">
        <f>E817</f>
        <v>pdf</v>
      </c>
      <c r="R817" s="51"/>
      <c r="S817" s="51"/>
      <c r="T817" s="51"/>
      <c r="U817" s="51"/>
      <c r="V817" s="51"/>
      <c r="W817" s="51"/>
      <c r="X817" s="51"/>
      <c r="Y817" s="51"/>
      <c r="Z817" s="51"/>
      <c r="AA817" s="51"/>
      <c r="AB817" s="51"/>
      <c r="AC817" s="51"/>
      <c r="AD817" s="51"/>
      <c r="AG817">
        <v>5000129</v>
      </c>
      <c r="AH817" s="51"/>
      <c r="AI817" s="51"/>
    </row>
    <row r="818" spans="2:35">
      <c r="B818" t="s">
        <v>1803</v>
      </c>
      <c r="C818" t="s">
        <v>2815</v>
      </c>
      <c r="D818">
        <v>9</v>
      </c>
      <c r="E818" t="s">
        <v>2791</v>
      </c>
      <c r="F818">
        <v>5</v>
      </c>
      <c r="G818">
        <v>12</v>
      </c>
      <c r="H818">
        <v>18</v>
      </c>
      <c r="I818" t="s">
        <v>1804</v>
      </c>
      <c r="J818" s="51">
        <v>41118</v>
      </c>
      <c r="K818" t="s">
        <v>27</v>
      </c>
      <c r="L818" t="s">
        <v>1584</v>
      </c>
      <c r="M818">
        <v>3</v>
      </c>
      <c r="N818" t="str">
        <f>L818</f>
        <v>NAM\A8070</v>
      </c>
      <c r="O818" s="51">
        <f>J818</f>
        <v>41118</v>
      </c>
      <c r="P818" s="51" t="str">
        <f>C818</f>
        <v>~/cdd/olddocs/Control Plans/MICROMINI/POTTED/CP-POTT-009 Rev. A 5000117-EN.pdf</v>
      </c>
      <c r="Q818" s="51" t="str">
        <f>E818</f>
        <v>pdf</v>
      </c>
      <c r="R818" s="51"/>
      <c r="S818" s="51"/>
      <c r="T818" s="51"/>
      <c r="U818" s="51"/>
      <c r="V818" s="51"/>
      <c r="W818" s="51"/>
      <c r="X818" s="51"/>
      <c r="Y818" s="51"/>
      <c r="Z818" s="51"/>
      <c r="AA818" s="51"/>
      <c r="AB818" s="51"/>
      <c r="AC818" s="51"/>
      <c r="AD818" s="51"/>
      <c r="AG818" t="s">
        <v>1805</v>
      </c>
      <c r="AH818" s="51"/>
      <c r="AI818" s="51"/>
    </row>
    <row r="819" spans="2:35">
      <c r="B819" t="s">
        <v>1813</v>
      </c>
      <c r="C819" t="s">
        <v>2817</v>
      </c>
      <c r="D819">
        <v>9</v>
      </c>
      <c r="E819" t="s">
        <v>2791</v>
      </c>
      <c r="F819">
        <v>5</v>
      </c>
      <c r="G819">
        <v>6</v>
      </c>
      <c r="H819">
        <v>14</v>
      </c>
      <c r="I819" t="s">
        <v>1814</v>
      </c>
      <c r="J819" s="51">
        <v>41075</v>
      </c>
      <c r="K819" t="s">
        <v>27</v>
      </c>
      <c r="L819" t="s">
        <v>1584</v>
      </c>
      <c r="M819">
        <v>3</v>
      </c>
      <c r="N819" t="str">
        <f>L819</f>
        <v>NAM\A8070</v>
      </c>
      <c r="O819" s="51">
        <f>J819</f>
        <v>41075</v>
      </c>
      <c r="P819" s="51" t="str">
        <f>C819</f>
        <v>~/cdd/olddocs/Control Plans/SOLAR/CP-SOL-001 Rev.A Plan First Solar.pdf</v>
      </c>
      <c r="Q819" s="51" t="str">
        <f>E819</f>
        <v>pdf</v>
      </c>
      <c r="R819" s="51"/>
      <c r="S819" s="51"/>
      <c r="T819" s="51"/>
      <c r="U819" s="51"/>
      <c r="V819" s="51"/>
      <c r="W819" s="51"/>
      <c r="X819" s="51"/>
      <c r="Y819" s="51"/>
      <c r="Z819" s="51"/>
      <c r="AA819" s="51"/>
      <c r="AB819" s="51"/>
      <c r="AC819" s="51"/>
      <c r="AD819" s="51"/>
      <c r="AG819" t="s">
        <v>28</v>
      </c>
      <c r="AH819" s="51"/>
      <c r="AI819" s="51"/>
    </row>
    <row r="820" spans="2:35">
      <c r="B820" t="s">
        <v>1815</v>
      </c>
      <c r="C820" t="s">
        <v>2818</v>
      </c>
      <c r="D820">
        <v>9</v>
      </c>
      <c r="E820" t="s">
        <v>2791</v>
      </c>
      <c r="F820">
        <v>5</v>
      </c>
      <c r="G820">
        <v>6</v>
      </c>
      <c r="H820">
        <v>14</v>
      </c>
      <c r="I820" t="s">
        <v>1816</v>
      </c>
      <c r="J820" s="51">
        <v>40721</v>
      </c>
      <c r="K820" t="s">
        <v>27</v>
      </c>
      <c r="L820" t="s">
        <v>1584</v>
      </c>
      <c r="M820">
        <v>3</v>
      </c>
      <c r="N820" t="str">
        <f>L820</f>
        <v>NAM\A8070</v>
      </c>
      <c r="O820" s="51">
        <f>J820</f>
        <v>40721</v>
      </c>
      <c r="P820" s="51" t="str">
        <f>C820</f>
        <v>~/cdd/olddocs/Control Plans/SOLAR/CP-SOL-002 Rev.A  ZACHRY.pdf</v>
      </c>
      <c r="Q820" s="51" t="str">
        <f>E820</f>
        <v>pdf</v>
      </c>
      <c r="R820" s="51"/>
      <c r="S820" s="51"/>
      <c r="T820" s="51"/>
      <c r="U820" s="51"/>
      <c r="V820" s="51"/>
      <c r="W820" s="51"/>
      <c r="X820" s="51"/>
      <c r="Y820" s="51"/>
      <c r="Z820" s="51"/>
      <c r="AA820" s="51"/>
      <c r="AB820" s="51"/>
      <c r="AC820" s="51"/>
      <c r="AD820" s="51"/>
      <c r="AG820" t="s">
        <v>1817</v>
      </c>
      <c r="AH820" s="51"/>
      <c r="AI820" s="51"/>
    </row>
    <row r="821" spans="2:35">
      <c r="B821" t="s">
        <v>1818</v>
      </c>
      <c r="C821" t="s">
        <v>2819</v>
      </c>
      <c r="D821">
        <v>9</v>
      </c>
      <c r="E821" t="s">
        <v>2791</v>
      </c>
      <c r="F821">
        <v>5</v>
      </c>
      <c r="G821">
        <v>6</v>
      </c>
      <c r="H821">
        <v>14</v>
      </c>
      <c r="I821" t="s">
        <v>1819</v>
      </c>
      <c r="J821" s="51">
        <v>40728</v>
      </c>
      <c r="K821" t="s">
        <v>27</v>
      </c>
      <c r="L821" t="s">
        <v>1584</v>
      </c>
      <c r="M821">
        <v>3</v>
      </c>
      <c r="N821" t="str">
        <f>L821</f>
        <v>NAM\A8070</v>
      </c>
      <c r="O821" s="51">
        <f>J821</f>
        <v>40728</v>
      </c>
      <c r="P821" s="51" t="str">
        <f>C821</f>
        <v>~/cdd/olddocs/Control Plans/SOLAR/CP-SOL-003 Rev.A  SCHUCO.pdf</v>
      </c>
      <c r="Q821" s="51" t="str">
        <f>E821</f>
        <v>pdf</v>
      </c>
      <c r="R821" s="51"/>
      <c r="S821" s="51"/>
      <c r="T821" s="51"/>
      <c r="U821" s="51"/>
      <c r="V821" s="51"/>
      <c r="W821" s="51"/>
      <c r="X821" s="51"/>
      <c r="Y821" s="51"/>
      <c r="Z821" s="51"/>
      <c r="AA821" s="51"/>
      <c r="AB821" s="51"/>
      <c r="AC821" s="51"/>
      <c r="AD821" s="51"/>
      <c r="AG821" t="s">
        <v>1820</v>
      </c>
      <c r="AH821" s="51"/>
      <c r="AI821" s="51"/>
    </row>
    <row r="822" spans="2:35">
      <c r="B822" t="s">
        <v>1821</v>
      </c>
      <c r="C822" t="s">
        <v>2820</v>
      </c>
      <c r="D822">
        <v>9</v>
      </c>
      <c r="E822" t="s">
        <v>2791</v>
      </c>
      <c r="F822">
        <v>5</v>
      </c>
      <c r="G822">
        <v>6</v>
      </c>
      <c r="H822">
        <v>14</v>
      </c>
      <c r="I822" t="s">
        <v>1816</v>
      </c>
      <c r="J822" s="51">
        <v>40728</v>
      </c>
      <c r="K822" t="s">
        <v>27</v>
      </c>
      <c r="L822" t="s">
        <v>1584</v>
      </c>
      <c r="M822">
        <v>3</v>
      </c>
      <c r="N822" t="str">
        <f>L822</f>
        <v>NAM\A8070</v>
      </c>
      <c r="O822" s="51">
        <f>J822</f>
        <v>40728</v>
      </c>
      <c r="P822" s="51" t="str">
        <f>C822</f>
        <v>~/cdd/olddocs/Control Plans/SOLAR/CP-SOL-004 Rev.A FALL RIVER.pdf</v>
      </c>
      <c r="Q822" s="51" t="str">
        <f>E822</f>
        <v>pdf</v>
      </c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G822" t="s">
        <v>1822</v>
      </c>
      <c r="AH822" s="51"/>
      <c r="AI822" s="51"/>
    </row>
    <row r="823" spans="2:35">
      <c r="B823" t="s">
        <v>1823</v>
      </c>
      <c r="C823" t="s">
        <v>2821</v>
      </c>
      <c r="D823">
        <v>9</v>
      </c>
      <c r="E823" t="s">
        <v>2791</v>
      </c>
      <c r="F823">
        <v>5</v>
      </c>
      <c r="G823">
        <v>6</v>
      </c>
      <c r="H823">
        <v>14</v>
      </c>
      <c r="I823" t="s">
        <v>1824</v>
      </c>
      <c r="J823" s="51">
        <v>40728</v>
      </c>
      <c r="K823" t="s">
        <v>27</v>
      </c>
      <c r="L823" t="s">
        <v>1584</v>
      </c>
      <c r="M823">
        <v>3</v>
      </c>
      <c r="N823" t="str">
        <f>L823</f>
        <v>NAM\A8070</v>
      </c>
      <c r="O823" s="51">
        <f>J823</f>
        <v>40728</v>
      </c>
      <c r="P823" s="51" t="str">
        <f>C823</f>
        <v>~/cdd/olddocs/Control Plans/SOLAR/CP-SOL-005 Rev.A CRAMBURY.pdf</v>
      </c>
      <c r="Q823" s="51" t="str">
        <f>E823</f>
        <v>pdf</v>
      </c>
      <c r="R823" s="51"/>
      <c r="S823" s="51"/>
      <c r="T823" s="51"/>
      <c r="U823" s="51"/>
      <c r="V823" s="51"/>
      <c r="W823" s="51"/>
      <c r="X823" s="51"/>
      <c r="Y823" s="51"/>
      <c r="Z823" s="51"/>
      <c r="AA823" s="51"/>
      <c r="AB823" s="51"/>
      <c r="AC823" s="51"/>
      <c r="AD823" s="51"/>
      <c r="AG823" t="s">
        <v>1825</v>
      </c>
      <c r="AH823" s="51"/>
      <c r="AI823" s="51"/>
    </row>
    <row r="824" spans="2:35">
      <c r="B824" t="s">
        <v>1826</v>
      </c>
      <c r="C824" t="s">
        <v>2822</v>
      </c>
      <c r="D824">
        <v>9</v>
      </c>
      <c r="E824" t="s">
        <v>2791</v>
      </c>
      <c r="F824">
        <v>5</v>
      </c>
      <c r="G824">
        <v>6</v>
      </c>
      <c r="H824">
        <v>14</v>
      </c>
      <c r="I824" t="s">
        <v>1827</v>
      </c>
      <c r="J824" s="51">
        <v>41102</v>
      </c>
      <c r="K824" t="s">
        <v>27</v>
      </c>
      <c r="L824" t="s">
        <v>1584</v>
      </c>
      <c r="M824">
        <v>3</v>
      </c>
      <c r="N824" t="str">
        <f>L824</f>
        <v>NAM\A8070</v>
      </c>
      <c r="O824" s="51">
        <f>J824</f>
        <v>41102</v>
      </c>
      <c r="P824" s="51" t="str">
        <f>C824</f>
        <v>~/cdd/olddocs/Control Plans/SOLAR/CP-SOL-006 Rev.A   IC-B29-RL-BLK1 Secuencia 2-3-4-5-6-7.pdf</v>
      </c>
      <c r="Q824" s="51" t="str">
        <f>E824</f>
        <v>pdf</v>
      </c>
      <c r="R824" s="51"/>
      <c r="S824" s="51"/>
      <c r="T824" s="51"/>
      <c r="U824" s="51"/>
      <c r="V824" s="51"/>
      <c r="W824" s="51"/>
      <c r="X824" s="51"/>
      <c r="Y824" s="51"/>
      <c r="Z824" s="51"/>
      <c r="AA824" s="51"/>
      <c r="AB824" s="51"/>
      <c r="AC824" s="51"/>
      <c r="AD824" s="51"/>
      <c r="AG824" t="s">
        <v>1828</v>
      </c>
      <c r="AH824" s="51"/>
      <c r="AI824" s="51"/>
    </row>
    <row r="825" spans="2:35">
      <c r="B825" t="s">
        <v>1452</v>
      </c>
      <c r="C825" t="s">
        <v>2823</v>
      </c>
      <c r="D825">
        <v>9</v>
      </c>
      <c r="E825" t="s">
        <v>2791</v>
      </c>
      <c r="F825">
        <v>5</v>
      </c>
      <c r="G825">
        <v>6</v>
      </c>
      <c r="H825">
        <v>14</v>
      </c>
      <c r="I825" t="s">
        <v>1453</v>
      </c>
      <c r="J825" s="51">
        <v>41178</v>
      </c>
      <c r="K825" t="s">
        <v>27</v>
      </c>
      <c r="L825" t="s">
        <v>1253</v>
      </c>
      <c r="M825">
        <v>3</v>
      </c>
      <c r="N825" t="str">
        <f>L825</f>
        <v>NAM\MB3505</v>
      </c>
      <c r="O825" s="51">
        <f>J825</f>
        <v>41178</v>
      </c>
      <c r="P825" s="51" t="str">
        <f>C825</f>
        <v>~/cdd/olddocs/Control Plans/SOLAR/CP-SOL-007 Rev A Control Plan IC-B72    SOLAR.pdf</v>
      </c>
      <c r="Q825" s="51" t="str">
        <f>E825</f>
        <v>pdf</v>
      </c>
      <c r="R825" s="51"/>
      <c r="S825" s="51"/>
      <c r="T825" s="51"/>
      <c r="U825" s="51"/>
      <c r="V825" s="51"/>
      <c r="W825" s="51"/>
      <c r="X825" s="51"/>
      <c r="Y825" s="51"/>
      <c r="Z825" s="51"/>
      <c r="AA825" s="51"/>
      <c r="AB825" s="51"/>
      <c r="AC825" s="51"/>
      <c r="AD825" s="51"/>
      <c r="AG825" t="s">
        <v>28</v>
      </c>
      <c r="AH825" s="51"/>
      <c r="AI825" s="51"/>
    </row>
    <row r="826" spans="2:35">
      <c r="B826" t="s">
        <v>595</v>
      </c>
      <c r="C826" t="s">
        <v>2828</v>
      </c>
      <c r="D826">
        <v>12</v>
      </c>
      <c r="E826" t="s">
        <v>2790</v>
      </c>
      <c r="F826">
        <v>5</v>
      </c>
      <c r="G826">
        <v>12</v>
      </c>
      <c r="H826">
        <v>3</v>
      </c>
      <c r="I826" t="s">
        <v>595</v>
      </c>
      <c r="J826" s="51">
        <v>41037</v>
      </c>
      <c r="K826" t="s">
        <v>741</v>
      </c>
      <c r="L826" t="s">
        <v>605</v>
      </c>
      <c r="M826">
        <v>3</v>
      </c>
      <c r="N826" t="str">
        <f>L826</f>
        <v>NA/MB1049</v>
      </c>
      <c r="O826" s="51">
        <f>J826</f>
        <v>41037</v>
      </c>
      <c r="P826" s="51" t="str">
        <f>C826</f>
        <v>~/cdd/olddocs/Especificaciones genericas/Micromini/A Y B/CNWI-ENGI-F019 Rev  G Especificaciones dedespoje de chaqueta Celda A y B Rev  C.xlsx</v>
      </c>
      <c r="Q826" s="51" t="str">
        <f>E826</f>
        <v>xlsx</v>
      </c>
      <c r="R826" s="51"/>
      <c r="S826" s="51"/>
      <c r="T826" s="51"/>
      <c r="U826" s="51"/>
      <c r="V826" s="51"/>
      <c r="W826" s="51"/>
      <c r="X826" s="51"/>
      <c r="Y826" s="51"/>
      <c r="Z826" s="51"/>
      <c r="AA826" s="51"/>
      <c r="AB826" s="51"/>
      <c r="AC826" s="51"/>
      <c r="AD826" s="51"/>
      <c r="AE826" t="s">
        <v>30</v>
      </c>
      <c r="AF826" t="s">
        <v>31</v>
      </c>
      <c r="AG826" t="s">
        <v>28</v>
      </c>
      <c r="AH826" s="51"/>
      <c r="AI826" s="51"/>
    </row>
    <row r="827" spans="2:35">
      <c r="B827" t="s">
        <v>595</v>
      </c>
      <c r="C827" t="s">
        <v>2832</v>
      </c>
      <c r="D827">
        <v>12</v>
      </c>
      <c r="E827" t="s">
        <v>2790</v>
      </c>
      <c r="F827">
        <v>5</v>
      </c>
      <c r="G827">
        <v>12</v>
      </c>
      <c r="H827">
        <v>4</v>
      </c>
      <c r="I827" t="s">
        <v>595</v>
      </c>
      <c r="J827" s="51">
        <v>40654</v>
      </c>
      <c r="K827" t="s">
        <v>27</v>
      </c>
      <c r="M827">
        <v>3</v>
      </c>
      <c r="N827">
        <f>L827</f>
        <v>0</v>
      </c>
      <c r="O827" s="51">
        <f>J827</f>
        <v>40654</v>
      </c>
      <c r="P827" s="51" t="str">
        <f>C827</f>
        <v>~/cdd/olddocs/Especificaciones genericas/Micromini/CHANGE OUT/CNWI-ENGI-F019 Rev. A Especificaciones dedespoje de chaqueta Change Out Rev. A.xlsx</v>
      </c>
      <c r="Q827" s="51" t="str">
        <f>E827</f>
        <v>xlsx</v>
      </c>
      <c r="R827" s="51"/>
      <c r="S827" s="51"/>
      <c r="T827" s="51"/>
      <c r="U827" s="51"/>
      <c r="V827" s="51"/>
      <c r="W827" s="51"/>
      <c r="X827" s="51"/>
      <c r="Y827" s="51"/>
      <c r="Z827" s="51"/>
      <c r="AA827" s="51"/>
      <c r="AB827" s="51"/>
      <c r="AC827" s="51"/>
      <c r="AD827" s="51"/>
      <c r="AE827" t="s">
        <v>30</v>
      </c>
      <c r="AF827" t="s">
        <v>31</v>
      </c>
      <c r="AG827" t="s">
        <v>28</v>
      </c>
      <c r="AH827" s="51"/>
      <c r="AI827" s="51"/>
    </row>
    <row r="828" spans="2:35">
      <c r="B828" t="s">
        <v>595</v>
      </c>
      <c r="C828" t="s">
        <v>2839</v>
      </c>
      <c r="D828">
        <v>12</v>
      </c>
      <c r="E828" t="s">
        <v>2790</v>
      </c>
      <c r="F828">
        <v>5</v>
      </c>
      <c r="G828">
        <v>12</v>
      </c>
      <c r="H828">
        <v>16</v>
      </c>
      <c r="I828" t="s">
        <v>595</v>
      </c>
      <c r="J828" s="51">
        <v>41022</v>
      </c>
      <c r="K828" t="s">
        <v>782</v>
      </c>
      <c r="L828" t="s">
        <v>605</v>
      </c>
      <c r="M828">
        <v>3</v>
      </c>
      <c r="N828" t="str">
        <f>L828</f>
        <v>NA/MB1049</v>
      </c>
      <c r="O828" s="51">
        <f>J828</f>
        <v>41022</v>
      </c>
      <c r="P828" s="51" t="str">
        <f>C828</f>
        <v>~/cdd/olddocs/Especificaciones genericas/Micromini/MS/CNWI-ENGI-F019 Rev. H Especificaciones dedespoje de chaqueta MS.xlsx</v>
      </c>
      <c r="Q828" s="51" t="str">
        <f>E828</f>
        <v>xlsx</v>
      </c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t="s">
        <v>30</v>
      </c>
      <c r="AF828" t="s">
        <v>601</v>
      </c>
      <c r="AG828" t="s">
        <v>28</v>
      </c>
      <c r="AH828" s="51"/>
      <c r="AI828" s="51"/>
    </row>
    <row r="829" spans="2:35">
      <c r="B829" t="s">
        <v>595</v>
      </c>
      <c r="C829" t="s">
        <v>2843</v>
      </c>
      <c r="D829">
        <v>12</v>
      </c>
      <c r="E829" t="s">
        <v>2790</v>
      </c>
      <c r="F829">
        <v>5</v>
      </c>
      <c r="G829">
        <v>12</v>
      </c>
      <c r="H829">
        <v>19</v>
      </c>
      <c r="I829" t="s">
        <v>595</v>
      </c>
      <c r="J829" s="51">
        <v>41020</v>
      </c>
      <c r="K829" t="s">
        <v>27</v>
      </c>
      <c r="M829">
        <v>3</v>
      </c>
      <c r="N829">
        <f>L829</f>
        <v>0</v>
      </c>
      <c r="O829" s="51">
        <f>J829</f>
        <v>41020</v>
      </c>
      <c r="P829" s="51" t="str">
        <f>C829</f>
        <v>~/cdd/olddocs/Especificaciones genericas/Micromini/PLEX/CNWI-ENGI-F019 Rev. A Especificaciones dedespoje de chaqueta Plex.xlsx</v>
      </c>
      <c r="Q829" s="51" t="str">
        <f>E829</f>
        <v>xlsx</v>
      </c>
      <c r="R829" s="51"/>
      <c r="S829" s="51"/>
      <c r="T829" s="51"/>
      <c r="U829" s="51"/>
      <c r="V829" s="51"/>
      <c r="W829" s="51"/>
      <c r="X829" s="51"/>
      <c r="Y829" s="51"/>
      <c r="Z829" s="51"/>
      <c r="AA829" s="51"/>
      <c r="AB829" s="51"/>
      <c r="AC829" s="51"/>
      <c r="AD829" s="51"/>
      <c r="AE829" t="s">
        <v>30</v>
      </c>
      <c r="AF829" t="s">
        <v>601</v>
      </c>
      <c r="AG829" t="s">
        <v>28</v>
      </c>
      <c r="AH829" s="51"/>
      <c r="AI829" s="51"/>
    </row>
    <row r="830" spans="2:35">
      <c r="B830" t="s">
        <v>595</v>
      </c>
      <c r="C830" t="s">
        <v>2850</v>
      </c>
      <c r="D830">
        <v>12</v>
      </c>
      <c r="E830" t="s">
        <v>2790</v>
      </c>
      <c r="F830">
        <v>5</v>
      </c>
      <c r="G830">
        <v>12</v>
      </c>
      <c r="H830">
        <v>18</v>
      </c>
      <c r="I830" t="s">
        <v>595</v>
      </c>
      <c r="J830" s="51">
        <v>40654</v>
      </c>
      <c r="K830" t="s">
        <v>27</v>
      </c>
      <c r="M830">
        <v>3</v>
      </c>
      <c r="N830">
        <f>L830</f>
        <v>0</v>
      </c>
      <c r="O830" s="51">
        <f>J830</f>
        <v>40654</v>
      </c>
      <c r="P830" s="51" t="str">
        <f>C830</f>
        <v>~/cdd/olddocs/Especificaciones genericas/Micromini/POTTED/CNWI-ENGI-F019 Rev. A Especificaciones dedespoje de chaqueta Potted.xlsx</v>
      </c>
      <c r="Q830" s="51" t="str">
        <f>E830</f>
        <v>xlsx</v>
      </c>
      <c r="R830" s="51"/>
      <c r="S830" s="51"/>
      <c r="T830" s="51"/>
      <c r="U830" s="51"/>
      <c r="V830" s="51"/>
      <c r="W830" s="51"/>
      <c r="X830" s="51"/>
      <c r="Y830" s="51"/>
      <c r="Z830" s="51"/>
      <c r="AA830" s="51"/>
      <c r="AB830" s="51"/>
      <c r="AC830" s="51"/>
      <c r="AD830" s="51"/>
      <c r="AE830" t="s">
        <v>30</v>
      </c>
      <c r="AF830" t="s">
        <v>601</v>
      </c>
      <c r="AG830" t="s">
        <v>28</v>
      </c>
      <c r="AH830" s="51"/>
      <c r="AI830" s="51"/>
    </row>
    <row r="831" spans="2:35">
      <c r="B831" t="s">
        <v>597</v>
      </c>
      <c r="C831" t="s">
        <v>2826</v>
      </c>
      <c r="D831">
        <v>12</v>
      </c>
      <c r="E831" t="s">
        <v>2790</v>
      </c>
      <c r="F831">
        <v>5</v>
      </c>
      <c r="G831">
        <v>12</v>
      </c>
      <c r="H831">
        <v>3</v>
      </c>
      <c r="I831" t="s">
        <v>597</v>
      </c>
      <c r="J831" s="51">
        <v>41037</v>
      </c>
      <c r="K831" t="s">
        <v>742</v>
      </c>
      <c r="L831" t="s">
        <v>605</v>
      </c>
      <c r="M831">
        <v>3</v>
      </c>
      <c r="N831" t="str">
        <f>L831</f>
        <v>NA/MB1049</v>
      </c>
      <c r="O831" s="51">
        <f>J831</f>
        <v>41037</v>
      </c>
      <c r="P831" s="51" t="str">
        <f>C831</f>
        <v>~/cdd/olddocs/Especificaciones genericas/Micromini/A Y B/CNWI-ENGI-F019 Rev  F Especificaciones dedespoje de conductores celda A y B Rev  B.xlsx</v>
      </c>
      <c r="Q831" s="51" t="str">
        <f>E831</f>
        <v>xlsx</v>
      </c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t="s">
        <v>30</v>
      </c>
      <c r="AF831" t="s">
        <v>31</v>
      </c>
      <c r="AG831" t="s">
        <v>28</v>
      </c>
      <c r="AH831" s="51"/>
      <c r="AI831" s="51"/>
    </row>
    <row r="832" spans="2:35">
      <c r="B832" t="s">
        <v>597</v>
      </c>
      <c r="C832" t="s">
        <v>2833</v>
      </c>
      <c r="D832">
        <v>12</v>
      </c>
      <c r="E832" t="s">
        <v>2790</v>
      </c>
      <c r="F832">
        <v>5</v>
      </c>
      <c r="G832">
        <v>12</v>
      </c>
      <c r="H832">
        <v>4</v>
      </c>
      <c r="I832" t="s">
        <v>597</v>
      </c>
      <c r="J832" s="51">
        <v>41021</v>
      </c>
      <c r="K832" t="s">
        <v>27</v>
      </c>
      <c r="M832">
        <v>3</v>
      </c>
      <c r="N832">
        <f>L832</f>
        <v>0</v>
      </c>
      <c r="O832" s="51">
        <f>J832</f>
        <v>41021</v>
      </c>
      <c r="P832" s="51" t="str">
        <f>C832</f>
        <v>~/cdd/olddocs/Especificaciones genericas/Micromini/CHANGE OUT/CNWI-ENGI-F019 Rev. A Especificaciones dedespoje de conductores change out Rev. A.xlsx</v>
      </c>
      <c r="Q832" s="51" t="str">
        <f>E832</f>
        <v>xlsx</v>
      </c>
      <c r="R832" s="51"/>
      <c r="S832" s="51"/>
      <c r="T832" s="51"/>
      <c r="U832" s="51"/>
      <c r="V832" s="51"/>
      <c r="W832" s="51"/>
      <c r="X832" s="51"/>
      <c r="Y832" s="51"/>
      <c r="Z832" s="51"/>
      <c r="AA832" s="51"/>
      <c r="AB832" s="51"/>
      <c r="AC832" s="51"/>
      <c r="AD832" s="51"/>
      <c r="AE832" t="s">
        <v>30</v>
      </c>
      <c r="AF832" t="s">
        <v>31</v>
      </c>
      <c r="AG832" t="s">
        <v>28</v>
      </c>
      <c r="AH832" s="51"/>
      <c r="AI832" s="51"/>
    </row>
    <row r="833" spans="2:35">
      <c r="B833" t="s">
        <v>597</v>
      </c>
      <c r="C833" t="s">
        <v>2840</v>
      </c>
      <c r="D833">
        <v>12</v>
      </c>
      <c r="E833" t="s">
        <v>2790</v>
      </c>
      <c r="F833">
        <v>5</v>
      </c>
      <c r="G833">
        <v>12</v>
      </c>
      <c r="H833">
        <v>16</v>
      </c>
      <c r="I833" t="s">
        <v>597</v>
      </c>
      <c r="J833" s="51">
        <v>41022</v>
      </c>
      <c r="K833" t="s">
        <v>782</v>
      </c>
      <c r="L833" t="s">
        <v>605</v>
      </c>
      <c r="M833">
        <v>3</v>
      </c>
      <c r="N833" t="str">
        <f>L833</f>
        <v>NA/MB1049</v>
      </c>
      <c r="O833" s="51">
        <f>J833</f>
        <v>41022</v>
      </c>
      <c r="P833" s="51" t="str">
        <f>C833</f>
        <v>~/cdd/olddocs/Especificaciones genericas/Micromini/MS/CNWI-ENGI-F019 Rev. H Especificaciones dedespoje de conductores MS.xlsx</v>
      </c>
      <c r="Q833" s="51" t="str">
        <f>E833</f>
        <v>xlsx</v>
      </c>
      <c r="R833" s="51"/>
      <c r="S833" s="51"/>
      <c r="T833" s="51"/>
      <c r="U833" s="51"/>
      <c r="V833" s="51"/>
      <c r="W833" s="51"/>
      <c r="X833" s="51"/>
      <c r="Y833" s="51"/>
      <c r="Z833" s="51"/>
      <c r="AA833" s="51"/>
      <c r="AB833" s="51"/>
      <c r="AC833" s="51"/>
      <c r="AD833" s="51"/>
      <c r="AE833" t="s">
        <v>30</v>
      </c>
      <c r="AF833" t="s">
        <v>601</v>
      </c>
      <c r="AG833" t="s">
        <v>28</v>
      </c>
      <c r="AH833" s="51"/>
      <c r="AI833" s="51"/>
    </row>
    <row r="834" spans="2:35">
      <c r="B834" t="s">
        <v>597</v>
      </c>
      <c r="C834" t="s">
        <v>2845</v>
      </c>
      <c r="D834">
        <v>12</v>
      </c>
      <c r="E834" t="s">
        <v>2790</v>
      </c>
      <c r="F834">
        <v>5</v>
      </c>
      <c r="G834">
        <v>12</v>
      </c>
      <c r="H834">
        <v>19</v>
      </c>
      <c r="I834" t="s">
        <v>597</v>
      </c>
      <c r="J834" s="51">
        <v>41037</v>
      </c>
      <c r="K834" t="s">
        <v>159</v>
      </c>
      <c r="L834" t="s">
        <v>605</v>
      </c>
      <c r="M834">
        <v>3</v>
      </c>
      <c r="N834" t="str">
        <f>L834</f>
        <v>NA/MB1049</v>
      </c>
      <c r="O834" s="51">
        <f>J834</f>
        <v>41037</v>
      </c>
      <c r="P834" s="51" t="str">
        <f>C834</f>
        <v>~/cdd/olddocs/Especificaciones genericas/Micromini/PLEX/CNWI-ENGI-F019 Rev. C Especificaciones dedespoje de conductores plex.xlsx</v>
      </c>
      <c r="Q834" s="51" t="str">
        <f>E834</f>
        <v>xlsx</v>
      </c>
      <c r="R834" s="51"/>
      <c r="S834" s="51"/>
      <c r="T834" s="51"/>
      <c r="U834" s="51"/>
      <c r="V834" s="51"/>
      <c r="W834" s="51"/>
      <c r="X834" s="51"/>
      <c r="Y834" s="51"/>
      <c r="Z834" s="51"/>
      <c r="AA834" s="51"/>
      <c r="AB834" s="51"/>
      <c r="AC834" s="51"/>
      <c r="AD834" s="51"/>
      <c r="AE834" t="s">
        <v>30</v>
      </c>
      <c r="AF834" t="s">
        <v>601</v>
      </c>
      <c r="AG834" t="s">
        <v>28</v>
      </c>
      <c r="AH834" s="51"/>
      <c r="AI834" s="51"/>
    </row>
    <row r="835" spans="2:35">
      <c r="B835" t="s">
        <v>597</v>
      </c>
      <c r="C835" t="s">
        <v>2846</v>
      </c>
      <c r="D835">
        <v>12</v>
      </c>
      <c r="E835" t="s">
        <v>2790</v>
      </c>
      <c r="F835">
        <v>5</v>
      </c>
      <c r="G835">
        <v>12</v>
      </c>
      <c r="H835">
        <v>18</v>
      </c>
      <c r="I835" t="s">
        <v>597</v>
      </c>
      <c r="J835" s="51">
        <v>40893</v>
      </c>
      <c r="K835" t="s">
        <v>742</v>
      </c>
      <c r="L835" t="s">
        <v>605</v>
      </c>
      <c r="M835">
        <v>3</v>
      </c>
      <c r="N835" t="str">
        <f>L835</f>
        <v>NA/MB1049</v>
      </c>
      <c r="O835" s="51">
        <f>J835</f>
        <v>40893</v>
      </c>
      <c r="P835" s="51" t="str">
        <f>C835</f>
        <v>~/cdd/olddocs/Especificaciones genericas/Micromini/POTTED/CNWI-ENGI-F019  Rev F Especificaciones dedespoje de conductores potted.xlsx</v>
      </c>
      <c r="Q835" s="51" t="str">
        <f>E835</f>
        <v>xlsx</v>
      </c>
      <c r="R835" s="51"/>
      <c r="S835" s="51"/>
      <c r="T835" s="51"/>
      <c r="U835" s="51"/>
      <c r="V835" s="51"/>
      <c r="W835" s="51"/>
      <c r="X835" s="51"/>
      <c r="Y835" s="51"/>
      <c r="Z835" s="51"/>
      <c r="AA835" s="51"/>
      <c r="AB835" s="51"/>
      <c r="AC835" s="51"/>
      <c r="AD835" s="51"/>
      <c r="AE835" t="s">
        <v>30</v>
      </c>
      <c r="AF835" t="s">
        <v>601</v>
      </c>
      <c r="AG835" t="s">
        <v>28</v>
      </c>
      <c r="AH835" s="51"/>
      <c r="AI835" s="51"/>
    </row>
    <row r="836" spans="2:35">
      <c r="B836" t="s">
        <v>598</v>
      </c>
      <c r="C836" t="s">
        <v>2825</v>
      </c>
      <c r="D836">
        <v>12</v>
      </c>
      <c r="E836" t="s">
        <v>2792</v>
      </c>
      <c r="F836">
        <v>5</v>
      </c>
      <c r="G836">
        <v>12</v>
      </c>
      <c r="H836">
        <v>3</v>
      </c>
      <c r="I836" t="s">
        <v>598</v>
      </c>
      <c r="J836" s="51">
        <v>41037</v>
      </c>
      <c r="K836" t="s">
        <v>742</v>
      </c>
      <c r="L836" t="s">
        <v>605</v>
      </c>
      <c r="M836">
        <v>3</v>
      </c>
      <c r="N836" t="str">
        <f>L836</f>
        <v>NA/MB1049</v>
      </c>
      <c r="O836" s="51">
        <f>J836</f>
        <v>41037</v>
      </c>
      <c r="P836" s="51" t="str">
        <f>C836</f>
        <v>~/cdd/olddocs/Especificaciones genericas/Micromini/A Y B/CNWI-ENGI-F019 Rev  F Especificaciones de empaque Celda A Y B Rev  B.xls</v>
      </c>
      <c r="Q836" s="51" t="str">
        <f>E836</f>
        <v>xls</v>
      </c>
      <c r="R836" s="51"/>
      <c r="S836" s="51"/>
      <c r="T836" s="51"/>
      <c r="U836" s="51"/>
      <c r="V836" s="51"/>
      <c r="W836" s="51"/>
      <c r="X836" s="51"/>
      <c r="Y836" s="51"/>
      <c r="Z836" s="51"/>
      <c r="AA836" s="51"/>
      <c r="AB836" s="51"/>
      <c r="AC836" s="51"/>
      <c r="AD836" s="51"/>
      <c r="AE836" t="s">
        <v>30</v>
      </c>
      <c r="AF836" t="s">
        <v>31</v>
      </c>
      <c r="AG836" t="s">
        <v>28</v>
      </c>
      <c r="AH836" s="51"/>
      <c r="AI836" s="51"/>
    </row>
    <row r="837" spans="2:35">
      <c r="B837" t="s">
        <v>598</v>
      </c>
      <c r="C837" t="s">
        <v>2831</v>
      </c>
      <c r="D837">
        <v>12</v>
      </c>
      <c r="E837" t="s">
        <v>2792</v>
      </c>
      <c r="F837">
        <v>5</v>
      </c>
      <c r="G837">
        <v>12</v>
      </c>
      <c r="H837">
        <v>4</v>
      </c>
      <c r="I837" t="s">
        <v>598</v>
      </c>
      <c r="J837" s="51">
        <v>40675</v>
      </c>
      <c r="K837" t="s">
        <v>27</v>
      </c>
      <c r="M837">
        <v>3</v>
      </c>
      <c r="N837">
        <f>L837</f>
        <v>0</v>
      </c>
      <c r="O837" s="51">
        <f>J837</f>
        <v>40675</v>
      </c>
      <c r="P837" s="51" t="str">
        <f>C837</f>
        <v>~/cdd/olddocs/Especificaciones genericas/Micromini/CHANGE OUT/CNWI-ENGI-F019 Rev. A Especificaciones de empaque Change Out Rev. A.xls</v>
      </c>
      <c r="Q837" s="51" t="str">
        <f>E837</f>
        <v>xls</v>
      </c>
      <c r="R837" s="51"/>
      <c r="S837" s="51"/>
      <c r="T837" s="51"/>
      <c r="U837" s="51"/>
      <c r="V837" s="51"/>
      <c r="W837" s="51"/>
      <c r="X837" s="51"/>
      <c r="Y837" s="51"/>
      <c r="Z837" s="51"/>
      <c r="AA837" s="51"/>
      <c r="AB837" s="51"/>
      <c r="AC837" s="51"/>
      <c r="AD837" s="51"/>
      <c r="AE837" t="s">
        <v>30</v>
      </c>
      <c r="AF837" t="s">
        <v>31</v>
      </c>
      <c r="AG837" t="s">
        <v>28</v>
      </c>
      <c r="AH837" s="51"/>
      <c r="AI837" s="51"/>
    </row>
    <row r="838" spans="2:35">
      <c r="B838" t="s">
        <v>598</v>
      </c>
      <c r="C838" t="s">
        <v>2838</v>
      </c>
      <c r="D838">
        <v>12</v>
      </c>
      <c r="E838" t="s">
        <v>2792</v>
      </c>
      <c r="F838">
        <v>5</v>
      </c>
      <c r="G838">
        <v>12</v>
      </c>
      <c r="H838">
        <v>16</v>
      </c>
      <c r="I838" t="s">
        <v>598</v>
      </c>
      <c r="J838" s="51">
        <v>41022</v>
      </c>
      <c r="K838" t="s">
        <v>782</v>
      </c>
      <c r="L838" t="s">
        <v>605</v>
      </c>
      <c r="M838">
        <v>3</v>
      </c>
      <c r="N838" t="str">
        <f>L838</f>
        <v>NA/MB1049</v>
      </c>
      <c r="O838" s="51">
        <f>J838</f>
        <v>41022</v>
      </c>
      <c r="P838" s="51" t="str">
        <f>C838</f>
        <v>~/cdd/olddocs/Especificaciones genericas/Micromini/MS/CNWI-ENGI-F019 Rev. H Especificaciones de empaque MS.xls</v>
      </c>
      <c r="Q838" s="51" t="str">
        <f>E838</f>
        <v>xls</v>
      </c>
      <c r="R838" s="51"/>
      <c r="S838" s="51"/>
      <c r="T838" s="51"/>
      <c r="U838" s="51"/>
      <c r="V838" s="51"/>
      <c r="W838" s="51"/>
      <c r="X838" s="51"/>
      <c r="Y838" s="51"/>
      <c r="Z838" s="51"/>
      <c r="AA838" s="51"/>
      <c r="AB838" s="51"/>
      <c r="AC838" s="51"/>
      <c r="AD838" s="51"/>
      <c r="AE838" t="s">
        <v>30</v>
      </c>
      <c r="AF838" t="s">
        <v>601</v>
      </c>
      <c r="AG838" t="s">
        <v>28</v>
      </c>
      <c r="AH838" s="51"/>
      <c r="AI838" s="51"/>
    </row>
    <row r="839" spans="2:35">
      <c r="B839" t="s">
        <v>598</v>
      </c>
      <c r="C839" t="s">
        <v>2842</v>
      </c>
      <c r="D839">
        <v>12</v>
      </c>
      <c r="E839" t="s">
        <v>2792</v>
      </c>
      <c r="F839">
        <v>5</v>
      </c>
      <c r="G839">
        <v>12</v>
      </c>
      <c r="H839">
        <v>19</v>
      </c>
      <c r="I839" t="s">
        <v>598</v>
      </c>
      <c r="J839" s="51">
        <v>40896</v>
      </c>
      <c r="K839" t="s">
        <v>46</v>
      </c>
      <c r="L839" t="s">
        <v>605</v>
      </c>
      <c r="M839">
        <v>3</v>
      </c>
      <c r="N839" t="str">
        <f>L839</f>
        <v>NA/MB1049</v>
      </c>
      <c r="O839" s="51">
        <f>J839</f>
        <v>40896</v>
      </c>
      <c r="P839" s="51" t="str">
        <f>C839</f>
        <v>~/cdd/olddocs/Especificaciones genericas/Micromini/PLEX/CNWI-ENGI-F019 Rev. A Especificaciones de empaque Plex.xls</v>
      </c>
      <c r="Q839" s="51" t="str">
        <f>E839</f>
        <v>xls</v>
      </c>
      <c r="R839" s="51"/>
      <c r="S839" s="51"/>
      <c r="T839" s="51"/>
      <c r="U839" s="51"/>
      <c r="V839" s="51"/>
      <c r="W839" s="51"/>
      <c r="X839" s="51"/>
      <c r="Y839" s="51"/>
      <c r="Z839" s="51"/>
      <c r="AA839" s="51"/>
      <c r="AB839" s="51"/>
      <c r="AC839" s="51"/>
      <c r="AD839" s="51"/>
      <c r="AE839" t="s">
        <v>30</v>
      </c>
      <c r="AF839" t="s">
        <v>601</v>
      </c>
      <c r="AG839" t="s">
        <v>28</v>
      </c>
      <c r="AH839" s="51"/>
      <c r="AI839" s="51"/>
    </row>
    <row r="840" spans="2:35">
      <c r="B840" t="s">
        <v>598</v>
      </c>
      <c r="C840" t="s">
        <v>2847</v>
      </c>
      <c r="D840">
        <v>12</v>
      </c>
      <c r="E840" t="s">
        <v>2792</v>
      </c>
      <c r="F840">
        <v>5</v>
      </c>
      <c r="G840">
        <v>12</v>
      </c>
      <c r="H840">
        <v>18</v>
      </c>
      <c r="I840" t="s">
        <v>598</v>
      </c>
      <c r="J840" s="51">
        <v>40893</v>
      </c>
      <c r="K840" t="s">
        <v>742</v>
      </c>
      <c r="L840" t="s">
        <v>605</v>
      </c>
      <c r="M840">
        <v>3</v>
      </c>
      <c r="N840" t="str">
        <f>L840</f>
        <v>NA/MB1049</v>
      </c>
      <c r="O840" s="51">
        <f>J840</f>
        <v>40893</v>
      </c>
      <c r="P840" s="51" t="str">
        <f>C840</f>
        <v>~/cdd/olddocs/Especificaciones genericas/Micromini/POTTED/CNWI-ENGI-F019 Rev  F  Especificaciones de empaque Potted.xls</v>
      </c>
      <c r="Q840" s="51" t="str">
        <f>E840</f>
        <v>xls</v>
      </c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t="s">
        <v>30</v>
      </c>
      <c r="AF840" t="s">
        <v>601</v>
      </c>
      <c r="AG840" t="s">
        <v>28</v>
      </c>
      <c r="AH840" s="51"/>
      <c r="AI840" s="51"/>
    </row>
    <row r="841" spans="2:35">
      <c r="B841" t="s">
        <v>2782</v>
      </c>
      <c r="C841" t="s">
        <v>3830</v>
      </c>
      <c r="D841">
        <v>12</v>
      </c>
      <c r="E841" t="s">
        <v>2792</v>
      </c>
      <c r="F841">
        <v>5</v>
      </c>
      <c r="G841">
        <v>10</v>
      </c>
      <c r="H841">
        <v>7</v>
      </c>
      <c r="I841" t="s">
        <v>2782</v>
      </c>
      <c r="J841" s="51">
        <v>41192</v>
      </c>
      <c r="K841" t="s">
        <v>2472</v>
      </c>
      <c r="L841" t="s">
        <v>2427</v>
      </c>
      <c r="M841">
        <v>3</v>
      </c>
      <c r="N841" t="str">
        <f>L841</f>
        <v>NAM\MB1911</v>
      </c>
      <c r="O841" s="51">
        <f>J841</f>
        <v>41192</v>
      </c>
      <c r="P841" s="51" t="str">
        <f>C841</f>
        <v>~cdd/olddocs/Especificaciones genericas/Camarillo/AMSAFE/Rev T  ESPECIFICACIONES DE CORTE AREA AMSAFE.xls</v>
      </c>
      <c r="Q841" s="51" t="str">
        <f>E841</f>
        <v>xls</v>
      </c>
      <c r="R841" s="51"/>
      <c r="S841" s="51"/>
      <c r="T841" s="51"/>
      <c r="U841" s="51"/>
      <c r="V841" s="51"/>
      <c r="W841" s="51"/>
      <c r="X841" s="51"/>
      <c r="Y841" s="51"/>
      <c r="Z841" s="51"/>
      <c r="AA841" s="51"/>
      <c r="AB841" s="51"/>
      <c r="AC841" s="51"/>
      <c r="AD841" s="51"/>
      <c r="AE841" t="s">
        <v>624</v>
      </c>
      <c r="AF841" t="s">
        <v>2693</v>
      </c>
      <c r="AG841" t="s">
        <v>28</v>
      </c>
      <c r="AH841" s="51"/>
      <c r="AI841" s="51"/>
    </row>
    <row r="842" spans="2:35">
      <c r="B842" t="s">
        <v>2692</v>
      </c>
      <c r="C842" t="s">
        <v>3831</v>
      </c>
      <c r="D842">
        <v>12</v>
      </c>
      <c r="E842" t="s">
        <v>2792</v>
      </c>
      <c r="F842">
        <v>5</v>
      </c>
      <c r="G842">
        <v>36</v>
      </c>
      <c r="H842">
        <v>26</v>
      </c>
      <c r="I842" t="s">
        <v>2692</v>
      </c>
      <c r="J842" s="51">
        <v>41197</v>
      </c>
      <c r="K842" t="s">
        <v>38</v>
      </c>
      <c r="L842" t="s">
        <v>2427</v>
      </c>
      <c r="M842">
        <v>3</v>
      </c>
      <c r="N842" t="str">
        <f>L842</f>
        <v>NAM\MB1911</v>
      </c>
      <c r="O842" s="51">
        <f>J842</f>
        <v>41197</v>
      </c>
      <c r="P842" s="51" t="str">
        <f>C842</f>
        <v>~cdd/olddocs/Especificaciones genericas/Camarillo/Ensamble General/Rev  D Especificaciones de empaque  de ensamble general.xls</v>
      </c>
      <c r="Q842" s="51" t="str">
        <f>E842</f>
        <v>xls</v>
      </c>
      <c r="R842" s="51"/>
      <c r="S842" s="51"/>
      <c r="T842" s="51"/>
      <c r="U842" s="51"/>
      <c r="V842" s="51"/>
      <c r="W842" s="51"/>
      <c r="X842" s="51"/>
      <c r="Y842" s="51"/>
      <c r="Z842" s="51"/>
      <c r="AA842" s="51"/>
      <c r="AB842" s="51"/>
      <c r="AC842" s="51"/>
      <c r="AD842" s="51"/>
      <c r="AE842" t="s">
        <v>30</v>
      </c>
      <c r="AF842" t="s">
        <v>2693</v>
      </c>
      <c r="AG842" t="s">
        <v>28</v>
      </c>
      <c r="AH842" s="51"/>
      <c r="AI842" s="51"/>
    </row>
    <row r="843" spans="2:35">
      <c r="B843" t="s">
        <v>2692</v>
      </c>
      <c r="C843" t="s">
        <v>3832</v>
      </c>
      <c r="D843">
        <v>12</v>
      </c>
      <c r="E843" t="s">
        <v>2790</v>
      </c>
      <c r="F843">
        <v>5</v>
      </c>
      <c r="G843">
        <v>9</v>
      </c>
      <c r="I843" t="s">
        <v>2692</v>
      </c>
      <c r="J843" s="51">
        <v>41177</v>
      </c>
      <c r="K843" t="s">
        <v>159</v>
      </c>
      <c r="L843" t="s">
        <v>2427</v>
      </c>
      <c r="M843">
        <v>3</v>
      </c>
      <c r="N843" t="str">
        <f>L843</f>
        <v>NAM\MB1911</v>
      </c>
      <c r="O843" s="51">
        <f>J843</f>
        <v>41177</v>
      </c>
      <c r="P843" s="51" t="str">
        <f>C843</f>
        <v>~cdd/olddocs/Especificaciones genericas/Camarillo/Itron/Especificaciones de empaque  de ITRON Rev C.xlsx</v>
      </c>
      <c r="Q843" s="51" t="str">
        <f>E843</f>
        <v>xlsx</v>
      </c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t="s">
        <v>2785</v>
      </c>
      <c r="AF843" t="s">
        <v>2693</v>
      </c>
      <c r="AG843" t="s">
        <v>28</v>
      </c>
      <c r="AH843" s="51"/>
      <c r="AI843" s="51"/>
    </row>
    <row r="844" spans="2:35">
      <c r="B844" t="s">
        <v>930</v>
      </c>
      <c r="C844" t="s">
        <v>2853</v>
      </c>
      <c r="D844">
        <v>11</v>
      </c>
      <c r="E844" t="s">
        <v>2791</v>
      </c>
      <c r="F844">
        <v>5</v>
      </c>
      <c r="G844">
        <v>10</v>
      </c>
      <c r="H844">
        <v>7</v>
      </c>
      <c r="I844" t="s">
        <v>897</v>
      </c>
      <c r="J844" s="51">
        <v>41164</v>
      </c>
      <c r="K844" t="s">
        <v>27</v>
      </c>
      <c r="L844" t="s">
        <v>880</v>
      </c>
      <c r="M844">
        <v>3</v>
      </c>
      <c r="N844" t="str">
        <f>L844</f>
        <v>NAM\MB3488</v>
      </c>
      <c r="O844" s="51">
        <f>J844</f>
        <v>41164</v>
      </c>
      <c r="P844" s="51" t="str">
        <f>C844</f>
        <v>~/cdd/olddocs/Flow Chart/ITRON/AMSAFE/FC-AMSA-001  004080-0001 al 0012.pdf</v>
      </c>
      <c r="Q844" s="51" t="str">
        <f>E844</f>
        <v>pdf</v>
      </c>
      <c r="R844" s="51"/>
      <c r="S844" s="51"/>
      <c r="T844" s="51"/>
      <c r="U844" s="51"/>
      <c r="V844" s="51"/>
      <c r="W844" s="51"/>
      <c r="X844" s="51"/>
      <c r="Y844" s="51"/>
      <c r="Z844" s="51"/>
      <c r="AA844" s="51"/>
      <c r="AB844" s="51"/>
      <c r="AC844" s="51"/>
      <c r="AD844" s="51"/>
      <c r="AG844" t="s">
        <v>932</v>
      </c>
      <c r="AH844" s="51"/>
      <c r="AI844" s="51"/>
    </row>
    <row r="845" spans="2:35">
      <c r="B845" t="s">
        <v>933</v>
      </c>
      <c r="C845" t="s">
        <v>2852</v>
      </c>
      <c r="D845">
        <v>11</v>
      </c>
      <c r="E845" t="s">
        <v>2791</v>
      </c>
      <c r="F845">
        <v>5</v>
      </c>
      <c r="G845">
        <v>10</v>
      </c>
      <c r="H845">
        <v>7</v>
      </c>
      <c r="I845" t="s">
        <v>934</v>
      </c>
      <c r="J845" s="51">
        <v>41164</v>
      </c>
      <c r="K845" t="s">
        <v>27</v>
      </c>
      <c r="L845" t="s">
        <v>880</v>
      </c>
      <c r="M845">
        <v>3</v>
      </c>
      <c r="N845" t="str">
        <f>L845</f>
        <v>NAM\MB3488</v>
      </c>
      <c r="O845" s="51">
        <f>J845</f>
        <v>41164</v>
      </c>
      <c r="P845" s="51" t="str">
        <f>C845</f>
        <v>~/cdd/olddocs/Flow Chart/ITRON/AMSAFE/FC-AMSA -002  004070-0001.pdf</v>
      </c>
      <c r="Q845" s="51" t="str">
        <f>E845</f>
        <v>pdf</v>
      </c>
      <c r="R845" s="51"/>
      <c r="S845" s="51"/>
      <c r="T845" s="51"/>
      <c r="U845" s="51"/>
      <c r="V845" s="51"/>
      <c r="W845" s="51"/>
      <c r="X845" s="51"/>
      <c r="Y845" s="51"/>
      <c r="Z845" s="51"/>
      <c r="AA845" s="51"/>
      <c r="AB845" s="51"/>
      <c r="AC845" s="51"/>
      <c r="AD845" s="51"/>
      <c r="AG845" t="s">
        <v>901</v>
      </c>
      <c r="AH845" s="51"/>
      <c r="AI845" s="51"/>
    </row>
    <row r="846" spans="2:35">
      <c r="B846" t="s">
        <v>935</v>
      </c>
      <c r="C846" t="s">
        <v>3837</v>
      </c>
      <c r="D846">
        <v>11</v>
      </c>
      <c r="E846" t="s">
        <v>2791</v>
      </c>
      <c r="F846">
        <v>5</v>
      </c>
      <c r="G846">
        <v>10</v>
      </c>
      <c r="H846">
        <v>7</v>
      </c>
      <c r="I846" t="s">
        <v>936</v>
      </c>
      <c r="J846" s="51">
        <v>41164</v>
      </c>
      <c r="K846" t="s">
        <v>27</v>
      </c>
      <c r="L846" t="s">
        <v>880</v>
      </c>
      <c r="M846">
        <v>3</v>
      </c>
      <c r="N846" t="str">
        <f>L846</f>
        <v>NAM\MB3488</v>
      </c>
      <c r="O846" s="51">
        <f>J846</f>
        <v>41164</v>
      </c>
      <c r="P846" s="51" t="str">
        <f>C846</f>
        <v>~cdd/olddocs/Flow Chart/ITRON/AMSAFE/FC-AMSA -003 0044071-0001.pdf</v>
      </c>
      <c r="Q846" s="51" t="str">
        <f>E846</f>
        <v>pdf</v>
      </c>
      <c r="R846" s="51"/>
      <c r="S846" s="51"/>
      <c r="T846" s="51"/>
      <c r="U846" s="51"/>
      <c r="V846" s="51"/>
      <c r="W846" s="51"/>
      <c r="X846" s="51"/>
      <c r="Y846" s="51"/>
      <c r="Z846" s="51"/>
      <c r="AA846" s="51"/>
      <c r="AB846" s="51"/>
      <c r="AC846" s="51"/>
      <c r="AD846" s="51"/>
      <c r="AG846" t="s">
        <v>904</v>
      </c>
      <c r="AH846" s="51"/>
      <c r="AI846" s="51"/>
    </row>
    <row r="847" spans="2:35">
      <c r="B847" t="s">
        <v>937</v>
      </c>
      <c r="C847" t="s">
        <v>3834</v>
      </c>
      <c r="D847">
        <v>11</v>
      </c>
      <c r="E847" t="s">
        <v>2791</v>
      </c>
      <c r="F847">
        <v>5</v>
      </c>
      <c r="G847">
        <v>10</v>
      </c>
      <c r="H847">
        <v>7</v>
      </c>
      <c r="I847" t="s">
        <v>882</v>
      </c>
      <c r="J847" s="51">
        <v>41165</v>
      </c>
      <c r="K847" t="s">
        <v>27</v>
      </c>
      <c r="L847" t="s">
        <v>880</v>
      </c>
      <c r="M847">
        <v>3</v>
      </c>
      <c r="N847" t="str">
        <f>L847</f>
        <v>NAM\MB3488</v>
      </c>
      <c r="O847" s="51">
        <f>J847</f>
        <v>41165</v>
      </c>
      <c r="P847" s="51" t="str">
        <f>C847</f>
        <v>~cdd/olddocs/Flow Chart/ITRON/AMSAFE/FC- AMSA -004 004062-0001.pdf</v>
      </c>
      <c r="Q847" s="51" t="str">
        <f>E847</f>
        <v>pdf</v>
      </c>
      <c r="R847" s="51"/>
      <c r="S847" s="51"/>
      <c r="T847" s="51"/>
      <c r="U847" s="51"/>
      <c r="V847" s="51"/>
      <c r="W847" s="51"/>
      <c r="X847" s="51"/>
      <c r="Y847" s="51"/>
      <c r="Z847" s="51"/>
      <c r="AA847" s="51"/>
      <c r="AB847" s="51"/>
      <c r="AC847" s="51"/>
      <c r="AD847" s="51"/>
      <c r="AG847" t="s">
        <v>927</v>
      </c>
      <c r="AH847" s="51"/>
      <c r="AI847" s="51"/>
    </row>
    <row r="848" spans="2:35">
      <c r="B848" t="s">
        <v>938</v>
      </c>
      <c r="C848" t="s">
        <v>3835</v>
      </c>
      <c r="D848">
        <v>11</v>
      </c>
      <c r="E848" t="s">
        <v>2791</v>
      </c>
      <c r="F848">
        <v>5</v>
      </c>
      <c r="G848">
        <v>10</v>
      </c>
      <c r="H848">
        <v>7</v>
      </c>
      <c r="I848" t="s">
        <v>882</v>
      </c>
      <c r="J848" s="51">
        <v>41165</v>
      </c>
      <c r="K848" t="s">
        <v>27</v>
      </c>
      <c r="L848" t="s">
        <v>880</v>
      </c>
      <c r="M848">
        <v>3</v>
      </c>
      <c r="N848" t="str">
        <f>L848</f>
        <v>NAM\MB3488</v>
      </c>
      <c r="O848" s="51">
        <f>J848</f>
        <v>41165</v>
      </c>
      <c r="P848" s="51" t="str">
        <f>C848</f>
        <v>~cdd/olddocs/Flow Chart/ITRON/AMSAFE/FC- AMSA -005  004046-001 to 004046-0083 004043-0001 004044-0001 004044-0001 004045-0001 0040406-0071 to 0040406-0078.pdf</v>
      </c>
      <c r="Q848" s="51" t="str">
        <f>E848</f>
        <v>pdf</v>
      </c>
      <c r="R848" s="51"/>
      <c r="S848" s="51"/>
      <c r="T848" s="51"/>
      <c r="U848" s="51"/>
      <c r="V848" s="51"/>
      <c r="W848" s="51"/>
      <c r="X848" s="51"/>
      <c r="Y848" s="51"/>
      <c r="Z848" s="51"/>
      <c r="AA848" s="51"/>
      <c r="AB848" s="51"/>
      <c r="AC848" s="51"/>
      <c r="AD848" s="51"/>
      <c r="AG848" t="s">
        <v>883</v>
      </c>
      <c r="AH848" s="51"/>
      <c r="AI848" s="51"/>
    </row>
    <row r="849" spans="2:35">
      <c r="B849" t="s">
        <v>939</v>
      </c>
      <c r="C849" t="s">
        <v>3838</v>
      </c>
      <c r="D849">
        <v>11</v>
      </c>
      <c r="E849" t="s">
        <v>2791</v>
      </c>
      <c r="F849">
        <v>5</v>
      </c>
      <c r="G849">
        <v>10</v>
      </c>
      <c r="H849">
        <v>7</v>
      </c>
      <c r="I849" t="s">
        <v>908</v>
      </c>
      <c r="J849" s="51">
        <v>41165</v>
      </c>
      <c r="K849" t="s">
        <v>27</v>
      </c>
      <c r="L849" t="s">
        <v>880</v>
      </c>
      <c r="M849">
        <v>3</v>
      </c>
      <c r="N849" t="str">
        <f>L849</f>
        <v>NAM\MB3488</v>
      </c>
      <c r="O849" s="51">
        <f>J849</f>
        <v>41165</v>
      </c>
      <c r="P849" s="51" t="str">
        <f>C849</f>
        <v>~cdd/olddocs/Flow Chart/ITRON/AMSAFE/FC-AMSA -006  004041-0001  004041-0002.pdf</v>
      </c>
      <c r="Q849" s="51" t="str">
        <f>E849</f>
        <v>pdf</v>
      </c>
      <c r="R849" s="51"/>
      <c r="S849" s="51"/>
      <c r="T849" s="51"/>
      <c r="U849" s="51"/>
      <c r="V849" s="51"/>
      <c r="W849" s="51"/>
      <c r="X849" s="51"/>
      <c r="Y849" s="51"/>
      <c r="Z849" s="51"/>
      <c r="AA849" s="51"/>
      <c r="AB849" s="51"/>
      <c r="AC849" s="51"/>
      <c r="AD849" s="51"/>
      <c r="AG849" t="s">
        <v>909</v>
      </c>
      <c r="AH849" s="51"/>
      <c r="AI849" s="51"/>
    </row>
    <row r="850" spans="2:35">
      <c r="B850" t="s">
        <v>940</v>
      </c>
      <c r="C850" t="s">
        <v>3839</v>
      </c>
      <c r="D850">
        <v>11</v>
      </c>
      <c r="E850" t="s">
        <v>2791</v>
      </c>
      <c r="F850">
        <v>5</v>
      </c>
      <c r="G850">
        <v>10</v>
      </c>
      <c r="H850">
        <v>7</v>
      </c>
      <c r="I850" t="s">
        <v>941</v>
      </c>
      <c r="J850" s="51">
        <v>41165</v>
      </c>
      <c r="K850" t="s">
        <v>27</v>
      </c>
      <c r="L850" t="s">
        <v>880</v>
      </c>
      <c r="M850">
        <v>3</v>
      </c>
      <c r="N850" t="str">
        <f>L850</f>
        <v>NAM\MB3488</v>
      </c>
      <c r="O850" s="51">
        <f>J850</f>
        <v>41165</v>
      </c>
      <c r="P850" s="51" t="str">
        <f>C850</f>
        <v>~cdd/olddocs/Flow Chart/ITRON/AMSAFE/FC-AMSA -007 004042-TAB  004031-TAB.pdf</v>
      </c>
      <c r="Q850" s="51" t="str">
        <f>E850</f>
        <v>pdf</v>
      </c>
      <c r="R850" s="51"/>
      <c r="S850" s="51"/>
      <c r="T850" s="51"/>
      <c r="U850" s="51"/>
      <c r="V850" s="51"/>
      <c r="W850" s="51"/>
      <c r="X850" s="51"/>
      <c r="Y850" s="51"/>
      <c r="Z850" s="51"/>
      <c r="AA850" s="51"/>
      <c r="AB850" s="51"/>
      <c r="AC850" s="51"/>
      <c r="AD850" s="51"/>
      <c r="AG850" t="s">
        <v>925</v>
      </c>
      <c r="AH850" s="51"/>
      <c r="AI850" s="51"/>
    </row>
    <row r="851" spans="2:35">
      <c r="B851" t="s">
        <v>942</v>
      </c>
      <c r="C851" t="s">
        <v>3840</v>
      </c>
      <c r="D851">
        <v>11</v>
      </c>
      <c r="E851" t="s">
        <v>2791</v>
      </c>
      <c r="F851">
        <v>5</v>
      </c>
      <c r="G851">
        <v>10</v>
      </c>
      <c r="H851">
        <v>7</v>
      </c>
      <c r="I851" t="s">
        <v>914</v>
      </c>
      <c r="J851" s="51">
        <v>41165</v>
      </c>
      <c r="K851" t="s">
        <v>27</v>
      </c>
      <c r="L851" t="s">
        <v>880</v>
      </c>
      <c r="M851">
        <v>3</v>
      </c>
      <c r="N851" t="str">
        <f>L851</f>
        <v>NAM\MB3488</v>
      </c>
      <c r="O851" s="51">
        <f>J851</f>
        <v>41165</v>
      </c>
      <c r="P851" s="51" t="str">
        <f>C851</f>
        <v>~cdd/olddocs/Flow Chart/ITRON/AMSAFE/FC-AMSA -008  04055-002.pdf</v>
      </c>
      <c r="Q851" s="51" t="str">
        <f>E851</f>
        <v>pdf</v>
      </c>
      <c r="R851" s="51"/>
      <c r="S851" s="51"/>
      <c r="T851" s="51"/>
      <c r="U851" s="51"/>
      <c r="V851" s="51"/>
      <c r="W851" s="51"/>
      <c r="X851" s="51"/>
      <c r="Y851" s="51"/>
      <c r="Z851" s="51"/>
      <c r="AA851" s="51"/>
      <c r="AB851" s="51"/>
      <c r="AC851" s="51"/>
      <c r="AD851" s="51"/>
      <c r="AG851" t="s">
        <v>943</v>
      </c>
      <c r="AH851" s="51"/>
      <c r="AI851" s="51"/>
    </row>
    <row r="852" spans="2:35">
      <c r="B852" t="s">
        <v>944</v>
      </c>
      <c r="C852" t="s">
        <v>3841</v>
      </c>
      <c r="D852">
        <v>11</v>
      </c>
      <c r="E852" t="s">
        <v>2791</v>
      </c>
      <c r="F852">
        <v>5</v>
      </c>
      <c r="G852">
        <v>10</v>
      </c>
      <c r="H852">
        <v>7</v>
      </c>
      <c r="I852" t="s">
        <v>877</v>
      </c>
      <c r="J852" s="51">
        <v>41165</v>
      </c>
      <c r="K852" t="s">
        <v>27</v>
      </c>
      <c r="L852" t="s">
        <v>880</v>
      </c>
      <c r="M852">
        <v>3</v>
      </c>
      <c r="N852" t="str">
        <f>L852</f>
        <v>NAM\MB3488</v>
      </c>
      <c r="O852" s="51">
        <f>J852</f>
        <v>41165</v>
      </c>
      <c r="P852" s="51" t="str">
        <f>C852</f>
        <v>~cdd/olddocs/Flow Chart/ITRON/AMSAFE/FC-AMSA -009 004065-TAB.pdf</v>
      </c>
      <c r="Q852" s="51" t="str">
        <f>E852</f>
        <v>pdf</v>
      </c>
      <c r="R852" s="51"/>
      <c r="S852" s="51"/>
      <c r="T852" s="51"/>
      <c r="U852" s="51"/>
      <c r="V852" s="51"/>
      <c r="W852" s="51"/>
      <c r="X852" s="51"/>
      <c r="Y852" s="51"/>
      <c r="Z852" s="51"/>
      <c r="AA852" s="51"/>
      <c r="AB852" s="51"/>
      <c r="AC852" s="51"/>
      <c r="AD852" s="51"/>
      <c r="AG852" t="s">
        <v>945</v>
      </c>
      <c r="AH852" s="51"/>
      <c r="AI852" s="51"/>
    </row>
    <row r="853" spans="2:35">
      <c r="B853" t="s">
        <v>946</v>
      </c>
      <c r="C853" t="s">
        <v>3833</v>
      </c>
      <c r="D853">
        <v>11</v>
      </c>
      <c r="E853" t="s">
        <v>2791</v>
      </c>
      <c r="F853">
        <v>5</v>
      </c>
      <c r="G853">
        <v>10</v>
      </c>
      <c r="H853">
        <v>7</v>
      </c>
      <c r="I853" t="s">
        <v>947</v>
      </c>
      <c r="J853" s="51">
        <v>41165</v>
      </c>
      <c r="K853" t="s">
        <v>27</v>
      </c>
      <c r="L853" t="s">
        <v>880</v>
      </c>
      <c r="M853">
        <v>3</v>
      </c>
      <c r="N853" t="str">
        <f>L853</f>
        <v>NAM\MB3488</v>
      </c>
      <c r="O853" s="51">
        <f>J853</f>
        <v>41165</v>
      </c>
      <c r="P853" s="51" t="str">
        <f>C853</f>
        <v>~cdd/olddocs/Flow Chart/ITRON/AMSAFE/FC-  AMSA -0010  004035-TAB, 004034-0001, 004014-0001 &amp; 003082-0001.pdf</v>
      </c>
      <c r="Q853" s="51" t="str">
        <f>E853</f>
        <v>pdf</v>
      </c>
      <c r="R853" s="51"/>
      <c r="S853" s="51"/>
      <c r="T853" s="51"/>
      <c r="U853" s="51"/>
      <c r="V853" s="51"/>
      <c r="W853" s="51"/>
      <c r="X853" s="51"/>
      <c r="Y853" s="51"/>
      <c r="Z853" s="51"/>
      <c r="AA853" s="51"/>
      <c r="AB853" s="51"/>
      <c r="AC853" s="51"/>
      <c r="AD853" s="51"/>
      <c r="AG853" t="s">
        <v>889</v>
      </c>
      <c r="AH853" s="51"/>
      <c r="AI853" s="51"/>
    </row>
    <row r="854" spans="2:35">
      <c r="B854" t="s">
        <v>948</v>
      </c>
      <c r="C854" t="s">
        <v>3849</v>
      </c>
      <c r="D854">
        <v>11</v>
      </c>
      <c r="E854" t="s">
        <v>2790</v>
      </c>
      <c r="F854">
        <v>5</v>
      </c>
      <c r="G854">
        <v>10</v>
      </c>
      <c r="H854">
        <v>7</v>
      </c>
      <c r="I854" t="s">
        <v>882</v>
      </c>
      <c r="J854" s="51">
        <v>41165</v>
      </c>
      <c r="K854" t="s">
        <v>27</v>
      </c>
      <c r="L854" t="s">
        <v>880</v>
      </c>
      <c r="M854">
        <v>3</v>
      </c>
      <c r="N854" t="str">
        <f>L854</f>
        <v>NAM\MB3488</v>
      </c>
      <c r="O854" s="51">
        <f>J854</f>
        <v>41165</v>
      </c>
      <c r="P854" s="51" t="str">
        <f>C854</f>
        <v>~cdd/olddocs/Flow Chart/ITRON/AMSAFE/FC-ASMSA -011 Rev. A 3084, 3085, 3086, 3087, 3088, 3093, 3095, 4000, 4001, 4003, 4004, 4022.xlsx</v>
      </c>
      <c r="Q854" s="51" t="str">
        <f>E854</f>
        <v>xlsx</v>
      </c>
      <c r="R854" s="51"/>
      <c r="S854" s="51"/>
      <c r="T854" s="51"/>
      <c r="U854" s="51"/>
      <c r="V854" s="51"/>
      <c r="W854" s="51"/>
      <c r="X854" s="51"/>
      <c r="Y854" s="51"/>
      <c r="Z854" s="51"/>
      <c r="AA854" s="51"/>
      <c r="AB854" s="51"/>
      <c r="AC854" s="51"/>
      <c r="AD854" s="51"/>
      <c r="AG854" t="s">
        <v>949</v>
      </c>
      <c r="AH854" s="51"/>
      <c r="AI854" s="51"/>
    </row>
    <row r="855" spans="2:35">
      <c r="B855" t="s">
        <v>950</v>
      </c>
      <c r="C855" t="s">
        <v>3836</v>
      </c>
      <c r="D855">
        <v>11</v>
      </c>
      <c r="E855" t="s">
        <v>2791</v>
      </c>
      <c r="F855">
        <v>5</v>
      </c>
      <c r="G855">
        <v>10</v>
      </c>
      <c r="H855">
        <v>7</v>
      </c>
      <c r="I855" t="s">
        <v>951</v>
      </c>
      <c r="J855" s="51">
        <v>41165</v>
      </c>
      <c r="K855" t="s">
        <v>27</v>
      </c>
      <c r="L855" t="s">
        <v>880</v>
      </c>
      <c r="M855">
        <v>3</v>
      </c>
      <c r="N855" t="str">
        <f>L855</f>
        <v>NAM\MB3488</v>
      </c>
      <c r="O855" s="51">
        <f>J855</f>
        <v>41165</v>
      </c>
      <c r="P855" s="51" t="str">
        <f>C855</f>
        <v>~cdd/olddocs/Flow Chart/ITRON/AMSAFE/FC-AMSA -0012 003064-0001.pdf</v>
      </c>
      <c r="Q855" s="51" t="str">
        <f>E855</f>
        <v>pdf</v>
      </c>
      <c r="R855" s="51"/>
      <c r="S855" s="51"/>
      <c r="T855" s="51"/>
      <c r="U855" s="51"/>
      <c r="V855" s="51"/>
      <c r="W855" s="51"/>
      <c r="X855" s="51"/>
      <c r="Y855" s="51"/>
      <c r="Z855" s="51"/>
      <c r="AA855" s="51"/>
      <c r="AB855" s="51"/>
      <c r="AC855" s="51"/>
      <c r="AD855" s="51"/>
      <c r="AG855" t="s">
        <v>892</v>
      </c>
      <c r="AH855" s="51"/>
      <c r="AI855" s="51"/>
    </row>
    <row r="856" spans="2:35">
      <c r="B856" t="s">
        <v>952</v>
      </c>
      <c r="C856" t="s">
        <v>3844</v>
      </c>
      <c r="D856">
        <v>11</v>
      </c>
      <c r="E856" t="s">
        <v>2791</v>
      </c>
      <c r="F856">
        <v>5</v>
      </c>
      <c r="G856">
        <v>10</v>
      </c>
      <c r="H856">
        <v>7</v>
      </c>
      <c r="I856" t="s">
        <v>877</v>
      </c>
      <c r="J856" s="51">
        <v>41165</v>
      </c>
      <c r="K856" t="s">
        <v>27</v>
      </c>
      <c r="L856" t="s">
        <v>880</v>
      </c>
      <c r="M856">
        <v>3</v>
      </c>
      <c r="N856" t="str">
        <f>L856</f>
        <v>NAM\MB3488</v>
      </c>
      <c r="O856" s="51">
        <f>J856</f>
        <v>41165</v>
      </c>
      <c r="P856" s="51" t="str">
        <f>C856</f>
        <v>~cdd/olddocs/Flow Chart/ITRON/AMSAFE/FC-AMSA-013  003075-0001.pdf</v>
      </c>
      <c r="Q856" s="51" t="str">
        <f>E856</f>
        <v>pdf</v>
      </c>
      <c r="R856" s="51"/>
      <c r="S856" s="51"/>
      <c r="T856" s="51"/>
      <c r="U856" s="51"/>
      <c r="V856" s="51"/>
      <c r="W856" s="51"/>
      <c r="X856" s="51"/>
      <c r="Y856" s="51"/>
      <c r="Z856" s="51"/>
      <c r="AA856" s="51"/>
      <c r="AB856" s="51"/>
      <c r="AC856" s="51"/>
      <c r="AD856" s="51"/>
      <c r="AG856" t="s">
        <v>918</v>
      </c>
      <c r="AH856" s="51"/>
      <c r="AI856" s="51"/>
    </row>
    <row r="857" spans="2:35">
      <c r="B857" t="s">
        <v>953</v>
      </c>
      <c r="C857" t="s">
        <v>3845</v>
      </c>
      <c r="D857">
        <v>11</v>
      </c>
      <c r="E857" t="s">
        <v>2791</v>
      </c>
      <c r="F857">
        <v>5</v>
      </c>
      <c r="G857">
        <v>10</v>
      </c>
      <c r="H857">
        <v>7</v>
      </c>
      <c r="I857" t="s">
        <v>882</v>
      </c>
      <c r="J857" s="51">
        <v>41165</v>
      </c>
      <c r="K857" t="s">
        <v>27</v>
      </c>
      <c r="L857" t="s">
        <v>880</v>
      </c>
      <c r="M857">
        <v>3</v>
      </c>
      <c r="N857" t="str">
        <f>L857</f>
        <v>NAM\MB3488</v>
      </c>
      <c r="O857" s="51">
        <f>J857</f>
        <v>41165</v>
      </c>
      <c r="P857" s="51" t="str">
        <f>C857</f>
        <v>~cdd/olddocs/Flow Chart/ITRON/AMSAFE/FC-AMSA-014 3076-0001.pdf</v>
      </c>
      <c r="Q857" s="51" t="str">
        <f>E857</f>
        <v>pdf</v>
      </c>
      <c r="R857" s="51"/>
      <c r="S857" s="51"/>
      <c r="T857" s="51"/>
      <c r="U857" s="51"/>
      <c r="V857" s="51"/>
      <c r="W857" s="51"/>
      <c r="X857" s="51"/>
      <c r="Y857" s="51"/>
      <c r="Z857" s="51"/>
      <c r="AA857" s="51"/>
      <c r="AB857" s="51"/>
      <c r="AC857" s="51"/>
      <c r="AD857" s="51"/>
      <c r="AG857" t="s">
        <v>922</v>
      </c>
      <c r="AH857" s="51"/>
      <c r="AI857" s="51"/>
    </row>
    <row r="858" spans="2:35">
      <c r="B858" t="s">
        <v>954</v>
      </c>
      <c r="C858" t="s">
        <v>3846</v>
      </c>
      <c r="D858">
        <v>11</v>
      </c>
      <c r="E858" t="s">
        <v>2791</v>
      </c>
      <c r="F858">
        <v>5</v>
      </c>
      <c r="G858">
        <v>10</v>
      </c>
      <c r="H858">
        <v>7</v>
      </c>
      <c r="I858" t="s">
        <v>955</v>
      </c>
      <c r="J858" s="51">
        <v>41165</v>
      </c>
      <c r="K858" t="s">
        <v>27</v>
      </c>
      <c r="L858" t="s">
        <v>880</v>
      </c>
      <c r="M858">
        <v>3</v>
      </c>
      <c r="N858" t="str">
        <f>L858</f>
        <v>NAM\MB3488</v>
      </c>
      <c r="O858" s="51">
        <f>J858</f>
        <v>41165</v>
      </c>
      <c r="P858" s="51" t="str">
        <f>C858</f>
        <v>~cdd/olddocs/Flow Chart/ITRON/AMSAFE/FC-AMSA-015  004005-TAB.pdf</v>
      </c>
      <c r="Q858" s="51" t="str">
        <f>E858</f>
        <v>pdf</v>
      </c>
      <c r="R858" s="51"/>
      <c r="S858" s="51"/>
      <c r="T858" s="51"/>
      <c r="U858" s="51"/>
      <c r="V858" s="51"/>
      <c r="W858" s="51"/>
      <c r="X858" s="51"/>
      <c r="Y858" s="51"/>
      <c r="Z858" s="51"/>
      <c r="AA858" s="51"/>
      <c r="AB858" s="51"/>
      <c r="AC858" s="51"/>
      <c r="AD858" s="51"/>
      <c r="AG858" t="s">
        <v>956</v>
      </c>
      <c r="AH858" s="51"/>
      <c r="AI858" s="51"/>
    </row>
    <row r="859" spans="2:35">
      <c r="B859" t="s">
        <v>957</v>
      </c>
      <c r="C859" t="s">
        <v>3847</v>
      </c>
      <c r="D859">
        <v>11</v>
      </c>
      <c r="E859" t="s">
        <v>2791</v>
      </c>
      <c r="F859">
        <v>5</v>
      </c>
      <c r="G859">
        <v>10</v>
      </c>
      <c r="H859">
        <v>7</v>
      </c>
      <c r="I859" t="s">
        <v>885</v>
      </c>
      <c r="J859" s="51">
        <v>41165</v>
      </c>
      <c r="K859" t="s">
        <v>27</v>
      </c>
      <c r="L859" t="s">
        <v>880</v>
      </c>
      <c r="M859">
        <v>3</v>
      </c>
      <c r="N859" t="str">
        <f>L859</f>
        <v>NAM\MB3488</v>
      </c>
      <c r="O859" s="51">
        <f>J859</f>
        <v>41165</v>
      </c>
      <c r="P859" s="51" t="str">
        <f>C859</f>
        <v>~cdd/olddocs/Flow Chart/ITRON/AMSAFE/FC-AMSA-016  004038-0001.pdf</v>
      </c>
      <c r="Q859" s="51" t="str">
        <f>E859</f>
        <v>pdf</v>
      </c>
      <c r="R859" s="51"/>
      <c r="S859" s="51"/>
      <c r="T859" s="51"/>
      <c r="U859" s="51"/>
      <c r="V859" s="51"/>
      <c r="W859" s="51"/>
      <c r="X859" s="51"/>
      <c r="Y859" s="51"/>
      <c r="Z859" s="51"/>
      <c r="AA859" s="51"/>
      <c r="AB859" s="51"/>
      <c r="AC859" s="51"/>
      <c r="AD859" s="51"/>
      <c r="AG859" t="s">
        <v>958</v>
      </c>
      <c r="AH859" s="51"/>
      <c r="AI859" s="51"/>
    </row>
    <row r="860" spans="2:35">
      <c r="B860" t="s">
        <v>959</v>
      </c>
      <c r="C860" t="s">
        <v>3848</v>
      </c>
      <c r="D860">
        <v>11</v>
      </c>
      <c r="E860" t="s">
        <v>2791</v>
      </c>
      <c r="F860">
        <v>5</v>
      </c>
      <c r="G860">
        <v>10</v>
      </c>
      <c r="H860">
        <v>7</v>
      </c>
      <c r="I860" t="s">
        <v>951</v>
      </c>
      <c r="J860" s="51">
        <v>41165</v>
      </c>
      <c r="K860" t="s">
        <v>27</v>
      </c>
      <c r="L860" t="s">
        <v>880</v>
      </c>
      <c r="M860">
        <v>3</v>
      </c>
      <c r="N860" t="str">
        <f>L860</f>
        <v>NAM\MB3488</v>
      </c>
      <c r="O860" s="51">
        <f>J860</f>
        <v>41165</v>
      </c>
      <c r="P860" s="51" t="str">
        <f>C860</f>
        <v>~cdd/olddocs/Flow Chart/ITRON/AMSAFE/FC-AMSA-017 003077-0001.pdf</v>
      </c>
      <c r="Q860" s="51" t="str">
        <f>E860</f>
        <v>pdf</v>
      </c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G860" t="s">
        <v>920</v>
      </c>
      <c r="AH860" s="51"/>
      <c r="AI860" s="51"/>
    </row>
    <row r="861" spans="2:35">
      <c r="B861" t="s">
        <v>960</v>
      </c>
      <c r="C861" t="s">
        <v>3842</v>
      </c>
      <c r="D861">
        <v>11</v>
      </c>
      <c r="E861" t="s">
        <v>2791</v>
      </c>
      <c r="F861">
        <v>5</v>
      </c>
      <c r="G861">
        <v>10</v>
      </c>
      <c r="H861">
        <v>7</v>
      </c>
      <c r="I861" t="s">
        <v>882</v>
      </c>
      <c r="J861" s="51">
        <v>41165</v>
      </c>
      <c r="K861" t="s">
        <v>27</v>
      </c>
      <c r="L861" t="s">
        <v>880</v>
      </c>
      <c r="M861">
        <v>3</v>
      </c>
      <c r="N861" t="str">
        <f>L861</f>
        <v>NAM\MB3488</v>
      </c>
      <c r="O861" s="51">
        <f>J861</f>
        <v>41165</v>
      </c>
      <c r="P861" s="51" t="str">
        <f>C861</f>
        <v>~cdd/olddocs/Flow Chart/ITRON/AMSAFE/FC-AMSA- 018 004002-0001.pdf</v>
      </c>
      <c r="Q861" s="51" t="str">
        <f>E861</f>
        <v>pdf</v>
      </c>
      <c r="R861" s="51"/>
      <c r="S861" s="51"/>
      <c r="T861" s="51"/>
      <c r="U861" s="51"/>
      <c r="V861" s="51"/>
      <c r="W861" s="51"/>
      <c r="X861" s="51"/>
      <c r="Y861" s="51"/>
      <c r="Z861" s="51"/>
      <c r="AA861" s="51"/>
      <c r="AB861" s="51"/>
      <c r="AC861" s="51"/>
      <c r="AD861" s="51"/>
      <c r="AG861" t="s">
        <v>912</v>
      </c>
      <c r="AH861" s="51"/>
      <c r="AI861" s="51"/>
    </row>
    <row r="862" spans="2:35">
      <c r="B862" t="s">
        <v>961</v>
      </c>
      <c r="C862" t="s">
        <v>3843</v>
      </c>
      <c r="D862">
        <v>11</v>
      </c>
      <c r="E862" t="s">
        <v>2791</v>
      </c>
      <c r="F862">
        <v>5</v>
      </c>
      <c r="G862">
        <v>10</v>
      </c>
      <c r="H862">
        <v>7</v>
      </c>
      <c r="I862" t="s">
        <v>877</v>
      </c>
      <c r="J862" s="51">
        <v>41165</v>
      </c>
      <c r="K862" t="s">
        <v>27</v>
      </c>
      <c r="L862" t="s">
        <v>880</v>
      </c>
      <c r="M862">
        <v>3</v>
      </c>
      <c r="N862" t="str">
        <f>L862</f>
        <v>NAM\MB3488</v>
      </c>
      <c r="O862" s="51">
        <f>J862</f>
        <v>41165</v>
      </c>
      <c r="P862" s="51" t="str">
        <f>C862</f>
        <v>~cdd/olddocs/Flow Chart/ITRON/AMSAFE/FC-AMSA -019  004049-0001.pdf</v>
      </c>
      <c r="Q862" s="51" t="str">
        <f>E862</f>
        <v>pdf</v>
      </c>
      <c r="R862" s="51"/>
      <c r="S862" s="51"/>
      <c r="T862" s="51"/>
      <c r="U862" s="51"/>
      <c r="V862" s="51"/>
      <c r="W862" s="51"/>
      <c r="X862" s="51"/>
      <c r="Y862" s="51"/>
      <c r="Z862" s="51"/>
      <c r="AA862" s="51"/>
      <c r="AB862" s="51"/>
      <c r="AC862" s="51"/>
      <c r="AD862" s="51"/>
      <c r="AG862" t="s">
        <v>906</v>
      </c>
      <c r="AH862" s="51"/>
      <c r="AI862" s="51"/>
    </row>
    <row r="863" spans="2:35">
      <c r="B863" t="s">
        <v>1042</v>
      </c>
      <c r="C863" t="s">
        <v>2854</v>
      </c>
      <c r="D863">
        <v>11</v>
      </c>
      <c r="E863" t="s">
        <v>2791</v>
      </c>
      <c r="F863">
        <v>5</v>
      </c>
      <c r="G863">
        <v>10</v>
      </c>
      <c r="H863">
        <v>10</v>
      </c>
      <c r="I863" t="s">
        <v>969</v>
      </c>
      <c r="J863" s="51">
        <v>41141</v>
      </c>
      <c r="K863" t="s">
        <v>27</v>
      </c>
      <c r="L863" t="s">
        <v>880</v>
      </c>
      <c r="M863">
        <v>3</v>
      </c>
      <c r="N863" t="str">
        <f>L863</f>
        <v>NAM\MB3488</v>
      </c>
      <c r="O863" s="51">
        <f>J863</f>
        <v>41141</v>
      </c>
      <c r="P863" s="51" t="str">
        <f>C863</f>
        <v>~/cdd/olddocs/Flow Chart/ITRON/BONDING/FC-BOND-001 000-100-0113M, 000100-0179, 000102-TAB, 000104-TAB &amp; 000105-TAB. Snap lock.pdf</v>
      </c>
      <c r="Q863" s="51" t="str">
        <f>E863</f>
        <v>pdf</v>
      </c>
      <c r="R863" s="51"/>
      <c r="S863" s="51"/>
      <c r="T863" s="51"/>
      <c r="U863" s="51"/>
      <c r="V863" s="51"/>
      <c r="W863" s="51"/>
      <c r="X863" s="51"/>
      <c r="Y863" s="51"/>
      <c r="Z863" s="51"/>
      <c r="AA863" s="51"/>
      <c r="AB863" s="51"/>
      <c r="AC863" s="51"/>
      <c r="AD863" s="51"/>
      <c r="AG863" t="s">
        <v>1043</v>
      </c>
      <c r="AH863" s="51"/>
      <c r="AI863" s="51"/>
    </row>
    <row r="864" spans="2:35">
      <c r="B864" t="s">
        <v>1044</v>
      </c>
      <c r="C864" t="s">
        <v>3850</v>
      </c>
      <c r="D864">
        <v>11</v>
      </c>
      <c r="E864" t="s">
        <v>2791</v>
      </c>
      <c r="F864">
        <v>5</v>
      </c>
      <c r="G864">
        <v>10</v>
      </c>
      <c r="H864">
        <v>10</v>
      </c>
      <c r="I864" t="s">
        <v>972</v>
      </c>
      <c r="J864" s="51">
        <v>41149</v>
      </c>
      <c r="K864" t="s">
        <v>27</v>
      </c>
      <c r="L864" t="s">
        <v>880</v>
      </c>
      <c r="M864">
        <v>3</v>
      </c>
      <c r="N864" t="str">
        <f>L864</f>
        <v>NAM\MB3488</v>
      </c>
      <c r="O864" s="51">
        <f>J864</f>
        <v>41149</v>
      </c>
      <c r="P864" s="51" t="str">
        <f>C864</f>
        <v>~cdd/olddocs/Flow Chart/ITRON/BONDING/FC-BOND-002  002359-TAB 002360-TAB  002361-TAB.pdf</v>
      </c>
      <c r="Q864" s="51" t="str">
        <f>E864</f>
        <v>pdf</v>
      </c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G864" t="s">
        <v>973</v>
      </c>
      <c r="AH864" s="51"/>
      <c r="AI864" s="51"/>
    </row>
    <row r="865" spans="2:35">
      <c r="B865" t="s">
        <v>1045</v>
      </c>
      <c r="C865" t="s">
        <v>2855</v>
      </c>
      <c r="D865">
        <v>11</v>
      </c>
      <c r="E865" t="s">
        <v>2791</v>
      </c>
      <c r="F865">
        <v>5</v>
      </c>
      <c r="G865">
        <v>10</v>
      </c>
      <c r="H865">
        <v>10</v>
      </c>
      <c r="I865" t="s">
        <v>1046</v>
      </c>
      <c r="J865" s="51">
        <v>41181</v>
      </c>
      <c r="K865" t="s">
        <v>27</v>
      </c>
      <c r="L865" t="s">
        <v>880</v>
      </c>
      <c r="M865">
        <v>3</v>
      </c>
      <c r="N865" t="str">
        <f>L865</f>
        <v>NAM\MB3488</v>
      </c>
      <c r="O865" s="51">
        <f>J865</f>
        <v>41181</v>
      </c>
      <c r="P865" s="51" t="str">
        <f>C865</f>
        <v>~/cdd/olddocs/Flow Chart/ITRON/BONDING/FC-BOND-003  BACC65- TODOS.pdf</v>
      </c>
      <c r="Q865" s="51" t="str">
        <f>E865</f>
        <v>pdf</v>
      </c>
      <c r="R865" s="51"/>
      <c r="S865" s="51"/>
      <c r="T865" s="51"/>
      <c r="U865" s="51"/>
      <c r="V865" s="51"/>
      <c r="W865" s="51"/>
      <c r="X865" s="51"/>
      <c r="Y865" s="51"/>
      <c r="Z865" s="51"/>
      <c r="AA865" s="51"/>
      <c r="AB865" s="51"/>
      <c r="AC865" s="51"/>
      <c r="AD865" s="51"/>
      <c r="AG865" t="s">
        <v>976</v>
      </c>
      <c r="AH865" s="51"/>
      <c r="AI865" s="51"/>
    </row>
    <row r="866" spans="2:35">
      <c r="B866" t="s">
        <v>1047</v>
      </c>
      <c r="C866" t="s">
        <v>2856</v>
      </c>
      <c r="D866">
        <v>11</v>
      </c>
      <c r="E866" t="s">
        <v>2791</v>
      </c>
      <c r="F866">
        <v>5</v>
      </c>
      <c r="G866">
        <v>10</v>
      </c>
      <c r="H866">
        <v>10</v>
      </c>
      <c r="I866" t="s">
        <v>1048</v>
      </c>
      <c r="J866" s="51">
        <v>41207</v>
      </c>
      <c r="K866" t="s">
        <v>27</v>
      </c>
      <c r="L866" t="s">
        <v>880</v>
      </c>
      <c r="M866">
        <v>3</v>
      </c>
      <c r="N866" t="str">
        <f>L866</f>
        <v>NAM\MB3488</v>
      </c>
      <c r="O866" s="51">
        <f>J866</f>
        <v>41207</v>
      </c>
      <c r="P866" s="51" t="str">
        <f>C866</f>
        <v>~/cdd/olddocs/Flow Chart/ITRON/BONDING/FC-BOND-004   002371-0002 &amp; 002371-0004.pdf</v>
      </c>
      <c r="Q866" s="51" t="str">
        <f>E866</f>
        <v>pdf</v>
      </c>
      <c r="R866" s="51"/>
      <c r="S866" s="51"/>
      <c r="T866" s="51"/>
      <c r="U866" s="51"/>
      <c r="V866" s="51"/>
      <c r="W866" s="51"/>
      <c r="X866" s="51"/>
      <c r="Y866" s="51"/>
      <c r="Z866" s="51"/>
      <c r="AA866" s="51"/>
      <c r="AB866" s="51"/>
      <c r="AC866" s="51"/>
      <c r="AD866" s="51"/>
      <c r="AG866" t="s">
        <v>1006</v>
      </c>
      <c r="AH866" s="51"/>
      <c r="AI866" s="51"/>
    </row>
    <row r="867" spans="2:35">
      <c r="B867" t="s">
        <v>1049</v>
      </c>
      <c r="C867" t="s">
        <v>2857</v>
      </c>
      <c r="D867">
        <v>11</v>
      </c>
      <c r="E867" t="s">
        <v>2791</v>
      </c>
      <c r="F867">
        <v>5</v>
      </c>
      <c r="G867">
        <v>10</v>
      </c>
      <c r="H867">
        <v>10</v>
      </c>
      <c r="I867" t="s">
        <v>1048</v>
      </c>
      <c r="J867" s="51">
        <v>41208</v>
      </c>
      <c r="K867" t="s">
        <v>27</v>
      </c>
      <c r="L867" t="s">
        <v>880</v>
      </c>
      <c r="M867">
        <v>3</v>
      </c>
      <c r="N867" t="str">
        <f>L867</f>
        <v>NAM\MB3488</v>
      </c>
      <c r="O867" s="51">
        <f>J867</f>
        <v>41208</v>
      </c>
      <c r="P867" s="51" t="str">
        <f>C867</f>
        <v>~/cdd/olddocs/Flow Chart/ITRON/BONDING/FC-BOND-005    002371-0003.pdf</v>
      </c>
      <c r="Q867" s="51" t="str">
        <f>E867</f>
        <v>pdf</v>
      </c>
      <c r="R867" s="51"/>
      <c r="S867" s="51"/>
      <c r="T867" s="51"/>
      <c r="U867" s="51"/>
      <c r="V867" s="51"/>
      <c r="W867" s="51"/>
      <c r="X867" s="51"/>
      <c r="Y867" s="51"/>
      <c r="Z867" s="51"/>
      <c r="AA867" s="51"/>
      <c r="AB867" s="51"/>
      <c r="AC867" s="51"/>
      <c r="AD867" s="51"/>
      <c r="AG867" t="s">
        <v>1008</v>
      </c>
      <c r="AH867" s="51"/>
      <c r="AI867" s="51"/>
    </row>
    <row r="868" spans="2:35">
      <c r="B868" t="s">
        <v>1050</v>
      </c>
      <c r="C868" t="s">
        <v>2858</v>
      </c>
      <c r="D868">
        <v>11</v>
      </c>
      <c r="E868" t="s">
        <v>2791</v>
      </c>
      <c r="F868">
        <v>5</v>
      </c>
      <c r="G868">
        <v>10</v>
      </c>
      <c r="H868">
        <v>10</v>
      </c>
      <c r="I868" t="s">
        <v>1051</v>
      </c>
      <c r="J868" s="51">
        <v>41208</v>
      </c>
      <c r="K868" t="s">
        <v>27</v>
      </c>
      <c r="L868" t="s">
        <v>880</v>
      </c>
      <c r="M868">
        <v>3</v>
      </c>
      <c r="N868" t="str">
        <f>L868</f>
        <v>NAM\MB3488</v>
      </c>
      <c r="O868" s="51">
        <f>J868</f>
        <v>41208</v>
      </c>
      <c r="P868" s="51" t="str">
        <f>C868</f>
        <v>~/cdd/olddocs/Flow Chart/ITRON/BONDING/FC-BOND-006   002314 &amp; 002315.pdf</v>
      </c>
      <c r="Q868" s="51" t="str">
        <f>E868</f>
        <v>pdf</v>
      </c>
      <c r="R868" s="51"/>
      <c r="S868" s="51"/>
      <c r="T868" s="51"/>
      <c r="U868" s="51"/>
      <c r="V868" s="51"/>
      <c r="W868" s="51"/>
      <c r="X868" s="51"/>
      <c r="Y868" s="51"/>
      <c r="Z868" s="51"/>
      <c r="AA868" s="51"/>
      <c r="AB868" s="51"/>
      <c r="AC868" s="51"/>
      <c r="AD868" s="51"/>
      <c r="AG868" t="s">
        <v>982</v>
      </c>
      <c r="AH868" s="51"/>
      <c r="AI868" s="51"/>
    </row>
    <row r="869" spans="2:35">
      <c r="B869" t="s">
        <v>1052</v>
      </c>
      <c r="C869" t="e">
        <v>#VALUE!</v>
      </c>
      <c r="D869">
        <v>11</v>
      </c>
      <c r="E869" t="e">
        <v>#VALUE!</v>
      </c>
      <c r="F869">
        <v>5</v>
      </c>
      <c r="G869">
        <v>10</v>
      </c>
      <c r="H869">
        <v>10</v>
      </c>
      <c r="I869" t="s">
        <v>969</v>
      </c>
      <c r="J869" s="51">
        <v>41208</v>
      </c>
      <c r="K869" t="s">
        <v>27</v>
      </c>
      <c r="L869" t="s">
        <v>880</v>
      </c>
      <c r="M869">
        <v>3</v>
      </c>
      <c r="N869" t="str">
        <f>L869</f>
        <v>NAM\MB3488</v>
      </c>
      <c r="O869" s="51">
        <f>J869</f>
        <v>41208</v>
      </c>
      <c r="P869" s="51" t="e">
        <f>C869</f>
        <v>#VALUE!</v>
      </c>
      <c r="Q869" s="51" t="e">
        <f>E869</f>
        <v>#VALUE!</v>
      </c>
      <c r="R869" s="51"/>
      <c r="S869" s="51"/>
      <c r="T869" s="51"/>
      <c r="U869" s="51"/>
      <c r="V869" s="51"/>
      <c r="W869" s="51"/>
      <c r="X869" s="51"/>
      <c r="Y869" s="51"/>
      <c r="Z869" s="51"/>
      <c r="AA869" s="51"/>
      <c r="AB869" s="51"/>
      <c r="AC869" s="51"/>
      <c r="AD869" s="51"/>
      <c r="AG869" t="s">
        <v>979</v>
      </c>
      <c r="AH869" s="51"/>
      <c r="AI869" s="51"/>
    </row>
    <row r="870" spans="2:35">
      <c r="B870" t="s">
        <v>1053</v>
      </c>
      <c r="C870" t="s">
        <v>2859</v>
      </c>
      <c r="D870">
        <v>11</v>
      </c>
      <c r="E870" t="s">
        <v>2791</v>
      </c>
      <c r="F870">
        <v>5</v>
      </c>
      <c r="G870">
        <v>10</v>
      </c>
      <c r="H870">
        <v>10</v>
      </c>
      <c r="I870" t="s">
        <v>984</v>
      </c>
      <c r="J870" s="51">
        <v>41208</v>
      </c>
      <c r="K870" t="s">
        <v>27</v>
      </c>
      <c r="L870" t="s">
        <v>880</v>
      </c>
      <c r="M870">
        <v>3</v>
      </c>
      <c r="N870" t="str">
        <f>L870</f>
        <v>NAM\MB3488</v>
      </c>
      <c r="O870" s="51">
        <f>J870</f>
        <v>41208</v>
      </c>
      <c r="P870" s="51" t="str">
        <f>C870</f>
        <v>~/cdd/olddocs/Flow Chart/ITRON/BONDING/FC-BOND-008   002367-0121.pdf</v>
      </c>
      <c r="Q870" s="51" t="str">
        <f>E870</f>
        <v>pdf</v>
      </c>
      <c r="R870" s="51"/>
      <c r="S870" s="51"/>
      <c r="T870" s="51"/>
      <c r="U870" s="51"/>
      <c r="V870" s="51"/>
      <c r="W870" s="51"/>
      <c r="X870" s="51"/>
      <c r="Y870" s="51"/>
      <c r="Z870" s="51"/>
      <c r="AA870" s="51"/>
      <c r="AB870" s="51"/>
      <c r="AC870" s="51"/>
      <c r="AD870" s="51"/>
      <c r="AG870" t="s">
        <v>985</v>
      </c>
      <c r="AH870" s="51"/>
      <c r="AI870" s="51"/>
    </row>
    <row r="871" spans="2:35">
      <c r="B871" t="s">
        <v>1054</v>
      </c>
      <c r="C871" t="s">
        <v>2860</v>
      </c>
      <c r="D871">
        <v>11</v>
      </c>
      <c r="E871" t="s">
        <v>2791</v>
      </c>
      <c r="F871">
        <v>5</v>
      </c>
      <c r="G871">
        <v>10</v>
      </c>
      <c r="H871">
        <v>10</v>
      </c>
      <c r="I871" t="s">
        <v>987</v>
      </c>
      <c r="J871" s="51">
        <v>41208</v>
      </c>
      <c r="K871" t="s">
        <v>27</v>
      </c>
      <c r="L871" t="s">
        <v>880</v>
      </c>
      <c r="M871">
        <v>3</v>
      </c>
      <c r="N871" t="str">
        <f>L871</f>
        <v>NAM\MB3488</v>
      </c>
      <c r="O871" s="51">
        <f>J871</f>
        <v>41208</v>
      </c>
      <c r="P871" s="51" t="str">
        <f>C871</f>
        <v>~/cdd/olddocs/Flow Chart/ITRON/BONDING/FC-BOND-009  002368-0002, 002368-0003, 002368-0007 &amp; 002368-0018.pdf</v>
      </c>
      <c r="Q871" s="51" t="str">
        <f>E871</f>
        <v>pdf</v>
      </c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G871" t="s">
        <v>988</v>
      </c>
      <c r="AH871" s="51"/>
      <c r="AI871" s="51"/>
    </row>
    <row r="872" spans="2:35">
      <c r="B872" t="s">
        <v>1055</v>
      </c>
      <c r="C872" t="s">
        <v>2861</v>
      </c>
      <c r="D872">
        <v>11</v>
      </c>
      <c r="E872" t="s">
        <v>2791</v>
      </c>
      <c r="F872">
        <v>5</v>
      </c>
      <c r="G872">
        <v>10</v>
      </c>
      <c r="H872">
        <v>10</v>
      </c>
      <c r="I872" t="s">
        <v>990</v>
      </c>
      <c r="J872" s="51">
        <v>41208</v>
      </c>
      <c r="K872" t="s">
        <v>27</v>
      </c>
      <c r="L872" t="s">
        <v>880</v>
      </c>
      <c r="M872">
        <v>3</v>
      </c>
      <c r="N872" t="str">
        <f>L872</f>
        <v>NAM\MB3488</v>
      </c>
      <c r="O872" s="51">
        <f>J872</f>
        <v>41208</v>
      </c>
      <c r="P872" s="51" t="str">
        <f>C872</f>
        <v>~/cdd/olddocs/Flow Chart/ITRON/BONDING/FC-BOND-010    002368-0211A.pdf</v>
      </c>
      <c r="Q872" s="51" t="str">
        <f>E872</f>
        <v>pdf</v>
      </c>
      <c r="R872" s="51"/>
      <c r="S872" s="51"/>
      <c r="T872" s="51"/>
      <c r="U872" s="51"/>
      <c r="V872" s="51"/>
      <c r="W872" s="51"/>
      <c r="X872" s="51"/>
      <c r="Y872" s="51"/>
      <c r="Z872" s="51"/>
      <c r="AA872" s="51"/>
      <c r="AB872" s="51"/>
      <c r="AC872" s="51"/>
      <c r="AD872" s="51"/>
      <c r="AG872" t="s">
        <v>991</v>
      </c>
      <c r="AH872" s="51"/>
      <c r="AI872" s="51"/>
    </row>
    <row r="873" spans="2:35">
      <c r="B873" t="s">
        <v>1056</v>
      </c>
      <c r="C873" t="s">
        <v>2862</v>
      </c>
      <c r="D873">
        <v>11</v>
      </c>
      <c r="E873" t="s">
        <v>2791</v>
      </c>
      <c r="F873">
        <v>5</v>
      </c>
      <c r="G873">
        <v>10</v>
      </c>
      <c r="H873">
        <v>10</v>
      </c>
      <c r="I873" t="s">
        <v>1057</v>
      </c>
      <c r="J873" s="51">
        <v>41208</v>
      </c>
      <c r="K873" t="s">
        <v>27</v>
      </c>
      <c r="L873" t="s">
        <v>880</v>
      </c>
      <c r="M873">
        <v>3</v>
      </c>
      <c r="N873" t="str">
        <f>L873</f>
        <v>NAM\MB3488</v>
      </c>
      <c r="O873" s="51">
        <f>J873</f>
        <v>41208</v>
      </c>
      <c r="P873" s="51" t="str">
        <f>C873</f>
        <v>~/cdd/olddocs/Flow Chart/ITRON/BONDING/FC-BOND-011   002368-0221.pdf</v>
      </c>
      <c r="Q873" s="51" t="str">
        <f>E873</f>
        <v>pdf</v>
      </c>
      <c r="R873" s="51"/>
      <c r="S873" s="51"/>
      <c r="T873" s="51"/>
      <c r="U873" s="51"/>
      <c r="V873" s="51"/>
      <c r="W873" s="51"/>
      <c r="X873" s="51"/>
      <c r="Y873" s="51"/>
      <c r="Z873" s="51"/>
      <c r="AA873" s="51"/>
      <c r="AB873" s="51"/>
      <c r="AC873" s="51"/>
      <c r="AD873" s="51"/>
      <c r="AG873" t="s">
        <v>994</v>
      </c>
      <c r="AH873" s="51"/>
      <c r="AI873" s="51"/>
    </row>
    <row r="874" spans="2:35">
      <c r="B874" t="s">
        <v>1058</v>
      </c>
      <c r="C874" t="s">
        <v>2863</v>
      </c>
      <c r="D874">
        <v>11</v>
      </c>
      <c r="E874" t="s">
        <v>2791</v>
      </c>
      <c r="F874">
        <v>5</v>
      </c>
      <c r="G874">
        <v>10</v>
      </c>
      <c r="H874">
        <v>10</v>
      </c>
      <c r="I874" t="s">
        <v>1059</v>
      </c>
      <c r="J874" s="51">
        <v>41208</v>
      </c>
      <c r="K874" t="s">
        <v>27</v>
      </c>
      <c r="L874" t="s">
        <v>880</v>
      </c>
      <c r="M874">
        <v>3</v>
      </c>
      <c r="N874" t="str">
        <f>L874</f>
        <v>NAM\MB3488</v>
      </c>
      <c r="O874" s="51">
        <f>J874</f>
        <v>41208</v>
      </c>
      <c r="P874" s="51" t="str">
        <f>C874</f>
        <v>~/cdd/olddocs/Flow Chart/ITRON/BONDING/FC-BOND-012     002368-0221A.pdf</v>
      </c>
      <c r="Q874" s="51" t="str">
        <f>E874</f>
        <v>pdf</v>
      </c>
      <c r="R874" s="51"/>
      <c r="S874" s="51"/>
      <c r="T874" s="51"/>
      <c r="U874" s="51"/>
      <c r="V874" s="51"/>
      <c r="W874" s="51"/>
      <c r="X874" s="51"/>
      <c r="Y874" s="51"/>
      <c r="Z874" s="51"/>
      <c r="AA874" s="51"/>
      <c r="AB874" s="51"/>
      <c r="AC874" s="51"/>
      <c r="AD874" s="51"/>
      <c r="AG874" t="s">
        <v>997</v>
      </c>
      <c r="AH874" s="51"/>
      <c r="AI874" s="51"/>
    </row>
    <row r="875" spans="2:35">
      <c r="B875" t="s">
        <v>1060</v>
      </c>
      <c r="C875" t="s">
        <v>2864</v>
      </c>
      <c r="D875">
        <v>11</v>
      </c>
      <c r="E875" t="s">
        <v>2791</v>
      </c>
      <c r="F875">
        <v>5</v>
      </c>
      <c r="G875">
        <v>10</v>
      </c>
      <c r="H875">
        <v>10</v>
      </c>
      <c r="I875" t="s">
        <v>999</v>
      </c>
      <c r="J875" s="51">
        <v>41208</v>
      </c>
      <c r="K875" t="s">
        <v>27</v>
      </c>
      <c r="L875" t="s">
        <v>880</v>
      </c>
      <c r="M875">
        <v>3</v>
      </c>
      <c r="N875" t="str">
        <f>L875</f>
        <v>NAM\MB3488</v>
      </c>
      <c r="O875" s="51">
        <f>J875</f>
        <v>41208</v>
      </c>
      <c r="P875" s="51" t="str">
        <f>C875</f>
        <v>~/cdd/olddocs/Flow Chart/ITRON/BONDING/FC-BOND-013    002368-0802.pdf</v>
      </c>
      <c r="Q875" s="51" t="str">
        <f>E875</f>
        <v>pdf</v>
      </c>
      <c r="R875" s="51"/>
      <c r="S875" s="51"/>
      <c r="T875" s="51"/>
      <c r="U875" s="51"/>
      <c r="V875" s="51"/>
      <c r="W875" s="51"/>
      <c r="X875" s="51"/>
      <c r="Y875" s="51"/>
      <c r="Z875" s="51"/>
      <c r="AA875" s="51"/>
      <c r="AB875" s="51"/>
      <c r="AC875" s="51"/>
      <c r="AD875" s="51"/>
      <c r="AG875" t="s">
        <v>1000</v>
      </c>
      <c r="AH875" s="51"/>
      <c r="AI875" s="51"/>
    </row>
    <row r="876" spans="2:35">
      <c r="B876" t="s">
        <v>1061</v>
      </c>
      <c r="C876" t="s">
        <v>2865</v>
      </c>
      <c r="D876">
        <v>11</v>
      </c>
      <c r="E876" t="s">
        <v>2791</v>
      </c>
      <c r="F876">
        <v>5</v>
      </c>
      <c r="G876">
        <v>10</v>
      </c>
      <c r="H876">
        <v>10</v>
      </c>
      <c r="I876" t="s">
        <v>1062</v>
      </c>
      <c r="J876" s="51">
        <v>41208</v>
      </c>
      <c r="K876" t="s">
        <v>27</v>
      </c>
      <c r="L876" t="s">
        <v>880</v>
      </c>
      <c r="M876">
        <v>3</v>
      </c>
      <c r="N876" t="str">
        <f>L876</f>
        <v>NAM\MB3488</v>
      </c>
      <c r="O876" s="51">
        <f>J876</f>
        <v>41208</v>
      </c>
      <c r="P876" s="51" t="str">
        <f>C876</f>
        <v>~/cdd/olddocs/Flow Chart/ITRON/BONDING/FC-BOND-014   002368-XXXX.pdf</v>
      </c>
      <c r="Q876" s="51" t="str">
        <f>E876</f>
        <v>pdf</v>
      </c>
      <c r="R876" s="51"/>
      <c r="S876" s="51"/>
      <c r="T876" s="51"/>
      <c r="U876" s="51"/>
      <c r="V876" s="51"/>
      <c r="W876" s="51"/>
      <c r="X876" s="51"/>
      <c r="Y876" s="51"/>
      <c r="Z876" s="51"/>
      <c r="AA876" s="51"/>
      <c r="AB876" s="51"/>
      <c r="AC876" s="51"/>
      <c r="AD876" s="51"/>
      <c r="AG876" t="s">
        <v>1063</v>
      </c>
      <c r="AH876" s="51"/>
      <c r="AI876" s="51"/>
    </row>
    <row r="877" spans="2:35">
      <c r="B877" t="s">
        <v>1064</v>
      </c>
      <c r="C877" t="s">
        <v>2866</v>
      </c>
      <c r="D877">
        <v>11</v>
      </c>
      <c r="E877" t="s">
        <v>2791</v>
      </c>
      <c r="F877">
        <v>5</v>
      </c>
      <c r="G877">
        <v>10</v>
      </c>
      <c r="H877">
        <v>10</v>
      </c>
      <c r="I877" t="s">
        <v>1002</v>
      </c>
      <c r="J877" s="51">
        <v>41208</v>
      </c>
      <c r="K877" t="s">
        <v>27</v>
      </c>
      <c r="L877" t="s">
        <v>880</v>
      </c>
      <c r="M877">
        <v>3</v>
      </c>
      <c r="N877" t="str">
        <f>L877</f>
        <v>NAM\MB3488</v>
      </c>
      <c r="O877" s="51">
        <f>J877</f>
        <v>41208</v>
      </c>
      <c r="P877" s="51" t="str">
        <f>C877</f>
        <v>~/cdd/olddocs/Flow Chart/ITRON/BONDING/FC-BOND-015   002369-0001.pdf</v>
      </c>
      <c r="Q877" s="51" t="str">
        <f>E877</f>
        <v>pdf</v>
      </c>
      <c r="R877" s="51"/>
      <c r="S877" s="51"/>
      <c r="T877" s="51"/>
      <c r="U877" s="51"/>
      <c r="V877" s="51"/>
      <c r="W877" s="51"/>
      <c r="X877" s="51"/>
      <c r="Y877" s="51"/>
      <c r="Z877" s="51"/>
      <c r="AA877" s="51"/>
      <c r="AB877" s="51"/>
      <c r="AC877" s="51"/>
      <c r="AD877" s="51"/>
      <c r="AG877" t="s">
        <v>1003</v>
      </c>
      <c r="AH877" s="51"/>
      <c r="AI877" s="51"/>
    </row>
    <row r="878" spans="2:35">
      <c r="B878" t="s">
        <v>1065</v>
      </c>
      <c r="C878" t="s">
        <v>2867</v>
      </c>
      <c r="D878">
        <v>11</v>
      </c>
      <c r="E878" t="s">
        <v>2791</v>
      </c>
      <c r="F878">
        <v>5</v>
      </c>
      <c r="G878">
        <v>10</v>
      </c>
      <c r="H878">
        <v>10</v>
      </c>
      <c r="I878" t="s">
        <v>1010</v>
      </c>
      <c r="J878" s="51">
        <v>41208</v>
      </c>
      <c r="K878" t="s">
        <v>27</v>
      </c>
      <c r="L878" t="s">
        <v>880</v>
      </c>
      <c r="M878">
        <v>3</v>
      </c>
      <c r="N878" t="str">
        <f>L878</f>
        <v>NAM\MB3488</v>
      </c>
      <c r="O878" s="51">
        <f>J878</f>
        <v>41208</v>
      </c>
      <c r="P878" s="51" t="str">
        <f>C878</f>
        <v>~/cdd/olddocs/Flow Chart/ITRON/BONDING/FC-BOND-016    002378-0001.pdf</v>
      </c>
      <c r="Q878" s="51" t="str">
        <f>E878</f>
        <v>pdf</v>
      </c>
      <c r="R878" s="51"/>
      <c r="S878" s="51"/>
      <c r="T878" s="51"/>
      <c r="U878" s="51"/>
      <c r="V878" s="51"/>
      <c r="W878" s="51"/>
      <c r="X878" s="51"/>
      <c r="Y878" s="51"/>
      <c r="Z878" s="51"/>
      <c r="AA878" s="51"/>
      <c r="AB878" s="51"/>
      <c r="AC878" s="51"/>
      <c r="AD878" s="51"/>
      <c r="AG878" t="s">
        <v>1011</v>
      </c>
      <c r="AH878" s="51"/>
      <c r="AI878" s="51"/>
    </row>
    <row r="879" spans="2:35">
      <c r="B879" t="s">
        <v>1066</v>
      </c>
      <c r="C879" t="s">
        <v>2868</v>
      </c>
      <c r="D879">
        <v>11</v>
      </c>
      <c r="E879" t="s">
        <v>2791</v>
      </c>
      <c r="F879">
        <v>5</v>
      </c>
      <c r="G879">
        <v>10</v>
      </c>
      <c r="H879">
        <v>10</v>
      </c>
      <c r="I879" t="s">
        <v>1013</v>
      </c>
      <c r="J879" s="51">
        <v>41208</v>
      </c>
      <c r="K879" t="s">
        <v>27</v>
      </c>
      <c r="L879" t="s">
        <v>880</v>
      </c>
      <c r="M879">
        <v>3</v>
      </c>
      <c r="N879" t="str">
        <f>L879</f>
        <v>NAM\MB3488</v>
      </c>
      <c r="O879" s="51">
        <f>J879</f>
        <v>41208</v>
      </c>
      <c r="P879" s="51" t="str">
        <f>C879</f>
        <v>~/cdd/olddocs/Flow Chart/ITRON/BONDING/FC-BOND-017    T002379-0001.pdf</v>
      </c>
      <c r="Q879" s="51" t="str">
        <f>E879</f>
        <v>pdf</v>
      </c>
      <c r="R879" s="51"/>
      <c r="S879" s="51"/>
      <c r="T879" s="51"/>
      <c r="U879" s="51"/>
      <c r="V879" s="51"/>
      <c r="W879" s="51"/>
      <c r="X879" s="51"/>
      <c r="Y879" s="51"/>
      <c r="Z879" s="51"/>
      <c r="AA879" s="51"/>
      <c r="AB879" s="51"/>
      <c r="AC879" s="51"/>
      <c r="AD879" s="51"/>
      <c r="AG879" t="s">
        <v>1014</v>
      </c>
      <c r="AH879" s="51"/>
      <c r="AI879" s="51"/>
    </row>
    <row r="880" spans="2:35">
      <c r="B880" t="s">
        <v>1067</v>
      </c>
      <c r="C880" t="s">
        <v>2869</v>
      </c>
      <c r="D880">
        <v>11</v>
      </c>
      <c r="E880" t="s">
        <v>2791</v>
      </c>
      <c r="F880">
        <v>5</v>
      </c>
      <c r="G880">
        <v>10</v>
      </c>
      <c r="H880">
        <v>10</v>
      </c>
      <c r="I880" t="s">
        <v>1068</v>
      </c>
      <c r="J880" s="51">
        <v>41208</v>
      </c>
      <c r="K880" t="s">
        <v>27</v>
      </c>
      <c r="L880" t="s">
        <v>880</v>
      </c>
      <c r="M880">
        <v>3</v>
      </c>
      <c r="N880" t="str">
        <f>L880</f>
        <v>NAM\MB3488</v>
      </c>
      <c r="O880" s="51">
        <f>J880</f>
        <v>41208</v>
      </c>
      <c r="P880" s="51" t="str">
        <f>C880</f>
        <v>~/cdd/olddocs/Flow Chart/ITRON/BONDING/FC-BOND-018    002501-0001 y 002505-0001.pdf</v>
      </c>
      <c r="Q880" s="51" t="str">
        <f>E880</f>
        <v>pdf</v>
      </c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G880" t="s">
        <v>1069</v>
      </c>
      <c r="AH880" s="51"/>
      <c r="AI880" s="51"/>
    </row>
    <row r="881" spans="2:35">
      <c r="B881" t="s">
        <v>1070</v>
      </c>
      <c r="C881" t="s">
        <v>2870</v>
      </c>
      <c r="D881">
        <v>11</v>
      </c>
      <c r="E881" t="s">
        <v>2791</v>
      </c>
      <c r="F881">
        <v>5</v>
      </c>
      <c r="G881">
        <v>10</v>
      </c>
      <c r="H881">
        <v>10</v>
      </c>
      <c r="I881" t="s">
        <v>1019</v>
      </c>
      <c r="J881" s="51">
        <v>41208</v>
      </c>
      <c r="K881" t="s">
        <v>27</v>
      </c>
      <c r="L881" t="s">
        <v>880</v>
      </c>
      <c r="M881">
        <v>3</v>
      </c>
      <c r="N881" t="str">
        <f>L881</f>
        <v>NAM\MB3488</v>
      </c>
      <c r="O881" s="51">
        <f>J881</f>
        <v>41208</v>
      </c>
      <c r="P881" s="51" t="str">
        <f>C881</f>
        <v>~/cdd/olddocs/Flow Chart/ITRON/BONDING/FC-BOND-019    002600-000X &amp; 002601-000X.pdf</v>
      </c>
      <c r="Q881" s="51" t="str">
        <f>E881</f>
        <v>pdf</v>
      </c>
      <c r="R881" s="51"/>
      <c r="S881" s="51"/>
      <c r="T881" s="51"/>
      <c r="U881" s="51"/>
      <c r="V881" s="51"/>
      <c r="W881" s="51"/>
      <c r="X881" s="51"/>
      <c r="Y881" s="51"/>
      <c r="Z881" s="51"/>
      <c r="AA881" s="51"/>
      <c r="AB881" s="51"/>
      <c r="AC881" s="51"/>
      <c r="AD881" s="51"/>
      <c r="AG881" t="s">
        <v>1020</v>
      </c>
      <c r="AH881" s="51"/>
      <c r="AI881" s="51"/>
    </row>
    <row r="882" spans="2:35">
      <c r="B882" t="s">
        <v>1071</v>
      </c>
      <c r="C882" t="s">
        <v>2871</v>
      </c>
      <c r="D882">
        <v>11</v>
      </c>
      <c r="E882" t="s">
        <v>2791</v>
      </c>
      <c r="F882">
        <v>5</v>
      </c>
      <c r="G882">
        <v>10</v>
      </c>
      <c r="H882">
        <v>10</v>
      </c>
      <c r="I882" t="s">
        <v>1022</v>
      </c>
      <c r="J882" s="51">
        <v>41208</v>
      </c>
      <c r="K882" t="s">
        <v>27</v>
      </c>
      <c r="L882" t="s">
        <v>880</v>
      </c>
      <c r="M882">
        <v>3</v>
      </c>
      <c r="N882" t="str">
        <f>L882</f>
        <v>NAM\MB3488</v>
      </c>
      <c r="O882" s="51">
        <f>J882</f>
        <v>41208</v>
      </c>
      <c r="P882" s="51" t="str">
        <f>C882</f>
        <v>~/cdd/olddocs/Flow Chart/ITRON/BONDING/FC-BOND-020     002701-0001 al 0010.pdf</v>
      </c>
      <c r="Q882" s="51" t="str">
        <f>E882</f>
        <v>pdf</v>
      </c>
      <c r="R882" s="51"/>
      <c r="S882" s="51"/>
      <c r="T882" s="51"/>
      <c r="U882" s="51"/>
      <c r="V882" s="51"/>
      <c r="W882" s="51"/>
      <c r="X882" s="51"/>
      <c r="Y882" s="51"/>
      <c r="Z882" s="51"/>
      <c r="AA882" s="51"/>
      <c r="AB882" s="51"/>
      <c r="AC882" s="51"/>
      <c r="AD882" s="51"/>
      <c r="AG882" t="s">
        <v>1072</v>
      </c>
      <c r="AH882" s="51"/>
      <c r="AI882" s="51"/>
    </row>
    <row r="883" spans="2:35">
      <c r="B883" t="s">
        <v>1073</v>
      </c>
      <c r="C883" t="s">
        <v>2872</v>
      </c>
      <c r="D883">
        <v>11</v>
      </c>
      <c r="E883" t="s">
        <v>2791</v>
      </c>
      <c r="F883">
        <v>5</v>
      </c>
      <c r="G883">
        <v>10</v>
      </c>
      <c r="H883">
        <v>10</v>
      </c>
      <c r="I883" t="s">
        <v>1074</v>
      </c>
      <c r="J883" s="51">
        <v>41208</v>
      </c>
      <c r="K883" t="s">
        <v>27</v>
      </c>
      <c r="L883" t="s">
        <v>880</v>
      </c>
      <c r="M883">
        <v>3</v>
      </c>
      <c r="N883" t="str">
        <f>L883</f>
        <v>NAM\MB3488</v>
      </c>
      <c r="O883" s="51">
        <f>J883</f>
        <v>41208</v>
      </c>
      <c r="P883" s="51" t="str">
        <f>C883</f>
        <v>~/cdd/olddocs/Flow Chart/ITRON/BONDING/FC-BOND-021      003004-0001.pdf</v>
      </c>
      <c r="Q883" s="51" t="str">
        <f>E883</f>
        <v>pdf</v>
      </c>
      <c r="R883" s="51"/>
      <c r="S883" s="51"/>
      <c r="T883" s="51"/>
      <c r="U883" s="51"/>
      <c r="V883" s="51"/>
      <c r="W883" s="51"/>
      <c r="X883" s="51"/>
      <c r="Y883" s="51"/>
      <c r="Z883" s="51"/>
      <c r="AA883" s="51"/>
      <c r="AB883" s="51"/>
      <c r="AC883" s="51"/>
      <c r="AD883" s="51"/>
      <c r="AG883" t="s">
        <v>1026</v>
      </c>
      <c r="AH883" s="51"/>
      <c r="AI883" s="51"/>
    </row>
    <row r="884" spans="2:35">
      <c r="B884" t="s">
        <v>1075</v>
      </c>
      <c r="C884" t="s">
        <v>2873</v>
      </c>
      <c r="D884">
        <v>11</v>
      </c>
      <c r="E884" t="s">
        <v>2791</v>
      </c>
      <c r="F884">
        <v>5</v>
      </c>
      <c r="G884">
        <v>10</v>
      </c>
      <c r="H884">
        <v>10</v>
      </c>
      <c r="I884" t="s">
        <v>1028</v>
      </c>
      <c r="J884" s="51">
        <v>41208</v>
      </c>
      <c r="K884" t="s">
        <v>27</v>
      </c>
      <c r="L884" t="s">
        <v>880</v>
      </c>
      <c r="M884">
        <v>3</v>
      </c>
      <c r="N884" t="str">
        <f>L884</f>
        <v>NAM\MB3488</v>
      </c>
      <c r="O884" s="51">
        <f>J884</f>
        <v>41208</v>
      </c>
      <c r="P884" s="51" t="str">
        <f>C884</f>
        <v>~/cdd/olddocs/Flow Chart/ITRON/BONDING/FC-BOND-022    003094-0001.pdf</v>
      </c>
      <c r="Q884" s="51" t="str">
        <f>E884</f>
        <v>pdf</v>
      </c>
      <c r="R884" s="51"/>
      <c r="S884" s="51"/>
      <c r="T884" s="51"/>
      <c r="U884" s="51"/>
      <c r="V884" s="51"/>
      <c r="W884" s="51"/>
      <c r="X884" s="51"/>
      <c r="Y884" s="51"/>
      <c r="Z884" s="51"/>
      <c r="AA884" s="51"/>
      <c r="AB884" s="51"/>
      <c r="AC884" s="51"/>
      <c r="AD884" s="51"/>
      <c r="AG884" t="s">
        <v>1029</v>
      </c>
      <c r="AH884" s="51"/>
      <c r="AI884" s="51"/>
    </row>
    <row r="885" spans="2:35">
      <c r="B885" t="s">
        <v>1076</v>
      </c>
      <c r="C885" t="s">
        <v>2874</v>
      </c>
      <c r="D885">
        <v>11</v>
      </c>
      <c r="E885" t="s">
        <v>2791</v>
      </c>
      <c r="F885">
        <v>5</v>
      </c>
      <c r="G885">
        <v>10</v>
      </c>
      <c r="H885">
        <v>10</v>
      </c>
      <c r="I885" t="s">
        <v>1077</v>
      </c>
      <c r="J885" s="51">
        <v>41208</v>
      </c>
      <c r="K885" t="s">
        <v>27</v>
      </c>
      <c r="L885" t="s">
        <v>880</v>
      </c>
      <c r="M885">
        <v>3</v>
      </c>
      <c r="N885" t="str">
        <f>L885</f>
        <v>NAM\MB3488</v>
      </c>
      <c r="O885" s="51">
        <f>J885</f>
        <v>41208</v>
      </c>
      <c r="P885" s="51" t="str">
        <f>C885</f>
        <v>~/cdd/olddocs/Flow Chart/ITRON/BONDING/FC-BOND-023  Rev. A   BACC65AKXXXP &amp; BACC65AJXXXS.pdf</v>
      </c>
      <c r="Q885" s="51" t="str">
        <f>E885</f>
        <v>pdf</v>
      </c>
      <c r="R885" s="51"/>
      <c r="S885" s="51"/>
      <c r="T885" s="51"/>
      <c r="U885" s="51"/>
      <c r="V885" s="51"/>
      <c r="W885" s="51"/>
      <c r="X885" s="51"/>
      <c r="Y885" s="51"/>
      <c r="Z885" s="51"/>
      <c r="AA885" s="51"/>
      <c r="AB885" s="51"/>
      <c r="AC885" s="51"/>
      <c r="AD885" s="51"/>
      <c r="AG885" t="s">
        <v>1078</v>
      </c>
      <c r="AH885" s="51"/>
      <c r="AI885" s="51"/>
    </row>
    <row r="886" spans="2:35">
      <c r="B886" t="s">
        <v>1079</v>
      </c>
      <c r="C886" t="s">
        <v>2875</v>
      </c>
      <c r="D886">
        <v>11</v>
      </c>
      <c r="E886" t="s">
        <v>2791</v>
      </c>
      <c r="F886">
        <v>5</v>
      </c>
      <c r="G886">
        <v>10</v>
      </c>
      <c r="H886">
        <v>10</v>
      </c>
      <c r="I886" t="s">
        <v>1077</v>
      </c>
      <c r="J886" s="51">
        <v>41208</v>
      </c>
      <c r="K886" t="s">
        <v>27</v>
      </c>
      <c r="L886" t="s">
        <v>880</v>
      </c>
      <c r="M886">
        <v>3</v>
      </c>
      <c r="N886" t="str">
        <f>L886</f>
        <v>NAM\MB3488</v>
      </c>
      <c r="O886" s="51">
        <f>J886</f>
        <v>41208</v>
      </c>
      <c r="P886" s="51" t="str">
        <f>C886</f>
        <v>~/cdd/olddocs/Flow Chart/ITRON/BONDING/FC-BOND-024  BACC65ALXXXS.pdf</v>
      </c>
      <c r="Q886" s="51" t="str">
        <f>E886</f>
        <v>pdf</v>
      </c>
      <c r="R886" s="51"/>
      <c r="S886" s="51"/>
      <c r="T886" s="51"/>
      <c r="U886" s="51"/>
      <c r="V886" s="51"/>
      <c r="W886" s="51"/>
      <c r="X886" s="51"/>
      <c r="Y886" s="51"/>
      <c r="Z886" s="51"/>
      <c r="AA886" s="51"/>
      <c r="AB886" s="51"/>
      <c r="AC886" s="51"/>
      <c r="AD886" s="51"/>
      <c r="AG886" t="s">
        <v>1080</v>
      </c>
      <c r="AH886" s="51"/>
      <c r="AI886" s="51"/>
    </row>
    <row r="887" spans="2:35">
      <c r="B887" t="s">
        <v>1081</v>
      </c>
      <c r="C887" t="s">
        <v>2876</v>
      </c>
      <c r="D887">
        <v>11</v>
      </c>
      <c r="E887" t="s">
        <v>2791</v>
      </c>
      <c r="F887">
        <v>5</v>
      </c>
      <c r="G887">
        <v>10</v>
      </c>
      <c r="H887">
        <v>10</v>
      </c>
      <c r="I887" t="s">
        <v>1082</v>
      </c>
      <c r="J887" s="51">
        <v>41208</v>
      </c>
      <c r="K887" t="s">
        <v>27</v>
      </c>
      <c r="L887" t="s">
        <v>880</v>
      </c>
      <c r="M887">
        <v>3</v>
      </c>
      <c r="N887" t="str">
        <f>L887</f>
        <v>NAM\MB3488</v>
      </c>
      <c r="O887" s="51">
        <f>J887</f>
        <v>41208</v>
      </c>
      <c r="P887" s="51" t="str">
        <f>C887</f>
        <v>~/cdd/olddocs/Flow Chart/ITRON/BONDING/FC-BOND-025   BACS16W, BACS16X, VB10-1UWC11 &amp; VB10-1PWC11.pdf</v>
      </c>
      <c r="Q887" s="51" t="str">
        <f>E887</f>
        <v>pdf</v>
      </c>
      <c r="R887" s="51"/>
      <c r="S887" s="51"/>
      <c r="T887" s="51"/>
      <c r="U887" s="51"/>
      <c r="V887" s="51"/>
      <c r="W887" s="51"/>
      <c r="X887" s="51"/>
      <c r="Y887" s="51"/>
      <c r="Z887" s="51"/>
      <c r="AA887" s="51"/>
      <c r="AB887" s="51"/>
      <c r="AC887" s="51"/>
      <c r="AD887" s="51"/>
      <c r="AG887" t="s">
        <v>1039</v>
      </c>
      <c r="AH887" s="51"/>
      <c r="AI887" s="51"/>
    </row>
    <row r="888" spans="2:35">
      <c r="B888" t="s">
        <v>1083</v>
      </c>
      <c r="C888" t="s">
        <v>3851</v>
      </c>
      <c r="D888">
        <v>11</v>
      </c>
      <c r="E888" t="s">
        <v>2791</v>
      </c>
      <c r="F888">
        <v>5</v>
      </c>
      <c r="G888">
        <v>10</v>
      </c>
      <c r="H888">
        <v>10</v>
      </c>
      <c r="I888" t="s">
        <v>1048</v>
      </c>
      <c r="J888" s="51">
        <v>41208</v>
      </c>
      <c r="K888" t="s">
        <v>27</v>
      </c>
      <c r="L888" t="s">
        <v>880</v>
      </c>
      <c r="M888">
        <v>3</v>
      </c>
      <c r="N888" t="str">
        <f>L888</f>
        <v>NAM\MB3488</v>
      </c>
      <c r="O888" s="51">
        <f>J888</f>
        <v>41208</v>
      </c>
      <c r="P888" s="51" t="str">
        <f>C888</f>
        <v>~cdd/olddocs/Flow Chart/ITRON/BONDING/FC-BOND-026   BACT44E1S.pdf</v>
      </c>
      <c r="Q888" s="51" t="str">
        <f>E888</f>
        <v>pdf</v>
      </c>
      <c r="R888" s="51"/>
      <c r="S888" s="51"/>
      <c r="T888" s="51"/>
      <c r="U888" s="51"/>
      <c r="V888" s="51"/>
      <c r="W888" s="51"/>
      <c r="X888" s="51"/>
      <c r="Y888" s="51"/>
      <c r="Z888" s="51"/>
      <c r="AA888" s="51"/>
      <c r="AB888" s="51"/>
      <c r="AC888" s="51"/>
      <c r="AD888" s="51"/>
      <c r="AG888" t="s">
        <v>1041</v>
      </c>
      <c r="AH888" s="51"/>
      <c r="AI888" s="51"/>
    </row>
    <row r="889" spans="2:35">
      <c r="B889" t="s">
        <v>1309</v>
      </c>
      <c r="C889" t="s">
        <v>3853</v>
      </c>
      <c r="D889">
        <v>11</v>
      </c>
      <c r="E889" t="s">
        <v>2791</v>
      </c>
      <c r="F889">
        <v>5</v>
      </c>
      <c r="G889">
        <v>12</v>
      </c>
      <c r="H889">
        <v>4</v>
      </c>
      <c r="I889" t="s">
        <v>1263</v>
      </c>
      <c r="J889" s="51">
        <v>41185</v>
      </c>
      <c r="K889" t="s">
        <v>27</v>
      </c>
      <c r="L889" t="s">
        <v>1253</v>
      </c>
      <c r="M889">
        <v>3</v>
      </c>
      <c r="N889" t="str">
        <f>L889</f>
        <v>NAM\MB3505</v>
      </c>
      <c r="O889" s="51">
        <f>J889</f>
        <v>41185</v>
      </c>
      <c r="P889" s="51" t="str">
        <f>C889</f>
        <v>~cdd/olddocs/Flow Chart/MICROMINI/CHANGE-OUT/FC-CHGO-001 CX865237AN.pdf</v>
      </c>
      <c r="Q889" s="51" t="str">
        <f>E889</f>
        <v>pdf</v>
      </c>
      <c r="R889" s="51"/>
      <c r="S889" s="51"/>
      <c r="T889" s="51"/>
      <c r="U889" s="51"/>
      <c r="V889" s="51"/>
      <c r="W889" s="51"/>
      <c r="X889" s="51"/>
      <c r="Y889" s="51"/>
      <c r="Z889" s="51"/>
      <c r="AA889" s="51"/>
      <c r="AB889" s="51"/>
      <c r="AC889" s="51"/>
      <c r="AD889" s="51"/>
      <c r="AG889" t="s">
        <v>1264</v>
      </c>
      <c r="AH889" s="51"/>
      <c r="AI889" s="51"/>
    </row>
    <row r="890" spans="2:35">
      <c r="B890" t="s">
        <v>1310</v>
      </c>
      <c r="C890" t="s">
        <v>2877</v>
      </c>
      <c r="D890">
        <v>11</v>
      </c>
      <c r="E890" t="s">
        <v>2791</v>
      </c>
      <c r="F890">
        <v>5</v>
      </c>
      <c r="G890">
        <v>12</v>
      </c>
      <c r="H890">
        <v>4</v>
      </c>
      <c r="I890" t="s">
        <v>1311</v>
      </c>
      <c r="J890" s="51">
        <v>41186</v>
      </c>
      <c r="K890" t="s">
        <v>27</v>
      </c>
      <c r="L890" t="s">
        <v>1253</v>
      </c>
      <c r="M890">
        <v>3</v>
      </c>
      <c r="N890" t="str">
        <f>L890</f>
        <v>NAM\MB3505</v>
      </c>
      <c r="O890" s="51">
        <f>J890</f>
        <v>41186</v>
      </c>
      <c r="P890" s="51" t="str">
        <f>C890</f>
        <v>~/cdd/olddocs/Flow Chart/MICROMINI/CHANGE-OUT/FC-CHGO-002  CX8653312P.pdf</v>
      </c>
      <c r="Q890" s="51" t="str">
        <f>E890</f>
        <v>pdf</v>
      </c>
      <c r="R890" s="51"/>
      <c r="S890" s="51"/>
      <c r="T890" s="51"/>
      <c r="U890" s="51"/>
      <c r="V890" s="51"/>
      <c r="W890" s="51"/>
      <c r="X890" s="51"/>
      <c r="Y890" s="51"/>
      <c r="Z890" s="51"/>
      <c r="AA890" s="51"/>
      <c r="AB890" s="51"/>
      <c r="AC890" s="51"/>
      <c r="AD890" s="51"/>
      <c r="AG890" t="s">
        <v>1267</v>
      </c>
      <c r="AH890" s="51"/>
      <c r="AI890" s="51"/>
    </row>
    <row r="891" spans="2:35">
      <c r="B891" t="s">
        <v>1312</v>
      </c>
      <c r="C891" t="s">
        <v>2878</v>
      </c>
      <c r="D891">
        <v>11</v>
      </c>
      <c r="E891" t="s">
        <v>2791</v>
      </c>
      <c r="F891">
        <v>5</v>
      </c>
      <c r="G891">
        <v>12</v>
      </c>
      <c r="H891">
        <v>4</v>
      </c>
      <c r="I891" t="s">
        <v>1285</v>
      </c>
      <c r="J891" s="51">
        <v>41186</v>
      </c>
      <c r="K891" t="s">
        <v>27</v>
      </c>
      <c r="L891" t="s">
        <v>1253</v>
      </c>
      <c r="M891">
        <v>3</v>
      </c>
      <c r="N891" t="str">
        <f>L891</f>
        <v>NAM\MB3505</v>
      </c>
      <c r="O891" s="51">
        <f>J891</f>
        <v>41186</v>
      </c>
      <c r="P891" s="51" t="str">
        <f>C891</f>
        <v>~/cdd/olddocs/Flow Chart/MICROMINI/CHANGE-OUT/FC-CHGO-003  CX8653316P.pdf</v>
      </c>
      <c r="Q891" s="51" t="str">
        <f>E891</f>
        <v>pdf</v>
      </c>
      <c r="R891" s="51"/>
      <c r="S891" s="51"/>
      <c r="T891" s="51"/>
      <c r="U891" s="51"/>
      <c r="V891" s="51"/>
      <c r="W891" s="51"/>
      <c r="X891" s="51"/>
      <c r="Y891" s="51"/>
      <c r="Z891" s="51"/>
      <c r="AA891" s="51"/>
      <c r="AB891" s="51"/>
      <c r="AC891" s="51"/>
      <c r="AD891" s="51"/>
      <c r="AG891" t="s">
        <v>1269</v>
      </c>
      <c r="AH891" s="51"/>
      <c r="AI891" s="51"/>
    </row>
    <row r="892" spans="2:35">
      <c r="B892" t="s">
        <v>1313</v>
      </c>
      <c r="C892" t="s">
        <v>2879</v>
      </c>
      <c r="D892">
        <v>11</v>
      </c>
      <c r="E892" t="s">
        <v>2791</v>
      </c>
      <c r="F892">
        <v>5</v>
      </c>
      <c r="G892">
        <v>12</v>
      </c>
      <c r="H892">
        <v>4</v>
      </c>
      <c r="I892" t="s">
        <v>1311</v>
      </c>
      <c r="J892" s="51">
        <v>41186</v>
      </c>
      <c r="K892" t="s">
        <v>27</v>
      </c>
      <c r="L892" t="s">
        <v>1253</v>
      </c>
      <c r="M892">
        <v>3</v>
      </c>
      <c r="N892" t="str">
        <f>L892</f>
        <v>NAM\MB3505</v>
      </c>
      <c r="O892" s="51">
        <f>J892</f>
        <v>41186</v>
      </c>
      <c r="P892" s="51" t="str">
        <f>C892</f>
        <v>~/cdd/olddocs/Flow Chart/MICROMINI/CHANGE-OUT/FC-CHGO-004  CX8653330P.pdf</v>
      </c>
      <c r="Q892" s="51" t="str">
        <f>E892</f>
        <v>pdf</v>
      </c>
      <c r="R892" s="51"/>
      <c r="S892" s="51"/>
      <c r="T892" s="51"/>
      <c r="U892" s="51"/>
      <c r="V892" s="51"/>
      <c r="W892" s="51"/>
      <c r="X892" s="51"/>
      <c r="Y892" s="51"/>
      <c r="Z892" s="51"/>
      <c r="AA892" s="51"/>
      <c r="AB892" s="51"/>
      <c r="AC892" s="51"/>
      <c r="AD892" s="51"/>
      <c r="AG892" t="s">
        <v>1271</v>
      </c>
      <c r="AH892" s="51"/>
      <c r="AI892" s="51"/>
    </row>
    <row r="893" spans="2:35">
      <c r="B893" t="s">
        <v>1314</v>
      </c>
      <c r="C893" t="s">
        <v>2880</v>
      </c>
      <c r="D893">
        <v>11</v>
      </c>
      <c r="E893" t="s">
        <v>2791</v>
      </c>
      <c r="F893">
        <v>5</v>
      </c>
      <c r="G893">
        <v>12</v>
      </c>
      <c r="H893">
        <v>4</v>
      </c>
      <c r="I893" t="s">
        <v>1273</v>
      </c>
      <c r="J893" s="51">
        <v>41186</v>
      </c>
      <c r="K893" t="s">
        <v>27</v>
      </c>
      <c r="L893" t="s">
        <v>1253</v>
      </c>
      <c r="M893">
        <v>3</v>
      </c>
      <c r="N893" t="str">
        <f>L893</f>
        <v>NAM\MB3505</v>
      </c>
      <c r="O893" s="51">
        <f>J893</f>
        <v>41186</v>
      </c>
      <c r="P893" s="51" t="str">
        <f>C893</f>
        <v>~/cdd/olddocs/Flow Chart/MICROMINI/CHANGE-OUT/FC-CHGO-005  CX8653346P.pdf</v>
      </c>
      <c r="Q893" s="51" t="str">
        <f>E893</f>
        <v>pdf</v>
      </c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G893" t="s">
        <v>1274</v>
      </c>
      <c r="AH893" s="51"/>
      <c r="AI893" s="51"/>
    </row>
    <row r="894" spans="2:35">
      <c r="B894" t="s">
        <v>1315</v>
      </c>
      <c r="C894" t="s">
        <v>2881</v>
      </c>
      <c r="D894">
        <v>11</v>
      </c>
      <c r="E894" t="s">
        <v>2791</v>
      </c>
      <c r="F894">
        <v>5</v>
      </c>
      <c r="G894">
        <v>12</v>
      </c>
      <c r="H894">
        <v>4</v>
      </c>
      <c r="I894" t="s">
        <v>1316</v>
      </c>
      <c r="J894" s="51">
        <v>41186</v>
      </c>
      <c r="K894" t="s">
        <v>27</v>
      </c>
      <c r="L894" t="s">
        <v>1253</v>
      </c>
      <c r="M894">
        <v>3</v>
      </c>
      <c r="N894" t="str">
        <f>L894</f>
        <v>NAM\MB3505</v>
      </c>
      <c r="O894" s="51">
        <f>J894</f>
        <v>41186</v>
      </c>
      <c r="P894" s="51" t="str">
        <f>C894</f>
        <v>~/cdd/olddocs/Flow Chart/MICROMINI/CHANGE-OUT/FC-CHGO-006   X865248P.pdf</v>
      </c>
      <c r="Q894" s="51" t="str">
        <f>E894</f>
        <v>pdf</v>
      </c>
      <c r="R894" s="51"/>
      <c r="S894" s="51"/>
      <c r="T894" s="51"/>
      <c r="U894" s="51"/>
      <c r="V894" s="51"/>
      <c r="W894" s="51"/>
      <c r="X894" s="51"/>
      <c r="Y894" s="51"/>
      <c r="Z894" s="51"/>
      <c r="AA894" s="51"/>
      <c r="AB894" s="51"/>
      <c r="AC894" s="51"/>
      <c r="AD894" s="51"/>
      <c r="AG894" t="s">
        <v>1317</v>
      </c>
      <c r="AH894" s="51"/>
      <c r="AI894" s="51"/>
    </row>
    <row r="895" spans="2:35">
      <c r="B895" t="s">
        <v>1318</v>
      </c>
      <c r="C895" t="s">
        <v>3930</v>
      </c>
      <c r="D895">
        <v>11</v>
      </c>
      <c r="E895" t="s">
        <v>2790</v>
      </c>
      <c r="F895">
        <v>5</v>
      </c>
      <c r="G895">
        <v>12</v>
      </c>
      <c r="H895">
        <v>4</v>
      </c>
      <c r="I895" t="s">
        <v>1279</v>
      </c>
      <c r="J895" s="51">
        <v>41186</v>
      </c>
      <c r="K895" t="s">
        <v>27</v>
      </c>
      <c r="L895" t="s">
        <v>1253</v>
      </c>
      <c r="M895">
        <v>3</v>
      </c>
      <c r="N895" t="str">
        <f>L895</f>
        <v>NAM\MB3505</v>
      </c>
      <c r="O895" s="51">
        <f>J895</f>
        <v>41186</v>
      </c>
      <c r="P895" s="51" t="str">
        <f>C895</f>
        <v>~/cdd/olddocs/CN-QAAS (Aseguranza de calidad)/Flow Chart/MICROMINI/CHANGE - OUT/FC-CHGO-007 Rev. A  X865251P.xlsx</v>
      </c>
      <c r="Q895" s="51" t="str">
        <f>E895</f>
        <v>xlsx</v>
      </c>
      <c r="R895" s="51"/>
      <c r="S895" s="51"/>
      <c r="T895" s="51"/>
      <c r="U895" s="51"/>
      <c r="V895" s="51"/>
      <c r="W895" s="51"/>
      <c r="X895" s="51"/>
      <c r="Y895" s="51"/>
      <c r="Z895" s="51"/>
      <c r="AA895" s="51"/>
      <c r="AB895" s="51"/>
      <c r="AC895" s="51"/>
      <c r="AD895" s="51"/>
      <c r="AG895" t="s">
        <v>1280</v>
      </c>
      <c r="AH895" s="51"/>
      <c r="AI895" s="51"/>
    </row>
    <row r="896" spans="2:35">
      <c r="B896" t="s">
        <v>1319</v>
      </c>
      <c r="C896" t="s">
        <v>2882</v>
      </c>
      <c r="D896">
        <v>11</v>
      </c>
      <c r="E896" t="s">
        <v>2791</v>
      </c>
      <c r="F896">
        <v>5</v>
      </c>
      <c r="G896">
        <v>12</v>
      </c>
      <c r="H896">
        <v>4</v>
      </c>
      <c r="I896" t="s">
        <v>1282</v>
      </c>
      <c r="J896" s="51">
        <v>41186</v>
      </c>
      <c r="K896" t="s">
        <v>27</v>
      </c>
      <c r="L896" t="s">
        <v>1253</v>
      </c>
      <c r="M896">
        <v>3</v>
      </c>
      <c r="N896" t="str">
        <f>L896</f>
        <v>NAM\MB3505</v>
      </c>
      <c r="O896" s="51">
        <f>J896</f>
        <v>41186</v>
      </c>
      <c r="P896" s="51" t="str">
        <f>C896</f>
        <v>~/cdd/olddocs/Flow Chart/MICROMINI/CHANGE-OUT/FC-CHGO-008  X865316P, X865398P.pdf</v>
      </c>
      <c r="Q896" s="51" t="str">
        <f>E896</f>
        <v>pdf</v>
      </c>
      <c r="R896" s="51"/>
      <c r="S896" s="51"/>
      <c r="T896" s="51"/>
      <c r="U896" s="51"/>
      <c r="V896" s="51"/>
      <c r="W896" s="51"/>
      <c r="X896" s="51"/>
      <c r="Y896" s="51"/>
      <c r="Z896" s="51"/>
      <c r="AA896" s="51"/>
      <c r="AB896" s="51"/>
      <c r="AC896" s="51"/>
      <c r="AD896" s="51"/>
      <c r="AG896" t="s">
        <v>1320</v>
      </c>
      <c r="AH896" s="51"/>
      <c r="AI896" s="51"/>
    </row>
    <row r="897" spans="2:35">
      <c r="B897" t="s">
        <v>1321</v>
      </c>
      <c r="C897" t="s">
        <v>2883</v>
      </c>
      <c r="D897">
        <v>11</v>
      </c>
      <c r="E897" t="s">
        <v>2791</v>
      </c>
      <c r="F897">
        <v>5</v>
      </c>
      <c r="G897">
        <v>12</v>
      </c>
      <c r="H897">
        <v>4</v>
      </c>
      <c r="I897" t="s">
        <v>1311</v>
      </c>
      <c r="J897" s="51">
        <v>41186</v>
      </c>
      <c r="K897" t="s">
        <v>27</v>
      </c>
      <c r="L897" t="s">
        <v>1253</v>
      </c>
      <c r="M897">
        <v>3</v>
      </c>
      <c r="N897" t="str">
        <f>L897</f>
        <v>NAM\MB3505</v>
      </c>
      <c r="O897" s="51">
        <f>J897</f>
        <v>41186</v>
      </c>
      <c r="P897" s="51" t="str">
        <f>C897</f>
        <v>~/cdd/olddocs/Flow Chart/MICROMINI/CHANGE-OUT/FC-CHGO-009  X865344P.pdf</v>
      </c>
      <c r="Q897" s="51" t="str">
        <f>E897</f>
        <v>pdf</v>
      </c>
      <c r="R897" s="51"/>
      <c r="S897" s="51"/>
      <c r="T897" s="51"/>
      <c r="U897" s="51"/>
      <c r="V897" s="51"/>
      <c r="W897" s="51"/>
      <c r="X897" s="51"/>
      <c r="Y897" s="51"/>
      <c r="Z897" s="51"/>
      <c r="AA897" s="51"/>
      <c r="AB897" s="51"/>
      <c r="AC897" s="51"/>
      <c r="AD897" s="51"/>
      <c r="AG897" t="s">
        <v>1322</v>
      </c>
      <c r="AH897" s="51"/>
      <c r="AI897" s="51"/>
    </row>
    <row r="898" spans="2:35">
      <c r="B898" t="s">
        <v>1323</v>
      </c>
      <c r="C898" t="s">
        <v>2884</v>
      </c>
      <c r="D898">
        <v>11</v>
      </c>
      <c r="E898" t="s">
        <v>2791</v>
      </c>
      <c r="F898">
        <v>5</v>
      </c>
      <c r="G898">
        <v>12</v>
      </c>
      <c r="H898">
        <v>4</v>
      </c>
      <c r="I898" t="s">
        <v>1324</v>
      </c>
      <c r="J898" s="51">
        <v>41187</v>
      </c>
      <c r="K898" t="s">
        <v>27</v>
      </c>
      <c r="L898" t="s">
        <v>1253</v>
      </c>
      <c r="M898">
        <v>3</v>
      </c>
      <c r="N898" t="str">
        <f>L898</f>
        <v>NAM\MB3505</v>
      </c>
      <c r="O898" s="51">
        <f>J898</f>
        <v>41187</v>
      </c>
      <c r="P898" s="51" t="str">
        <f>C898</f>
        <v>~/cdd/olddocs/Flow Chart/MICROMINI/CHANGE-OUT/FC-CHGO-010   X865393P.pdf</v>
      </c>
      <c r="Q898" s="51" t="str">
        <f>E898</f>
        <v>pdf</v>
      </c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G898" t="s">
        <v>1289</v>
      </c>
      <c r="AH898" s="51"/>
      <c r="AI898" s="51"/>
    </row>
    <row r="899" spans="2:35">
      <c r="B899" t="s">
        <v>1325</v>
      </c>
      <c r="C899" t="s">
        <v>2885</v>
      </c>
      <c r="D899">
        <v>11</v>
      </c>
      <c r="E899" t="s">
        <v>2791</v>
      </c>
      <c r="F899">
        <v>5</v>
      </c>
      <c r="G899">
        <v>12</v>
      </c>
      <c r="H899">
        <v>4</v>
      </c>
      <c r="I899" t="s">
        <v>1291</v>
      </c>
      <c r="J899" s="51">
        <v>41187</v>
      </c>
      <c r="K899" t="s">
        <v>27</v>
      </c>
      <c r="L899" t="s">
        <v>1253</v>
      </c>
      <c r="M899">
        <v>3</v>
      </c>
      <c r="N899" t="str">
        <f>L899</f>
        <v>NAM\MB3505</v>
      </c>
      <c r="O899" s="51">
        <f>J899</f>
        <v>41187</v>
      </c>
      <c r="P899" s="51" t="str">
        <f>C899</f>
        <v>~/cdd/olddocs/Flow Chart/MICROMINI/CHANGE-OUT/FC-CHGO-011  X8651648P.pdf</v>
      </c>
      <c r="Q899" s="51" t="str">
        <f>E899</f>
        <v>pdf</v>
      </c>
      <c r="R899" s="51"/>
      <c r="S899" s="51"/>
      <c r="T899" s="51"/>
      <c r="U899" s="51"/>
      <c r="V899" s="51"/>
      <c r="W899" s="51"/>
      <c r="X899" s="51"/>
      <c r="Y899" s="51"/>
      <c r="Z899" s="51"/>
      <c r="AA899" s="51"/>
      <c r="AB899" s="51"/>
      <c r="AC899" s="51"/>
      <c r="AD899" s="51"/>
      <c r="AG899" t="s">
        <v>1326</v>
      </c>
      <c r="AH899" s="51"/>
      <c r="AI899" s="51"/>
    </row>
    <row r="900" spans="2:35">
      <c r="B900" t="s">
        <v>1327</v>
      </c>
      <c r="C900" t="s">
        <v>2886</v>
      </c>
      <c r="D900">
        <v>11</v>
      </c>
      <c r="E900" t="s">
        <v>2791</v>
      </c>
      <c r="F900">
        <v>5</v>
      </c>
      <c r="G900">
        <v>12</v>
      </c>
      <c r="H900">
        <v>4</v>
      </c>
      <c r="I900" t="s">
        <v>1285</v>
      </c>
      <c r="J900" s="51">
        <v>41191</v>
      </c>
      <c r="K900" t="s">
        <v>27</v>
      </c>
      <c r="L900" t="s">
        <v>1253</v>
      </c>
      <c r="M900">
        <v>3</v>
      </c>
      <c r="N900" t="str">
        <f>L900</f>
        <v>NAM\MB3505</v>
      </c>
      <c r="O900" s="51">
        <f>J900</f>
        <v>41191</v>
      </c>
      <c r="P900" s="51" t="str">
        <f>C900</f>
        <v>~/cdd/olddocs/Flow Chart/MICROMINI/CHANGE-OUT/FC-CHGO-012  X8653325.pdf</v>
      </c>
      <c r="Q900" s="51" t="str">
        <f>E900</f>
        <v>pdf</v>
      </c>
      <c r="R900" s="51"/>
      <c r="S900" s="51"/>
      <c r="T900" s="51"/>
      <c r="U900" s="51"/>
      <c r="V900" s="51"/>
      <c r="W900" s="51"/>
      <c r="X900" s="51"/>
      <c r="Y900" s="51"/>
      <c r="Z900" s="51"/>
      <c r="AA900" s="51"/>
      <c r="AB900" s="51"/>
      <c r="AC900" s="51"/>
      <c r="AD900" s="51"/>
      <c r="AG900" t="s">
        <v>1328</v>
      </c>
      <c r="AH900" s="51"/>
      <c r="AI900" s="51"/>
    </row>
    <row r="901" spans="2:35">
      <c r="B901" t="s">
        <v>1329</v>
      </c>
      <c r="C901" t="s">
        <v>3854</v>
      </c>
      <c r="D901">
        <v>11</v>
      </c>
      <c r="E901" t="s">
        <v>2790</v>
      </c>
      <c r="F901">
        <v>5</v>
      </c>
      <c r="G901">
        <v>12</v>
      </c>
      <c r="H901">
        <v>4</v>
      </c>
      <c r="I901" t="s">
        <v>1330</v>
      </c>
      <c r="J901" s="51">
        <v>41191</v>
      </c>
      <c r="K901" t="s">
        <v>27</v>
      </c>
      <c r="L901" t="s">
        <v>1253</v>
      </c>
      <c r="M901">
        <v>3</v>
      </c>
      <c r="N901" t="str">
        <f>L901</f>
        <v>NAM\MB3505</v>
      </c>
      <c r="O901" s="51">
        <f>J901</f>
        <v>41191</v>
      </c>
      <c r="P901" s="51" t="str">
        <f>C901</f>
        <v>~cdd/olddocs/Flow Chart/MICROMINI/CHANGE-OUT/FC-CHGO-013 Rev. A   X8653382P.xlsx</v>
      </c>
      <c r="Q901" s="51" t="str">
        <f>E901</f>
        <v>xlsx</v>
      </c>
      <c r="R901" s="51"/>
      <c r="S901" s="51"/>
      <c r="T901" s="51"/>
      <c r="U901" s="51"/>
      <c r="V901" s="51"/>
      <c r="W901" s="51"/>
      <c r="X901" s="51"/>
      <c r="Y901" s="51"/>
      <c r="Z901" s="51"/>
      <c r="AA901" s="51"/>
      <c r="AB901" s="51"/>
      <c r="AC901" s="51"/>
      <c r="AD901" s="51"/>
      <c r="AG901" t="s">
        <v>1297</v>
      </c>
      <c r="AH901" s="51"/>
      <c r="AI901" s="51"/>
    </row>
    <row r="902" spans="2:35">
      <c r="B902" t="s">
        <v>1331</v>
      </c>
      <c r="C902" t="s">
        <v>3855</v>
      </c>
      <c r="D902">
        <v>11</v>
      </c>
      <c r="E902" t="s">
        <v>2791</v>
      </c>
      <c r="F902">
        <v>5</v>
      </c>
      <c r="G902">
        <v>12</v>
      </c>
      <c r="H902">
        <v>4</v>
      </c>
      <c r="I902" t="s">
        <v>1299</v>
      </c>
      <c r="J902" s="51">
        <v>41191</v>
      </c>
      <c r="K902" t="s">
        <v>27</v>
      </c>
      <c r="L902" t="s">
        <v>1253</v>
      </c>
      <c r="M902">
        <v>3</v>
      </c>
      <c r="N902" t="str">
        <f>L902</f>
        <v>NAM\MB3505</v>
      </c>
      <c r="O902" s="51">
        <f>J902</f>
        <v>41191</v>
      </c>
      <c r="P902" s="51" t="str">
        <f>C902</f>
        <v>~cdd/olddocs/Flow Chart/MICROMINI/CHANGE-OUT/FC-CHGO-014    X8653568P.pdf</v>
      </c>
      <c r="Q902" s="51" t="str">
        <f>E902</f>
        <v>pdf</v>
      </c>
      <c r="R902" s="51"/>
      <c r="S902" s="51"/>
      <c r="T902" s="51"/>
      <c r="U902" s="51"/>
      <c r="V902" s="51"/>
      <c r="W902" s="51"/>
      <c r="X902" s="51"/>
      <c r="Y902" s="51"/>
      <c r="Z902" s="51"/>
      <c r="AA902" s="51"/>
      <c r="AB902" s="51"/>
      <c r="AC902" s="51"/>
      <c r="AD902" s="51"/>
      <c r="AG902" t="s">
        <v>1300</v>
      </c>
      <c r="AH902" s="51"/>
      <c r="AI902" s="51"/>
    </row>
    <row r="903" spans="2:35">
      <c r="B903" t="s">
        <v>1332</v>
      </c>
      <c r="C903" t="s">
        <v>2887</v>
      </c>
      <c r="D903">
        <v>11</v>
      </c>
      <c r="E903" t="s">
        <v>2791</v>
      </c>
      <c r="F903">
        <v>5</v>
      </c>
      <c r="G903">
        <v>12</v>
      </c>
      <c r="H903">
        <v>4</v>
      </c>
      <c r="I903" t="s">
        <v>1302</v>
      </c>
      <c r="J903" s="51">
        <v>41191</v>
      </c>
      <c r="K903" t="s">
        <v>27</v>
      </c>
      <c r="L903" t="s">
        <v>1253</v>
      </c>
      <c r="M903">
        <v>3</v>
      </c>
      <c r="N903" t="str">
        <f>L903</f>
        <v>NAM\MB3505</v>
      </c>
      <c r="O903" s="51">
        <f>J903</f>
        <v>41191</v>
      </c>
      <c r="P903" s="51" t="str">
        <f>C903</f>
        <v>~/cdd/olddocs/Flow Chart/MICROMINI/CHANGE-OUT/FC-CHGO-015    X8653687P.pdf</v>
      </c>
      <c r="Q903" s="51" t="str">
        <f>E903</f>
        <v>pdf</v>
      </c>
      <c r="R903" s="51"/>
      <c r="S903" s="51"/>
      <c r="T903" s="51"/>
      <c r="U903" s="51"/>
      <c r="V903" s="51"/>
      <c r="W903" s="51"/>
      <c r="X903" s="51"/>
      <c r="Y903" s="51"/>
      <c r="Z903" s="51"/>
      <c r="AA903" s="51"/>
      <c r="AB903" s="51"/>
      <c r="AC903" s="51"/>
      <c r="AD903" s="51"/>
      <c r="AG903" t="s">
        <v>1303</v>
      </c>
      <c r="AH903" s="51"/>
      <c r="AI903" s="51"/>
    </row>
    <row r="904" spans="2:35">
      <c r="B904" t="s">
        <v>1333</v>
      </c>
      <c r="C904" t="s">
        <v>2888</v>
      </c>
      <c r="D904">
        <v>11</v>
      </c>
      <c r="E904" t="s">
        <v>2791</v>
      </c>
      <c r="F904">
        <v>5</v>
      </c>
      <c r="G904">
        <v>12</v>
      </c>
      <c r="H904">
        <v>4</v>
      </c>
      <c r="I904" t="s">
        <v>1316</v>
      </c>
      <c r="J904" s="51">
        <v>41193</v>
      </c>
      <c r="K904" t="s">
        <v>27</v>
      </c>
      <c r="L904" t="s">
        <v>1253</v>
      </c>
      <c r="M904">
        <v>3</v>
      </c>
      <c r="N904" t="str">
        <f>L904</f>
        <v>NAM\MB3505</v>
      </c>
      <c r="O904" s="51">
        <f>J904</f>
        <v>41193</v>
      </c>
      <c r="P904" s="51" t="str">
        <f>C904</f>
        <v>~/cdd/olddocs/Flow Chart/MICROMINI/CHANGE-OUT/FC-CHGO-016   X86521624P.pdf</v>
      </c>
      <c r="Q904" s="51" t="str">
        <f>E904</f>
        <v>pdf</v>
      </c>
      <c r="R904" s="51"/>
      <c r="S904" s="51"/>
      <c r="T904" s="51"/>
      <c r="U904" s="51"/>
      <c r="V904" s="51"/>
      <c r="W904" s="51"/>
      <c r="X904" s="51"/>
      <c r="Y904" s="51"/>
      <c r="Z904" s="51"/>
      <c r="AA904" s="51"/>
      <c r="AB904" s="51"/>
      <c r="AC904" s="51"/>
      <c r="AD904" s="51"/>
      <c r="AG904" t="s">
        <v>1334</v>
      </c>
      <c r="AH904" s="51"/>
      <c r="AI904" s="51"/>
    </row>
    <row r="905" spans="2:35">
      <c r="B905" t="s">
        <v>1335</v>
      </c>
      <c r="C905" t="s">
        <v>2889</v>
      </c>
      <c r="D905">
        <v>11</v>
      </c>
      <c r="E905" t="s">
        <v>2791</v>
      </c>
      <c r="F905">
        <v>5</v>
      </c>
      <c r="G905">
        <v>12</v>
      </c>
      <c r="H905">
        <v>4</v>
      </c>
      <c r="I905" t="s">
        <v>1336</v>
      </c>
      <c r="J905" s="51">
        <v>41193</v>
      </c>
      <c r="K905" t="s">
        <v>27</v>
      </c>
      <c r="L905" t="s">
        <v>1253</v>
      </c>
      <c r="M905">
        <v>3</v>
      </c>
      <c r="N905" t="str">
        <f>L905</f>
        <v>NAM\MB3505</v>
      </c>
      <c r="O905" s="51">
        <f>J905</f>
        <v>41193</v>
      </c>
      <c r="P905" s="51" t="str">
        <f>C905</f>
        <v>~/cdd/olddocs/Flow Chart/MICROMINI/CHANGE-OUT/FC-CHGO-017   X86531621P.pdf</v>
      </c>
      <c r="Q905" s="51" t="str">
        <f>E905</f>
        <v>pdf</v>
      </c>
      <c r="R905" s="51"/>
      <c r="S905" s="51"/>
      <c r="T905" s="51"/>
      <c r="U905" s="51"/>
      <c r="V905" s="51"/>
      <c r="W905" s="51"/>
      <c r="X905" s="51"/>
      <c r="Y905" s="51"/>
      <c r="Z905" s="51"/>
      <c r="AA905" s="51"/>
      <c r="AB905" s="51"/>
      <c r="AC905" s="51"/>
      <c r="AD905" s="51"/>
      <c r="AG905" t="s">
        <v>1337</v>
      </c>
      <c r="AH905" s="51"/>
      <c r="AI905" s="51"/>
    </row>
    <row r="906" spans="2:35">
      <c r="B906" t="s">
        <v>1581</v>
      </c>
      <c r="C906" t="s">
        <v>3852</v>
      </c>
      <c r="D906">
        <v>11</v>
      </c>
      <c r="E906" t="s">
        <v>2790</v>
      </c>
      <c r="F906">
        <v>5</v>
      </c>
      <c r="G906">
        <v>9</v>
      </c>
      <c r="H906">
        <v>9</v>
      </c>
      <c r="I906" t="s">
        <v>1582</v>
      </c>
      <c r="J906" s="51">
        <v>41142</v>
      </c>
      <c r="K906" t="s">
        <v>27</v>
      </c>
      <c r="L906" t="s">
        <v>1584</v>
      </c>
      <c r="M906">
        <v>3</v>
      </c>
      <c r="N906" t="str">
        <f>L906</f>
        <v>NAM\A8070</v>
      </c>
      <c r="O906" s="51">
        <f>J906</f>
        <v>41142</v>
      </c>
      <c r="P906" s="51" t="str">
        <f>C906</f>
        <v>~cdd/olddocs/Flow Chart/ITRON/MILTICELL A&amp;B/FC-IMB-001 Rev. A  CBA-1300-00628-2302-0001.xlsx</v>
      </c>
      <c r="Q906" s="51" t="str">
        <f>E906</f>
        <v>xlsx</v>
      </c>
      <c r="R906" s="51"/>
      <c r="S906" s="51"/>
      <c r="T906" s="51"/>
      <c r="U906" s="51"/>
      <c r="V906" s="51"/>
      <c r="W906" s="51"/>
      <c r="X906" s="51"/>
      <c r="Y906" s="51"/>
      <c r="Z906" s="51"/>
      <c r="AA906" s="51"/>
      <c r="AB906" s="51"/>
      <c r="AC906" s="51"/>
      <c r="AD906" s="51"/>
      <c r="AG906" t="s">
        <v>1098</v>
      </c>
      <c r="AH906" s="51"/>
      <c r="AI906" s="51"/>
    </row>
    <row r="907" spans="2:35">
      <c r="B907" t="s">
        <v>1402</v>
      </c>
      <c r="C907" t="s">
        <v>2890</v>
      </c>
      <c r="D907">
        <v>11</v>
      </c>
      <c r="E907" t="s">
        <v>2791</v>
      </c>
      <c r="F907">
        <v>5</v>
      </c>
      <c r="G907">
        <v>12</v>
      </c>
      <c r="H907">
        <v>16</v>
      </c>
      <c r="I907" t="s">
        <v>1403</v>
      </c>
      <c r="J907" s="51">
        <v>41179</v>
      </c>
      <c r="K907" t="s">
        <v>27</v>
      </c>
      <c r="L907" t="s">
        <v>1253</v>
      </c>
      <c r="M907">
        <v>3</v>
      </c>
      <c r="N907" t="str">
        <f>L907</f>
        <v>NAM\MB3505</v>
      </c>
      <c r="O907" s="51">
        <f>J907</f>
        <v>41179</v>
      </c>
      <c r="P907" s="51" t="str">
        <f>C907</f>
        <v>~/cdd/olddocs/Flow Chart/MICROMINI/MS/FC-MS-001  203205A.pdf</v>
      </c>
      <c r="Q907" s="51" t="str">
        <f>E907</f>
        <v>pdf</v>
      </c>
      <c r="R907" s="51"/>
      <c r="S907" s="51"/>
      <c r="T907" s="51"/>
      <c r="U907" s="51"/>
      <c r="V907" s="51"/>
      <c r="W907" s="51"/>
      <c r="X907" s="51"/>
      <c r="Y907" s="51"/>
      <c r="Z907" s="51"/>
      <c r="AA907" s="51"/>
      <c r="AB907" s="51"/>
      <c r="AC907" s="51"/>
      <c r="AD907" s="51"/>
      <c r="AG907" t="s">
        <v>1369</v>
      </c>
      <c r="AH907" s="51"/>
      <c r="AI907" s="51"/>
    </row>
    <row r="908" spans="2:35">
      <c r="B908" t="s">
        <v>1404</v>
      </c>
      <c r="C908" t="s">
        <v>2891</v>
      </c>
      <c r="D908">
        <v>11</v>
      </c>
      <c r="E908" t="s">
        <v>2791</v>
      </c>
      <c r="F908">
        <v>5</v>
      </c>
      <c r="G908">
        <v>12</v>
      </c>
      <c r="H908">
        <v>16</v>
      </c>
      <c r="I908" t="s">
        <v>1405</v>
      </c>
      <c r="J908" s="51">
        <v>41179</v>
      </c>
      <c r="K908" t="s">
        <v>27</v>
      </c>
      <c r="L908" t="s">
        <v>1253</v>
      </c>
      <c r="M908">
        <v>3</v>
      </c>
      <c r="N908" t="str">
        <f>L908</f>
        <v>NAM\MB3505</v>
      </c>
      <c r="O908" s="51">
        <f>J908</f>
        <v>41179</v>
      </c>
      <c r="P908" s="51" t="str">
        <f>C908</f>
        <v>~/cdd/olddocs/Flow Chart/MICROMINI/MS/FC-MS-002  5680551.pdf</v>
      </c>
      <c r="Q908" s="51" t="str">
        <f>E908</f>
        <v>pdf</v>
      </c>
      <c r="R908" s="51"/>
      <c r="S908" s="51"/>
      <c r="T908" s="51"/>
      <c r="U908" s="51"/>
      <c r="V908" s="51"/>
      <c r="W908" s="51"/>
      <c r="X908" s="51"/>
      <c r="Y908" s="51"/>
      <c r="Z908" s="51"/>
      <c r="AA908" s="51"/>
      <c r="AB908" s="51"/>
      <c r="AC908" s="51"/>
      <c r="AD908" s="51"/>
      <c r="AG908" t="s">
        <v>1406</v>
      </c>
      <c r="AH908" s="51"/>
      <c r="AI908" s="51"/>
    </row>
    <row r="909" spans="2:35">
      <c r="B909" t="s">
        <v>1407</v>
      </c>
      <c r="C909" t="s">
        <v>2892</v>
      </c>
      <c r="D909">
        <v>11</v>
      </c>
      <c r="E909" t="s">
        <v>2791</v>
      </c>
      <c r="F909">
        <v>5</v>
      </c>
      <c r="G909">
        <v>12</v>
      </c>
      <c r="H909">
        <v>16</v>
      </c>
      <c r="I909" t="s">
        <v>1374</v>
      </c>
      <c r="J909" s="51">
        <v>41179</v>
      </c>
      <c r="K909" t="s">
        <v>27</v>
      </c>
      <c r="L909" t="s">
        <v>1253</v>
      </c>
      <c r="M909">
        <v>3</v>
      </c>
      <c r="N909" t="str">
        <f>L909</f>
        <v>NAM\MB3505</v>
      </c>
      <c r="O909" s="51">
        <f>J909</f>
        <v>41179</v>
      </c>
      <c r="P909" s="51" t="str">
        <f>C909</f>
        <v>~/cdd/olddocs/Flow Chart/MICROMINI/MS/FC-MS-003   11536313.pdf</v>
      </c>
      <c r="Q909" s="51" t="str">
        <f>E909</f>
        <v>pdf</v>
      </c>
      <c r="R909" s="51"/>
      <c r="S909" s="51"/>
      <c r="T909" s="51"/>
      <c r="U909" s="51"/>
      <c r="V909" s="51"/>
      <c r="W909" s="51"/>
      <c r="X909" s="51"/>
      <c r="Y909" s="51"/>
      <c r="Z909" s="51"/>
      <c r="AA909" s="51"/>
      <c r="AB909" s="51"/>
      <c r="AC909" s="51"/>
      <c r="AD909" s="51"/>
      <c r="AG909" t="s">
        <v>1408</v>
      </c>
      <c r="AH909" s="51"/>
      <c r="AI909" s="51"/>
    </row>
    <row r="910" spans="2:35">
      <c r="B910" t="s">
        <v>1409</v>
      </c>
      <c r="C910" t="s">
        <v>2893</v>
      </c>
      <c r="D910">
        <v>11</v>
      </c>
      <c r="E910" t="s">
        <v>2791</v>
      </c>
      <c r="F910">
        <v>5</v>
      </c>
      <c r="G910">
        <v>12</v>
      </c>
      <c r="H910">
        <v>16</v>
      </c>
      <c r="I910" t="s">
        <v>1410</v>
      </c>
      <c r="J910" s="51">
        <v>41180</v>
      </c>
      <c r="K910" t="s">
        <v>27</v>
      </c>
      <c r="L910" t="s">
        <v>1253</v>
      </c>
      <c r="M910">
        <v>3</v>
      </c>
      <c r="N910" t="str">
        <f>L910</f>
        <v>NAM\MB3505</v>
      </c>
      <c r="O910" s="51">
        <f>J910</f>
        <v>41180</v>
      </c>
      <c r="P910" s="51" t="str">
        <f>C910</f>
        <v>~/cdd/olddocs/Flow Chart/MICROMINI/MS/FC-MS-004  11547793.pdf</v>
      </c>
      <c r="Q910" s="51" t="str">
        <f>E910</f>
        <v>pdf</v>
      </c>
      <c r="R910" s="51"/>
      <c r="S910" s="51"/>
      <c r="T910" s="51"/>
      <c r="U910" s="51"/>
      <c r="V910" s="51"/>
      <c r="W910" s="51"/>
      <c r="X910" s="51"/>
      <c r="Y910" s="51"/>
      <c r="Z910" s="51"/>
      <c r="AA910" s="51"/>
      <c r="AB910" s="51"/>
      <c r="AC910" s="51"/>
      <c r="AD910" s="51"/>
      <c r="AG910" t="s">
        <v>1411</v>
      </c>
      <c r="AH910" s="51"/>
      <c r="AI910" s="51"/>
    </row>
    <row r="911" spans="2:35">
      <c r="B911" t="s">
        <v>1412</v>
      </c>
      <c r="C911" t="e">
        <v>#VALUE!</v>
      </c>
      <c r="D911">
        <v>11</v>
      </c>
      <c r="E911" t="e">
        <v>#VALUE!</v>
      </c>
      <c r="F911">
        <v>5</v>
      </c>
      <c r="G911">
        <v>12</v>
      </c>
      <c r="H911">
        <v>16</v>
      </c>
      <c r="I911" t="s">
        <v>1374</v>
      </c>
      <c r="J911" s="51">
        <v>41180</v>
      </c>
      <c r="K911" t="s">
        <v>27</v>
      </c>
      <c r="L911" t="s">
        <v>1253</v>
      </c>
      <c r="M911">
        <v>3</v>
      </c>
      <c r="N911" t="str">
        <f>L911</f>
        <v>NAM\MB3505</v>
      </c>
      <c r="O911" s="51">
        <f>J911</f>
        <v>41180</v>
      </c>
      <c r="P911" s="51" t="e">
        <f>C911</f>
        <v>#VALUE!</v>
      </c>
      <c r="Q911" s="51" t="e">
        <f>E911</f>
        <v>#VALUE!</v>
      </c>
      <c r="R911" s="51"/>
      <c r="S911" s="51"/>
      <c r="T911" s="51"/>
      <c r="U911" s="51"/>
      <c r="V911" s="51"/>
      <c r="W911" s="51"/>
      <c r="X911" s="51"/>
      <c r="Y911" s="51"/>
      <c r="Z911" s="51"/>
      <c r="AA911" s="51"/>
      <c r="AB911" s="51"/>
      <c r="AC911" s="51"/>
      <c r="AD911" s="51"/>
      <c r="AG911" t="s">
        <v>1413</v>
      </c>
      <c r="AH911" s="51"/>
      <c r="AI911" s="51"/>
    </row>
    <row r="912" spans="2:35">
      <c r="B912" t="s">
        <v>1414</v>
      </c>
      <c r="C912" t="s">
        <v>2894</v>
      </c>
      <c r="D912">
        <v>11</v>
      </c>
      <c r="E912" t="s">
        <v>2791</v>
      </c>
      <c r="F912">
        <v>5</v>
      </c>
      <c r="G912">
        <v>12</v>
      </c>
      <c r="H912">
        <v>16</v>
      </c>
      <c r="I912" t="s">
        <v>1410</v>
      </c>
      <c r="J912" s="51">
        <v>41180</v>
      </c>
      <c r="K912" t="s">
        <v>27</v>
      </c>
      <c r="L912" t="s">
        <v>1253</v>
      </c>
      <c r="M912">
        <v>3</v>
      </c>
      <c r="N912" t="str">
        <f>L912</f>
        <v>NAM\MB3505</v>
      </c>
      <c r="O912" s="51">
        <f>J912</f>
        <v>41180</v>
      </c>
      <c r="P912" s="51" t="str">
        <f>C912</f>
        <v>~/cdd/olddocs/Flow Chart/MICROMINI/MS/FC-MS-006 CHCCR003P.pdf</v>
      </c>
      <c r="Q912" s="51" t="str">
        <f>E912</f>
        <v>pdf</v>
      </c>
      <c r="R912" s="51"/>
      <c r="S912" s="51"/>
      <c r="T912" s="51"/>
      <c r="U912" s="51"/>
      <c r="V912" s="51"/>
      <c r="W912" s="51"/>
      <c r="X912" s="51"/>
      <c r="Y912" s="51"/>
      <c r="Z912" s="51"/>
      <c r="AA912" s="51"/>
      <c r="AB912" s="51"/>
      <c r="AC912" s="51"/>
      <c r="AD912" s="51"/>
      <c r="AG912" t="s">
        <v>1415</v>
      </c>
      <c r="AH912" s="51"/>
      <c r="AI912" s="51"/>
    </row>
    <row r="913" spans="2:35">
      <c r="B913" t="s">
        <v>1416</v>
      </c>
      <c r="C913" t="s">
        <v>2895</v>
      </c>
      <c r="D913">
        <v>11</v>
      </c>
      <c r="E913" t="s">
        <v>2791</v>
      </c>
      <c r="F913">
        <v>5</v>
      </c>
      <c r="G913">
        <v>12</v>
      </c>
      <c r="H913">
        <v>16</v>
      </c>
      <c r="I913" t="s">
        <v>1417</v>
      </c>
      <c r="J913" s="51">
        <v>41180</v>
      </c>
      <c r="K913" t="s">
        <v>27</v>
      </c>
      <c r="L913" t="s">
        <v>1253</v>
      </c>
      <c r="M913">
        <v>3</v>
      </c>
      <c r="N913" t="str">
        <f>L913</f>
        <v>NAM\MB3505</v>
      </c>
      <c r="O913" s="51">
        <f>J913</f>
        <v>41180</v>
      </c>
      <c r="P913" s="51" t="str">
        <f>C913</f>
        <v>~/cdd/olddocs/Flow Chart/MICROMINI/MS/FC-MS-007 M5E1811A230MH.pdf</v>
      </c>
      <c r="Q913" s="51" t="str">
        <f>E913</f>
        <v>pdf</v>
      </c>
      <c r="R913" s="51"/>
      <c r="S913" s="51"/>
      <c r="T913" s="51"/>
      <c r="U913" s="51"/>
      <c r="V913" s="51"/>
      <c r="W913" s="51"/>
      <c r="X913" s="51"/>
      <c r="Y913" s="51"/>
      <c r="Z913" s="51"/>
      <c r="AA913" s="51"/>
      <c r="AB913" s="51"/>
      <c r="AC913" s="51"/>
      <c r="AD913" s="51"/>
      <c r="AG913" t="s">
        <v>1384</v>
      </c>
      <c r="AH913" s="51"/>
      <c r="AI913" s="51"/>
    </row>
    <row r="914" spans="2:35">
      <c r="B914" t="s">
        <v>1418</v>
      </c>
      <c r="C914" t="s">
        <v>2896</v>
      </c>
      <c r="D914">
        <v>11</v>
      </c>
      <c r="E914" t="s">
        <v>2791</v>
      </c>
      <c r="F914">
        <v>5</v>
      </c>
      <c r="G914">
        <v>12</v>
      </c>
      <c r="H914">
        <v>16</v>
      </c>
      <c r="I914" t="s">
        <v>1419</v>
      </c>
      <c r="J914" s="51">
        <v>41180</v>
      </c>
      <c r="K914" t="s">
        <v>27</v>
      </c>
      <c r="L914" t="s">
        <v>1253</v>
      </c>
      <c r="M914">
        <v>3</v>
      </c>
      <c r="N914" t="str">
        <f>L914</f>
        <v>NAM\MB3505</v>
      </c>
      <c r="O914" s="51">
        <f>J914</f>
        <v>41180</v>
      </c>
      <c r="P914" s="51" t="str">
        <f>C914</f>
        <v>~/cdd/olddocs/Flow Chart/MICROMINI/MS/FC-MS-008 P1529042B130, P1532302C21, P1532302C27.pdf</v>
      </c>
      <c r="Q914" s="51" t="str">
        <f>E914</f>
        <v>pdf</v>
      </c>
      <c r="R914" s="51"/>
      <c r="S914" s="51"/>
      <c r="T914" s="51"/>
      <c r="U914" s="51"/>
      <c r="V914" s="51"/>
      <c r="W914" s="51"/>
      <c r="X914" s="51"/>
      <c r="Y914" s="51"/>
      <c r="Z914" s="51"/>
      <c r="AA914" s="51"/>
      <c r="AB914" s="51"/>
      <c r="AC914" s="51"/>
      <c r="AD914" s="51"/>
      <c r="AG914" t="s">
        <v>1387</v>
      </c>
      <c r="AH914" s="51"/>
      <c r="AI914" s="51"/>
    </row>
    <row r="915" spans="2:35">
      <c r="B915" t="s">
        <v>1420</v>
      </c>
      <c r="C915" t="s">
        <v>2897</v>
      </c>
      <c r="D915">
        <v>11</v>
      </c>
      <c r="E915" t="s">
        <v>2791</v>
      </c>
      <c r="F915">
        <v>5</v>
      </c>
      <c r="G915">
        <v>12</v>
      </c>
      <c r="H915">
        <v>16</v>
      </c>
      <c r="I915" t="s">
        <v>1386</v>
      </c>
      <c r="J915" s="51">
        <v>41180</v>
      </c>
      <c r="K915" t="s">
        <v>27</v>
      </c>
      <c r="L915" t="s">
        <v>1253</v>
      </c>
      <c r="M915">
        <v>3</v>
      </c>
      <c r="N915" t="str">
        <f>L915</f>
        <v>NAM\MB3505</v>
      </c>
      <c r="O915" s="51">
        <f>J915</f>
        <v>41180</v>
      </c>
      <c r="P915" s="51" t="str">
        <f>C915</f>
        <v>~/cdd/olddocs/Flow Chart/MICROMINI/MS/FC-MS-009  SMEA0092010, SMEA0092025, SMEA0092030, SMEA0092040, SMEA0092045, SMEA0092050.pdf</v>
      </c>
      <c r="Q915" s="51" t="str">
        <f>E915</f>
        <v>pdf</v>
      </c>
      <c r="R915" s="51"/>
      <c r="S915" s="51"/>
      <c r="T915" s="51"/>
      <c r="U915" s="51"/>
      <c r="V915" s="51"/>
      <c r="W915" s="51"/>
      <c r="X915" s="51"/>
      <c r="Y915" s="51"/>
      <c r="Z915" s="51"/>
      <c r="AA915" s="51"/>
      <c r="AB915" s="51"/>
      <c r="AC915" s="51"/>
      <c r="AD915" s="51"/>
      <c r="AG915" t="s">
        <v>1421</v>
      </c>
      <c r="AH915" s="51"/>
      <c r="AI915" s="51"/>
    </row>
    <row r="916" spans="2:35">
      <c r="B916" t="s">
        <v>1422</v>
      </c>
      <c r="C916" t="s">
        <v>2898</v>
      </c>
      <c r="D916">
        <v>11</v>
      </c>
      <c r="E916" t="s">
        <v>2791</v>
      </c>
      <c r="F916">
        <v>5</v>
      </c>
      <c r="G916">
        <v>12</v>
      </c>
      <c r="H916">
        <v>16</v>
      </c>
      <c r="I916" t="s">
        <v>1391</v>
      </c>
      <c r="J916" s="51">
        <v>41180</v>
      </c>
      <c r="K916" t="s">
        <v>27</v>
      </c>
      <c r="L916" t="s">
        <v>1253</v>
      </c>
      <c r="M916">
        <v>3</v>
      </c>
      <c r="N916" t="str">
        <f>L916</f>
        <v>NAM\MB3505</v>
      </c>
      <c r="O916" s="51">
        <f>J916</f>
        <v>41180</v>
      </c>
      <c r="P916" s="51" t="str">
        <f>C916</f>
        <v>~/cdd/olddocs/Flow Chart/MICROMINI/MS/FC-MS-010  SMEA0094007, SMEA0094030.pdf</v>
      </c>
      <c r="Q916" s="51" t="str">
        <f>E916</f>
        <v>pdf</v>
      </c>
      <c r="R916" s="51"/>
      <c r="S916" s="51"/>
      <c r="T916" s="51"/>
      <c r="U916" s="51"/>
      <c r="V916" s="51"/>
      <c r="W916" s="51"/>
      <c r="X916" s="51"/>
      <c r="Y916" s="51"/>
      <c r="Z916" s="51"/>
      <c r="AA916" s="51"/>
      <c r="AB916" s="51"/>
      <c r="AC916" s="51"/>
      <c r="AD916" s="51"/>
      <c r="AG916" t="s">
        <v>1423</v>
      </c>
      <c r="AH916" s="51"/>
      <c r="AI916" s="51"/>
    </row>
    <row r="917" spans="2:35">
      <c r="B917" t="s">
        <v>1424</v>
      </c>
      <c r="C917" t="s">
        <v>2899</v>
      </c>
      <c r="D917">
        <v>11</v>
      </c>
      <c r="E917" t="s">
        <v>2791</v>
      </c>
      <c r="F917">
        <v>5</v>
      </c>
      <c r="G917">
        <v>12</v>
      </c>
      <c r="H917">
        <v>16</v>
      </c>
      <c r="I917" t="s">
        <v>1425</v>
      </c>
      <c r="J917" s="51">
        <v>41180</v>
      </c>
      <c r="K917" t="s">
        <v>27</v>
      </c>
      <c r="L917" t="s">
        <v>1253</v>
      </c>
      <c r="M917">
        <v>3</v>
      </c>
      <c r="N917" t="str">
        <f>L917</f>
        <v>NAM\MB3505</v>
      </c>
      <c r="O917" s="51">
        <f>J917</f>
        <v>41180</v>
      </c>
      <c r="P917" s="51" t="str">
        <f>C917</f>
        <v>~/cdd/olddocs/Flow Chart/MICROMINI/MS/FC-MS-011  SMEA0114007, 4010, 4015, 4030.pdf</v>
      </c>
      <c r="Q917" s="51" t="str">
        <f>E917</f>
        <v>pdf</v>
      </c>
      <c r="R917" s="51"/>
      <c r="S917" s="51"/>
      <c r="T917" s="51"/>
      <c r="U917" s="51"/>
      <c r="V917" s="51"/>
      <c r="W917" s="51"/>
      <c r="X917" s="51"/>
      <c r="Y917" s="51"/>
      <c r="Z917" s="51"/>
      <c r="AA917" s="51"/>
      <c r="AB917" s="51"/>
      <c r="AC917" s="51"/>
      <c r="AD917" s="51"/>
      <c r="AG917" t="s">
        <v>1395</v>
      </c>
      <c r="AH917" s="51"/>
      <c r="AI917" s="51"/>
    </row>
    <row r="918" spans="2:35">
      <c r="B918" t="s">
        <v>1426</v>
      </c>
      <c r="C918" t="s">
        <v>2900</v>
      </c>
      <c r="D918">
        <v>11</v>
      </c>
      <c r="E918" t="s">
        <v>2791</v>
      </c>
      <c r="F918">
        <v>5</v>
      </c>
      <c r="G918">
        <v>12</v>
      </c>
      <c r="H918">
        <v>16</v>
      </c>
      <c r="I918" t="s">
        <v>1427</v>
      </c>
      <c r="J918" s="51">
        <v>41180</v>
      </c>
      <c r="K918" t="s">
        <v>27</v>
      </c>
      <c r="L918" t="s">
        <v>1253</v>
      </c>
      <c r="M918">
        <v>3</v>
      </c>
      <c r="N918" t="str">
        <f>L918</f>
        <v>NAM\MB3505</v>
      </c>
      <c r="O918" s="51">
        <f>J918</f>
        <v>41180</v>
      </c>
      <c r="P918" s="51" t="str">
        <f>C918</f>
        <v>~/cdd/olddocs/Flow Chart/MICROMINI/MS/FC-MS-012  SMEA0115010, 5015, 5020, 5030, 5035, 5060.pdf</v>
      </c>
      <c r="Q918" s="51" t="str">
        <f>E918</f>
        <v>pdf</v>
      </c>
      <c r="R918" s="51"/>
      <c r="S918" s="51"/>
      <c r="T918" s="51"/>
      <c r="U918" s="51"/>
      <c r="V918" s="51"/>
      <c r="W918" s="51"/>
      <c r="X918" s="51"/>
      <c r="Y918" s="51"/>
      <c r="Z918" s="51"/>
      <c r="AA918" s="51"/>
      <c r="AB918" s="51"/>
      <c r="AC918" s="51"/>
      <c r="AD918" s="51"/>
      <c r="AG918" t="s">
        <v>1428</v>
      </c>
      <c r="AH918" s="51"/>
      <c r="AI918" s="51"/>
    </row>
    <row r="919" spans="2:35">
      <c r="B919" t="s">
        <v>1429</v>
      </c>
      <c r="C919" t="s">
        <v>2901</v>
      </c>
      <c r="D919">
        <v>11</v>
      </c>
      <c r="E919" t="s">
        <v>2791</v>
      </c>
      <c r="F919">
        <v>5</v>
      </c>
      <c r="G919">
        <v>12</v>
      </c>
      <c r="H919">
        <v>16</v>
      </c>
      <c r="I919" t="s">
        <v>1400</v>
      </c>
      <c r="J919" s="51">
        <v>41180</v>
      </c>
      <c r="K919" t="s">
        <v>27</v>
      </c>
      <c r="L919" t="s">
        <v>1253</v>
      </c>
      <c r="M919">
        <v>3</v>
      </c>
      <c r="N919" t="str">
        <f>L919</f>
        <v>NAM\MB3505</v>
      </c>
      <c r="O919" s="51">
        <f>J919</f>
        <v>41180</v>
      </c>
      <c r="P919" s="51" t="str">
        <f>C919</f>
        <v>~/cdd/olddocs/Flow Chart/MICROMINI/MS/FC-MS-013  SMEA0120010, 0030, 0040, 0045.pdf</v>
      </c>
      <c r="Q919" s="51" t="str">
        <f>E919</f>
        <v>pdf</v>
      </c>
      <c r="R919" s="51"/>
      <c r="S919" s="51"/>
      <c r="T919" s="51"/>
      <c r="U919" s="51"/>
      <c r="V919" s="51"/>
      <c r="W919" s="51"/>
      <c r="X919" s="51"/>
      <c r="Y919" s="51"/>
      <c r="Z919" s="51"/>
      <c r="AA919" s="51"/>
      <c r="AB919" s="51"/>
      <c r="AC919" s="51"/>
      <c r="AD919" s="51"/>
      <c r="AG919" t="s">
        <v>1430</v>
      </c>
      <c r="AH919" s="51"/>
      <c r="AI919" s="51"/>
    </row>
    <row r="920" spans="2:35">
      <c r="B920" t="s">
        <v>1454</v>
      </c>
      <c r="C920" t="s">
        <v>3856</v>
      </c>
      <c r="D920">
        <v>11</v>
      </c>
      <c r="E920" t="s">
        <v>2791</v>
      </c>
      <c r="F920">
        <v>5</v>
      </c>
      <c r="G920">
        <v>6</v>
      </c>
      <c r="H920">
        <v>14</v>
      </c>
      <c r="I920" t="s">
        <v>1455</v>
      </c>
      <c r="J920" s="51">
        <v>41178</v>
      </c>
      <c r="K920" t="s">
        <v>27</v>
      </c>
      <c r="L920" t="s">
        <v>1253</v>
      </c>
      <c r="M920">
        <v>3</v>
      </c>
      <c r="N920" t="str">
        <f>L920</f>
        <v>NAM\MB3505</v>
      </c>
      <c r="O920" s="51">
        <f>J920</f>
        <v>41178</v>
      </c>
      <c r="P920" s="51" t="str">
        <f>C920</f>
        <v>~cdd/olddocs/Flow Chart/SOLAR/FC-SOL-001  Diagrama de flujo Solar.pdf</v>
      </c>
      <c r="Q920" s="51" t="str">
        <f>E920</f>
        <v>pdf</v>
      </c>
      <c r="R920" s="51"/>
      <c r="S920" s="51"/>
      <c r="T920" s="51"/>
      <c r="U920" s="51"/>
      <c r="V920" s="51"/>
      <c r="W920" s="51"/>
      <c r="X920" s="51"/>
      <c r="Y920" s="51"/>
      <c r="Z920" s="51"/>
      <c r="AA920" s="51"/>
      <c r="AB920" s="51"/>
      <c r="AC920" s="51"/>
      <c r="AD920" s="51"/>
      <c r="AG920" t="s">
        <v>1456</v>
      </c>
      <c r="AH920" s="51"/>
      <c r="AI920" s="51"/>
    </row>
    <row r="921" spans="2:35">
      <c r="B921" t="s">
        <v>2032</v>
      </c>
      <c r="C921" t="s">
        <v>3866</v>
      </c>
      <c r="D921">
        <v>5</v>
      </c>
      <c r="E921" t="s">
        <v>2792</v>
      </c>
      <c r="F921">
        <v>4</v>
      </c>
      <c r="I921" t="s">
        <v>2033</v>
      </c>
      <c r="J921" s="51">
        <v>41212</v>
      </c>
      <c r="K921" t="s">
        <v>27</v>
      </c>
      <c r="L921" t="s">
        <v>1888</v>
      </c>
      <c r="M921">
        <v>3</v>
      </c>
      <c r="N921" t="str">
        <f>L921</f>
        <v>NAM\MA7784</v>
      </c>
      <c r="O921" s="51">
        <f>J921</f>
        <v>41212</v>
      </c>
      <c r="P921" s="51" t="str">
        <f>C921</f>
        <v>~cdd/olddocs/Formas/CNWI-ENGI (Ingenieria)/F-ENGI-03-001  Rev. A Production Feasability Agreement Form PFA 100208 Rev A.xls</v>
      </c>
      <c r="Q921" s="51" t="str">
        <f>E921</f>
        <v>xls</v>
      </c>
      <c r="R921" s="51"/>
      <c r="S921" s="51"/>
      <c r="T921" s="51"/>
      <c r="U921" s="51"/>
      <c r="V921" s="51"/>
      <c r="W921" s="51"/>
      <c r="X921" s="51"/>
      <c r="Y921" s="51"/>
      <c r="Z921" s="51"/>
      <c r="AA921" s="51"/>
      <c r="AB921" s="51"/>
      <c r="AC921" s="51"/>
      <c r="AD921" s="51"/>
      <c r="AG921" t="s">
        <v>28</v>
      </c>
      <c r="AH921" s="51"/>
      <c r="AI921" s="51"/>
    </row>
    <row r="922" spans="2:35">
      <c r="B922" t="s">
        <v>1505</v>
      </c>
      <c r="C922" t="s">
        <v>2931</v>
      </c>
      <c r="D922">
        <v>5</v>
      </c>
      <c r="E922" t="s">
        <v>2790</v>
      </c>
      <c r="F922">
        <v>17</v>
      </c>
      <c r="I922" t="s">
        <v>1506</v>
      </c>
      <c r="J922" s="51">
        <v>41198</v>
      </c>
      <c r="K922" t="s">
        <v>27</v>
      </c>
      <c r="L922" t="s">
        <v>1504</v>
      </c>
      <c r="M922">
        <v>3</v>
      </c>
      <c r="N922" t="str">
        <f>L922</f>
        <v>NAM\MB5781</v>
      </c>
      <c r="O922" s="51">
        <f>J922</f>
        <v>41198</v>
      </c>
      <c r="P922" s="51" t="str">
        <f>C922</f>
        <v>~/cdd/olddocs/Formas/CN-LEAN/Formatos/F-LEAN-01-001  Rev A Lista Maestra de IMC.xlsx</v>
      </c>
      <c r="Q922" s="51" t="str">
        <f>E922</f>
        <v>xlsx</v>
      </c>
      <c r="R922" s="51"/>
      <c r="S922" s="51"/>
      <c r="T922" s="51"/>
      <c r="U922" s="51"/>
      <c r="V922" s="51"/>
      <c r="W922" s="51"/>
      <c r="X922" s="51"/>
      <c r="Y922" s="51"/>
      <c r="Z922" s="51"/>
      <c r="AA922" s="51"/>
      <c r="AB922" s="51"/>
      <c r="AC922" s="51"/>
      <c r="AD922" s="51"/>
      <c r="AE922">
        <v>41197</v>
      </c>
      <c r="AG922" t="s">
        <v>28</v>
      </c>
      <c r="AH922" s="51"/>
      <c r="AI922" s="51"/>
    </row>
    <row r="923" spans="2:35">
      <c r="B923" t="s">
        <v>1507</v>
      </c>
      <c r="C923" t="s">
        <v>2932</v>
      </c>
      <c r="D923">
        <v>5</v>
      </c>
      <c r="E923" t="s">
        <v>2790</v>
      </c>
      <c r="F923">
        <v>17</v>
      </c>
      <c r="I923" t="s">
        <v>1508</v>
      </c>
      <c r="J923" s="51">
        <v>41197</v>
      </c>
      <c r="K923" t="s">
        <v>27</v>
      </c>
      <c r="L923" t="s">
        <v>1504</v>
      </c>
      <c r="M923">
        <v>3</v>
      </c>
      <c r="N923" t="str">
        <f>L923</f>
        <v>NAM\MB5781</v>
      </c>
      <c r="O923" s="51">
        <f>J923</f>
        <v>41197</v>
      </c>
      <c r="P923" s="51" t="str">
        <f>C923</f>
        <v>~/cdd/olddocs/Formas/CN-LEAN/Formatos/F-LEAN-01-002 Rev  A Plan de Eventos Kaizen.xlsx</v>
      </c>
      <c r="Q923" s="51" t="str">
        <f>E923</f>
        <v>xlsx</v>
      </c>
      <c r="R923" s="51"/>
      <c r="S923" s="51"/>
      <c r="T923" s="51"/>
      <c r="U923" s="51"/>
      <c r="V923" s="51"/>
      <c r="W923" s="51"/>
      <c r="X923" s="51"/>
      <c r="Y923" s="51"/>
      <c r="Z923" s="51"/>
      <c r="AA923" s="51"/>
      <c r="AB923" s="51"/>
      <c r="AC923" s="51"/>
      <c r="AD923" s="51"/>
      <c r="AE923">
        <v>41197</v>
      </c>
      <c r="AG923" t="s">
        <v>28</v>
      </c>
      <c r="AH923" s="51"/>
      <c r="AI923" s="51"/>
    </row>
    <row r="924" spans="2:35">
      <c r="B924" t="s">
        <v>1509</v>
      </c>
      <c r="C924" t="s">
        <v>2933</v>
      </c>
      <c r="D924">
        <v>5</v>
      </c>
      <c r="E924" t="s">
        <v>2790</v>
      </c>
      <c r="F924">
        <v>17</v>
      </c>
      <c r="I924" t="s">
        <v>1510</v>
      </c>
      <c r="J924" s="51">
        <v>41197</v>
      </c>
      <c r="K924" t="s">
        <v>27</v>
      </c>
      <c r="L924" t="s">
        <v>1504</v>
      </c>
      <c r="M924">
        <v>3</v>
      </c>
      <c r="N924" t="str">
        <f>L924</f>
        <v>NAM\MB5781</v>
      </c>
      <c r="O924" s="51">
        <f>J924</f>
        <v>41197</v>
      </c>
      <c r="P924" s="51" t="str">
        <f>C924</f>
        <v>~/cdd/olddocs/Formas/CN-LEAN/Formatos/F-LEAN-01-003 Rev  A Project Deck.xlsx</v>
      </c>
      <c r="Q924" s="51" t="str">
        <f>E924</f>
        <v>xlsx</v>
      </c>
      <c r="R924" s="51"/>
      <c r="S924" s="51"/>
      <c r="T924" s="51"/>
      <c r="U924" s="51"/>
      <c r="V924" s="51"/>
      <c r="W924" s="51"/>
      <c r="X924" s="51"/>
      <c r="Y924" s="51"/>
      <c r="Z924" s="51"/>
      <c r="AA924" s="51"/>
      <c r="AB924" s="51"/>
      <c r="AC924" s="51"/>
      <c r="AD924" s="51"/>
      <c r="AE924">
        <v>41197</v>
      </c>
      <c r="AG924" t="s">
        <v>28</v>
      </c>
      <c r="AH924" s="51"/>
      <c r="AI924" s="51"/>
    </row>
    <row r="925" spans="2:35">
      <c r="B925" t="s">
        <v>1511</v>
      </c>
      <c r="C925" t="s">
        <v>2934</v>
      </c>
      <c r="D925">
        <v>5</v>
      </c>
      <c r="E925" t="s">
        <v>2790</v>
      </c>
      <c r="F925">
        <v>17</v>
      </c>
      <c r="I925" t="s">
        <v>1512</v>
      </c>
      <c r="J925" s="51">
        <v>41199</v>
      </c>
      <c r="K925" t="s">
        <v>27</v>
      </c>
      <c r="L925" t="s">
        <v>1504</v>
      </c>
      <c r="M925">
        <v>3</v>
      </c>
      <c r="N925" t="str">
        <f>L925</f>
        <v>NAM\MB5781</v>
      </c>
      <c r="O925" s="51">
        <f>J925</f>
        <v>41199</v>
      </c>
      <c r="P925" s="51" t="str">
        <f>C925</f>
        <v>~/cdd/olddocs/Formas/CN-LEAN/Formatos/F-LEAN-01-004 Rev. A  Formato de IMC.xlsx</v>
      </c>
      <c r="Q925" s="51" t="str">
        <f>E925</f>
        <v>xlsx</v>
      </c>
      <c r="R925" s="51"/>
      <c r="S925" s="51"/>
      <c r="T925" s="51"/>
      <c r="U925" s="51"/>
      <c r="V925" s="51"/>
      <c r="W925" s="51"/>
      <c r="X925" s="51"/>
      <c r="Y925" s="51"/>
      <c r="Z925" s="51"/>
      <c r="AA925" s="51"/>
      <c r="AB925" s="51"/>
      <c r="AC925" s="51"/>
      <c r="AD925" s="51"/>
      <c r="AE925">
        <v>41199</v>
      </c>
      <c r="AG925" t="s">
        <v>28</v>
      </c>
      <c r="AH925" s="51"/>
      <c r="AI925" s="51"/>
    </row>
    <row r="926" spans="2:35">
      <c r="B926" t="s">
        <v>962</v>
      </c>
      <c r="C926" t="s">
        <v>2902</v>
      </c>
      <c r="D926">
        <v>14</v>
      </c>
      <c r="E926" t="s">
        <v>2791</v>
      </c>
      <c r="F926">
        <v>5</v>
      </c>
      <c r="G926">
        <v>10</v>
      </c>
      <c r="H926">
        <v>7</v>
      </c>
      <c r="I926" t="s">
        <v>964</v>
      </c>
      <c r="J926" s="51" t="s">
        <v>965</v>
      </c>
      <c r="K926" t="s">
        <v>27</v>
      </c>
      <c r="L926" t="s">
        <v>880</v>
      </c>
      <c r="M926">
        <v>3</v>
      </c>
      <c r="N926" t="str">
        <f>L926</f>
        <v>NAM\MB3488</v>
      </c>
      <c r="O926" s="51" t="str">
        <f>J926</f>
        <v xml:space="preserve"> 08/19/2012</v>
      </c>
      <c r="P926" s="51" t="str">
        <f>C926</f>
        <v>~/cdd/olddocs/FMEA/FMEA-AMSA-001  (cables AMSAFE).pdf</v>
      </c>
      <c r="Q926" s="51" t="str">
        <f>E926</f>
        <v>pdf</v>
      </c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G926" t="s">
        <v>964</v>
      </c>
      <c r="AH926" s="51"/>
      <c r="AI926" s="51"/>
    </row>
    <row r="927" spans="2:35">
      <c r="B927" t="s">
        <v>1084</v>
      </c>
      <c r="C927" t="s">
        <v>2903</v>
      </c>
      <c r="D927">
        <v>14</v>
      </c>
      <c r="E927" t="s">
        <v>2791</v>
      </c>
      <c r="F927">
        <v>5</v>
      </c>
      <c r="G927">
        <v>10</v>
      </c>
      <c r="H927">
        <v>10</v>
      </c>
      <c r="I927" t="s">
        <v>3778</v>
      </c>
      <c r="J927" s="51">
        <v>41149</v>
      </c>
      <c r="K927" t="s">
        <v>27</v>
      </c>
      <c r="L927" t="s">
        <v>880</v>
      </c>
      <c r="M927">
        <v>3</v>
      </c>
      <c r="N927" t="str">
        <f>L927</f>
        <v>NAM\MB3488</v>
      </c>
      <c r="O927" s="51">
        <f>J927</f>
        <v>41149</v>
      </c>
      <c r="P927" s="51" t="str">
        <f>C927</f>
        <v>~/cdd/olddocs/FMEA/ITRON/BONDING/FMEA -BOND-002  002359-TAB 002360-TAB  002361-TAB.pdf</v>
      </c>
      <c r="Q927" s="51" t="str">
        <f>E927</f>
        <v>pdf</v>
      </c>
      <c r="R927" s="51"/>
      <c r="S927" s="51"/>
      <c r="T927" s="51"/>
      <c r="U927" s="51"/>
      <c r="V927" s="51"/>
      <c r="W927" s="51"/>
      <c r="X927" s="51"/>
      <c r="Y927" s="51"/>
      <c r="Z927" s="51"/>
      <c r="AA927" s="51"/>
      <c r="AB927" s="51"/>
      <c r="AC927" s="51"/>
      <c r="AD927" s="51"/>
      <c r="AG927" t="s">
        <v>973</v>
      </c>
      <c r="AH927" s="51"/>
      <c r="AI927" s="51"/>
    </row>
    <row r="928" spans="2:35">
      <c r="B928" t="s">
        <v>1086</v>
      </c>
      <c r="C928" t="s">
        <v>2904</v>
      </c>
      <c r="D928">
        <v>14</v>
      </c>
      <c r="E928" t="s">
        <v>2791</v>
      </c>
      <c r="F928">
        <v>5</v>
      </c>
      <c r="G928">
        <v>10</v>
      </c>
      <c r="H928">
        <v>10</v>
      </c>
      <c r="I928" t="s">
        <v>1087</v>
      </c>
      <c r="J928" s="51">
        <v>41181</v>
      </c>
      <c r="K928" t="s">
        <v>27</v>
      </c>
      <c r="L928" t="s">
        <v>880</v>
      </c>
      <c r="M928">
        <v>3</v>
      </c>
      <c r="N928" t="str">
        <f>L928</f>
        <v>NAM\MB3488</v>
      </c>
      <c r="O928" s="51">
        <f>J928</f>
        <v>41181</v>
      </c>
      <c r="P928" s="51" t="str">
        <f>C928</f>
        <v>~/cdd/olddocs/FMEA/ITRON/BONDING/FMEA-BOND-003  BACC65 TODOS.pdf</v>
      </c>
      <c r="Q928" s="51" t="str">
        <f>E928</f>
        <v>pdf</v>
      </c>
      <c r="R928" s="51"/>
      <c r="S928" s="51"/>
      <c r="T928" s="51"/>
      <c r="U928" s="51"/>
      <c r="V928" s="51"/>
      <c r="W928" s="51"/>
      <c r="X928" s="51"/>
      <c r="Y928" s="51"/>
      <c r="Z928" s="51"/>
      <c r="AA928" s="51"/>
      <c r="AB928" s="51"/>
      <c r="AC928" s="51"/>
      <c r="AD928" s="51"/>
      <c r="AG928" t="s">
        <v>1088</v>
      </c>
      <c r="AH928" s="51"/>
      <c r="AI928" s="51"/>
    </row>
    <row r="929" spans="2:35">
      <c r="B929" t="s">
        <v>1338</v>
      </c>
      <c r="C929" t="e">
        <v>#VALUE!</v>
      </c>
      <c r="D929">
        <v>14</v>
      </c>
      <c r="E929" t="e">
        <v>#VALUE!</v>
      </c>
      <c r="F929">
        <v>5</v>
      </c>
      <c r="G929">
        <v>12</v>
      </c>
      <c r="H929">
        <v>4</v>
      </c>
      <c r="I929" t="s">
        <v>1339</v>
      </c>
      <c r="J929" s="51">
        <v>41186</v>
      </c>
      <c r="K929" t="s">
        <v>27</v>
      </c>
      <c r="L929" t="s">
        <v>1253</v>
      </c>
      <c r="M929">
        <v>3</v>
      </c>
      <c r="N929" t="str">
        <f>L929</f>
        <v>NAM\MB3505</v>
      </c>
      <c r="O929" s="51">
        <f>J929</f>
        <v>41186</v>
      </c>
      <c r="P929" s="51" t="e">
        <f>C929</f>
        <v>#VALUE!</v>
      </c>
      <c r="Q929" s="51" t="e">
        <f>E929</f>
        <v>#VALUE!</v>
      </c>
      <c r="R929" s="51"/>
      <c r="S929" s="51"/>
      <c r="T929" s="51"/>
      <c r="U929" s="51"/>
      <c r="V929" s="51"/>
      <c r="W929" s="51"/>
      <c r="X929" s="51"/>
      <c r="Y929" s="51"/>
      <c r="Z929" s="51"/>
      <c r="AA929" s="51"/>
      <c r="AB929" s="51"/>
      <c r="AC929" s="51"/>
      <c r="AD929" s="51"/>
      <c r="AG929" t="s">
        <v>1267</v>
      </c>
      <c r="AH929" s="51"/>
      <c r="AI929" s="51"/>
    </row>
    <row r="930" spans="2:35">
      <c r="B930" t="s">
        <v>1340</v>
      </c>
      <c r="C930" t="s">
        <v>2907</v>
      </c>
      <c r="D930">
        <v>14</v>
      </c>
      <c r="E930" t="s">
        <v>2791</v>
      </c>
      <c r="F930">
        <v>5</v>
      </c>
      <c r="G930">
        <v>12</v>
      </c>
      <c r="H930">
        <v>4</v>
      </c>
      <c r="I930" t="s">
        <v>1341</v>
      </c>
      <c r="J930" s="51">
        <v>41186</v>
      </c>
      <c r="K930" t="s">
        <v>27</v>
      </c>
      <c r="L930" t="s">
        <v>1253</v>
      </c>
      <c r="M930">
        <v>3</v>
      </c>
      <c r="N930" t="str">
        <f>L930</f>
        <v>NAM\MB3505</v>
      </c>
      <c r="O930" s="51">
        <f>J930</f>
        <v>41186</v>
      </c>
      <c r="P930" s="51" t="str">
        <f>C930</f>
        <v>~/cdd/olddocs/FMEA/MICROMINI/CHANGE-OUT/FMEA-CHGO-003  CX8653316P.pdf</v>
      </c>
      <c r="Q930" s="51" t="str">
        <f>E930</f>
        <v>pdf</v>
      </c>
      <c r="R930" s="51"/>
      <c r="S930" s="51"/>
      <c r="T930" s="51"/>
      <c r="U930" s="51"/>
      <c r="V930" s="51"/>
      <c r="W930" s="51"/>
      <c r="X930" s="51"/>
      <c r="Y930" s="51"/>
      <c r="Z930" s="51"/>
      <c r="AA930" s="51"/>
      <c r="AB930" s="51"/>
      <c r="AC930" s="51"/>
      <c r="AD930" s="51"/>
      <c r="AG930" t="s">
        <v>1269</v>
      </c>
      <c r="AH930" s="51"/>
      <c r="AI930" s="51"/>
    </row>
    <row r="931" spans="2:35">
      <c r="B931" t="s">
        <v>1342</v>
      </c>
      <c r="C931" t="s">
        <v>2908</v>
      </c>
      <c r="D931">
        <v>14</v>
      </c>
      <c r="E931" t="s">
        <v>2791</v>
      </c>
      <c r="F931">
        <v>5</v>
      </c>
      <c r="G931">
        <v>12</v>
      </c>
      <c r="H931">
        <v>4</v>
      </c>
      <c r="I931" t="s">
        <v>1273</v>
      </c>
      <c r="J931" s="51">
        <v>41186</v>
      </c>
      <c r="K931" t="s">
        <v>27</v>
      </c>
      <c r="L931" t="s">
        <v>1253</v>
      </c>
      <c r="M931">
        <v>3</v>
      </c>
      <c r="N931" t="str">
        <f>L931</f>
        <v>NAM\MB3505</v>
      </c>
      <c r="O931" s="51">
        <f>J931</f>
        <v>41186</v>
      </c>
      <c r="P931" s="51" t="str">
        <f>C931</f>
        <v>~/cdd/olddocs/FMEA/MICROMINI/CHANGE-OUT/FMEA-CHGO-005  CX8653346P.pdf</v>
      </c>
      <c r="Q931" s="51" t="str">
        <f>E931</f>
        <v>pdf</v>
      </c>
      <c r="R931" s="51"/>
      <c r="S931" s="51"/>
      <c r="T931" s="51"/>
      <c r="U931" s="51"/>
      <c r="V931" s="51"/>
      <c r="W931" s="51"/>
      <c r="X931" s="51"/>
      <c r="Y931" s="51"/>
      <c r="Z931" s="51"/>
      <c r="AA931" s="51"/>
      <c r="AB931" s="51"/>
      <c r="AC931" s="51"/>
      <c r="AD931" s="51"/>
      <c r="AG931" t="s">
        <v>1274</v>
      </c>
      <c r="AH931" s="51"/>
      <c r="AI931" s="51"/>
    </row>
    <row r="932" spans="2:35">
      <c r="B932" t="s">
        <v>1343</v>
      </c>
      <c r="C932" t="s">
        <v>2909</v>
      </c>
      <c r="D932">
        <v>14</v>
      </c>
      <c r="E932" t="s">
        <v>2791</v>
      </c>
      <c r="F932">
        <v>5</v>
      </c>
      <c r="G932">
        <v>12</v>
      </c>
      <c r="H932">
        <v>4</v>
      </c>
      <c r="I932" t="s">
        <v>1344</v>
      </c>
      <c r="J932" s="51">
        <v>41186</v>
      </c>
      <c r="K932" t="s">
        <v>27</v>
      </c>
      <c r="L932" t="s">
        <v>1253</v>
      </c>
      <c r="M932">
        <v>3</v>
      </c>
      <c r="N932" t="str">
        <f>L932</f>
        <v>NAM\MB3505</v>
      </c>
      <c r="O932" s="51">
        <f>J932</f>
        <v>41186</v>
      </c>
      <c r="P932" s="51" t="str">
        <f>C932</f>
        <v>~/cdd/olddocs/FMEA/MICROMINI/CHANGE-OUT/FMEA-CHGO-006  X865248P.pdf</v>
      </c>
      <c r="Q932" s="51" t="str">
        <f>E932</f>
        <v>pdf</v>
      </c>
      <c r="R932" s="51"/>
      <c r="S932" s="51"/>
      <c r="T932" s="51"/>
      <c r="U932" s="51"/>
      <c r="V932" s="51"/>
      <c r="W932" s="51"/>
      <c r="X932" s="51"/>
      <c r="Y932" s="51"/>
      <c r="Z932" s="51"/>
      <c r="AA932" s="51"/>
      <c r="AB932" s="51"/>
      <c r="AC932" s="51"/>
      <c r="AD932" s="51"/>
      <c r="AG932" t="s">
        <v>1334</v>
      </c>
      <c r="AH932" s="51"/>
      <c r="AI932" s="51"/>
    </row>
    <row r="933" spans="2:35">
      <c r="B933" t="s">
        <v>1345</v>
      </c>
      <c r="C933" t="s">
        <v>2910</v>
      </c>
      <c r="D933">
        <v>14</v>
      </c>
      <c r="E933" t="s">
        <v>2791</v>
      </c>
      <c r="F933">
        <v>5</v>
      </c>
      <c r="G933">
        <v>12</v>
      </c>
      <c r="H933">
        <v>4</v>
      </c>
      <c r="I933" t="s">
        <v>1279</v>
      </c>
      <c r="J933" s="51">
        <v>41186</v>
      </c>
      <c r="K933" t="s">
        <v>27</v>
      </c>
      <c r="L933" t="s">
        <v>1253</v>
      </c>
      <c r="M933">
        <v>3</v>
      </c>
      <c r="N933" t="str">
        <f>L933</f>
        <v>NAM\MB3505</v>
      </c>
      <c r="O933" s="51">
        <f>J933</f>
        <v>41186</v>
      </c>
      <c r="P933" s="51" t="str">
        <f>C933</f>
        <v>~/cdd/olddocs/FMEA/MICROMINI/CHANGE-OUT/FMEA-CHGO-007  AX865251P.pdf</v>
      </c>
      <c r="Q933" s="51" t="str">
        <f>E933</f>
        <v>pdf</v>
      </c>
      <c r="R933" s="51"/>
      <c r="S933" s="51"/>
      <c r="T933" s="51"/>
      <c r="U933" s="51"/>
      <c r="V933" s="51"/>
      <c r="W933" s="51"/>
      <c r="X933" s="51"/>
      <c r="Y933" s="51"/>
      <c r="Z933" s="51"/>
      <c r="AA933" s="51"/>
      <c r="AB933" s="51"/>
      <c r="AC933" s="51"/>
      <c r="AD933" s="51"/>
      <c r="AG933" t="s">
        <v>1280</v>
      </c>
      <c r="AH933" s="51"/>
      <c r="AI933" s="51"/>
    </row>
    <row r="934" spans="2:35">
      <c r="B934" t="s">
        <v>1346</v>
      </c>
      <c r="C934" t="e">
        <v>#VALUE!</v>
      </c>
      <c r="D934">
        <v>14</v>
      </c>
      <c r="E934" t="e">
        <v>#VALUE!</v>
      </c>
      <c r="F934">
        <v>5</v>
      </c>
      <c r="G934">
        <v>12</v>
      </c>
      <c r="H934">
        <v>4</v>
      </c>
      <c r="I934" t="s">
        <v>1347</v>
      </c>
      <c r="J934" s="51">
        <v>41186</v>
      </c>
      <c r="K934" t="s">
        <v>27</v>
      </c>
      <c r="L934" t="s">
        <v>1253</v>
      </c>
      <c r="M934">
        <v>3</v>
      </c>
      <c r="N934" t="str">
        <f>L934</f>
        <v>NAM\MB3505</v>
      </c>
      <c r="O934" s="51">
        <f>J934</f>
        <v>41186</v>
      </c>
      <c r="P934" s="51" t="e">
        <f>C934</f>
        <v>#VALUE!</v>
      </c>
      <c r="Q934" s="51" t="e">
        <f>E934</f>
        <v>#VALUE!</v>
      </c>
      <c r="R934" s="51"/>
      <c r="S934" s="51"/>
      <c r="T934" s="51"/>
      <c r="U934" s="51"/>
      <c r="V934" s="51"/>
      <c r="W934" s="51"/>
      <c r="X934" s="51"/>
      <c r="Y934" s="51"/>
      <c r="Z934" s="51"/>
      <c r="AA934" s="51"/>
      <c r="AB934" s="51"/>
      <c r="AC934" s="51"/>
      <c r="AD934" s="51"/>
      <c r="AG934" t="s">
        <v>1348</v>
      </c>
      <c r="AH934" s="51"/>
      <c r="AI934" s="51"/>
    </row>
    <row r="935" spans="2:35">
      <c r="B935" t="s">
        <v>1349</v>
      </c>
      <c r="C935" t="s">
        <v>2911</v>
      </c>
      <c r="D935">
        <v>14</v>
      </c>
      <c r="E935" t="s">
        <v>2791</v>
      </c>
      <c r="F935">
        <v>5</v>
      </c>
      <c r="G935">
        <v>12</v>
      </c>
      <c r="H935">
        <v>4</v>
      </c>
      <c r="I935" t="s">
        <v>1341</v>
      </c>
      <c r="J935" s="51">
        <v>41186</v>
      </c>
      <c r="K935" t="s">
        <v>27</v>
      </c>
      <c r="L935" t="s">
        <v>1253</v>
      </c>
      <c r="M935">
        <v>3</v>
      </c>
      <c r="N935" t="str">
        <f>L935</f>
        <v>NAM\MB3505</v>
      </c>
      <c r="O935" s="51">
        <f>J935</f>
        <v>41186</v>
      </c>
      <c r="P935" s="51" t="str">
        <f>C935</f>
        <v>~/cdd/olddocs/FMEA/MICROMINI/CHANGE-OUT/FMEA-CHGO-009   X865344P.pdf</v>
      </c>
      <c r="Q935" s="51" t="str">
        <f>E935</f>
        <v>pdf</v>
      </c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G935" t="s">
        <v>1350</v>
      </c>
      <c r="AH935" s="51"/>
      <c r="AI935" s="51"/>
    </row>
    <row r="936" spans="2:35">
      <c r="B936" t="s">
        <v>1351</v>
      </c>
      <c r="C936" t="s">
        <v>2912</v>
      </c>
      <c r="D936">
        <v>14</v>
      </c>
      <c r="E936" t="s">
        <v>2791</v>
      </c>
      <c r="F936">
        <v>5</v>
      </c>
      <c r="G936">
        <v>12</v>
      </c>
      <c r="H936">
        <v>4</v>
      </c>
      <c r="I936" t="s">
        <v>1288</v>
      </c>
      <c r="J936" s="51">
        <v>41187</v>
      </c>
      <c r="K936" t="s">
        <v>27</v>
      </c>
      <c r="L936" t="s">
        <v>1253</v>
      </c>
      <c r="M936">
        <v>3</v>
      </c>
      <c r="N936" t="str">
        <f>L936</f>
        <v>NAM\MB3505</v>
      </c>
      <c r="O936" s="51">
        <f>J936</f>
        <v>41187</v>
      </c>
      <c r="P936" s="51" t="str">
        <f>C936</f>
        <v>~/cdd/olddocs/FMEA/MICROMINI/CHANGE-OUT/FMEA-CHGO-010 .pdf</v>
      </c>
      <c r="Q936" s="51" t="str">
        <f>E936</f>
        <v>pdf</v>
      </c>
      <c r="R936" s="51"/>
      <c r="S936" s="51"/>
      <c r="T936" s="51"/>
      <c r="U936" s="51"/>
      <c r="V936" s="51"/>
      <c r="W936" s="51"/>
      <c r="X936" s="51"/>
      <c r="Y936" s="51"/>
      <c r="Z936" s="51"/>
      <c r="AA936" s="51"/>
      <c r="AB936" s="51"/>
      <c r="AC936" s="51"/>
      <c r="AD936" s="51"/>
      <c r="AG936" t="s">
        <v>1352</v>
      </c>
      <c r="AH936" s="51"/>
      <c r="AI936" s="51"/>
    </row>
    <row r="937" spans="2:35">
      <c r="B937" t="s">
        <v>1353</v>
      </c>
      <c r="C937" t="s">
        <v>2913</v>
      </c>
      <c r="D937">
        <v>14</v>
      </c>
      <c r="E937" t="s">
        <v>2791</v>
      </c>
      <c r="F937">
        <v>5</v>
      </c>
      <c r="G937">
        <v>12</v>
      </c>
      <c r="H937">
        <v>4</v>
      </c>
      <c r="I937" t="s">
        <v>1354</v>
      </c>
      <c r="J937" s="51">
        <v>41191</v>
      </c>
      <c r="K937" t="s">
        <v>27</v>
      </c>
      <c r="L937" t="s">
        <v>1253</v>
      </c>
      <c r="M937">
        <v>3</v>
      </c>
      <c r="N937" t="str">
        <f>L937</f>
        <v>NAM\MB3505</v>
      </c>
      <c r="O937" s="51">
        <f>J937</f>
        <v>41191</v>
      </c>
      <c r="P937" s="51" t="str">
        <f>C937</f>
        <v>~/cdd/olddocs/FMEA/MICROMINI/CHANGE-OUT/FMEA-CHGO-011  X8651648P.pdf</v>
      </c>
      <c r="Q937" s="51" t="str">
        <f>E937</f>
        <v>pdf</v>
      </c>
      <c r="R937" s="51"/>
      <c r="S937" s="51"/>
      <c r="T937" s="51"/>
      <c r="U937" s="51"/>
      <c r="V937" s="51"/>
      <c r="W937" s="51"/>
      <c r="X937" s="51"/>
      <c r="Y937" s="51"/>
      <c r="Z937" s="51"/>
      <c r="AA937" s="51"/>
      <c r="AB937" s="51"/>
      <c r="AC937" s="51"/>
      <c r="AD937" s="51"/>
      <c r="AG937" t="s">
        <v>1355</v>
      </c>
      <c r="AH937" s="51"/>
      <c r="AI937" s="51"/>
    </row>
    <row r="938" spans="2:35">
      <c r="B938" t="s">
        <v>1356</v>
      </c>
      <c r="C938" t="s">
        <v>2914</v>
      </c>
      <c r="D938">
        <v>14</v>
      </c>
      <c r="E938" t="s">
        <v>2791</v>
      </c>
      <c r="F938">
        <v>5</v>
      </c>
      <c r="G938">
        <v>12</v>
      </c>
      <c r="H938">
        <v>4</v>
      </c>
      <c r="I938" t="s">
        <v>1357</v>
      </c>
      <c r="J938" s="51">
        <v>41191</v>
      </c>
      <c r="K938" t="s">
        <v>27</v>
      </c>
      <c r="L938" t="s">
        <v>1253</v>
      </c>
      <c r="M938">
        <v>3</v>
      </c>
      <c r="N938" t="str">
        <f>L938</f>
        <v>NAM\MB3505</v>
      </c>
      <c r="O938" s="51">
        <f>J938</f>
        <v>41191</v>
      </c>
      <c r="P938" s="51" t="str">
        <f>C938</f>
        <v>~/cdd/olddocs/FMEA/MICROMINI/CHANGE-OUT/FMEA-CHGO-012  X8653325.pdf</v>
      </c>
      <c r="Q938" s="51" t="str">
        <f>E938</f>
        <v>pdf</v>
      </c>
      <c r="R938" s="51"/>
      <c r="S938" s="51"/>
      <c r="T938" s="51"/>
      <c r="U938" s="51"/>
      <c r="V938" s="51"/>
      <c r="W938" s="51"/>
      <c r="X938" s="51"/>
      <c r="Y938" s="51"/>
      <c r="Z938" s="51"/>
      <c r="AA938" s="51"/>
      <c r="AB938" s="51"/>
      <c r="AC938" s="51"/>
      <c r="AD938" s="51"/>
      <c r="AG938" t="s">
        <v>1328</v>
      </c>
      <c r="AH938" s="51"/>
      <c r="AI938" s="51"/>
    </row>
    <row r="939" spans="2:35">
      <c r="B939" t="s">
        <v>1358</v>
      </c>
      <c r="C939" t="s">
        <v>2915</v>
      </c>
      <c r="D939">
        <v>14</v>
      </c>
      <c r="E939" t="s">
        <v>2791</v>
      </c>
      <c r="F939">
        <v>5</v>
      </c>
      <c r="G939">
        <v>12</v>
      </c>
      <c r="H939">
        <v>4</v>
      </c>
      <c r="I939" t="s">
        <v>1359</v>
      </c>
      <c r="J939" s="51">
        <v>41191</v>
      </c>
      <c r="K939" t="s">
        <v>27</v>
      </c>
      <c r="L939" t="s">
        <v>1253</v>
      </c>
      <c r="M939">
        <v>3</v>
      </c>
      <c r="N939" t="str">
        <f>L939</f>
        <v>NAM\MB3505</v>
      </c>
      <c r="O939" s="51">
        <f>J939</f>
        <v>41191</v>
      </c>
      <c r="P939" s="51" t="str">
        <f>C939</f>
        <v>~/cdd/olddocs/FMEA/MICROMINI/CHANGE-OUT/FMEA-CHGO-013  X8653382P.pdf</v>
      </c>
      <c r="Q939" s="51" t="str">
        <f>E939</f>
        <v>pdf</v>
      </c>
      <c r="R939" s="51"/>
      <c r="S939" s="51"/>
      <c r="T939" s="51"/>
      <c r="U939" s="51"/>
      <c r="V939" s="51"/>
      <c r="W939" s="51"/>
      <c r="X939" s="51"/>
      <c r="Y939" s="51"/>
      <c r="Z939" s="51"/>
      <c r="AA939" s="51"/>
      <c r="AB939" s="51"/>
      <c r="AC939" s="51"/>
      <c r="AD939" s="51"/>
      <c r="AG939" t="s">
        <v>1297</v>
      </c>
      <c r="AH939" s="51"/>
      <c r="AI939" s="51"/>
    </row>
    <row r="940" spans="2:35">
      <c r="B940" t="s">
        <v>1360</v>
      </c>
      <c r="C940" t="s">
        <v>2916</v>
      </c>
      <c r="D940">
        <v>14</v>
      </c>
      <c r="E940" t="s">
        <v>2791</v>
      </c>
      <c r="F940">
        <v>5</v>
      </c>
      <c r="G940">
        <v>12</v>
      </c>
      <c r="H940">
        <v>4</v>
      </c>
      <c r="I940" t="s">
        <v>1299</v>
      </c>
      <c r="J940" s="51">
        <v>41191</v>
      </c>
      <c r="K940" t="s">
        <v>27</v>
      </c>
      <c r="L940" t="s">
        <v>1253</v>
      </c>
      <c r="M940">
        <v>3</v>
      </c>
      <c r="N940" t="str">
        <f>L940</f>
        <v>NAM\MB3505</v>
      </c>
      <c r="O940" s="51">
        <f>J940</f>
        <v>41191</v>
      </c>
      <c r="P940" s="51" t="str">
        <f>C940</f>
        <v>~/cdd/olddocs/FMEA/MICROMINI/CHANGE-OUT/FMEA-CHGO-014     X8653568P.pdf</v>
      </c>
      <c r="Q940" s="51" t="str">
        <f>E940</f>
        <v>pdf</v>
      </c>
      <c r="R940" s="51"/>
      <c r="S940" s="51"/>
      <c r="T940" s="51"/>
      <c r="U940" s="51"/>
      <c r="V940" s="51"/>
      <c r="W940" s="51"/>
      <c r="X940" s="51"/>
      <c r="Y940" s="51"/>
      <c r="Z940" s="51"/>
      <c r="AA940" s="51"/>
      <c r="AB940" s="51"/>
      <c r="AC940" s="51"/>
      <c r="AD940" s="51"/>
      <c r="AG940" t="s">
        <v>1300</v>
      </c>
      <c r="AH940" s="51"/>
      <c r="AI940" s="51"/>
    </row>
    <row r="941" spans="2:35">
      <c r="B941" t="s">
        <v>1361</v>
      </c>
      <c r="C941" t="e">
        <v>#VALUE!</v>
      </c>
      <c r="D941">
        <v>14</v>
      </c>
      <c r="E941" t="e">
        <v>#VALUE!</v>
      </c>
      <c r="F941">
        <v>5</v>
      </c>
      <c r="G941">
        <v>12</v>
      </c>
      <c r="H941">
        <v>4</v>
      </c>
      <c r="I941" t="s">
        <v>1362</v>
      </c>
      <c r="J941" s="51">
        <v>41191</v>
      </c>
      <c r="K941" t="s">
        <v>27</v>
      </c>
      <c r="L941" t="s">
        <v>1253</v>
      </c>
      <c r="M941">
        <v>3</v>
      </c>
      <c r="N941" t="str">
        <f>L941</f>
        <v>NAM\MB3505</v>
      </c>
      <c r="O941" s="51">
        <f>J941</f>
        <v>41191</v>
      </c>
      <c r="P941" s="51" t="e">
        <f>C941</f>
        <v>#VALUE!</v>
      </c>
      <c r="Q941" s="51" t="e">
        <f>E941</f>
        <v>#VALUE!</v>
      </c>
      <c r="R941" s="51"/>
      <c r="S941" s="51"/>
      <c r="T941" s="51"/>
      <c r="U941" s="51"/>
      <c r="V941" s="51"/>
      <c r="W941" s="51"/>
      <c r="X941" s="51"/>
      <c r="Y941" s="51"/>
      <c r="Z941" s="51"/>
      <c r="AA941" s="51"/>
      <c r="AB941" s="51"/>
      <c r="AC941" s="51"/>
      <c r="AD941" s="51"/>
      <c r="AG941" t="s">
        <v>1303</v>
      </c>
      <c r="AH941" s="51"/>
      <c r="AI941" s="51"/>
    </row>
    <row r="942" spans="2:35">
      <c r="B942" t="s">
        <v>1363</v>
      </c>
      <c r="C942" t="s">
        <v>2917</v>
      </c>
      <c r="D942">
        <v>14</v>
      </c>
      <c r="E942" t="s">
        <v>2791</v>
      </c>
      <c r="F942">
        <v>5</v>
      </c>
      <c r="G942">
        <v>12</v>
      </c>
      <c r="H942">
        <v>4</v>
      </c>
      <c r="I942" t="s">
        <v>1344</v>
      </c>
      <c r="J942" s="51">
        <v>41193</v>
      </c>
      <c r="K942" t="s">
        <v>27</v>
      </c>
      <c r="L942" t="s">
        <v>1253</v>
      </c>
      <c r="M942">
        <v>3</v>
      </c>
      <c r="N942" t="str">
        <f>L942</f>
        <v>NAM\MB3505</v>
      </c>
      <c r="O942" s="51">
        <f>J942</f>
        <v>41193</v>
      </c>
      <c r="P942" s="51" t="str">
        <f>C942</f>
        <v>~/cdd/olddocs/FMEA/MICROMINI/CHANGE-OUT/FMEA-CHGO-016  X86521624p.pdf</v>
      </c>
      <c r="Q942" s="51" t="str">
        <f>E942</f>
        <v>pdf</v>
      </c>
      <c r="R942" s="51"/>
      <c r="S942" s="51"/>
      <c r="T942" s="51"/>
      <c r="U942" s="51"/>
      <c r="V942" s="51"/>
      <c r="W942" s="51"/>
      <c r="X942" s="51"/>
      <c r="Y942" s="51"/>
      <c r="Z942" s="51"/>
      <c r="AA942" s="51"/>
      <c r="AB942" s="51"/>
      <c r="AC942" s="51"/>
      <c r="AD942" s="51"/>
      <c r="AG942" t="s">
        <v>1334</v>
      </c>
      <c r="AH942" s="51"/>
      <c r="AI942" s="51"/>
    </row>
    <row r="943" spans="2:35">
      <c r="B943" t="s">
        <v>1364</v>
      </c>
      <c r="C943" t="s">
        <v>2918</v>
      </c>
      <c r="D943">
        <v>14</v>
      </c>
      <c r="E943" t="s">
        <v>2791</v>
      </c>
      <c r="F943">
        <v>5</v>
      </c>
      <c r="G943">
        <v>12</v>
      </c>
      <c r="H943">
        <v>4</v>
      </c>
      <c r="I943" t="s">
        <v>1365</v>
      </c>
      <c r="J943" s="51">
        <v>41193</v>
      </c>
      <c r="K943" t="s">
        <v>27</v>
      </c>
      <c r="L943" t="s">
        <v>1253</v>
      </c>
      <c r="M943">
        <v>3</v>
      </c>
      <c r="N943" t="str">
        <f>L943</f>
        <v>NAM\MB3505</v>
      </c>
      <c r="O943" s="51">
        <f>J943</f>
        <v>41193</v>
      </c>
      <c r="P943" s="51" t="str">
        <f>C943</f>
        <v>~/cdd/olddocs/FMEA/MICROMINI/CHANGE-OUT/FMEA-CHGO-017   X86531621P.pdf</v>
      </c>
      <c r="Q943" s="51" t="str">
        <f>E943</f>
        <v>pdf</v>
      </c>
      <c r="R943" s="51"/>
      <c r="S943" s="51"/>
      <c r="T943" s="51"/>
      <c r="U943" s="51"/>
      <c r="V943" s="51"/>
      <c r="W943" s="51"/>
      <c r="X943" s="51"/>
      <c r="Y943" s="51"/>
      <c r="Z943" s="51"/>
      <c r="AA943" s="51"/>
      <c r="AB943" s="51"/>
      <c r="AC943" s="51"/>
      <c r="AD943" s="51"/>
      <c r="AG943" t="s">
        <v>1366</v>
      </c>
      <c r="AH943" s="51"/>
      <c r="AI943" s="51"/>
    </row>
    <row r="944" spans="2:35">
      <c r="B944" t="s">
        <v>1094</v>
      </c>
      <c r="C944" t="s">
        <v>2905</v>
      </c>
      <c r="D944">
        <v>14</v>
      </c>
      <c r="E944" t="s">
        <v>2791</v>
      </c>
      <c r="F944">
        <v>5</v>
      </c>
      <c r="G944">
        <v>9</v>
      </c>
      <c r="H944">
        <v>1</v>
      </c>
      <c r="I944" t="s">
        <v>1097</v>
      </c>
      <c r="J944" s="51">
        <v>41144</v>
      </c>
      <c r="K944" t="s">
        <v>27</v>
      </c>
      <c r="L944" t="s">
        <v>880</v>
      </c>
      <c r="M944">
        <v>3</v>
      </c>
      <c r="N944" t="str">
        <f>L944</f>
        <v>NAM\MB3488</v>
      </c>
      <c r="O944" s="51">
        <f>J944</f>
        <v>41144</v>
      </c>
      <c r="P944" s="51" t="str">
        <f>C944</f>
        <v>~/cdd/olddocs/FMEA/ITRON/PLUG/FMEA- IPLUG-001 Rev. A  CBA-1300-00628-2302-0001.pdf</v>
      </c>
      <c r="Q944" s="51" t="str">
        <f>E944</f>
        <v>pdf</v>
      </c>
      <c r="R944" s="51"/>
      <c r="S944" s="51"/>
      <c r="T944" s="51"/>
      <c r="U944" s="51"/>
      <c r="V944" s="51"/>
      <c r="W944" s="51"/>
      <c r="X944" s="51"/>
      <c r="Y944" s="51"/>
      <c r="Z944" s="51"/>
      <c r="AA944" s="51"/>
      <c r="AB944" s="51"/>
      <c r="AC944" s="51"/>
      <c r="AD944" s="51"/>
      <c r="AG944" t="s">
        <v>1098</v>
      </c>
      <c r="AH944" s="51"/>
      <c r="AI944" s="51"/>
    </row>
    <row r="945" spans="2:35">
      <c r="B945" t="s">
        <v>1099</v>
      </c>
      <c r="C945" t="s">
        <v>2906</v>
      </c>
      <c r="D945">
        <v>14</v>
      </c>
      <c r="E945" t="s">
        <v>2791</v>
      </c>
      <c r="F945">
        <v>5</v>
      </c>
      <c r="G945">
        <v>9</v>
      </c>
      <c r="H945">
        <v>1</v>
      </c>
      <c r="I945" t="s">
        <v>972</v>
      </c>
      <c r="J945" s="51">
        <v>41149</v>
      </c>
      <c r="K945" t="s">
        <v>27</v>
      </c>
      <c r="L945" t="s">
        <v>880</v>
      </c>
      <c r="M945">
        <v>3</v>
      </c>
      <c r="N945" t="str">
        <f>L945</f>
        <v>NAM\MB3488</v>
      </c>
      <c r="O945" s="51">
        <f>J945</f>
        <v>41149</v>
      </c>
      <c r="P945" s="51" t="str">
        <f>C945</f>
        <v>~/cdd/olddocs/FMEA/ITRON/PLUG/FMEA-IPLUG-002  Rev. A 0002359-TAB 002360-TAB  002361-TAB.pdf</v>
      </c>
      <c r="Q945" s="51" t="str">
        <f>E945</f>
        <v>pdf</v>
      </c>
      <c r="R945" s="51"/>
      <c r="S945" s="51"/>
      <c r="T945" s="51"/>
      <c r="U945" s="51"/>
      <c r="V945" s="51"/>
      <c r="W945" s="51"/>
      <c r="X945" s="51"/>
      <c r="Y945" s="51"/>
      <c r="Z945" s="51"/>
      <c r="AA945" s="51"/>
      <c r="AB945" s="51"/>
      <c r="AC945" s="51"/>
      <c r="AD945" s="51"/>
      <c r="AG945" t="s">
        <v>973</v>
      </c>
      <c r="AH945" s="51"/>
      <c r="AI945" s="51"/>
    </row>
    <row r="946" spans="2:35">
      <c r="B946" t="s">
        <v>1431</v>
      </c>
      <c r="C946" t="s">
        <v>2919</v>
      </c>
      <c r="D946">
        <v>14</v>
      </c>
      <c r="E946" t="s">
        <v>2791</v>
      </c>
      <c r="F946">
        <v>5</v>
      </c>
      <c r="G946">
        <v>12</v>
      </c>
      <c r="H946">
        <v>16</v>
      </c>
      <c r="I946" t="s">
        <v>1368</v>
      </c>
      <c r="J946" s="51">
        <v>41179</v>
      </c>
      <c r="K946" t="s">
        <v>27</v>
      </c>
      <c r="L946" t="s">
        <v>1253</v>
      </c>
      <c r="M946">
        <v>3</v>
      </c>
      <c r="N946" t="str">
        <f>L946</f>
        <v>NAM\MB3505</v>
      </c>
      <c r="O946" s="51">
        <f>J946</f>
        <v>41179</v>
      </c>
      <c r="P946" s="51" t="str">
        <f>C946</f>
        <v>~/cdd/olddocs/FMEA/MICROMINI/MS/FMEA-MS-001  203205A.pdf</v>
      </c>
      <c r="Q946" s="51" t="str">
        <f>E946</f>
        <v>pdf</v>
      </c>
      <c r="R946" s="51"/>
      <c r="S946" s="51"/>
      <c r="T946" s="51"/>
      <c r="U946" s="51"/>
      <c r="V946" s="51"/>
      <c r="W946" s="51"/>
      <c r="X946" s="51"/>
      <c r="Y946" s="51"/>
      <c r="Z946" s="51"/>
      <c r="AA946" s="51"/>
      <c r="AB946" s="51"/>
      <c r="AC946" s="51"/>
      <c r="AD946" s="51"/>
      <c r="AG946" t="s">
        <v>1369</v>
      </c>
      <c r="AH946" s="51"/>
      <c r="AI946" s="51"/>
    </row>
    <row r="947" spans="2:35">
      <c r="B947" t="s">
        <v>1432</v>
      </c>
      <c r="C947" t="s">
        <v>2920</v>
      </c>
      <c r="D947">
        <v>14</v>
      </c>
      <c r="E947" t="s">
        <v>2791</v>
      </c>
      <c r="F947">
        <v>5</v>
      </c>
      <c r="G947">
        <v>12</v>
      </c>
      <c r="H947">
        <v>16</v>
      </c>
      <c r="I947" t="s">
        <v>1433</v>
      </c>
      <c r="J947" s="51">
        <v>41179</v>
      </c>
      <c r="K947" t="s">
        <v>27</v>
      </c>
      <c r="L947" t="s">
        <v>1253</v>
      </c>
      <c r="M947">
        <v>3</v>
      </c>
      <c r="N947" t="str">
        <f>L947</f>
        <v>NAM\MB3505</v>
      </c>
      <c r="O947" s="51">
        <f>J947</f>
        <v>41179</v>
      </c>
      <c r="P947" s="51" t="str">
        <f>C947</f>
        <v>~/cdd/olddocs/FMEA/MICROMINI/MS/FMEA-MS-002  5680551.pdf</v>
      </c>
      <c r="Q947" s="51" t="str">
        <f>E947</f>
        <v>pdf</v>
      </c>
      <c r="R947" s="51"/>
      <c r="S947" s="51"/>
      <c r="T947" s="51"/>
      <c r="U947" s="51"/>
      <c r="V947" s="51"/>
      <c r="W947" s="51"/>
      <c r="X947" s="51"/>
      <c r="Y947" s="51"/>
      <c r="Z947" s="51"/>
      <c r="AA947" s="51"/>
      <c r="AB947" s="51"/>
      <c r="AC947" s="51"/>
      <c r="AD947" s="51"/>
      <c r="AG947" t="s">
        <v>1434</v>
      </c>
      <c r="AH947" s="51"/>
      <c r="AI947" s="51"/>
    </row>
    <row r="948" spans="2:35">
      <c r="B948" t="s">
        <v>1435</v>
      </c>
      <c r="C948" t="s">
        <v>2921</v>
      </c>
      <c r="D948">
        <v>14</v>
      </c>
      <c r="E948" t="s">
        <v>2791</v>
      </c>
      <c r="F948">
        <v>5</v>
      </c>
      <c r="G948">
        <v>12</v>
      </c>
      <c r="H948">
        <v>16</v>
      </c>
      <c r="I948" t="s">
        <v>1374</v>
      </c>
      <c r="J948" s="51">
        <v>41179</v>
      </c>
      <c r="K948" t="s">
        <v>27</v>
      </c>
      <c r="L948" t="s">
        <v>1253</v>
      </c>
      <c r="M948">
        <v>3</v>
      </c>
      <c r="N948" t="str">
        <f>L948</f>
        <v>NAM\MB3505</v>
      </c>
      <c r="O948" s="51">
        <f>J948</f>
        <v>41179</v>
      </c>
      <c r="P948" s="51" t="str">
        <f>C948</f>
        <v>~/cdd/olddocs/FMEA/MICROMINI/MS/FMEA-MS-003  11613668 &amp; 11536313.pdf</v>
      </c>
      <c r="Q948" s="51" t="str">
        <f>E948</f>
        <v>pdf</v>
      </c>
      <c r="R948" s="51"/>
      <c r="S948" s="51"/>
      <c r="T948" s="51"/>
      <c r="U948" s="51"/>
      <c r="V948" s="51"/>
      <c r="W948" s="51"/>
      <c r="X948" s="51"/>
      <c r="Y948" s="51"/>
      <c r="Z948" s="51"/>
      <c r="AA948" s="51"/>
      <c r="AB948" s="51"/>
      <c r="AC948" s="51"/>
      <c r="AD948" s="51"/>
      <c r="AG948" t="s">
        <v>1436</v>
      </c>
      <c r="AH948" s="51"/>
      <c r="AI948" s="51"/>
    </row>
    <row r="949" spans="2:35">
      <c r="B949" t="s">
        <v>1437</v>
      </c>
      <c r="C949" t="s">
        <v>2922</v>
      </c>
      <c r="D949">
        <v>14</v>
      </c>
      <c r="E949" t="s">
        <v>2791</v>
      </c>
      <c r="F949">
        <v>5</v>
      </c>
      <c r="G949">
        <v>12</v>
      </c>
      <c r="H949">
        <v>16</v>
      </c>
      <c r="I949" t="s">
        <v>1438</v>
      </c>
      <c r="J949" s="51">
        <v>41180</v>
      </c>
      <c r="K949" t="s">
        <v>27</v>
      </c>
      <c r="L949" t="s">
        <v>1253</v>
      </c>
      <c r="M949">
        <v>3</v>
      </c>
      <c r="N949" t="str">
        <f>L949</f>
        <v>NAM\MB3505</v>
      </c>
      <c r="O949" s="51">
        <f>J949</f>
        <v>41180</v>
      </c>
      <c r="P949" s="51" t="str">
        <f>C949</f>
        <v>~/cdd/olddocs/FMEA/MICROMINI/MS/FMEA-MS-004   11547793.pdf</v>
      </c>
      <c r="Q949" s="51" t="str">
        <f>E949</f>
        <v>pdf</v>
      </c>
      <c r="R949" s="51"/>
      <c r="S949" s="51"/>
      <c r="T949" s="51"/>
      <c r="U949" s="51"/>
      <c r="V949" s="51"/>
      <c r="W949" s="51"/>
      <c r="X949" s="51"/>
      <c r="Y949" s="51"/>
      <c r="Z949" s="51"/>
      <c r="AA949" s="51"/>
      <c r="AB949" s="51"/>
      <c r="AC949" s="51"/>
      <c r="AD949" s="51"/>
      <c r="AG949" t="s">
        <v>1411</v>
      </c>
      <c r="AH949" s="51"/>
      <c r="AI949" s="51"/>
    </row>
    <row r="950" spans="2:35">
      <c r="B950" t="s">
        <v>1439</v>
      </c>
      <c r="C950" t="s">
        <v>2923</v>
      </c>
      <c r="D950">
        <v>14</v>
      </c>
      <c r="E950" t="s">
        <v>2791</v>
      </c>
      <c r="F950">
        <v>5</v>
      </c>
      <c r="G950">
        <v>12</v>
      </c>
      <c r="H950">
        <v>16</v>
      </c>
      <c r="I950" t="s">
        <v>1374</v>
      </c>
      <c r="J950" s="51">
        <v>41180</v>
      </c>
      <c r="K950" t="s">
        <v>27</v>
      </c>
      <c r="L950" t="s">
        <v>1253</v>
      </c>
      <c r="M950">
        <v>3</v>
      </c>
      <c r="N950" t="str">
        <f>L950</f>
        <v>NAM\MB3505</v>
      </c>
      <c r="O950" s="51">
        <f>J950</f>
        <v>41180</v>
      </c>
      <c r="P950" s="51" t="str">
        <f>C950</f>
        <v>~/cdd/olddocs/FMEA/MICROMINI/MS/FMEA-MS-005 CH5041495B0360.pdf</v>
      </c>
      <c r="Q950" s="51" t="str">
        <f>E950</f>
        <v>pdf</v>
      </c>
      <c r="R950" s="51"/>
      <c r="S950" s="51"/>
      <c r="T950" s="51"/>
      <c r="U950" s="51"/>
      <c r="V950" s="51"/>
      <c r="W950" s="51"/>
      <c r="X950" s="51"/>
      <c r="Y950" s="51"/>
      <c r="Z950" s="51"/>
      <c r="AA950" s="51"/>
      <c r="AB950" s="51"/>
      <c r="AC950" s="51"/>
      <c r="AD950" s="51"/>
      <c r="AG950" t="s">
        <v>1413</v>
      </c>
      <c r="AH950" s="51"/>
      <c r="AI950" s="51"/>
    </row>
    <row r="951" spans="2:35">
      <c r="B951" t="s">
        <v>1440</v>
      </c>
      <c r="C951" t="s">
        <v>2924</v>
      </c>
      <c r="D951">
        <v>14</v>
      </c>
      <c r="E951" t="s">
        <v>2791</v>
      </c>
      <c r="F951">
        <v>5</v>
      </c>
      <c r="G951">
        <v>12</v>
      </c>
      <c r="H951">
        <v>16</v>
      </c>
      <c r="I951" t="s">
        <v>1441</v>
      </c>
      <c r="J951" s="51">
        <v>41180</v>
      </c>
      <c r="K951" t="s">
        <v>27</v>
      </c>
      <c r="L951" t="s">
        <v>1253</v>
      </c>
      <c r="M951">
        <v>3</v>
      </c>
      <c r="N951" t="str">
        <f>L951</f>
        <v>NAM\MB3505</v>
      </c>
      <c r="O951" s="51">
        <f>J951</f>
        <v>41180</v>
      </c>
      <c r="P951" s="51" t="str">
        <f>C951</f>
        <v>~/cdd/olddocs/FMEA/MICROMINI/MS/FMEA-MS-006 CHCCR003P.pdf</v>
      </c>
      <c r="Q951" s="51" t="str">
        <f>E951</f>
        <v>pdf</v>
      </c>
      <c r="R951" s="51"/>
      <c r="S951" s="51"/>
      <c r="T951" s="51"/>
      <c r="U951" s="51"/>
      <c r="V951" s="51"/>
      <c r="W951" s="51"/>
      <c r="X951" s="51"/>
      <c r="Y951" s="51"/>
      <c r="Z951" s="51"/>
      <c r="AA951" s="51"/>
      <c r="AB951" s="51"/>
      <c r="AC951" s="51"/>
      <c r="AD951" s="51"/>
      <c r="AG951" t="s">
        <v>1442</v>
      </c>
      <c r="AH951" s="51"/>
      <c r="AI951" s="51"/>
    </row>
    <row r="952" spans="2:35">
      <c r="B952" t="s">
        <v>1443</v>
      </c>
      <c r="C952" t="s">
        <v>2923</v>
      </c>
      <c r="D952">
        <v>14</v>
      </c>
      <c r="E952" t="s">
        <v>2791</v>
      </c>
      <c r="F952">
        <v>5</v>
      </c>
      <c r="G952">
        <v>12</v>
      </c>
      <c r="H952">
        <v>16</v>
      </c>
      <c r="I952" t="s">
        <v>1417</v>
      </c>
      <c r="J952" s="51">
        <v>41180</v>
      </c>
      <c r="K952" t="s">
        <v>27</v>
      </c>
      <c r="L952" t="s">
        <v>1253</v>
      </c>
      <c r="M952">
        <v>3</v>
      </c>
      <c r="N952" t="str">
        <f>L952</f>
        <v>NAM\MB3505</v>
      </c>
      <c r="O952" s="51">
        <f>J952</f>
        <v>41180</v>
      </c>
      <c r="P952" s="51" t="str">
        <f>C952</f>
        <v>~/cdd/olddocs/FMEA/MICROMINI/MS/FMEA-MS-005 CH5041495B0360.pdf</v>
      </c>
      <c r="Q952" s="51" t="str">
        <f>E952</f>
        <v>pdf</v>
      </c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G952" t="s">
        <v>1384</v>
      </c>
      <c r="AH952" s="51"/>
      <c r="AI952" s="51"/>
    </row>
    <row r="953" spans="2:35">
      <c r="B953" t="s">
        <v>1444</v>
      </c>
      <c r="C953" t="s">
        <v>2925</v>
      </c>
      <c r="D953">
        <v>14</v>
      </c>
      <c r="E953" t="s">
        <v>2791</v>
      </c>
      <c r="F953">
        <v>5</v>
      </c>
      <c r="G953">
        <v>12</v>
      </c>
      <c r="H953">
        <v>16</v>
      </c>
      <c r="I953" t="s">
        <v>1386</v>
      </c>
      <c r="J953" s="51">
        <v>41180</v>
      </c>
      <c r="K953" t="s">
        <v>27</v>
      </c>
      <c r="L953" t="s">
        <v>1253</v>
      </c>
      <c r="M953">
        <v>3</v>
      </c>
      <c r="N953" t="str">
        <f>L953</f>
        <v>NAM\MB3505</v>
      </c>
      <c r="O953" s="51">
        <f>J953</f>
        <v>41180</v>
      </c>
      <c r="P953" s="51" t="str">
        <f>C953</f>
        <v>~/cdd/olddocs/FMEA/MICROMINI/MS/FMEA-MS-008  P1526042B130, P1529042B130, P1532302C21, P1532302C27.pdf</v>
      </c>
      <c r="Q953" s="51" t="str">
        <f>E953</f>
        <v>pdf</v>
      </c>
      <c r="R953" s="51"/>
      <c r="S953" s="51"/>
      <c r="T953" s="51"/>
      <c r="U953" s="51"/>
      <c r="V953" s="51"/>
      <c r="W953" s="51"/>
      <c r="X953" s="51"/>
      <c r="Y953" s="51"/>
      <c r="Z953" s="51"/>
      <c r="AA953" s="51"/>
      <c r="AB953" s="51"/>
      <c r="AC953" s="51"/>
      <c r="AD953" s="51"/>
      <c r="AG953" t="s">
        <v>1387</v>
      </c>
      <c r="AH953" s="51"/>
      <c r="AI953" s="51"/>
    </row>
    <row r="954" spans="2:35">
      <c r="B954" t="s">
        <v>1445</v>
      </c>
      <c r="C954" t="s">
        <v>2926</v>
      </c>
      <c r="D954">
        <v>14</v>
      </c>
      <c r="E954" t="s">
        <v>2791</v>
      </c>
      <c r="F954">
        <v>5</v>
      </c>
      <c r="G954">
        <v>12</v>
      </c>
      <c r="H954">
        <v>16</v>
      </c>
      <c r="I954" t="s">
        <v>1386</v>
      </c>
      <c r="J954" s="51">
        <v>41180</v>
      </c>
      <c r="K954" t="s">
        <v>27</v>
      </c>
      <c r="L954" t="s">
        <v>1253</v>
      </c>
      <c r="M954">
        <v>3</v>
      </c>
      <c r="N954" t="str">
        <f>L954</f>
        <v>NAM\MB3505</v>
      </c>
      <c r="O954" s="51">
        <f>J954</f>
        <v>41180</v>
      </c>
      <c r="P954" s="51" t="str">
        <f>C954</f>
        <v>~/cdd/olddocs/FMEA/MICROMINI/MS/FMEA-MS-009 Rev. A  SMEA0092010, SMEA0092025, SMEA0092030, SMEA0092040, SMEA0092045, SMEA0092050.pdf</v>
      </c>
      <c r="Q954" s="51" t="str">
        <f>E954</f>
        <v>pdf</v>
      </c>
      <c r="R954" s="51"/>
      <c r="S954" s="51"/>
      <c r="T954" s="51"/>
      <c r="U954" s="51"/>
      <c r="V954" s="51"/>
      <c r="W954" s="51"/>
      <c r="X954" s="51"/>
      <c r="Y954" s="51"/>
      <c r="Z954" s="51"/>
      <c r="AA954" s="51"/>
      <c r="AB954" s="51"/>
      <c r="AC954" s="51"/>
      <c r="AD954" s="51"/>
      <c r="AG954" t="s">
        <v>1421</v>
      </c>
      <c r="AH954" s="51"/>
      <c r="AI954" s="51"/>
    </row>
    <row r="955" spans="2:35">
      <c r="B955" t="s">
        <v>1446</v>
      </c>
      <c r="C955" t="s">
        <v>2927</v>
      </c>
      <c r="D955">
        <v>14</v>
      </c>
      <c r="E955" t="s">
        <v>2791</v>
      </c>
      <c r="F955">
        <v>5</v>
      </c>
      <c r="G955">
        <v>12</v>
      </c>
      <c r="H955">
        <v>16</v>
      </c>
      <c r="I955" t="s">
        <v>1386</v>
      </c>
      <c r="J955" s="51">
        <v>41180</v>
      </c>
      <c r="K955" t="s">
        <v>27</v>
      </c>
      <c r="L955" t="s">
        <v>1253</v>
      </c>
      <c r="M955">
        <v>3</v>
      </c>
      <c r="N955" t="str">
        <f>L955</f>
        <v>NAM\MB3505</v>
      </c>
      <c r="O955" s="51">
        <f>J955</f>
        <v>41180</v>
      </c>
      <c r="P955" s="51" t="str">
        <f>C955</f>
        <v>~/cdd/olddocs/FMEA/MICROMINI/MS/FMEA-MS-010  SMEA0094007, SMEA0094030.pdf</v>
      </c>
      <c r="Q955" s="51" t="str">
        <f>E955</f>
        <v>pdf</v>
      </c>
      <c r="R955" s="51"/>
      <c r="S955" s="51"/>
      <c r="T955" s="51"/>
      <c r="U955" s="51"/>
      <c r="V955" s="51"/>
      <c r="W955" s="51"/>
      <c r="X955" s="51"/>
      <c r="Y955" s="51"/>
      <c r="Z955" s="51"/>
      <c r="AA955" s="51"/>
      <c r="AB955" s="51"/>
      <c r="AC955" s="51"/>
      <c r="AD955" s="51"/>
      <c r="AG955" t="s">
        <v>1392</v>
      </c>
      <c r="AH955" s="51"/>
      <c r="AI955" s="51"/>
    </row>
    <row r="956" spans="2:35">
      <c r="B956" t="s">
        <v>1447</v>
      </c>
      <c r="C956" t="s">
        <v>2928</v>
      </c>
      <c r="D956">
        <v>14</v>
      </c>
      <c r="E956" t="s">
        <v>2791</v>
      </c>
      <c r="F956">
        <v>5</v>
      </c>
      <c r="G956">
        <v>12</v>
      </c>
      <c r="H956">
        <v>16</v>
      </c>
      <c r="I956" t="s">
        <v>1448</v>
      </c>
      <c r="J956" s="51">
        <v>41180</v>
      </c>
      <c r="K956" t="s">
        <v>27</v>
      </c>
      <c r="L956" t="s">
        <v>1253</v>
      </c>
      <c r="M956">
        <v>3</v>
      </c>
      <c r="N956" t="str">
        <f>L956</f>
        <v>NAM\MB3505</v>
      </c>
      <c r="O956" s="51">
        <f>J956</f>
        <v>41180</v>
      </c>
      <c r="P956" s="51" t="str">
        <f>C956</f>
        <v>~/cdd/olddocs/FMEA/MICROMINI/MS/FMEA-MS-011  SMEA0114007, 4010, 4015, 4030.pdf</v>
      </c>
      <c r="Q956" s="51" t="str">
        <f>E956</f>
        <v>pdf</v>
      </c>
      <c r="R956" s="51"/>
      <c r="S956" s="51"/>
      <c r="T956" s="51"/>
      <c r="U956" s="51"/>
      <c r="V956" s="51"/>
      <c r="W956" s="51"/>
      <c r="X956" s="51"/>
      <c r="Y956" s="51"/>
      <c r="Z956" s="51"/>
      <c r="AA956" s="51"/>
      <c r="AB956" s="51"/>
      <c r="AC956" s="51"/>
      <c r="AD956" s="51"/>
      <c r="AG956" t="s">
        <v>1395</v>
      </c>
      <c r="AH956" s="51"/>
      <c r="AI956" s="51"/>
    </row>
    <row r="957" spans="2:35">
      <c r="B957" t="s">
        <v>1449</v>
      </c>
      <c r="C957" t="s">
        <v>2929</v>
      </c>
      <c r="D957">
        <v>14</v>
      </c>
      <c r="E957" t="s">
        <v>2791</v>
      </c>
      <c r="F957">
        <v>5</v>
      </c>
      <c r="G957">
        <v>12</v>
      </c>
      <c r="H957">
        <v>16</v>
      </c>
      <c r="I957" t="s">
        <v>1450</v>
      </c>
      <c r="J957" s="51">
        <v>41180</v>
      </c>
      <c r="K957" t="s">
        <v>27</v>
      </c>
      <c r="L957" t="s">
        <v>1253</v>
      </c>
      <c r="M957">
        <v>3</v>
      </c>
      <c r="N957" t="str">
        <f>L957</f>
        <v>NAM\MB3505</v>
      </c>
      <c r="O957" s="51">
        <f>J957</f>
        <v>41180</v>
      </c>
      <c r="P957" s="51" t="str">
        <f>C957</f>
        <v>~/cdd/olddocs/FMEA/MICROMINI/MS/FMEA-MS-012  SMEA0115010,5010, 5020, 5030, 5035, 5060.pdf</v>
      </c>
      <c r="Q957" s="51" t="str">
        <f>E957</f>
        <v>pdf</v>
      </c>
      <c r="R957" s="51"/>
      <c r="S957" s="51"/>
      <c r="T957" s="51"/>
      <c r="U957" s="51"/>
      <c r="V957" s="51"/>
      <c r="W957" s="51"/>
      <c r="X957" s="51"/>
      <c r="Y957" s="51"/>
      <c r="Z957" s="51"/>
      <c r="AA957" s="51"/>
      <c r="AB957" s="51"/>
      <c r="AC957" s="51"/>
      <c r="AD957" s="51"/>
      <c r="AG957" t="s">
        <v>1428</v>
      </c>
      <c r="AH957" s="51"/>
      <c r="AI957" s="51"/>
    </row>
    <row r="958" spans="2:35">
      <c r="B958" t="s">
        <v>1451</v>
      </c>
      <c r="C958" t="s">
        <v>2930</v>
      </c>
      <c r="D958">
        <v>14</v>
      </c>
      <c r="E958" t="s">
        <v>2791</v>
      </c>
      <c r="F958">
        <v>5</v>
      </c>
      <c r="G958">
        <v>12</v>
      </c>
      <c r="H958">
        <v>16</v>
      </c>
      <c r="I958" t="s">
        <v>1400</v>
      </c>
      <c r="J958" s="51">
        <v>41180</v>
      </c>
      <c r="K958" t="s">
        <v>27</v>
      </c>
      <c r="L958" t="s">
        <v>1253</v>
      </c>
      <c r="M958">
        <v>3</v>
      </c>
      <c r="N958" t="str">
        <f>L958</f>
        <v>NAM\MB3505</v>
      </c>
      <c r="O958" s="51">
        <f>J958</f>
        <v>41180</v>
      </c>
      <c r="P958" s="51" t="str">
        <f>C958</f>
        <v>~/cdd/olddocs/FMEA/MICROMINI/MS/FMEA-MS-013 SMEA01200010, 0030, 0040, 0045.pdf</v>
      </c>
      <c r="Q958" s="51" t="str">
        <f>E958</f>
        <v>pdf</v>
      </c>
      <c r="R958" s="51"/>
      <c r="S958" s="51"/>
      <c r="T958" s="51"/>
      <c r="U958" s="51"/>
      <c r="V958" s="51"/>
      <c r="W958" s="51"/>
      <c r="X958" s="51"/>
      <c r="Y958" s="51"/>
      <c r="Z958" s="51"/>
      <c r="AA958" s="51"/>
      <c r="AB958" s="51"/>
      <c r="AC958" s="51"/>
      <c r="AD958" s="51"/>
      <c r="AG958" t="s">
        <v>1430</v>
      </c>
      <c r="AH958" s="51"/>
      <c r="AI958" s="51"/>
    </row>
    <row r="959" spans="2:35">
      <c r="B959" t="s">
        <v>1457</v>
      </c>
      <c r="C959" t="e">
        <v>#VALUE!</v>
      </c>
      <c r="D959">
        <v>14</v>
      </c>
      <c r="E959" t="e">
        <v>#VALUE!</v>
      </c>
      <c r="F959">
        <v>5</v>
      </c>
      <c r="G959">
        <v>6</v>
      </c>
      <c r="H959">
        <v>14</v>
      </c>
      <c r="I959" t="s">
        <v>94</v>
      </c>
      <c r="J959" s="51">
        <v>41178</v>
      </c>
      <c r="K959" t="s">
        <v>27</v>
      </c>
      <c r="L959" t="s">
        <v>1253</v>
      </c>
      <c r="M959">
        <v>3</v>
      </c>
      <c r="N959" t="str">
        <f>L959</f>
        <v>NAM\MB3505</v>
      </c>
      <c r="O959" s="51">
        <f>J959</f>
        <v>41178</v>
      </c>
      <c r="P959" s="51" t="e">
        <f>C959</f>
        <v>#VALUE!</v>
      </c>
      <c r="Q959" s="51" t="e">
        <f>E959</f>
        <v>#VALUE!</v>
      </c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G959" t="s">
        <v>1456</v>
      </c>
      <c r="AH959" s="51"/>
      <c r="AI959" s="51"/>
    </row>
    <row r="960" spans="2:35">
      <c r="B960" t="s">
        <v>1497</v>
      </c>
      <c r="C960" t="s">
        <v>3874</v>
      </c>
      <c r="D960">
        <v>5</v>
      </c>
      <c r="E960" t="s">
        <v>2790</v>
      </c>
      <c r="F960">
        <v>6</v>
      </c>
      <c r="G960">
        <v>15</v>
      </c>
      <c r="I960" t="s">
        <v>1498</v>
      </c>
      <c r="J960" s="51">
        <v>40846</v>
      </c>
      <c r="K960" t="s">
        <v>38</v>
      </c>
      <c r="L960" t="s">
        <v>1478</v>
      </c>
      <c r="M960">
        <v>3</v>
      </c>
      <c r="N960" t="str">
        <f>L960</f>
        <v>NAM\DEB51</v>
      </c>
      <c r="O960" s="51">
        <f>J960</f>
        <v>40846</v>
      </c>
      <c r="P960" s="51" t="str">
        <f>C960</f>
        <v>~cdd/olddocs/Formas/CNWI-PRCS (compras)/F-PRCS-01-001  Rev  D FORMATO DE REQUISICION DE COMPRA.xlsx</v>
      </c>
      <c r="Q960" s="51" t="str">
        <f>E960</f>
        <v>xlsx</v>
      </c>
      <c r="R960" s="51"/>
      <c r="S960" s="51"/>
      <c r="T960" s="51"/>
      <c r="U960" s="51"/>
      <c r="V960" s="51"/>
      <c r="W960" s="51"/>
      <c r="X960" s="51"/>
      <c r="Y960" s="51"/>
      <c r="Z960" s="51"/>
      <c r="AA960" s="51"/>
      <c r="AB960" s="51"/>
      <c r="AC960" s="51"/>
      <c r="AD960" s="51"/>
      <c r="AG960" t="s">
        <v>28</v>
      </c>
      <c r="AH960" s="51"/>
      <c r="AI960" s="51"/>
    </row>
    <row r="961" spans="2:35">
      <c r="B961" t="s">
        <v>1883</v>
      </c>
      <c r="C961" t="s">
        <v>3875</v>
      </c>
      <c r="D961">
        <v>5</v>
      </c>
      <c r="E961" t="s">
        <v>2790</v>
      </c>
      <c r="F961">
        <v>6</v>
      </c>
      <c r="G961">
        <v>15</v>
      </c>
      <c r="I961" t="s">
        <v>1884</v>
      </c>
      <c r="J961" s="51">
        <v>41207</v>
      </c>
      <c r="K961" t="s">
        <v>27</v>
      </c>
      <c r="L961" t="s">
        <v>1870</v>
      </c>
      <c r="M961">
        <v>3</v>
      </c>
      <c r="N961" t="str">
        <f>L961</f>
        <v>NAM\BD5C8</v>
      </c>
      <c r="O961" s="51">
        <f>J961</f>
        <v>41207</v>
      </c>
      <c r="P961" s="51" t="str">
        <f>C961</f>
        <v>~cdd/olddocs/Formas/CNWI-PRCS (compras)/F-PRCS-08-001 Rev. A   Nogales Inbound Routing Guide.xlsx</v>
      </c>
      <c r="Q961" s="51" t="str">
        <f>E961</f>
        <v>xlsx</v>
      </c>
      <c r="R961" s="51"/>
      <c r="S961" s="51"/>
      <c r="T961" s="51"/>
      <c r="U961" s="51"/>
      <c r="V961" s="51"/>
      <c r="W961" s="51"/>
      <c r="X961" s="51"/>
      <c r="Y961" s="51"/>
      <c r="Z961" s="51"/>
      <c r="AA961" s="51"/>
      <c r="AB961" s="51"/>
      <c r="AC961" s="51"/>
      <c r="AD961" s="51"/>
      <c r="AG961" t="s">
        <v>28</v>
      </c>
      <c r="AH961" s="51"/>
      <c r="AI961" s="51"/>
    </row>
    <row r="962" spans="2:35">
      <c r="B962" t="s">
        <v>1130</v>
      </c>
      <c r="C962" t="s">
        <v>3193</v>
      </c>
      <c r="D962">
        <v>5</v>
      </c>
      <c r="E962" t="s">
        <v>2790</v>
      </c>
      <c r="F962">
        <v>9</v>
      </c>
      <c r="I962" t="s">
        <v>1131</v>
      </c>
      <c r="J962" s="51">
        <v>41207</v>
      </c>
      <c r="K962" t="s">
        <v>27</v>
      </c>
      <c r="L962" t="s">
        <v>1109</v>
      </c>
      <c r="M962">
        <v>3</v>
      </c>
      <c r="N962" t="str">
        <f>L962</f>
        <v>NAM\MB2116</v>
      </c>
      <c r="O962" s="51">
        <f>J962</f>
        <v>41207</v>
      </c>
      <c r="P962" s="51" t="str">
        <f>C962</f>
        <v>~/cdd/olddocs/Formas/CNWI-QAAS (aseguranza de calidad)/F-QAAS-06-001 Rev. A MRB LOG .xlsx</v>
      </c>
      <c r="Q962" s="51" t="str">
        <f>E962</f>
        <v>xlsx</v>
      </c>
      <c r="R962" s="51"/>
      <c r="S962" s="51"/>
      <c r="T962" s="51"/>
      <c r="U962" s="51"/>
      <c r="V962" s="51"/>
      <c r="W962" s="51"/>
      <c r="X962" s="51"/>
      <c r="Y962" s="51"/>
      <c r="Z962" s="51"/>
      <c r="AA962" s="51"/>
      <c r="AB962" s="51"/>
      <c r="AC962" s="51"/>
      <c r="AD962" s="51"/>
      <c r="AG962" t="s">
        <v>28</v>
      </c>
      <c r="AH962" s="51"/>
      <c r="AI962" s="51"/>
    </row>
    <row r="963" spans="2:35">
      <c r="B963" t="s">
        <v>1132</v>
      </c>
      <c r="C963" t="s">
        <v>3194</v>
      </c>
      <c r="D963">
        <v>5</v>
      </c>
      <c r="E963" t="s">
        <v>2790</v>
      </c>
      <c r="F963">
        <v>9</v>
      </c>
      <c r="I963" t="s">
        <v>1133</v>
      </c>
      <c r="J963" s="51">
        <v>41201</v>
      </c>
      <c r="K963" t="s">
        <v>27</v>
      </c>
      <c r="L963" t="s">
        <v>1109</v>
      </c>
      <c r="M963">
        <v>3</v>
      </c>
      <c r="N963" t="str">
        <f>L963</f>
        <v>NAM\MB2116</v>
      </c>
      <c r="O963" s="51">
        <f>J963</f>
        <v>41201</v>
      </c>
      <c r="P963" s="51" t="str">
        <f>C963</f>
        <v>~/cdd/olddocs/Formas/CNWI-QAAS (aseguranza de calidad)/F-QAAS-09-001 Rev. A Carta de registros de inspeccion de entrada.xlsx</v>
      </c>
      <c r="Q963" s="51" t="str">
        <f>E963</f>
        <v>xlsx</v>
      </c>
      <c r="R963" s="51"/>
      <c r="S963" s="51"/>
      <c r="T963" s="51"/>
      <c r="U963" s="51"/>
      <c r="V963" s="51"/>
      <c r="W963" s="51"/>
      <c r="X963" s="51"/>
      <c r="Y963" s="51"/>
      <c r="Z963" s="51"/>
      <c r="AA963" s="51"/>
      <c r="AB963" s="51"/>
      <c r="AC963" s="51"/>
      <c r="AD963" s="51"/>
      <c r="AG963" t="s">
        <v>28</v>
      </c>
      <c r="AH963" s="51"/>
      <c r="AI963" s="51"/>
    </row>
    <row r="964" spans="2:35">
      <c r="B964" t="s">
        <v>1134</v>
      </c>
      <c r="C964" t="s">
        <v>3195</v>
      </c>
      <c r="D964">
        <v>5</v>
      </c>
      <c r="E964" t="s">
        <v>2793</v>
      </c>
      <c r="F964">
        <v>9</v>
      </c>
      <c r="I964" t="s">
        <v>2800</v>
      </c>
      <c r="J964" s="51">
        <v>41151</v>
      </c>
      <c r="K964" t="s">
        <v>27</v>
      </c>
      <c r="L964" t="s">
        <v>1109</v>
      </c>
      <c r="M964">
        <v>3</v>
      </c>
      <c r="N964" t="str">
        <f>L964</f>
        <v>NAM\MB2116</v>
      </c>
      <c r="O964" s="51">
        <f>J964</f>
        <v>41151</v>
      </c>
      <c r="P964" s="51" t="str">
        <f>C964</f>
        <v>~/cdd/olddocs/Formas/CNWI-QAAS (aseguranza de calidad)/F-QAAS-09-002 Rev. A Supplier Non-Conformace Material Notification .pptx</v>
      </c>
      <c r="Q964" s="51" t="str">
        <f>E964</f>
        <v>pptx</v>
      </c>
      <c r="R964" s="51"/>
      <c r="S964" s="51"/>
      <c r="T964" s="51"/>
      <c r="U964" s="51"/>
      <c r="V964" s="51"/>
      <c r="W964" s="51"/>
      <c r="X964" s="51"/>
      <c r="Y964" s="51"/>
      <c r="Z964" s="51"/>
      <c r="AA964" s="51"/>
      <c r="AB964" s="51"/>
      <c r="AC964" s="51"/>
      <c r="AD964" s="51"/>
      <c r="AG964" t="s">
        <v>28</v>
      </c>
      <c r="AH964" s="51"/>
      <c r="AI964" s="51"/>
    </row>
    <row r="965" spans="2:35">
      <c r="B965" t="s">
        <v>1136</v>
      </c>
      <c r="C965" t="s">
        <v>3937</v>
      </c>
      <c r="D965">
        <v>5</v>
      </c>
      <c r="E965" t="s">
        <v>2790</v>
      </c>
      <c r="F965">
        <v>9</v>
      </c>
      <c r="I965" t="s">
        <v>1137</v>
      </c>
      <c r="J965" s="51">
        <v>41204</v>
      </c>
      <c r="K965" t="s">
        <v>27</v>
      </c>
      <c r="L965" t="s">
        <v>1109</v>
      </c>
      <c r="M965">
        <v>3</v>
      </c>
      <c r="N965" t="str">
        <f>L965</f>
        <v>NAM\MB2116</v>
      </c>
      <c r="O965" s="51">
        <f>J965</f>
        <v>41204</v>
      </c>
      <c r="P965" s="51" t="str">
        <f>C965</f>
        <v>~/cdd/olddocs/CN-QAAS (Aseguranza de calidad)/FORMAS/F-QAAS-09-003 Rev. A REPORTE DE RECHAZO DE PRODUCCION.xlsx</v>
      </c>
      <c r="Q965" s="51" t="str">
        <f>E965</f>
        <v>xlsx</v>
      </c>
      <c r="R965" s="51"/>
      <c r="S965" s="51"/>
      <c r="T965" s="51"/>
      <c r="U965" s="51"/>
      <c r="V965" s="51"/>
      <c r="W965" s="51"/>
      <c r="X965" s="51"/>
      <c r="Y965" s="51"/>
      <c r="Z965" s="51"/>
      <c r="AA965" s="51"/>
      <c r="AB965" s="51"/>
      <c r="AC965" s="51"/>
      <c r="AD965" s="51"/>
      <c r="AG965" t="s">
        <v>28</v>
      </c>
      <c r="AH965" s="51"/>
      <c r="AI965" s="51"/>
    </row>
    <row r="966" spans="2:35">
      <c r="B966" t="s">
        <v>1138</v>
      </c>
      <c r="C966" t="s">
        <v>3196</v>
      </c>
      <c r="D966">
        <v>5</v>
      </c>
      <c r="E966" t="s">
        <v>2797</v>
      </c>
      <c r="F966">
        <v>9</v>
      </c>
      <c r="I966" t="s">
        <v>1139</v>
      </c>
      <c r="J966" s="51">
        <v>41204</v>
      </c>
      <c r="K966" t="s">
        <v>27</v>
      </c>
      <c r="L966" t="s">
        <v>1109</v>
      </c>
      <c r="M966">
        <v>3</v>
      </c>
      <c r="N966" t="str">
        <f>L966</f>
        <v>NAM\MB2116</v>
      </c>
      <c r="O966" s="51">
        <f>J966</f>
        <v>41204</v>
      </c>
      <c r="P966" s="51" t="str">
        <f>C966</f>
        <v>~/cdd/olddocs/Formas/CNWI-QAAS (aseguranza de calidad)/F-QAAS-09-004 Rev. A Liberacion de producto.docx</v>
      </c>
      <c r="Q966" s="51" t="str">
        <f>E966</f>
        <v>docx</v>
      </c>
      <c r="R966" s="51"/>
      <c r="S966" s="51"/>
      <c r="T966" s="51"/>
      <c r="U966" s="51"/>
      <c r="V966" s="51"/>
      <c r="W966" s="51"/>
      <c r="X966" s="51"/>
      <c r="Y966" s="51"/>
      <c r="Z966" s="51"/>
      <c r="AA966" s="51"/>
      <c r="AB966" s="51"/>
      <c r="AC966" s="51"/>
      <c r="AD966" s="51"/>
      <c r="AG966" t="s">
        <v>28</v>
      </c>
      <c r="AH966" s="51"/>
      <c r="AI966" s="51"/>
    </row>
    <row r="967" spans="2:35">
      <c r="B967" t="s">
        <v>1140</v>
      </c>
      <c r="C967" t="s">
        <v>3197</v>
      </c>
      <c r="D967">
        <v>5</v>
      </c>
      <c r="E967" t="s">
        <v>2790</v>
      </c>
      <c r="F967">
        <v>9</v>
      </c>
      <c r="I967" t="s">
        <v>1141</v>
      </c>
      <c r="J967" s="51">
        <v>41204</v>
      </c>
      <c r="K967" t="s">
        <v>27</v>
      </c>
      <c r="L967" t="s">
        <v>1109</v>
      </c>
      <c r="M967">
        <v>3</v>
      </c>
      <c r="N967" t="str">
        <f>L967</f>
        <v>NAM\MB2116</v>
      </c>
      <c r="O967" s="51">
        <f>J967</f>
        <v>41204</v>
      </c>
      <c r="P967" s="51" t="str">
        <f>C967</f>
        <v>~/cdd/olddocs/Formas/CNWI-QAAS (aseguranza de calidad)/F-QAAS-09-005 Rev. A Control de Etiquetas de Quimicos .xlsx</v>
      </c>
      <c r="Q967" s="51" t="str">
        <f>E967</f>
        <v>xlsx</v>
      </c>
      <c r="R967" s="51"/>
      <c r="S967" s="51"/>
      <c r="T967" s="51"/>
      <c r="U967" s="51"/>
      <c r="V967" s="51"/>
      <c r="W967" s="51"/>
      <c r="X967" s="51"/>
      <c r="Y967" s="51"/>
      <c r="Z967" s="51"/>
      <c r="AA967" s="51"/>
      <c r="AB967" s="51"/>
      <c r="AC967" s="51"/>
      <c r="AD967" s="51"/>
      <c r="AG967" t="s">
        <v>28</v>
      </c>
      <c r="AH967" s="51"/>
      <c r="AI967" s="51"/>
    </row>
    <row r="968" spans="2:35">
      <c r="B968" t="s">
        <v>1142</v>
      </c>
      <c r="C968" t="s">
        <v>3890</v>
      </c>
      <c r="D968">
        <v>5</v>
      </c>
      <c r="E968" t="s">
        <v>2790</v>
      </c>
      <c r="F968">
        <v>9</v>
      </c>
      <c r="I968" t="s">
        <v>1143</v>
      </c>
      <c r="J968" s="51">
        <v>41204</v>
      </c>
      <c r="K968" t="s">
        <v>27</v>
      </c>
      <c r="L968" t="s">
        <v>1109</v>
      </c>
      <c r="M968">
        <v>3</v>
      </c>
      <c r="N968" t="str">
        <f>L968</f>
        <v>NAM\MB2116</v>
      </c>
      <c r="O968" s="51">
        <f>J968</f>
        <v>41204</v>
      </c>
      <c r="P968" s="51" t="str">
        <f>C968</f>
        <v>~cdd/olddocs/Formas/CNWI-QAAS (aseguranza de calidad)/F-QAAS-09-006 Rev. A AQL Format.xlsx</v>
      </c>
      <c r="Q968" s="51" t="str">
        <f>E968</f>
        <v>xlsx</v>
      </c>
      <c r="R968" s="51"/>
      <c r="S968" s="51"/>
      <c r="T968" s="51"/>
      <c r="U968" s="51"/>
      <c r="V968" s="51"/>
      <c r="W968" s="51"/>
      <c r="X968" s="51"/>
      <c r="Y968" s="51"/>
      <c r="Z968" s="51"/>
      <c r="AA968" s="51"/>
      <c r="AB968" s="51"/>
      <c r="AC968" s="51"/>
      <c r="AD968" s="51"/>
      <c r="AG968" t="s">
        <v>28</v>
      </c>
      <c r="AH968" s="51"/>
      <c r="AI968" s="51"/>
    </row>
    <row r="969" spans="2:35">
      <c r="B969" t="s">
        <v>1144</v>
      </c>
      <c r="C969" t="s">
        <v>3891</v>
      </c>
      <c r="D969">
        <v>5</v>
      </c>
      <c r="E969" t="s">
        <v>2790</v>
      </c>
      <c r="F969">
        <v>9</v>
      </c>
      <c r="I969" t="s">
        <v>1145</v>
      </c>
      <c r="J969" s="51">
        <v>41207</v>
      </c>
      <c r="K969" t="s">
        <v>27</v>
      </c>
      <c r="L969" t="s">
        <v>1109</v>
      </c>
      <c r="M969">
        <v>3</v>
      </c>
      <c r="N969" t="str">
        <f>L969</f>
        <v>NAM\MB2116</v>
      </c>
      <c r="O969" s="51">
        <f>J969</f>
        <v>41207</v>
      </c>
      <c r="P969" s="51" t="str">
        <f>C969</f>
        <v>~cdd/olddocs/Formas/CNWI-QAAS (aseguranza de calidad)/F-QAAS-23-001 Rev. A .xlsx</v>
      </c>
      <c r="Q969" s="51" t="str">
        <f>E969</f>
        <v>xlsx</v>
      </c>
      <c r="R969" s="51"/>
      <c r="S969" s="51"/>
      <c r="T969" s="51"/>
      <c r="U969" s="51"/>
      <c r="V969" s="51"/>
      <c r="W969" s="51"/>
      <c r="X969" s="51"/>
      <c r="Y969" s="51"/>
      <c r="Z969" s="51"/>
      <c r="AA969" s="51"/>
      <c r="AB969" s="51"/>
      <c r="AC969" s="51"/>
      <c r="AD969" s="51"/>
      <c r="AG969" t="s">
        <v>28</v>
      </c>
      <c r="AH969" s="51"/>
      <c r="AI969" s="51"/>
    </row>
    <row r="970" spans="2:35">
      <c r="B970" t="s">
        <v>1146</v>
      </c>
      <c r="C970" t="s">
        <v>3938</v>
      </c>
      <c r="D970">
        <v>5</v>
      </c>
      <c r="E970" t="s">
        <v>2790</v>
      </c>
      <c r="F970">
        <v>9</v>
      </c>
      <c r="I970" t="s">
        <v>1147</v>
      </c>
      <c r="J970" s="51">
        <v>41204</v>
      </c>
      <c r="K970" t="s">
        <v>27</v>
      </c>
      <c r="L970" t="s">
        <v>1109</v>
      </c>
      <c r="M970">
        <v>3</v>
      </c>
      <c r="N970" t="str">
        <f>L970</f>
        <v>NAM\MB2116</v>
      </c>
      <c r="O970" s="51">
        <f>J970</f>
        <v>41204</v>
      </c>
      <c r="P970" s="51" t="str">
        <f>C970</f>
        <v>~/cdd/olddocs/CN-QAAS (Aseguranza de calidad)/FORMAS/F-QAAS-25-001 Check list de componentes.xlsx</v>
      </c>
      <c r="Q970" s="51" t="str">
        <f>E970</f>
        <v>xlsx</v>
      </c>
      <c r="R970" s="51"/>
      <c r="S970" s="51"/>
      <c r="T970" s="51"/>
      <c r="U970" s="51"/>
      <c r="V970" s="51"/>
      <c r="W970" s="51"/>
      <c r="X970" s="51"/>
      <c r="Y970" s="51"/>
      <c r="Z970" s="51"/>
      <c r="AA970" s="51"/>
      <c r="AB970" s="51"/>
      <c r="AC970" s="51"/>
      <c r="AD970" s="51"/>
      <c r="AG970" t="s">
        <v>28</v>
      </c>
      <c r="AH970" s="51"/>
      <c r="AI970" s="51"/>
    </row>
    <row r="971" spans="2:35">
      <c r="B971" t="s">
        <v>1148</v>
      </c>
      <c r="C971" t="s">
        <v>3939</v>
      </c>
      <c r="D971">
        <v>5</v>
      </c>
      <c r="E971" t="s">
        <v>2790</v>
      </c>
      <c r="F971">
        <v>9</v>
      </c>
      <c r="I971" t="s">
        <v>1149</v>
      </c>
      <c r="J971" s="51">
        <v>41204</v>
      </c>
      <c r="K971" t="s">
        <v>27</v>
      </c>
      <c r="L971" t="s">
        <v>1109</v>
      </c>
      <c r="M971">
        <v>3</v>
      </c>
      <c r="N971" t="str">
        <f>L971</f>
        <v>NAM\MB2116</v>
      </c>
      <c r="O971" s="51">
        <f>J971</f>
        <v>41204</v>
      </c>
      <c r="P971" s="51" t="str">
        <f>C971</f>
        <v>~/cdd/olddocs/CN-QAAS (Aseguranza de calidad)/FORMAS/F-QAAS-25-002  Rev. A LOG de FAI.xlsx</v>
      </c>
      <c r="Q971" s="51" t="str">
        <f>E971</f>
        <v>xlsx</v>
      </c>
      <c r="R971" s="51"/>
      <c r="S971" s="51"/>
      <c r="T971" s="51"/>
      <c r="U971" s="51"/>
      <c r="V971" s="51"/>
      <c r="W971" s="51"/>
      <c r="X971" s="51"/>
      <c r="Y971" s="51"/>
      <c r="Z971" s="51"/>
      <c r="AA971" s="51"/>
      <c r="AB971" s="51"/>
      <c r="AC971" s="51"/>
      <c r="AD971" s="51"/>
      <c r="AG971" t="s">
        <v>28</v>
      </c>
      <c r="AH971" s="51"/>
      <c r="AI971" s="51"/>
    </row>
    <row r="972" spans="2:35">
      <c r="B972" t="s">
        <v>1150</v>
      </c>
      <c r="C972" t="s">
        <v>3198</v>
      </c>
      <c r="D972">
        <v>5</v>
      </c>
      <c r="E972" t="s">
        <v>2790</v>
      </c>
      <c r="F972">
        <v>9</v>
      </c>
      <c r="I972" t="s">
        <v>1151</v>
      </c>
      <c r="J972" s="51">
        <v>41206</v>
      </c>
      <c r="K972" t="s">
        <v>27</v>
      </c>
      <c r="L972" t="s">
        <v>1109</v>
      </c>
      <c r="M972">
        <v>3</v>
      </c>
      <c r="N972" t="str">
        <f>L972</f>
        <v>NAM\MB2116</v>
      </c>
      <c r="O972" s="51">
        <f>J972</f>
        <v>41206</v>
      </c>
      <c r="P972" s="51" t="str">
        <f>C972</f>
        <v>~/cdd/olddocs/Formas/CNWI-QAAS (aseguranza de calidad)/F-QAAS-48-001  Rev.A Scar Log.xlsx</v>
      </c>
      <c r="Q972" s="51" t="str">
        <f>E972</f>
        <v>xlsx</v>
      </c>
      <c r="R972" s="51"/>
      <c r="S972" s="51"/>
      <c r="T972" s="51"/>
      <c r="U972" s="51"/>
      <c r="V972" s="51"/>
      <c r="W972" s="51"/>
      <c r="X972" s="51"/>
      <c r="Y972" s="51"/>
      <c r="Z972" s="51"/>
      <c r="AA972" s="51"/>
      <c r="AB972" s="51"/>
      <c r="AC972" s="51"/>
      <c r="AD972" s="51"/>
      <c r="AG972" t="s">
        <v>28</v>
      </c>
      <c r="AH972" s="51"/>
      <c r="AI972" s="51"/>
    </row>
    <row r="973" spans="2:35">
      <c r="B973" t="s">
        <v>1152</v>
      </c>
      <c r="C973" t="s">
        <v>3892</v>
      </c>
      <c r="D973">
        <v>5</v>
      </c>
      <c r="E973" t="s">
        <v>2790</v>
      </c>
      <c r="F973">
        <v>9</v>
      </c>
      <c r="I973" t="s">
        <v>1153</v>
      </c>
      <c r="J973" s="51">
        <v>41206</v>
      </c>
      <c r="K973" t="s">
        <v>27</v>
      </c>
      <c r="L973" t="s">
        <v>1109</v>
      </c>
      <c r="M973">
        <v>3</v>
      </c>
      <c r="N973" t="str">
        <f>L973</f>
        <v>NAM\MB2116</v>
      </c>
      <c r="O973" s="51">
        <f>J973</f>
        <v>41206</v>
      </c>
      <c r="P973" s="51" t="str">
        <f>C973</f>
        <v>~cdd/olddocs/Formas/CNWI-QAAS (aseguranza de calidad)/F-QAAS-48-002    Rev. A supplier scorecard spreadsheet.xlsx</v>
      </c>
      <c r="Q973" s="51" t="str">
        <f>E973</f>
        <v>xlsx</v>
      </c>
      <c r="R973" s="51"/>
      <c r="S973" s="51"/>
      <c r="T973" s="51"/>
      <c r="U973" s="51"/>
      <c r="V973" s="51"/>
      <c r="W973" s="51"/>
      <c r="X973" s="51"/>
      <c r="Y973" s="51"/>
      <c r="Z973" s="51"/>
      <c r="AA973" s="51"/>
      <c r="AB973" s="51"/>
      <c r="AC973" s="51"/>
      <c r="AD973" s="51"/>
      <c r="AG973" t="s">
        <v>28</v>
      </c>
      <c r="AH973" s="51"/>
      <c r="AI973" s="51"/>
    </row>
    <row r="974" spans="2:35">
      <c r="B974" t="s">
        <v>128</v>
      </c>
      <c r="C974" t="s">
        <v>2824</v>
      </c>
      <c r="D974">
        <v>12</v>
      </c>
      <c r="E974" t="s">
        <v>2790</v>
      </c>
      <c r="F974">
        <v>5</v>
      </c>
      <c r="G974">
        <v>9</v>
      </c>
      <c r="I974" t="s">
        <v>128</v>
      </c>
      <c r="J974" s="51">
        <v>41116</v>
      </c>
      <c r="K974" t="s">
        <v>27</v>
      </c>
      <c r="L974" t="s">
        <v>2427</v>
      </c>
      <c r="M974">
        <v>3</v>
      </c>
      <c r="N974" t="str">
        <f>L974</f>
        <v>NAM\MB1911</v>
      </c>
      <c r="O974" s="51">
        <f>J974</f>
        <v>41116</v>
      </c>
      <c r="P974" s="51" t="str">
        <f>C974</f>
        <v>~/cdd/olddocs/Especificaciones genericas/Camarillo/Itron/CNWI-ENGI-F019   Rev  A  Especificaciones de insercion de conductores  ITRON.xlsx</v>
      </c>
      <c r="Q974" s="51" t="str">
        <f>E974</f>
        <v>xlsx</v>
      </c>
      <c r="R974" s="51"/>
      <c r="S974" s="51"/>
      <c r="T974" s="51"/>
      <c r="U974" s="51"/>
      <c r="V974" s="51"/>
      <c r="W974" s="51"/>
      <c r="X974" s="51"/>
      <c r="Y974" s="51"/>
      <c r="Z974" s="51"/>
      <c r="AA974" s="51"/>
      <c r="AB974" s="51"/>
      <c r="AC974" s="51"/>
      <c r="AD974" s="51"/>
      <c r="AE974" t="s">
        <v>30</v>
      </c>
      <c r="AF974" t="s">
        <v>2693</v>
      </c>
      <c r="AG974" t="s">
        <v>28</v>
      </c>
      <c r="AH974" s="51"/>
      <c r="AI974" s="51"/>
    </row>
    <row r="975" spans="2:35">
      <c r="B975" t="s">
        <v>128</v>
      </c>
      <c r="C975" t="s">
        <v>2829</v>
      </c>
      <c r="D975">
        <v>12</v>
      </c>
      <c r="E975" t="s">
        <v>2790</v>
      </c>
      <c r="F975">
        <v>5</v>
      </c>
      <c r="G975">
        <v>12</v>
      </c>
      <c r="H975">
        <v>3</v>
      </c>
      <c r="I975" t="s">
        <v>128</v>
      </c>
      <c r="J975" s="51">
        <v>41165</v>
      </c>
      <c r="K975" t="s">
        <v>1246</v>
      </c>
      <c r="M975">
        <v>3</v>
      </c>
      <c r="N975">
        <f>L975</f>
        <v>0</v>
      </c>
      <c r="O975" s="51">
        <f>J975</f>
        <v>41165</v>
      </c>
      <c r="P975" s="51" t="str">
        <f>C975</f>
        <v>~/cdd/olddocs/Especificaciones genericas/Micromini/A Y B/CNWI-ENGI-F019 Rev P Especificaciones de insercion de conductores Celda A y B.xlsx</v>
      </c>
      <c r="Q975" s="51" t="str">
        <f>E975</f>
        <v>xlsx</v>
      </c>
      <c r="R975" s="51"/>
      <c r="S975" s="51"/>
      <c r="T975" s="51"/>
      <c r="U975" s="51"/>
      <c r="V975" s="51"/>
      <c r="W975" s="51"/>
      <c r="X975" s="51"/>
      <c r="Y975" s="51"/>
      <c r="Z975" s="51"/>
      <c r="AA975" s="51"/>
      <c r="AB975" s="51"/>
      <c r="AC975" s="51"/>
      <c r="AD975" s="51"/>
      <c r="AG975" t="s">
        <v>28</v>
      </c>
      <c r="AH975" s="51"/>
      <c r="AI975" s="51"/>
    </row>
    <row r="976" spans="2:35">
      <c r="B976" t="s">
        <v>128</v>
      </c>
      <c r="C976" t="s">
        <v>2830</v>
      </c>
      <c r="D976">
        <v>12</v>
      </c>
      <c r="E976" t="s">
        <v>2790</v>
      </c>
      <c r="F976">
        <v>5</v>
      </c>
      <c r="G976">
        <v>12</v>
      </c>
      <c r="H976">
        <v>4</v>
      </c>
      <c r="I976" t="s">
        <v>128</v>
      </c>
      <c r="J976" s="51">
        <v>41194</v>
      </c>
      <c r="K976" t="s">
        <v>659</v>
      </c>
      <c r="M976">
        <v>3</v>
      </c>
      <c r="N976">
        <f>L976</f>
        <v>0</v>
      </c>
      <c r="O976" s="51">
        <f>J976</f>
        <v>41194</v>
      </c>
      <c r="P976" s="51" t="str">
        <f>C976</f>
        <v>~/cdd/olddocs/Especificaciones genericas/Micromini/CHANGE OUT/CNWI-ENGI-F019 Rev N Especificaciones de insercion de conductores area Change Out.xlsx</v>
      </c>
      <c r="Q976" s="51" t="str">
        <f>E976</f>
        <v>xlsx</v>
      </c>
      <c r="R976" s="51"/>
      <c r="S976" s="51"/>
      <c r="T976" s="51"/>
      <c r="U976" s="51"/>
      <c r="V976" s="51"/>
      <c r="W976" s="51"/>
      <c r="X976" s="51"/>
      <c r="Y976" s="51"/>
      <c r="Z976" s="51"/>
      <c r="AA976" s="51"/>
      <c r="AB976" s="51"/>
      <c r="AC976" s="51"/>
      <c r="AD976" s="51"/>
      <c r="AG976" t="s">
        <v>28</v>
      </c>
      <c r="AH976" s="51"/>
      <c r="AI976" s="51"/>
    </row>
    <row r="977" spans="2:35">
      <c r="B977" t="s">
        <v>128</v>
      </c>
      <c r="C977" t="s">
        <v>2836</v>
      </c>
      <c r="D977">
        <v>12</v>
      </c>
      <c r="E977" t="s">
        <v>2790</v>
      </c>
      <c r="F977">
        <v>5</v>
      </c>
      <c r="G977">
        <v>12</v>
      </c>
      <c r="H977">
        <v>16</v>
      </c>
      <c r="I977" t="s">
        <v>128</v>
      </c>
      <c r="J977" s="51">
        <v>41200</v>
      </c>
      <c r="K977" t="s">
        <v>1248</v>
      </c>
      <c r="M977">
        <v>3</v>
      </c>
      <c r="N977">
        <f>L977</f>
        <v>0</v>
      </c>
      <c r="O977" s="51">
        <f>J977</f>
        <v>41200</v>
      </c>
      <c r="P977" s="51" t="str">
        <f>C977</f>
        <v>~/cdd/olddocs/Especificaciones genericas/Micromini/MS/CNWI-ENGI-F019 Rev  O Especificaciones de insercion de conductores area MS.xlsx</v>
      </c>
      <c r="Q977" s="51" t="str">
        <f>E977</f>
        <v>xlsx</v>
      </c>
      <c r="R977" s="51"/>
      <c r="S977" s="51"/>
      <c r="T977" s="51"/>
      <c r="U977" s="51"/>
      <c r="V977" s="51"/>
      <c r="W977" s="51"/>
      <c r="X977" s="51"/>
      <c r="Y977" s="51"/>
      <c r="Z977" s="51"/>
      <c r="AA977" s="51"/>
      <c r="AB977" s="51"/>
      <c r="AC977" s="51"/>
      <c r="AD977" s="51"/>
      <c r="AG977" t="s">
        <v>28</v>
      </c>
      <c r="AH977" s="51"/>
      <c r="AI977" s="51"/>
    </row>
    <row r="978" spans="2:35">
      <c r="B978" t="s">
        <v>128</v>
      </c>
      <c r="C978" t="s">
        <v>2841</v>
      </c>
      <c r="D978">
        <v>12</v>
      </c>
      <c r="E978" t="s">
        <v>2792</v>
      </c>
      <c r="F978">
        <v>5</v>
      </c>
      <c r="G978">
        <v>12</v>
      </c>
      <c r="H978">
        <v>19</v>
      </c>
      <c r="I978" t="s">
        <v>128</v>
      </c>
      <c r="J978" s="51">
        <v>41148</v>
      </c>
      <c r="K978" t="s">
        <v>38</v>
      </c>
      <c r="L978" t="s">
        <v>605</v>
      </c>
      <c r="M978">
        <v>3</v>
      </c>
      <c r="N978" t="str">
        <f>L978</f>
        <v>NA/MB1049</v>
      </c>
      <c r="O978" s="51">
        <f>J978</f>
        <v>41148</v>
      </c>
      <c r="P978" s="51" t="str">
        <f>C978</f>
        <v>~/cdd/olddocs/Especificaciones genericas/Micromini/PLEX/CNWI-ENGI-F019 Rev  B  Especificaciones de insercion de conductores area Plex (4).xls</v>
      </c>
      <c r="Q978" s="51" t="str">
        <f>E978</f>
        <v>xls</v>
      </c>
      <c r="R978" s="51"/>
      <c r="S978" s="51"/>
      <c r="T978" s="51"/>
      <c r="U978" s="51"/>
      <c r="V978" s="51"/>
      <c r="W978" s="51"/>
      <c r="X978" s="51"/>
      <c r="Y978" s="51"/>
      <c r="Z978" s="51"/>
      <c r="AA978" s="51"/>
      <c r="AB978" s="51"/>
      <c r="AC978" s="51"/>
      <c r="AD978" s="51"/>
      <c r="AG978" t="s">
        <v>28</v>
      </c>
      <c r="AH978" s="51"/>
      <c r="AI978" s="51"/>
    </row>
    <row r="979" spans="2:35">
      <c r="B979" t="s">
        <v>128</v>
      </c>
      <c r="C979" t="s">
        <v>2849</v>
      </c>
      <c r="D979">
        <v>12</v>
      </c>
      <c r="E979" t="s">
        <v>2792</v>
      </c>
      <c r="F979">
        <v>5</v>
      </c>
      <c r="G979">
        <v>12</v>
      </c>
      <c r="H979">
        <v>18</v>
      </c>
      <c r="I979" t="s">
        <v>128</v>
      </c>
      <c r="J979" s="51">
        <v>41103</v>
      </c>
      <c r="K979" t="s">
        <v>131</v>
      </c>
      <c r="M979">
        <v>3</v>
      </c>
      <c r="N979">
        <f>L979</f>
        <v>0</v>
      </c>
      <c r="O979" s="51">
        <f>J979</f>
        <v>41103</v>
      </c>
      <c r="P979" s="51" t="str">
        <f>C979</f>
        <v>~/cdd/olddocs/Especificaciones genericas/Micromini/POTTED/CNWI-ENGI-F019 Rev  J  Especificaciones de insercion de conductores area Potted.xls</v>
      </c>
      <c r="Q979" s="51" t="str">
        <f>E979</f>
        <v>xls</v>
      </c>
      <c r="R979" s="51"/>
      <c r="S979" s="51"/>
      <c r="T979" s="51"/>
      <c r="U979" s="51"/>
      <c r="V979" s="51"/>
      <c r="W979" s="51"/>
      <c r="X979" s="51"/>
      <c r="Y979" s="51"/>
      <c r="Z979" s="51"/>
      <c r="AA979" s="51"/>
      <c r="AB979" s="51"/>
      <c r="AC979" s="51"/>
      <c r="AD979" s="51"/>
      <c r="AG979" t="s">
        <v>28</v>
      </c>
      <c r="AH979" s="51"/>
      <c r="AI979" s="51"/>
    </row>
    <row r="980" spans="2:35">
      <c r="B980" t="s">
        <v>28</v>
      </c>
      <c r="C980" t="e">
        <v>#VALUE!</v>
      </c>
      <c r="D980">
        <v>6</v>
      </c>
      <c r="E980" t="e">
        <v>#VALUE!</v>
      </c>
      <c r="F980">
        <v>5</v>
      </c>
      <c r="G980">
        <v>9</v>
      </c>
      <c r="H980">
        <v>8</v>
      </c>
      <c r="I980" t="s">
        <v>2719</v>
      </c>
      <c r="J980" s="51">
        <v>41170</v>
      </c>
      <c r="K980" t="s">
        <v>27</v>
      </c>
      <c r="L980" t="s">
        <v>2427</v>
      </c>
      <c r="M980">
        <v>3</v>
      </c>
      <c r="N980" t="str">
        <f>L980</f>
        <v>NAM\MB1911</v>
      </c>
      <c r="O980" s="51">
        <f>J980</f>
        <v>41170</v>
      </c>
      <c r="P980" s="51" t="e">
        <f>C980</f>
        <v>#VALUE!</v>
      </c>
      <c r="Q980" s="51" t="e">
        <f>E980</f>
        <v>#VALUE!</v>
      </c>
      <c r="R980" s="51"/>
      <c r="S980" s="51"/>
      <c r="T980" s="51"/>
      <c r="U980" s="51"/>
      <c r="V980" s="51"/>
      <c r="W980" s="51"/>
      <c r="X980" s="51"/>
      <c r="Y980" s="51"/>
      <c r="Z980" s="51"/>
      <c r="AA980" s="51"/>
      <c r="AB980" s="51"/>
      <c r="AC980" s="51"/>
      <c r="AD980" s="51"/>
      <c r="AG980" t="s">
        <v>2720</v>
      </c>
      <c r="AH980" s="51"/>
      <c r="AI980" s="51"/>
    </row>
    <row r="981" spans="2:35">
      <c r="B981" t="s">
        <v>1688</v>
      </c>
      <c r="C981" t="s">
        <v>3418</v>
      </c>
      <c r="D981">
        <v>10</v>
      </c>
      <c r="E981" t="s">
        <v>2791</v>
      </c>
      <c r="F981">
        <v>5</v>
      </c>
      <c r="G981">
        <v>12</v>
      </c>
      <c r="H981">
        <v>3</v>
      </c>
      <c r="I981" t="s">
        <v>1691</v>
      </c>
      <c r="J981" s="51">
        <v>40920</v>
      </c>
      <c r="K981" t="s">
        <v>27</v>
      </c>
      <c r="L981" t="s">
        <v>1584</v>
      </c>
      <c r="M981">
        <v>3</v>
      </c>
      <c r="N981" t="str">
        <f>L981</f>
        <v>NAM\A8070</v>
      </c>
      <c r="O981" s="51">
        <f>J981</f>
        <v>40920</v>
      </c>
      <c r="P981" s="51" t="str">
        <f>C981</f>
        <v>~/cdd/olddocs/Quality Alerts/MICROMINI/Celda A&amp; B/QA-A&amp;B-001 5000117394-14634911 -Couplers diferente color.pdf</v>
      </c>
      <c r="Q981" s="51" t="str">
        <f>E981</f>
        <v>pdf</v>
      </c>
      <c r="R981" s="51"/>
      <c r="S981" s="51"/>
      <c r="T981" s="51"/>
      <c r="U981" s="51"/>
      <c r="V981" s="51"/>
      <c r="W981" s="51"/>
      <c r="X981" s="51"/>
      <c r="Y981" s="51"/>
      <c r="Z981" s="51"/>
      <c r="AA981" s="51"/>
      <c r="AB981" s="51"/>
      <c r="AC981" s="51"/>
      <c r="AD981" s="51"/>
      <c r="AE981">
        <v>1</v>
      </c>
      <c r="AF981" t="s">
        <v>611</v>
      </c>
      <c r="AG981">
        <v>5000117394</v>
      </c>
      <c r="AH981" s="51"/>
      <c r="AI981" s="51"/>
    </row>
    <row r="982" spans="2:35">
      <c r="B982" t="s">
        <v>1692</v>
      </c>
      <c r="C982" t="s">
        <v>3419</v>
      </c>
      <c r="D982">
        <v>10</v>
      </c>
      <c r="E982" t="s">
        <v>2791</v>
      </c>
      <c r="F982">
        <v>5</v>
      </c>
      <c r="G982">
        <v>12</v>
      </c>
      <c r="H982">
        <v>3</v>
      </c>
      <c r="I982" t="s">
        <v>1693</v>
      </c>
      <c r="J982" s="51">
        <v>40954</v>
      </c>
      <c r="K982" t="s">
        <v>27</v>
      </c>
      <c r="L982" t="s">
        <v>1584</v>
      </c>
      <c r="M982">
        <v>3</v>
      </c>
      <c r="N982" t="str">
        <f>L982</f>
        <v>NAM\A8070</v>
      </c>
      <c r="O982" s="51">
        <f>J982</f>
        <v>40954</v>
      </c>
      <c r="P982" s="51" t="str">
        <f>C982</f>
        <v>~/cdd/olddocs/Quality Alerts/MICROMINI/Celda A&amp; B/QA-A&amp;B-002 Varios numeros -Exceso de Goma.pdf</v>
      </c>
      <c r="Q982" s="51" t="str">
        <f>E982</f>
        <v>pdf</v>
      </c>
      <c r="R982" s="51"/>
      <c r="S982" s="51"/>
      <c r="T982" s="51"/>
      <c r="U982" s="51"/>
      <c r="V982" s="51"/>
      <c r="W982" s="51"/>
      <c r="X982" s="51"/>
      <c r="Y982" s="51"/>
      <c r="Z982" s="51"/>
      <c r="AA982" s="51"/>
      <c r="AB982" s="51"/>
      <c r="AC982" s="51"/>
      <c r="AD982" s="51"/>
      <c r="AE982">
        <v>1</v>
      </c>
      <c r="AF982" t="s">
        <v>611</v>
      </c>
      <c r="AG982" t="s">
        <v>1694</v>
      </c>
      <c r="AH982" s="51"/>
      <c r="AI982" s="51"/>
    </row>
    <row r="983" spans="2:35">
      <c r="B983" t="s">
        <v>1695</v>
      </c>
      <c r="C983" t="s">
        <v>3420</v>
      </c>
      <c r="D983">
        <v>10</v>
      </c>
      <c r="E983" t="s">
        <v>2791</v>
      </c>
      <c r="F983">
        <v>5</v>
      </c>
      <c r="G983">
        <v>12</v>
      </c>
      <c r="H983">
        <v>3</v>
      </c>
      <c r="I983" t="s">
        <v>1696</v>
      </c>
      <c r="J983" s="51">
        <v>40968</v>
      </c>
      <c r="K983" t="s">
        <v>27</v>
      </c>
      <c r="L983" t="s">
        <v>1584</v>
      </c>
      <c r="M983">
        <v>3</v>
      </c>
      <c r="N983" t="str">
        <f>L983</f>
        <v>NAM\A8070</v>
      </c>
      <c r="O983" s="51">
        <f>J983</f>
        <v>40968</v>
      </c>
      <c r="P983" s="51" t="str">
        <f>C983</f>
        <v>~/cdd/olddocs/Quality Alerts/MICROMINI/Celda A&amp; B/QA-A&amp;B-003 DM4C3HO2S360A1 Pieza sin goma-exceso-problemas con insert.pdf</v>
      </c>
      <c r="Q983" s="51" t="str">
        <f>E983</f>
        <v>pdf</v>
      </c>
      <c r="R983" s="51"/>
      <c r="S983" s="51"/>
      <c r="T983" s="51"/>
      <c r="U983" s="51"/>
      <c r="V983" s="51"/>
      <c r="W983" s="51"/>
      <c r="X983" s="51"/>
      <c r="Y983" s="51"/>
      <c r="Z983" s="51"/>
      <c r="AA983" s="51"/>
      <c r="AB983" s="51"/>
      <c r="AC983" s="51"/>
      <c r="AD983" s="51"/>
      <c r="AE983">
        <v>1</v>
      </c>
      <c r="AF983" t="s">
        <v>611</v>
      </c>
      <c r="AG983" t="s">
        <v>1697</v>
      </c>
      <c r="AH983" s="51"/>
      <c r="AI983" s="51"/>
    </row>
    <row r="984" spans="2:35">
      <c r="B984" t="s">
        <v>1698</v>
      </c>
      <c r="C984" t="s">
        <v>3421</v>
      </c>
      <c r="D984">
        <v>10</v>
      </c>
      <c r="E984" t="s">
        <v>2791</v>
      </c>
      <c r="F984">
        <v>5</v>
      </c>
      <c r="G984">
        <v>12</v>
      </c>
      <c r="H984">
        <v>3</v>
      </c>
      <c r="I984" t="s">
        <v>1699</v>
      </c>
      <c r="J984" s="51">
        <v>40991</v>
      </c>
      <c r="K984" t="s">
        <v>27</v>
      </c>
      <c r="L984" t="s">
        <v>1584</v>
      </c>
      <c r="M984">
        <v>3</v>
      </c>
      <c r="N984" t="str">
        <f>L984</f>
        <v>NAM\A8070</v>
      </c>
      <c r="O984" s="51">
        <f>J984</f>
        <v>40991</v>
      </c>
      <c r="P984" s="51" t="str">
        <f>C984</f>
        <v>~/cdd/olddocs/Quality Alerts/MICROMINI/Celda A&amp; B/QA-A&amp;B-004 DM4Q2M24E024FS Contacto Bajo- Contacto desalineado.pdf</v>
      </c>
      <c r="Q984" s="51" t="str">
        <f>E984</f>
        <v>pdf</v>
      </c>
      <c r="R984" s="51"/>
      <c r="S984" s="51"/>
      <c r="T984" s="51"/>
      <c r="U984" s="51"/>
      <c r="V984" s="51"/>
      <c r="W984" s="51"/>
      <c r="X984" s="51"/>
      <c r="Y984" s="51"/>
      <c r="Z984" s="51"/>
      <c r="AA984" s="51"/>
      <c r="AB984" s="51"/>
      <c r="AC984" s="51"/>
      <c r="AD984" s="51"/>
      <c r="AE984">
        <v>1</v>
      </c>
      <c r="AF984" t="s">
        <v>611</v>
      </c>
      <c r="AG984" t="s">
        <v>1700</v>
      </c>
      <c r="AH984" s="51"/>
      <c r="AI984" s="51"/>
    </row>
    <row r="985" spans="2:35">
      <c r="B985" t="s">
        <v>1701</v>
      </c>
      <c r="C985" t="s">
        <v>3422</v>
      </c>
      <c r="D985">
        <v>10</v>
      </c>
      <c r="E985" t="s">
        <v>2791</v>
      </c>
      <c r="F985">
        <v>5</v>
      </c>
      <c r="G985">
        <v>12</v>
      </c>
      <c r="H985">
        <v>3</v>
      </c>
      <c r="I985" t="s">
        <v>1702</v>
      </c>
      <c r="J985" s="51">
        <v>41045</v>
      </c>
      <c r="K985" t="s">
        <v>27</v>
      </c>
      <c r="L985" t="s">
        <v>1584</v>
      </c>
      <c r="M985">
        <v>3</v>
      </c>
      <c r="N985" t="str">
        <f>L985</f>
        <v>NAM\A8070</v>
      </c>
      <c r="O985" s="51">
        <f>J985</f>
        <v>41045</v>
      </c>
      <c r="P985" s="51" t="str">
        <f>C985</f>
        <v>~/cdd/olddocs/Quality Alerts/MICROMINI/Celda A&amp; B/QA-A&amp;B-005 1786-TCT2BD1 Componente faltante -Dust Cap.pdf</v>
      </c>
      <c r="Q985" s="51" t="str">
        <f>E985</f>
        <v>pdf</v>
      </c>
      <c r="R985" s="51"/>
      <c r="S985" s="51"/>
      <c r="T985" s="51"/>
      <c r="U985" s="51"/>
      <c r="V985" s="51"/>
      <c r="W985" s="51"/>
      <c r="X985" s="51"/>
      <c r="Y985" s="51"/>
      <c r="Z985" s="51"/>
      <c r="AA985" s="51"/>
      <c r="AB985" s="51"/>
      <c r="AC985" s="51"/>
      <c r="AD985" s="51"/>
      <c r="AE985">
        <v>1</v>
      </c>
      <c r="AF985" t="s">
        <v>611</v>
      </c>
      <c r="AG985" t="s">
        <v>1703</v>
      </c>
      <c r="AH985" s="51"/>
      <c r="AI985" s="51"/>
    </row>
    <row r="986" spans="2:35">
      <c r="B986" t="s">
        <v>2064</v>
      </c>
      <c r="C986" t="s">
        <v>3926</v>
      </c>
      <c r="D986">
        <v>10</v>
      </c>
      <c r="E986" t="s">
        <v>2790</v>
      </c>
      <c r="F986">
        <v>5</v>
      </c>
      <c r="G986">
        <v>10</v>
      </c>
      <c r="H986">
        <v>7</v>
      </c>
      <c r="I986" t="s">
        <v>2065</v>
      </c>
      <c r="J986" s="51">
        <v>41122</v>
      </c>
      <c r="K986" t="s">
        <v>27</v>
      </c>
      <c r="L986" t="s">
        <v>2063</v>
      </c>
      <c r="M986">
        <v>3</v>
      </c>
      <c r="N986" t="str">
        <f>L986</f>
        <v>NAM\MB2117</v>
      </c>
      <c r="O986" s="51">
        <f>J986</f>
        <v>41122</v>
      </c>
      <c r="P986" s="51" t="str">
        <f>C986</f>
        <v>~/cdd/olddocs/CN-QAAS (Aseguranza de calidad)/Control Plans/MICROMINI/CELDA A-B/CP-A&amp;B-012  Rev. A  PDR1-18.xlsx</v>
      </c>
      <c r="Q986" s="51" t="str">
        <f>E986</f>
        <v>xlsx</v>
      </c>
      <c r="R986" s="51"/>
      <c r="S986" s="51"/>
      <c r="T986" s="51"/>
      <c r="U986" s="51"/>
      <c r="V986" s="51"/>
      <c r="W986" s="51"/>
      <c r="X986" s="51"/>
      <c r="Y986" s="51"/>
      <c r="Z986" s="51"/>
      <c r="AA986" s="51"/>
      <c r="AB986" s="51"/>
      <c r="AC986" s="51"/>
      <c r="AD986" s="51"/>
      <c r="AE986">
        <v>1</v>
      </c>
      <c r="AF986" t="s">
        <v>2066</v>
      </c>
      <c r="AG986" t="s">
        <v>1694</v>
      </c>
      <c r="AH986" s="51"/>
      <c r="AI986" s="51"/>
    </row>
    <row r="987" spans="2:35">
      <c r="B987" t="s">
        <v>2067</v>
      </c>
      <c r="C987" t="s">
        <v>3926</v>
      </c>
      <c r="D987">
        <v>10</v>
      </c>
      <c r="E987" t="s">
        <v>2790</v>
      </c>
      <c r="F987">
        <v>5</v>
      </c>
      <c r="G987">
        <v>10</v>
      </c>
      <c r="H987">
        <v>7</v>
      </c>
      <c r="I987" t="s">
        <v>2068</v>
      </c>
      <c r="J987" s="51">
        <v>41172</v>
      </c>
      <c r="K987" t="s">
        <v>27</v>
      </c>
      <c r="L987" t="s">
        <v>2063</v>
      </c>
      <c r="M987">
        <v>3</v>
      </c>
      <c r="N987" t="str">
        <f>L987</f>
        <v>NAM\MB2117</v>
      </c>
      <c r="O987" s="51">
        <f>J987</f>
        <v>41172</v>
      </c>
      <c r="P987" s="51" t="str">
        <f>C987</f>
        <v>~/cdd/olddocs/CN-QAAS (Aseguranza de calidad)/Control Plans/MICROMINI/CELDA A-B/CP-A&amp;B-012  Rev. A  PDR1-18.xlsx</v>
      </c>
      <c r="Q987" s="51" t="str">
        <f>E987</f>
        <v>xlsx</v>
      </c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>
        <v>1</v>
      </c>
      <c r="AF987" t="s">
        <v>2066</v>
      </c>
      <c r="AG987" t="s">
        <v>2069</v>
      </c>
      <c r="AH987" s="51"/>
      <c r="AI987" s="51"/>
    </row>
    <row r="988" spans="2:35">
      <c r="B988" t="s">
        <v>2070</v>
      </c>
      <c r="C988" t="s">
        <v>3386</v>
      </c>
      <c r="D988">
        <v>10</v>
      </c>
      <c r="E988" t="s">
        <v>2791</v>
      </c>
      <c r="F988">
        <v>5</v>
      </c>
      <c r="G988">
        <v>10</v>
      </c>
      <c r="H988">
        <v>7</v>
      </c>
      <c r="I988" t="s">
        <v>2071</v>
      </c>
      <c r="J988" s="51">
        <v>41184</v>
      </c>
      <c r="K988" t="s">
        <v>27</v>
      </c>
      <c r="L988" t="s">
        <v>2063</v>
      </c>
      <c r="M988">
        <v>3</v>
      </c>
      <c r="N988" t="str">
        <f>L988</f>
        <v>NAM\MB2117</v>
      </c>
      <c r="O988" s="51">
        <f>J988</f>
        <v>41184</v>
      </c>
      <c r="P988" s="51" t="str">
        <f>C988</f>
        <v>~/cdd/olddocs/Quality Alerts/ITRON/AMSAFE/QA-AMSA-003 .pdf</v>
      </c>
      <c r="Q988" s="51" t="str">
        <f>E988</f>
        <v>pdf</v>
      </c>
      <c r="R988" s="51"/>
      <c r="S988" s="51"/>
      <c r="T988" s="51"/>
      <c r="U988" s="51"/>
      <c r="V988" s="51"/>
      <c r="W988" s="51"/>
      <c r="X988" s="51"/>
      <c r="Y988" s="51"/>
      <c r="Z988" s="51"/>
      <c r="AA988" s="51"/>
      <c r="AB988" s="51"/>
      <c r="AC988" s="51"/>
      <c r="AD988" s="51"/>
      <c r="AE988">
        <v>1</v>
      </c>
      <c r="AF988" t="s">
        <v>2066</v>
      </c>
      <c r="AG988" t="s">
        <v>2072</v>
      </c>
      <c r="AH988" s="51"/>
      <c r="AI988" s="51"/>
    </row>
    <row r="989" spans="2:35">
      <c r="B989" t="s">
        <v>2073</v>
      </c>
      <c r="C989" t="s">
        <v>3696</v>
      </c>
      <c r="D989">
        <v>10</v>
      </c>
      <c r="E989" t="s">
        <v>2791</v>
      </c>
      <c r="F989">
        <v>5</v>
      </c>
      <c r="G989">
        <v>10</v>
      </c>
      <c r="H989">
        <v>7</v>
      </c>
      <c r="I989" t="s">
        <v>2074</v>
      </c>
      <c r="J989" s="51">
        <v>41185</v>
      </c>
      <c r="K989" t="s">
        <v>27</v>
      </c>
      <c r="L989" t="s">
        <v>2063</v>
      </c>
      <c r="M989">
        <v>3</v>
      </c>
      <c r="N989" t="str">
        <f>L989</f>
        <v>NAM\MB2117</v>
      </c>
      <c r="O989" s="51">
        <f>J989</f>
        <v>41185</v>
      </c>
      <c r="P989" s="51" t="str">
        <f>C989</f>
        <v>~/cdd/olddocs/Control Plans/MICROMINI/CELDA A&amp;B/CP-A&amp;B-016  ML4C4TC.pdf</v>
      </c>
      <c r="Q989" s="51" t="str">
        <f>E989</f>
        <v>pdf</v>
      </c>
      <c r="R989" s="51"/>
      <c r="S989" s="51"/>
      <c r="T989" s="51"/>
      <c r="U989" s="51"/>
      <c r="V989" s="51"/>
      <c r="W989" s="51"/>
      <c r="X989" s="51"/>
      <c r="Y989" s="51"/>
      <c r="Z989" s="51"/>
      <c r="AA989" s="51"/>
      <c r="AB989" s="51"/>
      <c r="AC989" s="51"/>
      <c r="AD989" s="51"/>
      <c r="AE989">
        <v>1</v>
      </c>
      <c r="AF989" t="s">
        <v>2066</v>
      </c>
      <c r="AG989" t="s">
        <v>2075</v>
      </c>
      <c r="AH989" s="51"/>
      <c r="AI989" s="51"/>
    </row>
    <row r="990" spans="2:35">
      <c r="B990" t="s">
        <v>2076</v>
      </c>
      <c r="C990" t="s">
        <v>3696</v>
      </c>
      <c r="D990">
        <v>10</v>
      </c>
      <c r="E990" t="s">
        <v>2791</v>
      </c>
      <c r="F990">
        <v>5</v>
      </c>
      <c r="G990">
        <v>10</v>
      </c>
      <c r="H990">
        <v>7</v>
      </c>
      <c r="I990" t="s">
        <v>2077</v>
      </c>
      <c r="J990" s="51">
        <v>41190</v>
      </c>
      <c r="K990" t="s">
        <v>27</v>
      </c>
      <c r="L990" t="s">
        <v>2063</v>
      </c>
      <c r="M990">
        <v>3</v>
      </c>
      <c r="N990" t="str">
        <f>L990</f>
        <v>NAM\MB2117</v>
      </c>
      <c r="O990" s="51">
        <f>J990</f>
        <v>41190</v>
      </c>
      <c r="P990" s="51" t="str">
        <f>C990</f>
        <v>~/cdd/olddocs/Control Plans/MICROMINI/CELDA A&amp;B/CP-A&amp;B-016  ML4C4TC.pdf</v>
      </c>
      <c r="Q990" s="51" t="str">
        <f>E990</f>
        <v>pdf</v>
      </c>
      <c r="R990" s="51"/>
      <c r="S990" s="51"/>
      <c r="T990" s="51"/>
      <c r="U990" s="51"/>
      <c r="V990" s="51"/>
      <c r="W990" s="51"/>
      <c r="X990" s="51"/>
      <c r="Y990" s="51"/>
      <c r="Z990" s="51"/>
      <c r="AA990" s="51"/>
      <c r="AB990" s="51"/>
      <c r="AC990" s="51"/>
      <c r="AD990" s="51"/>
      <c r="AE990">
        <v>1</v>
      </c>
      <c r="AF990" t="s">
        <v>2066</v>
      </c>
      <c r="AG990" t="s">
        <v>2078</v>
      </c>
      <c r="AH990" s="51"/>
      <c r="AI990" s="51"/>
    </row>
    <row r="991" spans="2:35">
      <c r="B991" t="s">
        <v>2079</v>
      </c>
      <c r="C991" t="s">
        <v>3696</v>
      </c>
      <c r="D991">
        <v>10</v>
      </c>
      <c r="E991" t="s">
        <v>2791</v>
      </c>
      <c r="F991">
        <v>5</v>
      </c>
      <c r="G991">
        <v>10</v>
      </c>
      <c r="H991">
        <v>10</v>
      </c>
      <c r="I991" t="s">
        <v>2080</v>
      </c>
      <c r="J991" s="51">
        <v>41109</v>
      </c>
      <c r="K991" t="s">
        <v>27</v>
      </c>
      <c r="L991" t="s">
        <v>2063</v>
      </c>
      <c r="M991">
        <v>3</v>
      </c>
      <c r="N991" t="str">
        <f>L991</f>
        <v>NAM\MB2117</v>
      </c>
      <c r="O991" s="51">
        <f>J991</f>
        <v>41109</v>
      </c>
      <c r="P991" s="51" t="str">
        <f>C991</f>
        <v>~/cdd/olddocs/Control Plans/MICROMINI/CELDA A&amp;B/CP-A&amp;B-016  ML4C4TC.pdf</v>
      </c>
      <c r="Q991" s="51" t="str">
        <f>E991</f>
        <v>pdf</v>
      </c>
      <c r="R991" s="51"/>
      <c r="S991" s="51"/>
      <c r="T991" s="51"/>
      <c r="U991" s="51"/>
      <c r="V991" s="51"/>
      <c r="W991" s="51"/>
      <c r="X991" s="51"/>
      <c r="Y991" s="51"/>
      <c r="Z991" s="51"/>
      <c r="AA991" s="51"/>
      <c r="AB991" s="51"/>
      <c r="AC991" s="51"/>
      <c r="AD991" s="51"/>
      <c r="AE991">
        <v>1</v>
      </c>
      <c r="AF991" t="s">
        <v>2066</v>
      </c>
      <c r="AG991" t="s">
        <v>2081</v>
      </c>
      <c r="AH991" s="51"/>
      <c r="AI991" s="51"/>
    </row>
    <row r="992" spans="2:35">
      <c r="B992" t="s">
        <v>2079</v>
      </c>
      <c r="C992" t="s">
        <v>3387</v>
      </c>
      <c r="D992">
        <v>10</v>
      </c>
      <c r="E992" t="s">
        <v>2791</v>
      </c>
      <c r="F992">
        <v>5</v>
      </c>
      <c r="G992">
        <v>10</v>
      </c>
      <c r="H992">
        <v>10</v>
      </c>
      <c r="I992" t="s">
        <v>2082</v>
      </c>
      <c r="J992" s="51">
        <v>40931</v>
      </c>
      <c r="K992" t="s">
        <v>27</v>
      </c>
      <c r="L992" t="s">
        <v>2063</v>
      </c>
      <c r="M992">
        <v>3</v>
      </c>
      <c r="N992" t="str">
        <f>L992</f>
        <v>NAM\MB2117</v>
      </c>
      <c r="O992" s="51">
        <f>J992</f>
        <v>40931</v>
      </c>
      <c r="P992" s="51" t="str">
        <f>C992</f>
        <v>~/cdd/olddocs/Quality Alerts/ITRON/BONDING/QA-BOND-001 BACC65AK211P Housing-Incorrecto.pdf</v>
      </c>
      <c r="Q992" s="51" t="str">
        <f>E992</f>
        <v>pdf</v>
      </c>
      <c r="R992" s="51"/>
      <c r="S992" s="51"/>
      <c r="T992" s="51"/>
      <c r="U992" s="51"/>
      <c r="V992" s="51"/>
      <c r="W992" s="51"/>
      <c r="X992" s="51"/>
      <c r="Y992" s="51"/>
      <c r="Z992" s="51"/>
      <c r="AA992" s="51"/>
      <c r="AB992" s="51"/>
      <c r="AC992" s="51"/>
      <c r="AD992" s="51"/>
      <c r="AE992">
        <v>1</v>
      </c>
      <c r="AF992" t="s">
        <v>2066</v>
      </c>
      <c r="AG992" t="s">
        <v>2083</v>
      </c>
      <c r="AH992" s="51"/>
      <c r="AI992" s="51"/>
    </row>
    <row r="993" spans="2:35">
      <c r="B993" t="s">
        <v>2084</v>
      </c>
      <c r="C993" t="s">
        <v>3388</v>
      </c>
      <c r="D993">
        <v>10</v>
      </c>
      <c r="E993" t="s">
        <v>2791</v>
      </c>
      <c r="F993">
        <v>5</v>
      </c>
      <c r="G993">
        <v>10</v>
      </c>
      <c r="H993">
        <v>10</v>
      </c>
      <c r="I993" t="s">
        <v>2085</v>
      </c>
      <c r="J993" s="51">
        <v>41109</v>
      </c>
      <c r="K993" t="s">
        <v>27</v>
      </c>
      <c r="L993" t="s">
        <v>2063</v>
      </c>
      <c r="M993">
        <v>3</v>
      </c>
      <c r="N993" t="str">
        <f>L993</f>
        <v>NAM\MB2117</v>
      </c>
      <c r="O993" s="51">
        <f>J993</f>
        <v>41109</v>
      </c>
      <c r="P993" s="51" t="str">
        <f>C993</f>
        <v>~/cdd/olddocs/Quality Alerts/ITRON/BONDING/QA-BOND-002 002359-000X-002360-000X- 002361-000X Empaque en catidad 50 piezas.pdf</v>
      </c>
      <c r="Q993" s="51" t="str">
        <f>E993</f>
        <v>pdf</v>
      </c>
      <c r="R993" s="51"/>
      <c r="S993" s="51"/>
      <c r="T993" s="51"/>
      <c r="U993" s="51"/>
      <c r="V993" s="51"/>
      <c r="W993" s="51"/>
      <c r="X993" s="51"/>
      <c r="Y993" s="51"/>
      <c r="Z993" s="51"/>
      <c r="AA993" s="51"/>
      <c r="AB993" s="51"/>
      <c r="AC993" s="51"/>
      <c r="AD993" s="51"/>
      <c r="AE993">
        <v>1</v>
      </c>
      <c r="AF993" t="s">
        <v>2066</v>
      </c>
      <c r="AG993" t="s">
        <v>2086</v>
      </c>
      <c r="AH993" s="51"/>
      <c r="AI993" s="51"/>
    </row>
    <row r="994" spans="2:35">
      <c r="B994" t="s">
        <v>2084</v>
      </c>
      <c r="C994" t="s">
        <v>3388</v>
      </c>
      <c r="D994">
        <v>10</v>
      </c>
      <c r="E994" t="s">
        <v>2791</v>
      </c>
      <c r="F994">
        <v>5</v>
      </c>
      <c r="G994">
        <v>10</v>
      </c>
      <c r="H994">
        <v>10</v>
      </c>
      <c r="I994" t="s">
        <v>2087</v>
      </c>
      <c r="J994" s="51">
        <v>40940</v>
      </c>
      <c r="K994" t="s">
        <v>27</v>
      </c>
      <c r="L994" t="s">
        <v>2063</v>
      </c>
      <c r="M994">
        <v>3</v>
      </c>
      <c r="N994" t="str">
        <f>L994</f>
        <v>NAM\MB2117</v>
      </c>
      <c r="O994" s="51">
        <f>J994</f>
        <v>40940</v>
      </c>
      <c r="P994" s="51" t="str">
        <f>C994</f>
        <v>~/cdd/olddocs/Quality Alerts/ITRON/BONDING/QA-BOND-002 002359-000X-002360-000X- 002361-000X Empaque en catidad 50 piezas.pdf</v>
      </c>
      <c r="Q994" s="51" t="str">
        <f>E994</f>
        <v>pdf</v>
      </c>
      <c r="R994" s="51"/>
      <c r="S994" s="51"/>
      <c r="T994" s="51"/>
      <c r="U994" s="51"/>
      <c r="V994" s="51"/>
      <c r="W994" s="51"/>
      <c r="X994" s="51"/>
      <c r="Y994" s="51"/>
      <c r="Z994" s="51"/>
      <c r="AA994" s="51"/>
      <c r="AB994" s="51"/>
      <c r="AC994" s="51"/>
      <c r="AD994" s="51"/>
      <c r="AE994">
        <v>1</v>
      </c>
      <c r="AF994" t="s">
        <v>2066</v>
      </c>
      <c r="AG994" t="s">
        <v>2088</v>
      </c>
      <c r="AH994" s="51"/>
      <c r="AI994" s="51"/>
    </row>
    <row r="995" spans="2:35">
      <c r="B995" t="s">
        <v>2089</v>
      </c>
      <c r="C995" t="s">
        <v>3389</v>
      </c>
      <c r="D995">
        <v>10</v>
      </c>
      <c r="E995" t="s">
        <v>2791</v>
      </c>
      <c r="F995">
        <v>5</v>
      </c>
      <c r="G995">
        <v>10</v>
      </c>
      <c r="H995">
        <v>10</v>
      </c>
      <c r="I995" t="s">
        <v>2090</v>
      </c>
      <c r="J995" s="51">
        <v>40954</v>
      </c>
      <c r="K995" t="s">
        <v>27</v>
      </c>
      <c r="L995" t="s">
        <v>2063</v>
      </c>
      <c r="M995">
        <v>3</v>
      </c>
      <c r="N995" t="str">
        <f>L995</f>
        <v>NAM\MB2117</v>
      </c>
      <c r="O995" s="51">
        <f>J995</f>
        <v>40954</v>
      </c>
      <c r="P995" s="51" t="str">
        <f>C995</f>
        <v>~/cdd/olddocs/Quality Alerts/ITRON/BONDING/QA-BOND-003 002359-000X Rebaba en el punto de inyeccion.pdf</v>
      </c>
      <c r="Q995" s="51" t="str">
        <f>E995</f>
        <v>pdf</v>
      </c>
      <c r="R995" s="51"/>
      <c r="S995" s="51"/>
      <c r="T995" s="51"/>
      <c r="U995" s="51"/>
      <c r="V995" s="51"/>
      <c r="W995" s="51"/>
      <c r="X995" s="51"/>
      <c r="Y995" s="51"/>
      <c r="Z995" s="51"/>
      <c r="AA995" s="51"/>
      <c r="AB995" s="51"/>
      <c r="AC995" s="51"/>
      <c r="AD995" s="51"/>
      <c r="AE995">
        <v>1</v>
      </c>
      <c r="AF995" t="s">
        <v>2066</v>
      </c>
      <c r="AG995" t="s">
        <v>2088</v>
      </c>
      <c r="AH995" s="51"/>
      <c r="AI995" s="51"/>
    </row>
    <row r="996" spans="2:35">
      <c r="B996" t="s">
        <v>2091</v>
      </c>
      <c r="C996" t="s">
        <v>3390</v>
      </c>
      <c r="D996">
        <v>10</v>
      </c>
      <c r="E996" t="s">
        <v>2791</v>
      </c>
      <c r="F996">
        <v>5</v>
      </c>
      <c r="G996">
        <v>10</v>
      </c>
      <c r="H996">
        <v>10</v>
      </c>
      <c r="I996" t="s">
        <v>2092</v>
      </c>
      <c r="J996" s="51">
        <v>40974</v>
      </c>
      <c r="K996" t="s">
        <v>27</v>
      </c>
      <c r="L996" t="s">
        <v>2063</v>
      </c>
      <c r="M996">
        <v>3</v>
      </c>
      <c r="N996" t="str">
        <f>L996</f>
        <v>NAM\MB2117</v>
      </c>
      <c r="O996" s="51">
        <f>J996</f>
        <v>40974</v>
      </c>
      <c r="P996" s="51" t="str">
        <f>C996</f>
        <v>~/cdd/olddocs/Quality Alerts/ITRON/BONDING/QA-BOND-004 027-0252-221 Grommet con pellizcos.pdf</v>
      </c>
      <c r="Q996" s="51" t="str">
        <f>E996</f>
        <v>pdf</v>
      </c>
      <c r="R996" s="51"/>
      <c r="S996" s="51"/>
      <c r="T996" s="51"/>
      <c r="U996" s="51"/>
      <c r="V996" s="51"/>
      <c r="W996" s="51"/>
      <c r="X996" s="51"/>
      <c r="Y996" s="51"/>
      <c r="Z996" s="51"/>
      <c r="AA996" s="51"/>
      <c r="AB996" s="51"/>
      <c r="AC996" s="51"/>
      <c r="AD996" s="51"/>
      <c r="AE996">
        <v>1</v>
      </c>
      <c r="AF996" t="s">
        <v>2066</v>
      </c>
      <c r="AG996" t="s">
        <v>2093</v>
      </c>
      <c r="AH996" s="51"/>
      <c r="AI996" s="51"/>
    </row>
    <row r="997" spans="2:35">
      <c r="B997" t="s">
        <v>2094</v>
      </c>
      <c r="C997" t="s">
        <v>3391</v>
      </c>
      <c r="D997">
        <v>10</v>
      </c>
      <c r="E997" t="s">
        <v>2791</v>
      </c>
      <c r="F997">
        <v>5</v>
      </c>
      <c r="G997">
        <v>10</v>
      </c>
      <c r="H997">
        <v>10</v>
      </c>
      <c r="I997" t="s">
        <v>2092</v>
      </c>
      <c r="J997" s="51">
        <v>41061</v>
      </c>
      <c r="K997" t="s">
        <v>27</v>
      </c>
      <c r="L997" t="s">
        <v>2063</v>
      </c>
      <c r="M997">
        <v>3</v>
      </c>
      <c r="N997" t="str">
        <f>L997</f>
        <v>NAM\MB2117</v>
      </c>
      <c r="O997" s="51">
        <f>J997</f>
        <v>41061</v>
      </c>
      <c r="P997" s="51" t="str">
        <f>C997</f>
        <v>~/cdd/olddocs/Quality Alerts/ITRON/BONDING/QA-BOND-005 027-0212-001 Grommet con pellizcos.pdf</v>
      </c>
      <c r="Q997" s="51" t="str">
        <f>E997</f>
        <v>pdf</v>
      </c>
      <c r="R997" s="51"/>
      <c r="S997" s="51"/>
      <c r="T997" s="51"/>
      <c r="U997" s="51"/>
      <c r="V997" s="51"/>
      <c r="W997" s="51"/>
      <c r="X997" s="51"/>
      <c r="Y997" s="51"/>
      <c r="Z997" s="51"/>
      <c r="AA997" s="51"/>
      <c r="AB997" s="51"/>
      <c r="AC997" s="51"/>
      <c r="AD997" s="51"/>
      <c r="AE997">
        <v>1</v>
      </c>
      <c r="AF997" t="s">
        <v>2066</v>
      </c>
      <c r="AG997" t="s">
        <v>2095</v>
      </c>
      <c r="AH997" s="51"/>
      <c r="AI997" s="51"/>
    </row>
    <row r="998" spans="2:35">
      <c r="B998" t="s">
        <v>2096</v>
      </c>
      <c r="C998" t="s">
        <v>3392</v>
      </c>
      <c r="D998">
        <v>10</v>
      </c>
      <c r="E998" t="s">
        <v>2791</v>
      </c>
      <c r="F998">
        <v>5</v>
      </c>
      <c r="G998">
        <v>10</v>
      </c>
      <c r="H998">
        <v>10</v>
      </c>
      <c r="I998" t="s">
        <v>2097</v>
      </c>
      <c r="J998" s="51">
        <v>40983</v>
      </c>
      <c r="K998" t="s">
        <v>27</v>
      </c>
      <c r="L998" t="s">
        <v>2063</v>
      </c>
      <c r="M998">
        <v>3</v>
      </c>
      <c r="N998" t="str">
        <f>L998</f>
        <v>NAM\MB2117</v>
      </c>
      <c r="O998" s="51">
        <f>J998</f>
        <v>40983</v>
      </c>
      <c r="P998" s="51" t="str">
        <f>C998</f>
        <v>~/cdd/olddocs/Quality Alerts/ITRON/BONDING/QA-BOND-006 002359-000X Grommet despegado.pdf</v>
      </c>
      <c r="Q998" s="51" t="str">
        <f>E998</f>
        <v>pdf</v>
      </c>
      <c r="R998" s="51"/>
      <c r="S998" s="51"/>
      <c r="T998" s="51"/>
      <c r="U998" s="51"/>
      <c r="V998" s="51"/>
      <c r="W998" s="51"/>
      <c r="X998" s="51"/>
      <c r="Y998" s="51"/>
      <c r="Z998" s="51"/>
      <c r="AA998" s="51"/>
      <c r="AB998" s="51"/>
      <c r="AC998" s="51"/>
      <c r="AD998" s="51"/>
      <c r="AE998">
        <v>1</v>
      </c>
      <c r="AF998" t="s">
        <v>2066</v>
      </c>
      <c r="AG998" t="s">
        <v>2088</v>
      </c>
      <c r="AH998" s="51"/>
      <c r="AI998" s="51"/>
    </row>
    <row r="999" spans="2:35">
      <c r="B999" t="s">
        <v>2098</v>
      </c>
      <c r="C999" t="s">
        <v>3393</v>
      </c>
      <c r="D999">
        <v>10</v>
      </c>
      <c r="E999" t="s">
        <v>2791</v>
      </c>
      <c r="F999">
        <v>5</v>
      </c>
      <c r="G999">
        <v>10</v>
      </c>
      <c r="H999">
        <v>10</v>
      </c>
      <c r="I999" t="s">
        <v>2099</v>
      </c>
      <c r="J999" s="51">
        <v>40988</v>
      </c>
      <c r="K999" t="s">
        <v>27</v>
      </c>
      <c r="L999" t="s">
        <v>2063</v>
      </c>
      <c r="M999">
        <v>3</v>
      </c>
      <c r="N999" t="str">
        <f>L999</f>
        <v>NAM\MB2117</v>
      </c>
      <c r="O999" s="51">
        <f>J999</f>
        <v>40988</v>
      </c>
      <c r="P999" s="51" t="str">
        <f>C999</f>
        <v>~/cdd/olddocs/Quality Alerts/ITRON/BONDING/QA-BOND-007 027-0231-001 Grommet dañado-Cortado rasgado.pdf</v>
      </c>
      <c r="Q999" s="51" t="str">
        <f>E999</f>
        <v>pdf</v>
      </c>
      <c r="R999" s="51"/>
      <c r="S999" s="51"/>
      <c r="T999" s="51"/>
      <c r="U999" s="51"/>
      <c r="V999" s="51"/>
      <c r="W999" s="51"/>
      <c r="X999" s="51"/>
      <c r="Y999" s="51"/>
      <c r="Z999" s="51"/>
      <c r="AA999" s="51"/>
      <c r="AB999" s="51"/>
      <c r="AC999" s="51"/>
      <c r="AD999" s="51"/>
      <c r="AE999">
        <v>1</v>
      </c>
      <c r="AF999" t="s">
        <v>2066</v>
      </c>
      <c r="AG999" t="s">
        <v>2100</v>
      </c>
      <c r="AH999" s="51"/>
      <c r="AI999" s="51"/>
    </row>
    <row r="1000" spans="2:35">
      <c r="B1000" t="s">
        <v>2101</v>
      </c>
      <c r="C1000" t="s">
        <v>3394</v>
      </c>
      <c r="D1000">
        <v>10</v>
      </c>
      <c r="E1000" t="s">
        <v>2791</v>
      </c>
      <c r="F1000">
        <v>5</v>
      </c>
      <c r="G1000">
        <v>10</v>
      </c>
      <c r="H1000">
        <v>10</v>
      </c>
      <c r="I1000" t="s">
        <v>2102</v>
      </c>
      <c r="J1000" s="51">
        <v>41012</v>
      </c>
      <c r="K1000" t="s">
        <v>27</v>
      </c>
      <c r="L1000" t="s">
        <v>2063</v>
      </c>
      <c r="M1000">
        <v>3</v>
      </c>
      <c r="N1000" t="str">
        <f>L1000</f>
        <v>NAM\MB2117</v>
      </c>
      <c r="O1000" s="51">
        <f>J1000</f>
        <v>41012</v>
      </c>
      <c r="P1000" s="51" t="str">
        <f>C1000</f>
        <v>~/cdd/olddocs/Quality Alerts/ITRON/BONDING/QA-BOND-008 BACC65AK261P Pieza fuera de spec.pdf</v>
      </c>
      <c r="Q1000" s="51" t="str">
        <f>E1000</f>
        <v>pdf</v>
      </c>
      <c r="R1000" s="51"/>
      <c r="S1000" s="51"/>
      <c r="T1000" s="51"/>
      <c r="U1000" s="51"/>
      <c r="V1000" s="51"/>
      <c r="W1000" s="51"/>
      <c r="X1000" s="51"/>
      <c r="Y1000" s="51"/>
      <c r="Z1000" s="51"/>
      <c r="AA1000" s="51"/>
      <c r="AB1000" s="51"/>
      <c r="AC1000" s="51"/>
      <c r="AD1000" s="51"/>
      <c r="AE1000">
        <v>1</v>
      </c>
      <c r="AF1000" t="s">
        <v>2066</v>
      </c>
      <c r="AG1000" t="s">
        <v>2103</v>
      </c>
      <c r="AH1000" s="51"/>
      <c r="AI1000" s="51"/>
    </row>
    <row r="1001" spans="2:35">
      <c r="B1001" t="s">
        <v>2104</v>
      </c>
      <c r="C1001" t="s">
        <v>3395</v>
      </c>
      <c r="D1001">
        <v>10</v>
      </c>
      <c r="E1001" t="s">
        <v>2791</v>
      </c>
      <c r="F1001">
        <v>5</v>
      </c>
      <c r="G1001">
        <v>10</v>
      </c>
      <c r="H1001">
        <v>10</v>
      </c>
      <c r="I1001" t="s">
        <v>2105</v>
      </c>
      <c r="J1001" s="51">
        <v>41032</v>
      </c>
      <c r="K1001" t="s">
        <v>27</v>
      </c>
      <c r="L1001" t="s">
        <v>2063</v>
      </c>
      <c r="M1001">
        <v>3</v>
      </c>
      <c r="N1001" t="str">
        <f>L1001</f>
        <v>NAM\MB2117</v>
      </c>
      <c r="O1001" s="51">
        <f>J1001</f>
        <v>41032</v>
      </c>
      <c r="P1001" s="51" t="str">
        <f>C1001</f>
        <v>~/cdd/olddocs/Quality Alerts/ITRON/BONDING/QA-BOND-009 BACC65AK251P Grommet Invertido.pdf</v>
      </c>
      <c r="Q1001" s="51" t="str">
        <f>E1001</f>
        <v>pdf</v>
      </c>
      <c r="R1001" s="51"/>
      <c r="S1001" s="51"/>
      <c r="T1001" s="51"/>
      <c r="U1001" s="51"/>
      <c r="V1001" s="51"/>
      <c r="W1001" s="51"/>
      <c r="X1001" s="51"/>
      <c r="Y1001" s="51"/>
      <c r="Z1001" s="51"/>
      <c r="AA1001" s="51"/>
      <c r="AB1001" s="51"/>
      <c r="AC1001" s="51"/>
      <c r="AD1001" s="51"/>
      <c r="AE1001">
        <v>1</v>
      </c>
      <c r="AF1001" t="s">
        <v>2066</v>
      </c>
      <c r="AG1001" t="s">
        <v>2106</v>
      </c>
      <c r="AH1001" s="51"/>
      <c r="AI1001" s="51"/>
    </row>
    <row r="1002" spans="2:35">
      <c r="B1002" t="s">
        <v>2107</v>
      </c>
      <c r="C1002" t="s">
        <v>3396</v>
      </c>
      <c r="D1002">
        <v>10</v>
      </c>
      <c r="E1002" t="s">
        <v>2791</v>
      </c>
      <c r="F1002">
        <v>5</v>
      </c>
      <c r="G1002">
        <v>10</v>
      </c>
      <c r="H1002">
        <v>10</v>
      </c>
      <c r="I1002" t="s">
        <v>2108</v>
      </c>
      <c r="J1002" s="51">
        <v>41089</v>
      </c>
      <c r="K1002" t="s">
        <v>27</v>
      </c>
      <c r="L1002" t="s">
        <v>2063</v>
      </c>
      <c r="M1002">
        <v>3</v>
      </c>
      <c r="N1002" t="str">
        <f>L1002</f>
        <v>NAM\MB2117</v>
      </c>
      <c r="O1002" s="51">
        <f>J1002</f>
        <v>41089</v>
      </c>
      <c r="P1002" s="51" t="str">
        <f>C1002</f>
        <v>~/cdd/olddocs/Quality Alerts/ITRON/BONDING/QA-BOND-010 ENGOMADO 002359-0002 (129-0029-002).pdf</v>
      </c>
      <c r="Q1002" s="51" t="str">
        <f>E1002</f>
        <v>pdf</v>
      </c>
      <c r="R1002" s="51"/>
      <c r="S1002" s="51"/>
      <c r="T1002" s="51"/>
      <c r="U1002" s="51"/>
      <c r="V1002" s="51"/>
      <c r="W1002" s="51"/>
      <c r="X1002" s="51"/>
      <c r="Y1002" s="51"/>
      <c r="Z1002" s="51"/>
      <c r="AA1002" s="51"/>
      <c r="AB1002" s="51"/>
      <c r="AC1002" s="51"/>
      <c r="AD1002" s="51"/>
      <c r="AE1002">
        <v>1</v>
      </c>
      <c r="AF1002" t="s">
        <v>2066</v>
      </c>
      <c r="AG1002" t="s">
        <v>2109</v>
      </c>
      <c r="AH1002" s="51"/>
      <c r="AI1002" s="51"/>
    </row>
    <row r="1003" spans="2:35">
      <c r="B1003" t="s">
        <v>2110</v>
      </c>
      <c r="C1003" t="s">
        <v>3397</v>
      </c>
      <c r="D1003">
        <v>10</v>
      </c>
      <c r="E1003" t="s">
        <v>2791</v>
      </c>
      <c r="F1003">
        <v>5</v>
      </c>
      <c r="G1003">
        <v>10</v>
      </c>
      <c r="H1003">
        <v>10</v>
      </c>
      <c r="I1003" t="s">
        <v>2111</v>
      </c>
      <c r="J1003" s="51">
        <v>41101</v>
      </c>
      <c r="K1003" t="s">
        <v>27</v>
      </c>
      <c r="L1003" t="s">
        <v>2063</v>
      </c>
      <c r="M1003">
        <v>3</v>
      </c>
      <c r="N1003" t="str">
        <f>L1003</f>
        <v>NAM\MB2117</v>
      </c>
      <c r="O1003" s="51">
        <f>J1003</f>
        <v>41101</v>
      </c>
      <c r="P1003" s="51" t="str">
        <f>C1003</f>
        <v>~/cdd/olddocs/Quality Alerts/ITRON/BONDING/QA-BOND-011 conectores sin contactos  000300-0596.pdf</v>
      </c>
      <c r="Q1003" s="51" t="str">
        <f>E1003</f>
        <v>pdf</v>
      </c>
      <c r="R1003" s="51"/>
      <c r="S1003" s="51"/>
      <c r="T1003" s="51"/>
      <c r="U1003" s="51"/>
      <c r="V1003" s="51"/>
      <c r="W1003" s="51"/>
      <c r="X1003" s="51"/>
      <c r="Y1003" s="51"/>
      <c r="Z1003" s="51"/>
      <c r="AA1003" s="51"/>
      <c r="AB1003" s="51"/>
      <c r="AC1003" s="51"/>
      <c r="AD1003" s="51"/>
      <c r="AE1003">
        <v>1</v>
      </c>
      <c r="AF1003" t="s">
        <v>2066</v>
      </c>
      <c r="AG1003" t="s">
        <v>2112</v>
      </c>
      <c r="AH1003" s="51"/>
      <c r="AI1003" s="51"/>
    </row>
    <row r="1004" spans="2:35">
      <c r="B1004" t="s">
        <v>2113</v>
      </c>
      <c r="C1004" t="s">
        <v>3398</v>
      </c>
      <c r="D1004">
        <v>10</v>
      </c>
      <c r="E1004" t="s">
        <v>2791</v>
      </c>
      <c r="F1004">
        <v>5</v>
      </c>
      <c r="G1004">
        <v>10</v>
      </c>
      <c r="H1004">
        <v>10</v>
      </c>
      <c r="I1004" t="s">
        <v>2114</v>
      </c>
      <c r="J1004" s="51">
        <v>41136</v>
      </c>
      <c r="K1004" t="s">
        <v>27</v>
      </c>
      <c r="L1004" t="s">
        <v>2063</v>
      </c>
      <c r="M1004">
        <v>3</v>
      </c>
      <c r="N1004" t="str">
        <f>L1004</f>
        <v>NAM\MB2117</v>
      </c>
      <c r="O1004" s="51">
        <f>J1004</f>
        <v>41136</v>
      </c>
      <c r="P1004" s="51" t="str">
        <f>C1004</f>
        <v>~/cdd/olddocs/Quality Alerts/ITRON/BONDING/QA-BOND-012 BACC65AJ121S Problemas de retencion.pdf</v>
      </c>
      <c r="Q1004" s="51" t="str">
        <f>E1004</f>
        <v>pdf</v>
      </c>
      <c r="R1004" s="51"/>
      <c r="S1004" s="51"/>
      <c r="T1004" s="51"/>
      <c r="U1004" s="51"/>
      <c r="V1004" s="51"/>
      <c r="W1004" s="51"/>
      <c r="X1004" s="51"/>
      <c r="Y1004" s="51"/>
      <c r="Z1004" s="51"/>
      <c r="AA1004" s="51"/>
      <c r="AB1004" s="51"/>
      <c r="AC1004" s="51"/>
      <c r="AD1004" s="51"/>
      <c r="AE1004">
        <v>1</v>
      </c>
      <c r="AF1004" t="s">
        <v>2066</v>
      </c>
      <c r="AG1004" t="s">
        <v>2115</v>
      </c>
      <c r="AH1004" s="51"/>
      <c r="AI1004" s="51"/>
    </row>
    <row r="1005" spans="2:35">
      <c r="B1005" t="s">
        <v>2116</v>
      </c>
      <c r="C1005" t="s">
        <v>3399</v>
      </c>
      <c r="D1005">
        <v>10</v>
      </c>
      <c r="E1005" t="s">
        <v>2791</v>
      </c>
      <c r="F1005">
        <v>5</v>
      </c>
      <c r="G1005">
        <v>10</v>
      </c>
      <c r="H1005">
        <v>10</v>
      </c>
      <c r="I1005" t="s">
        <v>2117</v>
      </c>
      <c r="J1005" s="51">
        <v>41136</v>
      </c>
      <c r="K1005" t="s">
        <v>27</v>
      </c>
      <c r="L1005" t="s">
        <v>2063</v>
      </c>
      <c r="M1005">
        <v>3</v>
      </c>
      <c r="N1005" t="str">
        <f>L1005</f>
        <v>NAM\MB2117</v>
      </c>
      <c r="O1005" s="51">
        <f>J1005</f>
        <v>41136</v>
      </c>
      <c r="P1005" s="51" t="str">
        <f>C1005</f>
        <v>~/cdd/olddocs/Quality Alerts/ITRON/BONDING/QA-BOND-013 BACC65AL801SH Prob de Empaque [Read-Only].pdf</v>
      </c>
      <c r="Q1005" s="51" t="str">
        <f>E1005</f>
        <v>pdf</v>
      </c>
      <c r="R1005" s="51"/>
      <c r="S1005" s="51"/>
      <c r="T1005" s="51"/>
      <c r="U1005" s="51"/>
      <c r="V1005" s="51"/>
      <c r="W1005" s="51"/>
      <c r="X1005" s="51"/>
      <c r="Y1005" s="51"/>
      <c r="Z1005" s="51"/>
      <c r="AA1005" s="51"/>
      <c r="AB1005" s="51"/>
      <c r="AC1005" s="51"/>
      <c r="AD1005" s="51"/>
      <c r="AE1005">
        <v>1</v>
      </c>
      <c r="AF1005" t="s">
        <v>2066</v>
      </c>
      <c r="AG1005" t="s">
        <v>2118</v>
      </c>
      <c r="AH1005" s="51"/>
      <c r="AI1005" s="51"/>
    </row>
    <row r="1006" spans="2:35">
      <c r="B1006" t="s">
        <v>2119</v>
      </c>
      <c r="C1006" t="s">
        <v>3400</v>
      </c>
      <c r="D1006">
        <v>10</v>
      </c>
      <c r="E1006" t="s">
        <v>2791</v>
      </c>
      <c r="F1006">
        <v>5</v>
      </c>
      <c r="G1006">
        <v>10</v>
      </c>
      <c r="H1006">
        <v>10</v>
      </c>
      <c r="I1006" t="s">
        <v>2120</v>
      </c>
      <c r="J1006" s="51">
        <v>41138</v>
      </c>
      <c r="K1006" t="s">
        <v>27</v>
      </c>
      <c r="L1006" t="s">
        <v>2063</v>
      </c>
      <c r="M1006">
        <v>3</v>
      </c>
      <c r="N1006" t="str">
        <f>L1006</f>
        <v>NAM\MB2117</v>
      </c>
      <c r="O1006" s="51">
        <f>J1006</f>
        <v>41138</v>
      </c>
      <c r="P1006" s="51" t="str">
        <f>C1006</f>
        <v>~/cdd/olddocs/Quality Alerts/ITRON/BONDING/QA-BOND-014 AMC02PA03W  Estampado Ilegible.pdf</v>
      </c>
      <c r="Q1006" s="51" t="str">
        <f>E1006</f>
        <v>pdf</v>
      </c>
      <c r="R1006" s="51"/>
      <c r="S1006" s="51"/>
      <c r="T1006" s="51"/>
      <c r="U1006" s="51"/>
      <c r="V1006" s="51"/>
      <c r="W1006" s="51"/>
      <c r="X1006" s="51"/>
      <c r="Y1006" s="51"/>
      <c r="Z1006" s="51"/>
      <c r="AA1006" s="51"/>
      <c r="AB1006" s="51"/>
      <c r="AC1006" s="51"/>
      <c r="AD1006" s="51"/>
      <c r="AE1006">
        <v>1</v>
      </c>
      <c r="AF1006" t="s">
        <v>2066</v>
      </c>
      <c r="AG1006" t="s">
        <v>2121</v>
      </c>
      <c r="AH1006" s="51"/>
      <c r="AI1006" s="51"/>
    </row>
    <row r="1007" spans="2:35">
      <c r="B1007" t="s">
        <v>2122</v>
      </c>
      <c r="C1007" t="s">
        <v>3401</v>
      </c>
      <c r="D1007">
        <v>10</v>
      </c>
      <c r="E1007" t="s">
        <v>2791</v>
      </c>
      <c r="F1007">
        <v>5</v>
      </c>
      <c r="G1007">
        <v>10</v>
      </c>
      <c r="H1007">
        <v>10</v>
      </c>
      <c r="I1007" t="s">
        <v>2123</v>
      </c>
      <c r="J1007" s="51">
        <v>41163</v>
      </c>
      <c r="K1007" t="s">
        <v>27</v>
      </c>
      <c r="L1007" t="s">
        <v>2063</v>
      </c>
      <c r="M1007">
        <v>3</v>
      </c>
      <c r="N1007" t="str">
        <f>L1007</f>
        <v>NAM\MB2117</v>
      </c>
      <c r="O1007" s="51">
        <f>J1007</f>
        <v>41163</v>
      </c>
      <c r="P1007" s="51" t="str">
        <f>C1007</f>
        <v>~/cdd/olddocs/Quality Alerts/ITRON/BONDING/QA-BOND-016 Consolidación.pdf</v>
      </c>
      <c r="Q1007" s="51" t="str">
        <f>E1007</f>
        <v>pdf</v>
      </c>
      <c r="R1007" s="51"/>
      <c r="S1007" s="51"/>
      <c r="T1007" s="51"/>
      <c r="U1007" s="51"/>
      <c r="V1007" s="51"/>
      <c r="W1007" s="51"/>
      <c r="X1007" s="51"/>
      <c r="Y1007" s="51"/>
      <c r="Z1007" s="51"/>
      <c r="AA1007" s="51"/>
      <c r="AB1007" s="51"/>
      <c r="AC1007" s="51"/>
      <c r="AD1007" s="51"/>
      <c r="AE1007">
        <v>1</v>
      </c>
      <c r="AF1007" t="s">
        <v>2066</v>
      </c>
      <c r="AG1007" t="s">
        <v>2124</v>
      </c>
      <c r="AH1007" s="51"/>
      <c r="AI1007" s="51"/>
    </row>
    <row r="1008" spans="2:35">
      <c r="B1008" t="s">
        <v>1715</v>
      </c>
      <c r="C1008" t="s">
        <v>3423</v>
      </c>
      <c r="D1008">
        <v>10</v>
      </c>
      <c r="E1008" t="s">
        <v>2791</v>
      </c>
      <c r="F1008">
        <v>5</v>
      </c>
      <c r="G1008">
        <v>12</v>
      </c>
      <c r="H1008">
        <v>4</v>
      </c>
      <c r="I1008" t="s">
        <v>1716</v>
      </c>
      <c r="J1008" s="51">
        <v>40969</v>
      </c>
      <c r="K1008" t="s">
        <v>27</v>
      </c>
      <c r="L1008" t="s">
        <v>1584</v>
      </c>
      <c r="M1008">
        <v>3</v>
      </c>
      <c r="N1008" t="str">
        <f>L1008</f>
        <v>NAM\A8070</v>
      </c>
      <c r="O1008" s="51">
        <f>J1008</f>
        <v>40969</v>
      </c>
      <c r="P1008" s="51" t="str">
        <f>C1008</f>
        <v>~/cdd/olddocs/Quality Alerts/MICROMINI/Change Out/QA-CHGO-001 CH5041597D0360 Exceso de goma-burbujas.pdf</v>
      </c>
      <c r="Q1008" s="51" t="str">
        <f>E1008</f>
        <v>pdf</v>
      </c>
      <c r="R1008" s="51"/>
      <c r="S1008" s="51"/>
      <c r="T1008" s="51"/>
      <c r="U1008" s="51"/>
      <c r="V1008" s="51"/>
      <c r="W1008" s="51"/>
      <c r="X1008" s="51"/>
      <c r="Y1008" s="51"/>
      <c r="Z1008" s="51"/>
      <c r="AA1008" s="51"/>
      <c r="AB1008" s="51"/>
      <c r="AC1008" s="51"/>
      <c r="AD1008" s="51"/>
      <c r="AE1008">
        <v>1</v>
      </c>
      <c r="AF1008" t="s">
        <v>611</v>
      </c>
      <c r="AG1008" t="s">
        <v>1717</v>
      </c>
      <c r="AH1008" s="51"/>
      <c r="AI1008" s="51"/>
    </row>
    <row r="1009" spans="2:35">
      <c r="B1009" t="s">
        <v>2125</v>
      </c>
      <c r="C1009" t="s">
        <v>3402</v>
      </c>
      <c r="D1009">
        <v>10</v>
      </c>
      <c r="E1009" t="s">
        <v>2791</v>
      </c>
      <c r="F1009">
        <v>5</v>
      </c>
      <c r="G1009">
        <v>36</v>
      </c>
      <c r="H1009">
        <v>26</v>
      </c>
      <c r="I1009" t="s">
        <v>2128</v>
      </c>
      <c r="J1009" s="51">
        <v>40927</v>
      </c>
      <c r="K1009" t="s">
        <v>27</v>
      </c>
      <c r="L1009" t="s">
        <v>2063</v>
      </c>
      <c r="M1009">
        <v>3</v>
      </c>
      <c r="N1009" t="str">
        <f>L1009</f>
        <v>NAM\MB2117</v>
      </c>
      <c r="O1009" s="51">
        <f>J1009</f>
        <v>40927</v>
      </c>
      <c r="P1009" s="51" t="str">
        <f>C1009</f>
        <v>~/cdd/olddocs/Quality Alerts/ITRON/ENSAMBLE GENERAL/QA-EGRAL-001 Rev. A  Agregar no. catalago a Etiqueta [Compatibility Mode].pdf</v>
      </c>
      <c r="Q1009" s="51" t="str">
        <f>E1009</f>
        <v>pdf</v>
      </c>
      <c r="R1009" s="51"/>
      <c r="S1009" s="51"/>
      <c r="T1009" s="51"/>
      <c r="U1009" s="51"/>
      <c r="V1009" s="51"/>
      <c r="W1009" s="51"/>
      <c r="X1009" s="51"/>
      <c r="Y1009" s="51"/>
      <c r="Z1009" s="51"/>
      <c r="AA1009" s="51"/>
      <c r="AB1009" s="51"/>
      <c r="AC1009" s="51"/>
      <c r="AD1009" s="51"/>
      <c r="AE1009">
        <v>1</v>
      </c>
      <c r="AF1009" t="s">
        <v>2066</v>
      </c>
      <c r="AG1009" t="s">
        <v>2129</v>
      </c>
      <c r="AH1009" s="51"/>
      <c r="AI1009" s="51"/>
    </row>
    <row r="1010" spans="2:35">
      <c r="B1010" t="s">
        <v>2130</v>
      </c>
      <c r="C1010" t="s">
        <v>3403</v>
      </c>
      <c r="D1010">
        <v>10</v>
      </c>
      <c r="E1010" t="s">
        <v>2791</v>
      </c>
      <c r="F1010">
        <v>5</v>
      </c>
      <c r="G1010">
        <v>36</v>
      </c>
      <c r="H1010">
        <v>26</v>
      </c>
      <c r="I1010" t="s">
        <v>2131</v>
      </c>
      <c r="J1010" s="51">
        <v>40961</v>
      </c>
      <c r="K1010" t="s">
        <v>27</v>
      </c>
      <c r="L1010" t="s">
        <v>2063</v>
      </c>
      <c r="M1010">
        <v>3</v>
      </c>
      <c r="N1010" t="str">
        <f>L1010</f>
        <v>NAM\MB2117</v>
      </c>
      <c r="O1010" s="51">
        <f>J1010</f>
        <v>40961</v>
      </c>
      <c r="P1010" s="51" t="str">
        <f>C1010</f>
        <v>~/cdd/olddocs/Quality Alerts/ITRON/ENSAMBLE GENERAL/QA-EGRAL-002 Rev. A 019-0039-002 Contactos sin pintura.pdf</v>
      </c>
      <c r="Q1010" s="51" t="str">
        <f>E1010</f>
        <v>pdf</v>
      </c>
      <c r="R1010" s="51"/>
      <c r="S1010" s="51"/>
      <c r="T1010" s="51"/>
      <c r="U1010" s="51"/>
      <c r="V1010" s="51"/>
      <c r="W1010" s="51"/>
      <c r="X1010" s="51"/>
      <c r="Y1010" s="51"/>
      <c r="Z1010" s="51"/>
      <c r="AA1010" s="51"/>
      <c r="AB1010" s="51"/>
      <c r="AC1010" s="51"/>
      <c r="AD1010" s="51"/>
      <c r="AE1010">
        <v>1</v>
      </c>
      <c r="AF1010" t="s">
        <v>2066</v>
      </c>
      <c r="AG1010" t="s">
        <v>2132</v>
      </c>
      <c r="AH1010" s="51"/>
      <c r="AI1010" s="51"/>
    </row>
    <row r="1011" spans="2:35">
      <c r="B1011" t="s">
        <v>2133</v>
      </c>
      <c r="C1011" t="s">
        <v>3404</v>
      </c>
      <c r="D1011">
        <v>10</v>
      </c>
      <c r="E1011" t="s">
        <v>2791</v>
      </c>
      <c r="F1011">
        <v>5</v>
      </c>
      <c r="G1011">
        <v>36</v>
      </c>
      <c r="H1011">
        <v>26</v>
      </c>
      <c r="I1011" t="s">
        <v>2134</v>
      </c>
      <c r="J1011" s="51">
        <v>40970</v>
      </c>
      <c r="K1011" t="s">
        <v>27</v>
      </c>
      <c r="L1011" t="s">
        <v>2063</v>
      </c>
      <c r="M1011">
        <v>3</v>
      </c>
      <c r="N1011" t="str">
        <f>L1011</f>
        <v>NAM\MB2117</v>
      </c>
      <c r="O1011" s="51">
        <f>J1011</f>
        <v>40970</v>
      </c>
      <c r="P1011" s="51" t="str">
        <f>C1011</f>
        <v>~/cdd/olddocs/Quality Alerts/ITRON/ENSAMBLE GENERAL/QA-EGRAL-003 Rev. A 000267-0062 Piezas fuera de especificacion.pdf</v>
      </c>
      <c r="Q1011" s="51" t="str">
        <f>E1011</f>
        <v>pdf</v>
      </c>
      <c r="R1011" s="51"/>
      <c r="S1011" s="51"/>
      <c r="T1011" s="51"/>
      <c r="U1011" s="51"/>
      <c r="V1011" s="51"/>
      <c r="W1011" s="51"/>
      <c r="X1011" s="51"/>
      <c r="Y1011" s="51"/>
      <c r="Z1011" s="51"/>
      <c r="AA1011" s="51"/>
      <c r="AB1011" s="51"/>
      <c r="AC1011" s="51"/>
      <c r="AD1011" s="51"/>
      <c r="AE1011">
        <v>1</v>
      </c>
      <c r="AF1011" t="s">
        <v>2066</v>
      </c>
      <c r="AG1011" t="s">
        <v>2135</v>
      </c>
      <c r="AH1011" s="51"/>
      <c r="AI1011" s="51"/>
    </row>
    <row r="1012" spans="2:35">
      <c r="B1012" t="s">
        <v>2136</v>
      </c>
      <c r="C1012" t="s">
        <v>3405</v>
      </c>
      <c r="D1012">
        <v>10</v>
      </c>
      <c r="E1012" t="s">
        <v>2791</v>
      </c>
      <c r="F1012">
        <v>5</v>
      </c>
      <c r="G1012">
        <v>36</v>
      </c>
      <c r="H1012">
        <v>26</v>
      </c>
      <c r="I1012" t="s">
        <v>2137</v>
      </c>
      <c r="J1012" s="51">
        <v>41020</v>
      </c>
      <c r="K1012" t="s">
        <v>27</v>
      </c>
      <c r="L1012" t="s">
        <v>2063</v>
      </c>
      <c r="M1012">
        <v>3</v>
      </c>
      <c r="N1012" t="str">
        <f>L1012</f>
        <v>NAM\MB2117</v>
      </c>
      <c r="O1012" s="51">
        <f>J1012</f>
        <v>41020</v>
      </c>
      <c r="P1012" s="51" t="str">
        <f>C1012</f>
        <v>~/cdd/olddocs/Quality Alerts/ITRON/ENSAMBLE GENERAL/QA-EGRAL-004 Rev. A 000201-2551 Mal estampado -Falta de caracter.pdf</v>
      </c>
      <c r="Q1012" s="51" t="str">
        <f>E1012</f>
        <v>pdf</v>
      </c>
      <c r="R1012" s="51"/>
      <c r="S1012" s="51"/>
      <c r="T1012" s="51"/>
      <c r="U1012" s="51"/>
      <c r="V1012" s="51"/>
      <c r="W1012" s="51"/>
      <c r="X1012" s="51"/>
      <c r="Y1012" s="51"/>
      <c r="Z1012" s="51"/>
      <c r="AA1012" s="51"/>
      <c r="AB1012" s="51"/>
      <c r="AC1012" s="51"/>
      <c r="AD1012" s="51"/>
      <c r="AE1012">
        <v>1</v>
      </c>
      <c r="AF1012" t="s">
        <v>2066</v>
      </c>
      <c r="AG1012" t="s">
        <v>2138</v>
      </c>
      <c r="AH1012" s="51"/>
      <c r="AI1012" s="51"/>
    </row>
    <row r="1013" spans="2:35" ht="15.75">
      <c r="B1013" t="s">
        <v>2139</v>
      </c>
      <c r="C1013" s="52" t="s">
        <v>3715</v>
      </c>
      <c r="D1013">
        <v>10</v>
      </c>
      <c r="E1013" t="s">
        <v>2791</v>
      </c>
      <c r="F1013">
        <v>5</v>
      </c>
      <c r="G1013">
        <v>9</v>
      </c>
      <c r="H1013">
        <v>8</v>
      </c>
      <c r="I1013" t="s">
        <v>2140</v>
      </c>
      <c r="J1013" s="51">
        <v>41001</v>
      </c>
      <c r="K1013" t="s">
        <v>27</v>
      </c>
      <c r="L1013" t="s">
        <v>2063</v>
      </c>
      <c r="M1013">
        <v>3</v>
      </c>
      <c r="N1013" t="str">
        <f>L1013</f>
        <v>NAM\MB2117</v>
      </c>
      <c r="O1013" s="51">
        <f>J1013</f>
        <v>41001</v>
      </c>
      <c r="P1013" s="51" t="str">
        <f>C1013</f>
        <v>~/cdd/olddocs/Control Plans/MICROMINI/CELDA A&amp;B/CP-A&amp;B-040  AM2C2MG030F, AM3C2MG030F, AM4C2MG030F, AM5C2MG030F.pdf</v>
      </c>
      <c r="Q1013" s="51" t="str">
        <f>E1013</f>
        <v>pdf</v>
      </c>
      <c r="R1013" s="51"/>
      <c r="S1013" s="51"/>
      <c r="T1013" s="51"/>
      <c r="U1013" s="51"/>
      <c r="V1013" s="51"/>
      <c r="W1013" s="51"/>
      <c r="X1013" s="51"/>
      <c r="Y1013" s="51"/>
      <c r="Z1013" s="51"/>
      <c r="AA1013" s="51"/>
      <c r="AB1013" s="51"/>
      <c r="AC1013" s="51"/>
      <c r="AD1013" s="51"/>
      <c r="AE1013">
        <v>1</v>
      </c>
      <c r="AF1013" t="s">
        <v>2066</v>
      </c>
      <c r="AG1013" t="s">
        <v>2141</v>
      </c>
      <c r="AH1013" s="51"/>
      <c r="AI1013" s="51"/>
    </row>
    <row r="1014" spans="2:35">
      <c r="B1014" t="s">
        <v>2142</v>
      </c>
      <c r="C1014" t="s">
        <v>3715</v>
      </c>
      <c r="D1014">
        <v>10</v>
      </c>
      <c r="E1014" t="s">
        <v>2791</v>
      </c>
      <c r="F1014">
        <v>5</v>
      </c>
      <c r="G1014">
        <v>9</v>
      </c>
      <c r="H1014">
        <v>8</v>
      </c>
      <c r="I1014" t="s">
        <v>2143</v>
      </c>
      <c r="J1014" s="51">
        <v>41015</v>
      </c>
      <c r="K1014" t="s">
        <v>27</v>
      </c>
      <c r="L1014" t="s">
        <v>2063</v>
      </c>
      <c r="M1014">
        <v>3</v>
      </c>
      <c r="N1014" t="str">
        <f>L1014</f>
        <v>NAM\MB2117</v>
      </c>
      <c r="O1014" s="51">
        <f>J1014</f>
        <v>41015</v>
      </c>
      <c r="P1014" s="51" t="str">
        <f>C1014</f>
        <v>~/cdd/olddocs/Control Plans/MICROMINI/CELDA A&amp;B/CP-A&amp;B-040  AM2C2MG030F, AM3C2MG030F, AM4C2MG030F, AM5C2MG030F.pdf</v>
      </c>
      <c r="Q1014" s="51" t="str">
        <f>E1014</f>
        <v>pdf</v>
      </c>
      <c r="R1014" s="51"/>
      <c r="S1014" s="51"/>
      <c r="T1014" s="51"/>
      <c r="U1014" s="51"/>
      <c r="V1014" s="51"/>
      <c r="W1014" s="51"/>
      <c r="X1014" s="51"/>
      <c r="Y1014" s="51"/>
      <c r="Z1014" s="51"/>
      <c r="AA1014" s="51"/>
      <c r="AB1014" s="51"/>
      <c r="AC1014" s="51"/>
      <c r="AD1014" s="51"/>
      <c r="AE1014">
        <v>1</v>
      </c>
      <c r="AF1014" t="s">
        <v>2066</v>
      </c>
      <c r="AG1014" t="s">
        <v>2144</v>
      </c>
      <c r="AH1014" s="51"/>
      <c r="AI1014" s="51"/>
    </row>
    <row r="1015" spans="2:35">
      <c r="B1015" t="s">
        <v>2145</v>
      </c>
      <c r="C1015" t="s">
        <v>3715</v>
      </c>
      <c r="D1015">
        <v>10</v>
      </c>
      <c r="E1015" t="s">
        <v>2791</v>
      </c>
      <c r="F1015">
        <v>5</v>
      </c>
      <c r="G1015">
        <v>9</v>
      </c>
      <c r="H1015">
        <v>8</v>
      </c>
      <c r="I1015" t="s">
        <v>1763</v>
      </c>
      <c r="J1015" s="51">
        <v>40934</v>
      </c>
      <c r="K1015" t="s">
        <v>27</v>
      </c>
      <c r="L1015" t="s">
        <v>2063</v>
      </c>
      <c r="M1015">
        <v>3</v>
      </c>
      <c r="N1015" t="str">
        <f>L1015</f>
        <v>NAM\MB2117</v>
      </c>
      <c r="O1015" s="51">
        <f>J1015</f>
        <v>40934</v>
      </c>
      <c r="P1015" s="51" t="str">
        <f>C1015</f>
        <v>~/cdd/olddocs/Control Plans/MICROMINI/CELDA A&amp;B/CP-A&amp;B-040  AM2C2MG030F, AM3C2MG030F, AM4C2MG030F, AM5C2MG030F.pdf</v>
      </c>
      <c r="Q1015" s="51" t="str">
        <f>E1015</f>
        <v>pdf</v>
      </c>
      <c r="R1015" s="51"/>
      <c r="S1015" s="51"/>
      <c r="T1015" s="51"/>
      <c r="U1015" s="51"/>
      <c r="V1015" s="51"/>
      <c r="W1015" s="51"/>
      <c r="X1015" s="51"/>
      <c r="Y1015" s="51"/>
      <c r="Z1015" s="51"/>
      <c r="AA1015" s="51"/>
      <c r="AB1015" s="51"/>
      <c r="AC1015" s="51"/>
      <c r="AD1015" s="51"/>
      <c r="AE1015">
        <v>1</v>
      </c>
      <c r="AF1015" t="s">
        <v>2066</v>
      </c>
      <c r="AG1015" t="s">
        <v>2146</v>
      </c>
      <c r="AH1015" s="51"/>
      <c r="AI1015" s="51"/>
    </row>
    <row r="1016" spans="2:35">
      <c r="B1016" t="s">
        <v>2147</v>
      </c>
      <c r="C1016" t="s">
        <v>3406</v>
      </c>
      <c r="D1016">
        <v>10</v>
      </c>
      <c r="E1016" t="s">
        <v>2791</v>
      </c>
      <c r="F1016">
        <v>5</v>
      </c>
      <c r="G1016">
        <v>9</v>
      </c>
      <c r="H1016">
        <v>8</v>
      </c>
      <c r="I1016" t="s">
        <v>2148</v>
      </c>
      <c r="J1016" s="51">
        <v>40968</v>
      </c>
      <c r="K1016" t="s">
        <v>27</v>
      </c>
      <c r="L1016" t="s">
        <v>2063</v>
      </c>
      <c r="M1016">
        <v>3</v>
      </c>
      <c r="N1016" t="str">
        <f>L1016</f>
        <v>NAM\MB2117</v>
      </c>
      <c r="O1016" s="51">
        <f>J1016</f>
        <v>40968</v>
      </c>
      <c r="P1016" s="51" t="str">
        <f>C1016</f>
        <v>~/cdd/olddocs/Quality Alerts/ITRON/MULTICELL A&amp;B/QA-IMA-004 Rev. A CBA-1300- Contactos doblados.pdf</v>
      </c>
      <c r="Q1016" s="51" t="str">
        <f>E1016</f>
        <v>pdf</v>
      </c>
      <c r="R1016" s="51"/>
      <c r="S1016" s="51"/>
      <c r="T1016" s="51"/>
      <c r="U1016" s="51"/>
      <c r="V1016" s="51"/>
      <c r="W1016" s="51"/>
      <c r="X1016" s="51"/>
      <c r="Y1016" s="51"/>
      <c r="Z1016" s="51"/>
      <c r="AA1016" s="51"/>
      <c r="AB1016" s="51"/>
      <c r="AC1016" s="51"/>
      <c r="AD1016" s="51"/>
      <c r="AE1016">
        <v>1</v>
      </c>
      <c r="AF1016" t="s">
        <v>2066</v>
      </c>
      <c r="AG1016" t="s">
        <v>2149</v>
      </c>
      <c r="AH1016" s="51"/>
      <c r="AI1016" s="51"/>
    </row>
    <row r="1017" spans="2:35">
      <c r="B1017" t="s">
        <v>2150</v>
      </c>
      <c r="C1017" t="s">
        <v>3407</v>
      </c>
      <c r="D1017">
        <v>10</v>
      </c>
      <c r="E1017" t="s">
        <v>2791</v>
      </c>
      <c r="F1017">
        <v>5</v>
      </c>
      <c r="G1017">
        <v>9</v>
      </c>
      <c r="H1017">
        <v>8</v>
      </c>
      <c r="I1017" t="s">
        <v>2151</v>
      </c>
      <c r="J1017" s="51">
        <v>40961</v>
      </c>
      <c r="K1017" t="s">
        <v>27</v>
      </c>
      <c r="L1017" t="s">
        <v>2063</v>
      </c>
      <c r="M1017">
        <v>3</v>
      </c>
      <c r="N1017" t="str">
        <f>L1017</f>
        <v>NAM\MB2117</v>
      </c>
      <c r="O1017" s="51">
        <f>J1017</f>
        <v>40961</v>
      </c>
      <c r="P1017" s="51" t="str">
        <f>C1017</f>
        <v>~/cdd/olddocs/Quality Alerts/ITRON/MULTICELL A&amp;B/QA-IMA-005 Rev. A CBA Contactos dañados.pdf</v>
      </c>
      <c r="Q1017" s="51" t="str">
        <f>E1017</f>
        <v>pdf</v>
      </c>
      <c r="R1017" s="51"/>
      <c r="S1017" s="51"/>
      <c r="T1017" s="51"/>
      <c r="U1017" s="51"/>
      <c r="V1017" s="51"/>
      <c r="W1017" s="51"/>
      <c r="X1017" s="51"/>
      <c r="Y1017" s="51"/>
      <c r="Z1017" s="51"/>
      <c r="AA1017" s="51"/>
      <c r="AB1017" s="51"/>
      <c r="AC1017" s="51"/>
      <c r="AD1017" s="51"/>
      <c r="AE1017">
        <v>1</v>
      </c>
      <c r="AF1017" t="s">
        <v>2066</v>
      </c>
      <c r="AG1017" t="s">
        <v>2152</v>
      </c>
      <c r="AH1017" s="51"/>
      <c r="AI1017" s="51"/>
    </row>
    <row r="1018" spans="2:35">
      <c r="B1018" t="s">
        <v>2153</v>
      </c>
      <c r="C1018" t="s">
        <v>3408</v>
      </c>
      <c r="D1018">
        <v>10</v>
      </c>
      <c r="E1018" t="s">
        <v>2791</v>
      </c>
      <c r="F1018">
        <v>5</v>
      </c>
      <c r="G1018">
        <v>9</v>
      </c>
      <c r="H1018">
        <v>8</v>
      </c>
      <c r="I1018" t="s">
        <v>2154</v>
      </c>
      <c r="J1018" s="51">
        <v>40959</v>
      </c>
      <c r="K1018" t="s">
        <v>27</v>
      </c>
      <c r="L1018" t="s">
        <v>2063</v>
      </c>
      <c r="M1018">
        <v>3</v>
      </c>
      <c r="N1018" t="str">
        <f>L1018</f>
        <v>NAM\MB2117</v>
      </c>
      <c r="O1018" s="51">
        <f>J1018</f>
        <v>40959</v>
      </c>
      <c r="P1018" s="51" t="str">
        <f>C1018</f>
        <v>~/cdd/olddocs/Quality Alerts/ITRON/MULTICELL A&amp;B/QA-IMA-006 Rev. A CON Contactados dorados.pdf</v>
      </c>
      <c r="Q1018" s="51" t="str">
        <f>E1018</f>
        <v>pdf</v>
      </c>
      <c r="R1018" s="51"/>
      <c r="S1018" s="51"/>
      <c r="T1018" s="51"/>
      <c r="U1018" s="51"/>
      <c r="V1018" s="51"/>
      <c r="W1018" s="51"/>
      <c r="X1018" s="51"/>
      <c r="Y1018" s="51"/>
      <c r="Z1018" s="51"/>
      <c r="AA1018" s="51"/>
      <c r="AB1018" s="51"/>
      <c r="AC1018" s="51"/>
      <c r="AD1018" s="51"/>
      <c r="AE1018">
        <v>1</v>
      </c>
      <c r="AF1018" t="s">
        <v>2066</v>
      </c>
      <c r="AG1018" t="s">
        <v>2144</v>
      </c>
      <c r="AH1018" s="51"/>
      <c r="AI1018" s="51"/>
    </row>
    <row r="1019" spans="2:35">
      <c r="B1019" t="s">
        <v>2155</v>
      </c>
      <c r="C1019" t="s">
        <v>3409</v>
      </c>
      <c r="D1019">
        <v>10</v>
      </c>
      <c r="E1019" t="s">
        <v>2791</v>
      </c>
      <c r="F1019">
        <v>5</v>
      </c>
      <c r="G1019">
        <v>9</v>
      </c>
      <c r="H1019">
        <v>8</v>
      </c>
      <c r="I1019" t="s">
        <v>2156</v>
      </c>
      <c r="J1019" s="51">
        <v>41010</v>
      </c>
      <c r="K1019" t="s">
        <v>27</v>
      </c>
      <c r="L1019" t="s">
        <v>2063</v>
      </c>
      <c r="M1019">
        <v>3</v>
      </c>
      <c r="N1019" t="str">
        <f>L1019</f>
        <v>NAM\MB2117</v>
      </c>
      <c r="O1019" s="51">
        <f>J1019</f>
        <v>41010</v>
      </c>
      <c r="P1019" s="51" t="str">
        <f>C1019</f>
        <v>~/cdd/olddocs/Quality Alerts/ITRON/MULTICELL A&amp;B/QA-IMA-007 Rev. A CBA &amp; CON Contactos faltantes.pdf</v>
      </c>
      <c r="Q1019" s="51" t="str">
        <f>E1019</f>
        <v>pdf</v>
      </c>
      <c r="R1019" s="51"/>
      <c r="S1019" s="51"/>
      <c r="T1019" s="51"/>
      <c r="U1019" s="51"/>
      <c r="V1019" s="51"/>
      <c r="W1019" s="51"/>
      <c r="X1019" s="51"/>
      <c r="Y1019" s="51"/>
      <c r="Z1019" s="51"/>
      <c r="AA1019" s="51"/>
      <c r="AB1019" s="51"/>
      <c r="AC1019" s="51"/>
      <c r="AD1019" s="51"/>
      <c r="AE1019">
        <v>1</v>
      </c>
      <c r="AF1019" t="s">
        <v>2066</v>
      </c>
      <c r="AG1019" t="s">
        <v>2141</v>
      </c>
      <c r="AH1019" s="51"/>
      <c r="AI1019" s="51"/>
    </row>
    <row r="1020" spans="2:35">
      <c r="B1020" t="s">
        <v>2157</v>
      </c>
      <c r="C1020" t="s">
        <v>3410</v>
      </c>
      <c r="D1020">
        <v>10</v>
      </c>
      <c r="E1020" t="s">
        <v>2791</v>
      </c>
      <c r="F1020">
        <v>5</v>
      </c>
      <c r="G1020">
        <v>9</v>
      </c>
      <c r="H1020">
        <v>9</v>
      </c>
      <c r="I1020" t="s">
        <v>2158</v>
      </c>
      <c r="J1020" s="51">
        <v>40919</v>
      </c>
      <c r="K1020" t="s">
        <v>27</v>
      </c>
      <c r="L1020" t="s">
        <v>2063</v>
      </c>
      <c r="M1020">
        <v>3</v>
      </c>
      <c r="N1020" t="str">
        <f>L1020</f>
        <v>NAM\MB2117</v>
      </c>
      <c r="O1020" s="51">
        <f>J1020</f>
        <v>40919</v>
      </c>
      <c r="P1020" s="51" t="str">
        <f>C1020</f>
        <v>~/cdd/olddocs/Quality Alerts/ITRON/MULTICELL A&amp;B/QA-IMB-001 Rev.A Pieza Moldeada-Color diferente Compound 12-002 [Compatibility Mode].pdf</v>
      </c>
      <c r="Q1020" s="51" t="str">
        <f>E1020</f>
        <v>pdf</v>
      </c>
      <c r="R1020" s="51"/>
      <c r="S1020" s="51"/>
      <c r="T1020" s="51"/>
      <c r="U1020" s="51"/>
      <c r="V1020" s="51"/>
      <c r="W1020" s="51"/>
      <c r="X1020" s="51"/>
      <c r="Y1020" s="51"/>
      <c r="Z1020" s="51"/>
      <c r="AA1020" s="51"/>
      <c r="AB1020" s="51"/>
      <c r="AC1020" s="51"/>
      <c r="AD1020" s="51"/>
      <c r="AE1020">
        <v>1</v>
      </c>
      <c r="AF1020" t="s">
        <v>2066</v>
      </c>
      <c r="AH1020" s="51"/>
      <c r="AI1020" s="51"/>
    </row>
    <row r="1021" spans="2:35">
      <c r="B1021" t="s">
        <v>2159</v>
      </c>
      <c r="C1021" t="s">
        <v>3411</v>
      </c>
      <c r="D1021">
        <v>10</v>
      </c>
      <c r="E1021" t="s">
        <v>2791</v>
      </c>
      <c r="F1021">
        <v>5</v>
      </c>
      <c r="G1021">
        <v>9</v>
      </c>
      <c r="H1021">
        <v>9</v>
      </c>
      <c r="I1021" t="s">
        <v>2160</v>
      </c>
      <c r="J1021" s="51">
        <v>40976</v>
      </c>
      <c r="K1021" t="s">
        <v>27</v>
      </c>
      <c r="L1021" t="s">
        <v>2063</v>
      </c>
      <c r="M1021">
        <v>3</v>
      </c>
      <c r="N1021" t="str">
        <f>L1021</f>
        <v>NAM\MB2117</v>
      </c>
      <c r="O1021" s="51">
        <f>J1021</f>
        <v>40976</v>
      </c>
      <c r="P1021" s="51" t="str">
        <f>C1021</f>
        <v>~/cdd/olddocs/Quality Alerts/ITRON/MULTICELL A&amp;B/QA-IMB-002 Rev. A 28-2266-0001 Pieza incorrecta  longitud total  corta.pdf</v>
      </c>
      <c r="Q1021" s="51" t="str">
        <f>E1021</f>
        <v>pdf</v>
      </c>
      <c r="R1021" s="51"/>
      <c r="S1021" s="51"/>
      <c r="T1021" s="51"/>
      <c r="U1021" s="51"/>
      <c r="V1021" s="51"/>
      <c r="W1021" s="51"/>
      <c r="X1021" s="51"/>
      <c r="Y1021" s="51"/>
      <c r="Z1021" s="51"/>
      <c r="AA1021" s="51"/>
      <c r="AB1021" s="51"/>
      <c r="AC1021" s="51"/>
      <c r="AD1021" s="51"/>
      <c r="AE1021">
        <v>1</v>
      </c>
      <c r="AF1021" t="s">
        <v>2066</v>
      </c>
      <c r="AG1021" t="s">
        <v>2161</v>
      </c>
      <c r="AH1021" s="51"/>
      <c r="AI1021" s="51"/>
    </row>
    <row r="1022" spans="2:35">
      <c r="B1022" t="s">
        <v>2162</v>
      </c>
      <c r="C1022" t="s">
        <v>3412</v>
      </c>
      <c r="D1022">
        <v>10</v>
      </c>
      <c r="E1022" t="s">
        <v>2791</v>
      </c>
      <c r="F1022">
        <v>5</v>
      </c>
      <c r="G1022">
        <v>9</v>
      </c>
      <c r="H1022">
        <v>9</v>
      </c>
      <c r="I1022" t="s">
        <v>2163</v>
      </c>
      <c r="J1022" s="51">
        <v>40996</v>
      </c>
      <c r="K1022" t="s">
        <v>27</v>
      </c>
      <c r="L1022" t="s">
        <v>2063</v>
      </c>
      <c r="M1022">
        <v>3</v>
      </c>
      <c r="N1022" t="str">
        <f>L1022</f>
        <v>NAM\MB2117</v>
      </c>
      <c r="O1022" s="51">
        <f>J1022</f>
        <v>40996</v>
      </c>
      <c r="P1022" s="51" t="str">
        <f>C1022</f>
        <v>~/cdd/olddocs/Quality Alerts/ITRON/MULTICELL A&amp;B/QA-IMB-003 Rev. A MSC-0019-008 Posicion incorrecta.pdf</v>
      </c>
      <c r="Q1022" s="51" t="str">
        <f>E1022</f>
        <v>pdf</v>
      </c>
      <c r="R1022" s="51"/>
      <c r="S1022" s="51"/>
      <c r="T1022" s="51"/>
      <c r="U1022" s="51"/>
      <c r="V1022" s="51"/>
      <c r="W1022" s="51"/>
      <c r="X1022" s="51"/>
      <c r="Y1022" s="51"/>
      <c r="Z1022" s="51"/>
      <c r="AA1022" s="51"/>
      <c r="AB1022" s="51"/>
      <c r="AC1022" s="51"/>
      <c r="AD1022" s="51"/>
      <c r="AE1022">
        <v>1</v>
      </c>
      <c r="AF1022" t="s">
        <v>2066</v>
      </c>
      <c r="AG1022" t="s">
        <v>2164</v>
      </c>
      <c r="AH1022" s="51"/>
      <c r="AI1022" s="51"/>
    </row>
    <row r="1023" spans="2:35">
      <c r="B1023" t="s">
        <v>2165</v>
      </c>
      <c r="C1023" t="s">
        <v>3413</v>
      </c>
      <c r="D1023">
        <v>10</v>
      </c>
      <c r="E1023" t="s">
        <v>2791</v>
      </c>
      <c r="F1023">
        <v>5</v>
      </c>
      <c r="G1023">
        <v>9</v>
      </c>
      <c r="H1023">
        <v>9</v>
      </c>
      <c r="I1023" t="s">
        <v>2166</v>
      </c>
      <c r="J1023" s="51">
        <v>41078</v>
      </c>
      <c r="K1023" t="s">
        <v>27</v>
      </c>
      <c r="L1023" t="s">
        <v>2063</v>
      </c>
      <c r="M1023">
        <v>3</v>
      </c>
      <c r="N1023" t="str">
        <f>L1023</f>
        <v>NAM\MB2117</v>
      </c>
      <c r="O1023" s="51">
        <f>J1023</f>
        <v>41078</v>
      </c>
      <c r="P1023" s="51" t="str">
        <f>C1023</f>
        <v>~/cdd/olddocs/Quality Alerts/ITRON/MULTICELL A&amp;B/QA-IMB-004 Rev. A  127-0461-001 Legenda Ilegible.pdf</v>
      </c>
      <c r="Q1023" s="51" t="str">
        <f>E1023</f>
        <v>pdf</v>
      </c>
      <c r="R1023" s="51"/>
      <c r="S1023" s="51"/>
      <c r="T1023" s="51"/>
      <c r="U1023" s="51"/>
      <c r="V1023" s="51"/>
      <c r="W1023" s="51"/>
      <c r="X1023" s="51"/>
      <c r="Y1023" s="51"/>
      <c r="Z1023" s="51"/>
      <c r="AA1023" s="51"/>
      <c r="AB1023" s="51"/>
      <c r="AC1023" s="51"/>
      <c r="AD1023" s="51"/>
      <c r="AE1023">
        <v>1</v>
      </c>
      <c r="AF1023" t="s">
        <v>2066</v>
      </c>
      <c r="AG1023" t="s">
        <v>2167</v>
      </c>
      <c r="AH1023" s="51"/>
      <c r="AI1023" s="51"/>
    </row>
    <row r="1024" spans="2:35">
      <c r="B1024" t="s">
        <v>2168</v>
      </c>
      <c r="C1024" t="e">
        <v>#VALUE!</v>
      </c>
      <c r="D1024">
        <v>10</v>
      </c>
      <c r="E1024" t="e">
        <v>#VALUE!</v>
      </c>
      <c r="F1024">
        <v>5</v>
      </c>
      <c r="G1024">
        <v>9</v>
      </c>
      <c r="H1024">
        <v>9</v>
      </c>
      <c r="I1024" t="s">
        <v>2169</v>
      </c>
      <c r="K1024" t="s">
        <v>27</v>
      </c>
      <c r="L1024" t="s">
        <v>2063</v>
      </c>
      <c r="M1024">
        <v>3</v>
      </c>
      <c r="N1024" t="str">
        <f>L1024</f>
        <v>NAM\MB2117</v>
      </c>
      <c r="O1024" s="51">
        <f>J1024</f>
        <v>0</v>
      </c>
      <c r="P1024" s="51" t="e">
        <f>C1024</f>
        <v>#VALUE!</v>
      </c>
      <c r="Q1024" s="51" t="e">
        <f>E1024</f>
        <v>#VALUE!</v>
      </c>
      <c r="R1024" s="51"/>
      <c r="S1024" s="51"/>
      <c r="T1024" s="51"/>
      <c r="U1024" s="51"/>
      <c r="V1024" s="51"/>
      <c r="W1024" s="51"/>
      <c r="X1024" s="51"/>
      <c r="Y1024" s="51"/>
      <c r="Z1024" s="51"/>
      <c r="AA1024" s="51"/>
      <c r="AB1024" s="51"/>
      <c r="AC1024" s="51"/>
      <c r="AD1024" s="51"/>
      <c r="AE1024">
        <v>1</v>
      </c>
      <c r="AF1024" t="s">
        <v>2066</v>
      </c>
      <c r="AG1024" t="s">
        <v>2170</v>
      </c>
      <c r="AH1024" s="51"/>
      <c r="AI1024" s="51"/>
    </row>
    <row r="1025" spans="2:35">
      <c r="B1025" t="s">
        <v>2171</v>
      </c>
      <c r="C1025" t="e">
        <v>#VALUE!</v>
      </c>
      <c r="D1025">
        <v>10</v>
      </c>
      <c r="E1025" t="e">
        <v>#VALUE!</v>
      </c>
      <c r="F1025">
        <v>5</v>
      </c>
      <c r="G1025">
        <v>9</v>
      </c>
      <c r="H1025">
        <v>9</v>
      </c>
      <c r="I1025" t="s">
        <v>2172</v>
      </c>
      <c r="K1025" t="s">
        <v>27</v>
      </c>
      <c r="L1025" t="s">
        <v>2063</v>
      </c>
      <c r="M1025">
        <v>3</v>
      </c>
      <c r="N1025" t="str">
        <f>L1025</f>
        <v>NAM\MB2117</v>
      </c>
      <c r="O1025" s="51">
        <f>J1025</f>
        <v>0</v>
      </c>
      <c r="P1025" s="51" t="e">
        <f>C1025</f>
        <v>#VALUE!</v>
      </c>
      <c r="Q1025" s="51" t="e">
        <f>E1025</f>
        <v>#VALUE!</v>
      </c>
      <c r="R1025" s="51"/>
      <c r="S1025" s="51"/>
      <c r="T1025" s="51"/>
      <c r="U1025" s="51"/>
      <c r="V1025" s="51"/>
      <c r="W1025" s="51"/>
      <c r="X1025" s="51"/>
      <c r="Y1025" s="51"/>
      <c r="Z1025" s="51"/>
      <c r="AA1025" s="51"/>
      <c r="AB1025" s="51"/>
      <c r="AC1025" s="51"/>
      <c r="AD1025" s="51"/>
      <c r="AE1025">
        <v>1</v>
      </c>
      <c r="AF1025" t="s">
        <v>2066</v>
      </c>
      <c r="AG1025" t="s">
        <v>2173</v>
      </c>
      <c r="AH1025" s="51"/>
      <c r="AI1025" s="51"/>
    </row>
    <row r="1026" spans="2:35">
      <c r="B1026" t="s">
        <v>2174</v>
      </c>
      <c r="C1026" t="s">
        <v>3414</v>
      </c>
      <c r="D1026">
        <v>10</v>
      </c>
      <c r="E1026" t="s">
        <v>2791</v>
      </c>
      <c r="F1026">
        <v>5</v>
      </c>
      <c r="G1026">
        <v>9</v>
      </c>
      <c r="H1026">
        <v>1</v>
      </c>
      <c r="I1026" t="s">
        <v>2175</v>
      </c>
      <c r="J1026" s="51">
        <v>41026</v>
      </c>
      <c r="K1026" t="s">
        <v>27</v>
      </c>
      <c r="L1026" t="s">
        <v>2063</v>
      </c>
      <c r="M1026">
        <v>3</v>
      </c>
      <c r="N1026" t="str">
        <f>L1026</f>
        <v>NAM\MB2117</v>
      </c>
      <c r="O1026" s="51">
        <f>J1026</f>
        <v>41026</v>
      </c>
      <c r="P1026" s="51" t="str">
        <f>C1026</f>
        <v>~/cdd/olddocs/Quality Alerts/ITRON/PLUG/QA-IPLUG-001 Rev. A  035- 0532-00 Bota deforme.pdf</v>
      </c>
      <c r="Q1026" s="51" t="str">
        <f>E1026</f>
        <v>pdf</v>
      </c>
      <c r="R1026" s="51"/>
      <c r="S1026" s="51"/>
      <c r="T1026" s="51"/>
      <c r="U1026" s="51"/>
      <c r="V1026" s="51"/>
      <c r="W1026" s="51"/>
      <c r="X1026" s="51"/>
      <c r="Y1026" s="51"/>
      <c r="Z1026" s="51"/>
      <c r="AA1026" s="51"/>
      <c r="AB1026" s="51"/>
      <c r="AC1026" s="51"/>
      <c r="AD1026" s="51"/>
      <c r="AE1026">
        <v>1</v>
      </c>
      <c r="AF1026" t="s">
        <v>2066</v>
      </c>
      <c r="AG1026" t="s">
        <v>2176</v>
      </c>
      <c r="AH1026" s="51"/>
      <c r="AI1026" s="51"/>
    </row>
    <row r="1027" spans="2:35">
      <c r="B1027" t="s">
        <v>2177</v>
      </c>
      <c r="C1027" t="s">
        <v>3415</v>
      </c>
      <c r="D1027">
        <v>10</v>
      </c>
      <c r="E1027" t="s">
        <v>2791</v>
      </c>
      <c r="F1027">
        <v>5</v>
      </c>
      <c r="G1027">
        <v>9</v>
      </c>
      <c r="H1027">
        <v>1</v>
      </c>
      <c r="I1027" t="s">
        <v>2178</v>
      </c>
      <c r="J1027" s="51">
        <v>41029</v>
      </c>
      <c r="K1027" t="s">
        <v>27</v>
      </c>
      <c r="L1027" t="s">
        <v>2063</v>
      </c>
      <c r="M1027">
        <v>3</v>
      </c>
      <c r="N1027" t="str">
        <f>L1027</f>
        <v>NAM\MB2117</v>
      </c>
      <c r="O1027" s="51">
        <f>J1027</f>
        <v>41029</v>
      </c>
      <c r="P1027" s="51" t="str">
        <f>C1027</f>
        <v>~/cdd/olddocs/Quality Alerts/ITRON/PLUG/QA-IPLUG-002 Rev. A 28-2259-0022 Tapon faltante.pdf</v>
      </c>
      <c r="Q1027" s="51" t="str">
        <f>E1027</f>
        <v>pdf</v>
      </c>
      <c r="R1027" s="51"/>
      <c r="S1027" s="51"/>
      <c r="T1027" s="51"/>
      <c r="U1027" s="51"/>
      <c r="V1027" s="51"/>
      <c r="W1027" s="51"/>
      <c r="X1027" s="51"/>
      <c r="Y1027" s="51"/>
      <c r="Z1027" s="51"/>
      <c r="AA1027" s="51"/>
      <c r="AB1027" s="51"/>
      <c r="AC1027" s="51"/>
      <c r="AD1027" s="51"/>
      <c r="AE1027">
        <v>1</v>
      </c>
      <c r="AF1027" t="s">
        <v>2066</v>
      </c>
      <c r="AG1027" t="s">
        <v>2179</v>
      </c>
      <c r="AH1027" s="51"/>
      <c r="AI1027" s="51"/>
    </row>
    <row r="1028" spans="2:35">
      <c r="B1028" t="s">
        <v>2180</v>
      </c>
      <c r="C1028" t="s">
        <v>3415</v>
      </c>
      <c r="D1028">
        <v>10</v>
      </c>
      <c r="E1028" t="s">
        <v>2791</v>
      </c>
      <c r="F1028">
        <v>5</v>
      </c>
      <c r="G1028">
        <v>9</v>
      </c>
      <c r="H1028">
        <v>1</v>
      </c>
      <c r="I1028" t="s">
        <v>2181</v>
      </c>
      <c r="J1028" s="51">
        <v>41162</v>
      </c>
      <c r="K1028" t="s">
        <v>27</v>
      </c>
      <c r="L1028" t="s">
        <v>2063</v>
      </c>
      <c r="M1028">
        <v>3</v>
      </c>
      <c r="N1028" t="str">
        <f>L1028</f>
        <v>NAM\MB2117</v>
      </c>
      <c r="O1028" s="51">
        <f>J1028</f>
        <v>41162</v>
      </c>
      <c r="P1028" s="51" t="str">
        <f>C1028</f>
        <v>~/cdd/olddocs/Quality Alerts/ITRON/PLUG/QA-IPLUG-002 Rev. A 28-2259-0022 Tapon faltante.pdf</v>
      </c>
      <c r="Q1028" s="51" t="str">
        <f>E1028</f>
        <v>pdf</v>
      </c>
      <c r="R1028" s="51"/>
      <c r="S1028" s="51"/>
      <c r="T1028" s="51"/>
      <c r="U1028" s="51"/>
      <c r="V1028" s="51"/>
      <c r="W1028" s="51"/>
      <c r="X1028" s="51"/>
      <c r="Y1028" s="51"/>
      <c r="Z1028" s="51"/>
      <c r="AA1028" s="51"/>
      <c r="AB1028" s="51"/>
      <c r="AC1028" s="51"/>
      <c r="AD1028" s="51"/>
      <c r="AE1028">
        <v>1</v>
      </c>
      <c r="AF1028" t="s">
        <v>2066</v>
      </c>
      <c r="AG1028" t="s">
        <v>1098</v>
      </c>
      <c r="AH1028" s="51"/>
      <c r="AI1028" s="51"/>
    </row>
    <row r="1029" spans="2:35">
      <c r="B1029" t="s">
        <v>2182</v>
      </c>
      <c r="C1029" t="s">
        <v>3416</v>
      </c>
      <c r="D1029">
        <v>10</v>
      </c>
      <c r="E1029" t="s">
        <v>2791</v>
      </c>
      <c r="F1029">
        <v>5</v>
      </c>
      <c r="G1029">
        <v>9</v>
      </c>
      <c r="H1029">
        <v>13</v>
      </c>
      <c r="I1029" t="s">
        <v>2185</v>
      </c>
      <c r="J1029" s="51">
        <v>41009</v>
      </c>
      <c r="K1029" t="s">
        <v>27</v>
      </c>
      <c r="L1029" t="s">
        <v>2063</v>
      </c>
      <c r="M1029">
        <v>3</v>
      </c>
      <c r="N1029" t="str">
        <f>L1029</f>
        <v>NAM\MB2117</v>
      </c>
      <c r="O1029" s="51">
        <f>J1029</f>
        <v>41009</v>
      </c>
      <c r="P1029" s="51" t="str">
        <f>C1029</f>
        <v>~/cdd/olddocs/Quality Alerts/ITRON/RECEPTACLE/QA-IRCPT-001 Rev. A Cables disparejos.pdf</v>
      </c>
      <c r="Q1029" s="51" t="str">
        <f>E1029</f>
        <v>pdf</v>
      </c>
      <c r="R1029" s="51"/>
      <c r="S1029" s="51"/>
      <c r="T1029" s="51"/>
      <c r="U1029" s="51"/>
      <c r="V1029" s="51"/>
      <c r="W1029" s="51"/>
      <c r="X1029" s="51"/>
      <c r="Y1029" s="51"/>
      <c r="Z1029" s="51"/>
      <c r="AA1029" s="51"/>
      <c r="AB1029" s="51"/>
      <c r="AC1029" s="51"/>
      <c r="AD1029" s="51"/>
      <c r="AE1029">
        <v>1</v>
      </c>
      <c r="AF1029" t="s">
        <v>2066</v>
      </c>
      <c r="AH1029" s="51"/>
      <c r="AI1029" s="51"/>
    </row>
    <row r="1030" spans="2:35">
      <c r="B1030" t="s">
        <v>2186</v>
      </c>
      <c r="C1030" t="s">
        <v>3442</v>
      </c>
      <c r="D1030">
        <v>10</v>
      </c>
      <c r="E1030" t="s">
        <v>2791</v>
      </c>
      <c r="F1030">
        <v>5</v>
      </c>
      <c r="G1030">
        <v>13</v>
      </c>
      <c r="H1030">
        <v>15</v>
      </c>
      <c r="I1030" t="s">
        <v>2187</v>
      </c>
      <c r="J1030" s="51">
        <v>40924</v>
      </c>
      <c r="K1030" t="s">
        <v>27</v>
      </c>
      <c r="L1030" t="s">
        <v>2063</v>
      </c>
      <c r="M1030">
        <v>3</v>
      </c>
      <c r="N1030" t="str">
        <f>L1030</f>
        <v>NAM\MB2117</v>
      </c>
      <c r="O1030" s="51">
        <f>J1030</f>
        <v>40924</v>
      </c>
      <c r="P1030" s="51" t="str">
        <f>C1030</f>
        <v>~/cdd/olddocs/Quality Alerts/MOLDEO/Moldeo Moorpark/QA-MRPK-001 Rev. A 096-0257-001 Rosca Interna -Falta de Material [Compatibility Mode].pdf</v>
      </c>
      <c r="Q1030" s="51" t="str">
        <f>E1030</f>
        <v>pdf</v>
      </c>
      <c r="R1030" s="51"/>
      <c r="S1030" s="51"/>
      <c r="T1030" s="51"/>
      <c r="U1030" s="51"/>
      <c r="V1030" s="51"/>
      <c r="W1030" s="51"/>
      <c r="X1030" s="51"/>
      <c r="Y1030" s="51"/>
      <c r="Z1030" s="51"/>
      <c r="AA1030" s="51"/>
      <c r="AB1030" s="51"/>
      <c r="AC1030" s="51"/>
      <c r="AD1030" s="51"/>
      <c r="AE1030">
        <v>1</v>
      </c>
      <c r="AF1030" t="s">
        <v>2189</v>
      </c>
      <c r="AG1030" t="s">
        <v>2188</v>
      </c>
      <c r="AH1030" s="51"/>
      <c r="AI1030" s="51"/>
    </row>
    <row r="1031" spans="2:35">
      <c r="B1031" t="s">
        <v>2190</v>
      </c>
      <c r="C1031" t="s">
        <v>3443</v>
      </c>
      <c r="D1031">
        <v>10</v>
      </c>
      <c r="E1031" t="s">
        <v>2791</v>
      </c>
      <c r="F1031">
        <v>5</v>
      </c>
      <c r="G1031">
        <v>13</v>
      </c>
      <c r="H1031">
        <v>15</v>
      </c>
      <c r="I1031" t="s">
        <v>2191</v>
      </c>
      <c r="J1031" s="51">
        <v>41031</v>
      </c>
      <c r="K1031" t="s">
        <v>27</v>
      </c>
      <c r="L1031" t="s">
        <v>2063</v>
      </c>
      <c r="M1031">
        <v>3</v>
      </c>
      <c r="N1031" t="str">
        <f>L1031</f>
        <v>NAM\MB2117</v>
      </c>
      <c r="O1031" s="51">
        <f>J1031</f>
        <v>41031</v>
      </c>
      <c r="P1031" s="51" t="str">
        <f>C1031</f>
        <v>~/cdd/olddocs/Quality Alerts/MOLDEO/Moldeo Moorpark/QA-MRPK-002 Rev. A RF22-2852-5 Clamp -Configaracion incorrecta.pdf</v>
      </c>
      <c r="Q1031" s="51" t="str">
        <f>E1031</f>
        <v>pdf</v>
      </c>
      <c r="R1031" s="51"/>
      <c r="S1031" s="51"/>
      <c r="T1031" s="51"/>
      <c r="U1031" s="51"/>
      <c r="V1031" s="51"/>
      <c r="W1031" s="51"/>
      <c r="X1031" s="51"/>
      <c r="Y1031" s="51"/>
      <c r="Z1031" s="51"/>
      <c r="AA1031" s="51"/>
      <c r="AB1031" s="51"/>
      <c r="AC1031" s="51"/>
      <c r="AD1031" s="51"/>
      <c r="AE1031">
        <v>1</v>
      </c>
      <c r="AF1031" t="s">
        <v>2189</v>
      </c>
      <c r="AG1031" t="s">
        <v>2192</v>
      </c>
      <c r="AH1031" s="51"/>
      <c r="AI1031" s="51"/>
    </row>
    <row r="1032" spans="2:35">
      <c r="B1032" t="s">
        <v>2193</v>
      </c>
      <c r="C1032" t="s">
        <v>3444</v>
      </c>
      <c r="D1032">
        <v>10</v>
      </c>
      <c r="E1032" t="s">
        <v>2791</v>
      </c>
      <c r="F1032">
        <v>5</v>
      </c>
      <c r="G1032">
        <v>13</v>
      </c>
      <c r="H1032">
        <v>15</v>
      </c>
      <c r="I1032" t="s">
        <v>2194</v>
      </c>
      <c r="J1032" s="51">
        <v>41045</v>
      </c>
      <c r="K1032" t="s">
        <v>27</v>
      </c>
      <c r="L1032" t="s">
        <v>2063</v>
      </c>
      <c r="M1032">
        <v>3</v>
      </c>
      <c r="N1032" t="str">
        <f>L1032</f>
        <v>NAM\MB2117</v>
      </c>
      <c r="O1032" s="51">
        <f>J1032</f>
        <v>41045</v>
      </c>
      <c r="P1032" s="51" t="str">
        <f>C1032</f>
        <v>~/cdd/olddocs/Quality Alerts/MOLDEO/Moldeo Moorpark/QA-MRPK-003  Rev. A  128-0074-001 Pieza con marcas.pdf</v>
      </c>
      <c r="Q1032" s="51" t="str">
        <f>E1032</f>
        <v>pdf</v>
      </c>
      <c r="R1032" s="51"/>
      <c r="S1032" s="51"/>
      <c r="T1032" s="51"/>
      <c r="U1032" s="51"/>
      <c r="V1032" s="51"/>
      <c r="W1032" s="51"/>
      <c r="X1032" s="51"/>
      <c r="Y1032" s="51"/>
      <c r="Z1032" s="51"/>
      <c r="AA1032" s="51"/>
      <c r="AB1032" s="51"/>
      <c r="AC1032" s="51"/>
      <c r="AD1032" s="51"/>
      <c r="AE1032">
        <v>1</v>
      </c>
      <c r="AF1032" t="s">
        <v>2189</v>
      </c>
      <c r="AG1032" t="s">
        <v>2195</v>
      </c>
      <c r="AH1032" s="51"/>
      <c r="AI1032" s="51"/>
    </row>
    <row r="1033" spans="2:35">
      <c r="B1033" t="s">
        <v>2196</v>
      </c>
      <c r="C1033" t="s">
        <v>3445</v>
      </c>
      <c r="D1033">
        <v>10</v>
      </c>
      <c r="E1033" t="s">
        <v>2791</v>
      </c>
      <c r="F1033">
        <v>5</v>
      </c>
      <c r="G1033">
        <v>13</v>
      </c>
      <c r="H1033">
        <v>15</v>
      </c>
      <c r="I1033" t="s">
        <v>2197</v>
      </c>
      <c r="J1033" s="51">
        <v>40932</v>
      </c>
      <c r="K1033" t="s">
        <v>27</v>
      </c>
      <c r="L1033" t="s">
        <v>2063</v>
      </c>
      <c r="M1033">
        <v>3</v>
      </c>
      <c r="N1033" t="str">
        <f>L1033</f>
        <v>NAM\MB2117</v>
      </c>
      <c r="O1033" s="51">
        <f>J1033</f>
        <v>40932</v>
      </c>
      <c r="P1033" s="51" t="str">
        <f>C1033</f>
        <v>~/cdd/olddocs/Quality Alerts/MOLDEO/Moldeo Moorpark/QA-MRPK-004 Rev. A Pieza mal moldeada-Hundimientos.pdf</v>
      </c>
      <c r="Q1033" s="51" t="str">
        <f>E1033</f>
        <v>pdf</v>
      </c>
      <c r="R1033" s="51"/>
      <c r="S1033" s="51"/>
      <c r="T1033" s="51"/>
      <c r="U1033" s="51"/>
      <c r="V1033" s="51"/>
      <c r="W1033" s="51"/>
      <c r="X1033" s="51"/>
      <c r="Y1033" s="51"/>
      <c r="Z1033" s="51"/>
      <c r="AA1033" s="51"/>
      <c r="AB1033" s="51"/>
      <c r="AC1033" s="51"/>
      <c r="AD1033" s="51"/>
      <c r="AE1033">
        <v>1</v>
      </c>
      <c r="AF1033" t="s">
        <v>2189</v>
      </c>
      <c r="AG1033" t="s">
        <v>2124</v>
      </c>
      <c r="AH1033" s="51"/>
      <c r="AI1033" s="51"/>
    </row>
    <row r="1034" spans="2:35">
      <c r="B1034" t="s">
        <v>2198</v>
      </c>
      <c r="C1034" t="s">
        <v>3446</v>
      </c>
      <c r="D1034">
        <v>10</v>
      </c>
      <c r="E1034" t="s">
        <v>2791</v>
      </c>
      <c r="F1034">
        <v>5</v>
      </c>
      <c r="G1034">
        <v>13</v>
      </c>
      <c r="H1034">
        <v>15</v>
      </c>
      <c r="I1034" t="s">
        <v>2199</v>
      </c>
      <c r="J1034" s="51">
        <v>41162</v>
      </c>
      <c r="K1034" t="s">
        <v>27</v>
      </c>
      <c r="L1034" t="s">
        <v>2063</v>
      </c>
      <c r="M1034">
        <v>3</v>
      </c>
      <c r="N1034" t="str">
        <f>L1034</f>
        <v>NAM\MB2117</v>
      </c>
      <c r="O1034" s="51">
        <f>J1034</f>
        <v>41162</v>
      </c>
      <c r="P1034" s="51" t="str">
        <f>C1034</f>
        <v>~/cdd/olddocs/Quality Alerts/MOLDEO/Moldeo Moorpark/QA-MRPK-005  Moldeo Orificios sin perforar.pdf</v>
      </c>
      <c r="Q1034" s="51" t="str">
        <f>E1034</f>
        <v>pdf</v>
      </c>
      <c r="R1034" s="51"/>
      <c r="S1034" s="51"/>
      <c r="T1034" s="51"/>
      <c r="U1034" s="51"/>
      <c r="V1034" s="51"/>
      <c r="W1034" s="51"/>
      <c r="X1034" s="51"/>
      <c r="Y1034" s="51"/>
      <c r="Z1034" s="51"/>
      <c r="AA1034" s="51"/>
      <c r="AB1034" s="51"/>
      <c r="AC1034" s="51"/>
      <c r="AD1034" s="51"/>
      <c r="AE1034">
        <v>1</v>
      </c>
      <c r="AF1034" t="s">
        <v>2189</v>
      </c>
      <c r="AG1034" t="s">
        <v>2200</v>
      </c>
      <c r="AH1034" s="51"/>
      <c r="AI1034" s="51"/>
    </row>
    <row r="1035" spans="2:35">
      <c r="B1035" t="s">
        <v>2201</v>
      </c>
      <c r="C1035" t="s">
        <v>3446</v>
      </c>
      <c r="D1035">
        <v>10</v>
      </c>
      <c r="E1035" t="s">
        <v>2791</v>
      </c>
      <c r="F1035">
        <v>5</v>
      </c>
      <c r="G1035">
        <v>13</v>
      </c>
      <c r="H1035">
        <v>15</v>
      </c>
      <c r="I1035" t="s">
        <v>2202</v>
      </c>
      <c r="J1035" s="51">
        <v>41162</v>
      </c>
      <c r="K1035" t="s">
        <v>27</v>
      </c>
      <c r="L1035" t="s">
        <v>2063</v>
      </c>
      <c r="M1035">
        <v>3</v>
      </c>
      <c r="N1035" t="str">
        <f>L1035</f>
        <v>NAM\MB2117</v>
      </c>
      <c r="O1035" s="51">
        <f>J1035</f>
        <v>41162</v>
      </c>
      <c r="P1035" s="51" t="str">
        <f>C1035</f>
        <v>~/cdd/olddocs/Quality Alerts/MOLDEO/Moldeo Moorpark/QA-MRPK-005  Moldeo Orificios sin perforar.pdf</v>
      </c>
      <c r="Q1035" s="51" t="str">
        <f>E1035</f>
        <v>pdf</v>
      </c>
      <c r="R1035" s="51"/>
      <c r="S1035" s="51"/>
      <c r="T1035" s="51"/>
      <c r="U1035" s="51"/>
      <c r="V1035" s="51"/>
      <c r="W1035" s="51"/>
      <c r="X1035" s="51"/>
      <c r="Y1035" s="51"/>
      <c r="Z1035" s="51"/>
      <c r="AA1035" s="51"/>
      <c r="AB1035" s="51"/>
      <c r="AC1035" s="51"/>
      <c r="AD1035" s="51"/>
      <c r="AE1035">
        <v>1</v>
      </c>
      <c r="AF1035" t="s">
        <v>2189</v>
      </c>
      <c r="AG1035" t="s">
        <v>2203</v>
      </c>
      <c r="AH1035" s="51"/>
      <c r="AI1035" s="51"/>
    </row>
    <row r="1036" spans="2:35">
      <c r="B1036" t="s">
        <v>1747</v>
      </c>
      <c r="C1036" t="s">
        <v>3424</v>
      </c>
      <c r="D1036">
        <v>10</v>
      </c>
      <c r="E1036" t="s">
        <v>2791</v>
      </c>
      <c r="F1036">
        <v>5</v>
      </c>
      <c r="G1036">
        <v>12</v>
      </c>
      <c r="H1036">
        <v>16</v>
      </c>
      <c r="I1036" t="s">
        <v>1748</v>
      </c>
      <c r="J1036" s="51">
        <v>40928</v>
      </c>
      <c r="K1036" t="s">
        <v>27</v>
      </c>
      <c r="L1036" t="s">
        <v>1584</v>
      </c>
      <c r="M1036">
        <v>3</v>
      </c>
      <c r="N1036" t="str">
        <f>L1036</f>
        <v>NAM\A8070</v>
      </c>
      <c r="O1036" s="51">
        <f>J1036</f>
        <v>40928</v>
      </c>
      <c r="P1036" s="51" t="str">
        <f>C1036</f>
        <v>~/cdd/olddocs/Quality Alerts/MICROMINI/MS/QA-MS-001 MEA0092025 Contactos desalineados -Deformados.pdf</v>
      </c>
      <c r="Q1036" s="51" t="str">
        <f>E1036</f>
        <v>pdf</v>
      </c>
      <c r="R1036" s="51"/>
      <c r="S1036" s="51"/>
      <c r="T1036" s="51"/>
      <c r="U1036" s="51"/>
      <c r="V1036" s="51"/>
      <c r="W1036" s="51"/>
      <c r="X1036" s="51"/>
      <c r="Y1036" s="51"/>
      <c r="Z1036" s="51"/>
      <c r="AA1036" s="51"/>
      <c r="AB1036" s="51"/>
      <c r="AC1036" s="51"/>
      <c r="AD1036" s="51"/>
      <c r="AE1036">
        <v>1</v>
      </c>
      <c r="AF1036" t="s">
        <v>611</v>
      </c>
      <c r="AG1036" t="s">
        <v>1749</v>
      </c>
      <c r="AH1036" s="51"/>
      <c r="AI1036" s="51"/>
    </row>
    <row r="1037" spans="2:35">
      <c r="B1037" t="s">
        <v>1750</v>
      </c>
      <c r="C1037" t="s">
        <v>3425</v>
      </c>
      <c r="D1037">
        <v>10</v>
      </c>
      <c r="E1037" t="s">
        <v>2791</v>
      </c>
      <c r="F1037">
        <v>5</v>
      </c>
      <c r="G1037">
        <v>12</v>
      </c>
      <c r="H1037">
        <v>16</v>
      </c>
      <c r="I1037" t="s">
        <v>1751</v>
      </c>
      <c r="J1037" s="51">
        <v>40947</v>
      </c>
      <c r="K1037" t="s">
        <v>27</v>
      </c>
      <c r="L1037" t="s">
        <v>1584</v>
      </c>
      <c r="M1037">
        <v>3</v>
      </c>
      <c r="N1037" t="str">
        <f>L1037</f>
        <v>NAM\A8070</v>
      </c>
      <c r="O1037" s="51">
        <f>J1037</f>
        <v>40947</v>
      </c>
      <c r="P1037" s="51" t="str">
        <f>C1037</f>
        <v>~/cdd/olddocs/Quality Alerts/MICROMINI/MS/QA-MS-002 MEA0114010 Pieza dañada.pdf</v>
      </c>
      <c r="Q1037" s="51" t="str">
        <f>E1037</f>
        <v>pdf</v>
      </c>
      <c r="R1037" s="51"/>
      <c r="S1037" s="51"/>
      <c r="T1037" s="51"/>
      <c r="U1037" s="51"/>
      <c r="V1037" s="51"/>
      <c r="W1037" s="51"/>
      <c r="X1037" s="51"/>
      <c r="Y1037" s="51"/>
      <c r="Z1037" s="51"/>
      <c r="AA1037" s="51"/>
      <c r="AB1037" s="51"/>
      <c r="AC1037" s="51"/>
      <c r="AD1037" s="51"/>
      <c r="AE1037">
        <v>1</v>
      </c>
      <c r="AF1037" t="s">
        <v>611</v>
      </c>
      <c r="AG1037" t="s">
        <v>1752</v>
      </c>
      <c r="AH1037" s="51"/>
      <c r="AI1037" s="51"/>
    </row>
    <row r="1038" spans="2:35">
      <c r="B1038" t="s">
        <v>1753</v>
      </c>
      <c r="C1038" t="s">
        <v>3426</v>
      </c>
      <c r="D1038">
        <v>10</v>
      </c>
      <c r="E1038" t="s">
        <v>2791</v>
      </c>
      <c r="F1038">
        <v>5</v>
      </c>
      <c r="G1038">
        <v>12</v>
      </c>
      <c r="H1038">
        <v>16</v>
      </c>
      <c r="I1038" t="s">
        <v>1754</v>
      </c>
      <c r="J1038" s="51">
        <v>40962</v>
      </c>
      <c r="K1038" t="s">
        <v>27</v>
      </c>
      <c r="L1038" t="s">
        <v>1584</v>
      </c>
      <c r="M1038">
        <v>3</v>
      </c>
      <c r="N1038" t="str">
        <f>L1038</f>
        <v>NAM\A8070</v>
      </c>
      <c r="O1038" s="51">
        <f>J1038</f>
        <v>40962</v>
      </c>
      <c r="P1038" s="51" t="str">
        <f>C1038</f>
        <v>~/cdd/olddocs/Quality Alerts/MICROMINI/MS/QA-MS-003 MEA114010 Cables no adheridos - Falta de goma.pdf</v>
      </c>
      <c r="Q1038" s="51" t="str">
        <f>E1038</f>
        <v>pdf</v>
      </c>
      <c r="R1038" s="51"/>
      <c r="S1038" s="51"/>
      <c r="T1038" s="51"/>
      <c r="U1038" s="51"/>
      <c r="V1038" s="51"/>
      <c r="W1038" s="51"/>
      <c r="X1038" s="51"/>
      <c r="Y1038" s="51"/>
      <c r="Z1038" s="51"/>
      <c r="AA1038" s="51"/>
      <c r="AB1038" s="51"/>
      <c r="AC1038" s="51"/>
      <c r="AD1038" s="51"/>
      <c r="AE1038">
        <v>1</v>
      </c>
      <c r="AF1038" t="s">
        <v>611</v>
      </c>
      <c r="AG1038" t="s">
        <v>1752</v>
      </c>
      <c r="AH1038" s="51"/>
      <c r="AI1038" s="51"/>
    </row>
    <row r="1039" spans="2:35">
      <c r="B1039" t="s">
        <v>1755</v>
      </c>
      <c r="C1039" t="s">
        <v>3427</v>
      </c>
      <c r="D1039">
        <v>10</v>
      </c>
      <c r="E1039" t="s">
        <v>2791</v>
      </c>
      <c r="F1039">
        <v>5</v>
      </c>
      <c r="G1039">
        <v>12</v>
      </c>
      <c r="H1039">
        <v>16</v>
      </c>
      <c r="I1039" t="s">
        <v>1756</v>
      </c>
      <c r="J1039" s="51">
        <v>40962</v>
      </c>
      <c r="K1039" t="s">
        <v>27</v>
      </c>
      <c r="L1039" t="s">
        <v>1584</v>
      </c>
      <c r="M1039">
        <v>3</v>
      </c>
      <c r="N1039" t="str">
        <f>L1039</f>
        <v>NAM\A8070</v>
      </c>
      <c r="O1039" s="51">
        <f>J1039</f>
        <v>40962</v>
      </c>
      <c r="P1039" s="51" t="str">
        <f>C1039</f>
        <v>~/cdd/olddocs/Quality Alerts/MICROMINI/MS/QA-MS-004 Varios Cable sin presencia de Mek.pdf</v>
      </c>
      <c r="Q1039" s="51" t="str">
        <f>E1039</f>
        <v>pdf</v>
      </c>
      <c r="R1039" s="51"/>
      <c r="S1039" s="51"/>
      <c r="T1039" s="51"/>
      <c r="U1039" s="51"/>
      <c r="V1039" s="51"/>
      <c r="W1039" s="51"/>
      <c r="X1039" s="51"/>
      <c r="Y1039" s="51"/>
      <c r="Z1039" s="51"/>
      <c r="AA1039" s="51"/>
      <c r="AB1039" s="51"/>
      <c r="AC1039" s="51"/>
      <c r="AD1039" s="51"/>
      <c r="AE1039">
        <v>1</v>
      </c>
      <c r="AF1039" t="s">
        <v>611</v>
      </c>
      <c r="AG1039" t="s">
        <v>1694</v>
      </c>
      <c r="AH1039" s="51"/>
      <c r="AI1039" s="51"/>
    </row>
    <row r="1040" spans="2:35">
      <c r="B1040" t="s">
        <v>1757</v>
      </c>
      <c r="C1040" t="s">
        <v>3428</v>
      </c>
      <c r="D1040">
        <v>10</v>
      </c>
      <c r="E1040" t="s">
        <v>2791</v>
      </c>
      <c r="F1040">
        <v>5</v>
      </c>
      <c r="G1040">
        <v>12</v>
      </c>
      <c r="H1040">
        <v>16</v>
      </c>
      <c r="I1040" t="s">
        <v>1758</v>
      </c>
      <c r="J1040" s="51">
        <v>40964</v>
      </c>
      <c r="K1040" t="s">
        <v>27</v>
      </c>
      <c r="L1040" t="s">
        <v>1584</v>
      </c>
      <c r="M1040">
        <v>3</v>
      </c>
      <c r="N1040" t="str">
        <f>L1040</f>
        <v>NAM\A8070</v>
      </c>
      <c r="O1040" s="51">
        <f>J1040</f>
        <v>40964</v>
      </c>
      <c r="P1040" s="51" t="str">
        <f>C1040</f>
        <v>~/cdd/olddocs/Quality Alerts/MICROMINI/MS/QA-MS-005 Vario Ping Gage-Medircion profundidad.pdf</v>
      </c>
      <c r="Q1040" s="51" t="str">
        <f>E1040</f>
        <v>pdf</v>
      </c>
      <c r="R1040" s="51"/>
      <c r="S1040" s="51"/>
      <c r="T1040" s="51"/>
      <c r="U1040" s="51"/>
      <c r="V1040" s="51"/>
      <c r="W1040" s="51"/>
      <c r="X1040" s="51"/>
      <c r="Y1040" s="51"/>
      <c r="Z1040" s="51"/>
      <c r="AA1040" s="51"/>
      <c r="AB1040" s="51"/>
      <c r="AC1040" s="51"/>
      <c r="AD1040" s="51"/>
      <c r="AE1040">
        <v>1</v>
      </c>
      <c r="AF1040" t="s">
        <v>611</v>
      </c>
      <c r="AG1040" t="s">
        <v>1694</v>
      </c>
      <c r="AH1040" s="51"/>
      <c r="AI1040" s="51"/>
    </row>
    <row r="1041" spans="2:35">
      <c r="B1041" t="s">
        <v>1759</v>
      </c>
      <c r="C1041" t="s">
        <v>3429</v>
      </c>
      <c r="D1041">
        <v>10</v>
      </c>
      <c r="E1041" t="s">
        <v>2791</v>
      </c>
      <c r="F1041">
        <v>5</v>
      </c>
      <c r="G1041">
        <v>12</v>
      </c>
      <c r="H1041">
        <v>16</v>
      </c>
      <c r="I1041" t="s">
        <v>1760</v>
      </c>
      <c r="J1041" s="51">
        <v>40974</v>
      </c>
      <c r="K1041" t="s">
        <v>27</v>
      </c>
      <c r="L1041" t="s">
        <v>1584</v>
      </c>
      <c r="M1041">
        <v>3</v>
      </c>
      <c r="N1041" t="str">
        <f>L1041</f>
        <v>NAM\A8070</v>
      </c>
      <c r="O1041" s="51">
        <f>J1041</f>
        <v>40974</v>
      </c>
      <c r="P1041" s="51" t="str">
        <f>C1041</f>
        <v>~/cdd/olddocs/Quality Alerts/MICROMINI/MS/QA-MS-006  CHMEA0115040 Pieza dañada- Quemada.pdf</v>
      </c>
      <c r="Q1041" s="51" t="str">
        <f>E1041</f>
        <v>pdf</v>
      </c>
      <c r="R1041" s="51"/>
      <c r="S1041" s="51"/>
      <c r="T1041" s="51"/>
      <c r="U1041" s="51"/>
      <c r="V1041" s="51"/>
      <c r="W1041" s="51"/>
      <c r="X1041" s="51"/>
      <c r="Y1041" s="51"/>
      <c r="Z1041" s="51"/>
      <c r="AA1041" s="51"/>
      <c r="AB1041" s="51"/>
      <c r="AC1041" s="51"/>
      <c r="AD1041" s="51"/>
      <c r="AE1041">
        <v>1</v>
      </c>
      <c r="AF1041" t="s">
        <v>611</v>
      </c>
      <c r="AG1041" t="s">
        <v>1761</v>
      </c>
      <c r="AH1041" s="51"/>
      <c r="AI1041" s="51"/>
    </row>
    <row r="1042" spans="2:35">
      <c r="B1042" t="s">
        <v>1762</v>
      </c>
      <c r="C1042" t="s">
        <v>3430</v>
      </c>
      <c r="D1042">
        <v>10</v>
      </c>
      <c r="E1042" t="s">
        <v>2791</v>
      </c>
      <c r="F1042">
        <v>5</v>
      </c>
      <c r="G1042">
        <v>12</v>
      </c>
      <c r="H1042">
        <v>16</v>
      </c>
      <c r="I1042" t="s">
        <v>1763</v>
      </c>
      <c r="J1042" s="51">
        <v>40974</v>
      </c>
      <c r="K1042" t="s">
        <v>27</v>
      </c>
      <c r="L1042" t="s">
        <v>1584</v>
      </c>
      <c r="M1042">
        <v>3</v>
      </c>
      <c r="N1042" t="str">
        <f>L1042</f>
        <v>NAM\A8070</v>
      </c>
      <c r="O1042" s="51">
        <f>J1042</f>
        <v>40974</v>
      </c>
      <c r="P1042" s="51" t="str">
        <f>C1042</f>
        <v>~/cdd/olddocs/Quality Alerts/MICROMINI/MS/QA-MS-007 CCR006P8 Insert desalineado.pdf</v>
      </c>
      <c r="Q1042" s="51" t="str">
        <f>E1042</f>
        <v>pdf</v>
      </c>
      <c r="R1042" s="51"/>
      <c r="S1042" s="51"/>
      <c r="T1042" s="51"/>
      <c r="U1042" s="51"/>
      <c r="V1042" s="51"/>
      <c r="W1042" s="51"/>
      <c r="X1042" s="51"/>
      <c r="Y1042" s="51"/>
      <c r="Z1042" s="51"/>
      <c r="AA1042" s="51"/>
      <c r="AB1042" s="51"/>
      <c r="AC1042" s="51"/>
      <c r="AD1042" s="51"/>
      <c r="AE1042">
        <v>1</v>
      </c>
      <c r="AF1042" t="s">
        <v>611</v>
      </c>
      <c r="AG1042" t="s">
        <v>1764</v>
      </c>
      <c r="AH1042" s="51"/>
      <c r="AI1042" s="51"/>
    </row>
    <row r="1043" spans="2:35">
      <c r="B1043" t="s">
        <v>1765</v>
      </c>
      <c r="C1043" t="s">
        <v>3431</v>
      </c>
      <c r="D1043">
        <v>10</v>
      </c>
      <c r="E1043" t="s">
        <v>2791</v>
      </c>
      <c r="F1043">
        <v>5</v>
      </c>
      <c r="G1043">
        <v>12</v>
      </c>
      <c r="H1043">
        <v>16</v>
      </c>
      <c r="I1043" t="s">
        <v>1766</v>
      </c>
      <c r="J1043" s="51">
        <v>40974</v>
      </c>
      <c r="K1043" t="s">
        <v>27</v>
      </c>
      <c r="L1043" t="s">
        <v>1584</v>
      </c>
      <c r="M1043">
        <v>3</v>
      </c>
      <c r="N1043" t="str">
        <f>L1043</f>
        <v>NAM\A8070</v>
      </c>
      <c r="O1043" s="51">
        <f>J1043</f>
        <v>40974</v>
      </c>
      <c r="P1043" s="51" t="str">
        <f>C1043</f>
        <v>~/cdd/olddocs/Quality Alerts/MICROMINI/MS/QA-MS-008  11667277 Contacto bajo.pdf</v>
      </c>
      <c r="Q1043" s="51" t="str">
        <f>E1043</f>
        <v>pdf</v>
      </c>
      <c r="R1043" s="51"/>
      <c r="S1043" s="51"/>
      <c r="T1043" s="51"/>
      <c r="U1043" s="51"/>
      <c r="V1043" s="51"/>
      <c r="W1043" s="51"/>
      <c r="X1043" s="51"/>
      <c r="Y1043" s="51"/>
      <c r="Z1043" s="51"/>
      <c r="AA1043" s="51"/>
      <c r="AB1043" s="51"/>
      <c r="AC1043" s="51"/>
      <c r="AD1043" s="51"/>
      <c r="AE1043">
        <v>1</v>
      </c>
      <c r="AF1043" t="s">
        <v>611</v>
      </c>
      <c r="AG1043">
        <v>11667277</v>
      </c>
      <c r="AH1043" s="51"/>
      <c r="AI1043" s="51"/>
    </row>
    <row r="1044" spans="2:35">
      <c r="B1044" t="s">
        <v>1767</v>
      </c>
      <c r="C1044" t="s">
        <v>3432</v>
      </c>
      <c r="D1044">
        <v>10</v>
      </c>
      <c r="E1044" t="s">
        <v>2791</v>
      </c>
      <c r="F1044">
        <v>5</v>
      </c>
      <c r="G1044">
        <v>12</v>
      </c>
      <c r="H1044">
        <v>16</v>
      </c>
      <c r="I1044" t="s">
        <v>1768</v>
      </c>
      <c r="J1044" s="51">
        <v>40974</v>
      </c>
      <c r="K1044" t="s">
        <v>27</v>
      </c>
      <c r="L1044" t="s">
        <v>1584</v>
      </c>
      <c r="M1044">
        <v>3</v>
      </c>
      <c r="N1044" t="str">
        <f>L1044</f>
        <v>NAM\A8070</v>
      </c>
      <c r="O1044" s="51">
        <f>J1044</f>
        <v>40974</v>
      </c>
      <c r="P1044" s="51" t="str">
        <f>C1044</f>
        <v>~/cdd/olddocs/Quality Alerts/MICROMINI/MS/QA-MS-009 CCR006P8 Pieza dañada  insulacion con corte.pdf</v>
      </c>
      <c r="Q1044" s="51" t="str">
        <f>E1044</f>
        <v>pdf</v>
      </c>
      <c r="R1044" s="51"/>
      <c r="S1044" s="51"/>
      <c r="T1044" s="51"/>
      <c r="U1044" s="51"/>
      <c r="V1044" s="51"/>
      <c r="W1044" s="51"/>
      <c r="X1044" s="51"/>
      <c r="Y1044" s="51"/>
      <c r="Z1044" s="51"/>
      <c r="AA1044" s="51"/>
      <c r="AB1044" s="51"/>
      <c r="AC1044" s="51"/>
      <c r="AD1044" s="51"/>
      <c r="AE1044">
        <v>1</v>
      </c>
      <c r="AF1044" t="s">
        <v>611</v>
      </c>
      <c r="AG1044" t="s">
        <v>1764</v>
      </c>
      <c r="AH1044" s="51"/>
      <c r="AI1044" s="51"/>
    </row>
    <row r="1045" spans="2:35">
      <c r="B1045" t="s">
        <v>1769</v>
      </c>
      <c r="C1045" t="s">
        <v>3433</v>
      </c>
      <c r="D1045">
        <v>10</v>
      </c>
      <c r="E1045" t="s">
        <v>2791</v>
      </c>
      <c r="F1045">
        <v>5</v>
      </c>
      <c r="G1045">
        <v>12</v>
      </c>
      <c r="H1045">
        <v>16</v>
      </c>
      <c r="I1045" t="s">
        <v>1770</v>
      </c>
      <c r="J1045" s="51">
        <v>40987</v>
      </c>
      <c r="K1045" t="s">
        <v>27</v>
      </c>
      <c r="L1045" t="s">
        <v>1584</v>
      </c>
      <c r="M1045">
        <v>3</v>
      </c>
      <c r="N1045" t="str">
        <f>L1045</f>
        <v>NAM\A8070</v>
      </c>
      <c r="O1045" s="51">
        <f>J1045</f>
        <v>40987</v>
      </c>
      <c r="P1045" s="51" t="str">
        <f>C1045</f>
        <v>~/cdd/olddocs/Quality Alerts/MICROMINI/MS/QA-MS-010 SMEA PRODUCTS  Conector Manufacturador Equivocado.pdf</v>
      </c>
      <c r="Q1045" s="51" t="str">
        <f>E1045</f>
        <v>pdf</v>
      </c>
      <c r="R1045" s="51"/>
      <c r="S1045" s="51"/>
      <c r="T1045" s="51"/>
      <c r="U1045" s="51"/>
      <c r="V1045" s="51"/>
      <c r="W1045" s="51"/>
      <c r="X1045" s="51"/>
      <c r="Y1045" s="51"/>
      <c r="Z1045" s="51"/>
      <c r="AA1045" s="51"/>
      <c r="AB1045" s="51"/>
      <c r="AC1045" s="51"/>
      <c r="AD1045" s="51"/>
      <c r="AE1045">
        <v>1</v>
      </c>
      <c r="AF1045" t="s">
        <v>611</v>
      </c>
      <c r="AG1045" t="s">
        <v>1771</v>
      </c>
      <c r="AH1045" s="51"/>
      <c r="AI1045" s="51"/>
    </row>
    <row r="1046" spans="2:35">
      <c r="B1046" t="s">
        <v>1772</v>
      </c>
      <c r="C1046" t="s">
        <v>3434</v>
      </c>
      <c r="D1046">
        <v>10</v>
      </c>
      <c r="E1046" t="s">
        <v>2791</v>
      </c>
      <c r="F1046">
        <v>5</v>
      </c>
      <c r="G1046">
        <v>12</v>
      </c>
      <c r="H1046">
        <v>16</v>
      </c>
      <c r="I1046" t="s">
        <v>1773</v>
      </c>
      <c r="J1046" s="51">
        <v>40988</v>
      </c>
      <c r="K1046" t="s">
        <v>27</v>
      </c>
      <c r="L1046" t="s">
        <v>1584</v>
      </c>
      <c r="M1046">
        <v>3</v>
      </c>
      <c r="N1046" t="str">
        <f>L1046</f>
        <v>NAM\A8070</v>
      </c>
      <c r="O1046" s="51">
        <f>J1046</f>
        <v>40988</v>
      </c>
      <c r="P1046" s="51" t="str">
        <f>C1046</f>
        <v>~/cdd/olddocs/Quality Alerts/MICROMINI/MS/QA-MS-011 Varios Identificar etiqueta-Punto verde.pdf</v>
      </c>
      <c r="Q1046" s="51" t="str">
        <f>E1046</f>
        <v>pdf</v>
      </c>
      <c r="R1046" s="51"/>
      <c r="S1046" s="51"/>
      <c r="T1046" s="51"/>
      <c r="U1046" s="51"/>
      <c r="V1046" s="51"/>
      <c r="W1046" s="51"/>
      <c r="X1046" s="51"/>
      <c r="Y1046" s="51"/>
      <c r="Z1046" s="51"/>
      <c r="AA1046" s="51"/>
      <c r="AB1046" s="51"/>
      <c r="AC1046" s="51"/>
      <c r="AD1046" s="51"/>
      <c r="AE1046">
        <v>1</v>
      </c>
      <c r="AF1046" t="s">
        <v>611</v>
      </c>
      <c r="AG1046" t="s">
        <v>1694</v>
      </c>
      <c r="AH1046" s="51"/>
      <c r="AI1046" s="51"/>
    </row>
    <row r="1047" spans="2:35">
      <c r="B1047" t="s">
        <v>1774</v>
      </c>
      <c r="C1047" t="s">
        <v>3435</v>
      </c>
      <c r="D1047">
        <v>10</v>
      </c>
      <c r="E1047" t="s">
        <v>2791</v>
      </c>
      <c r="F1047">
        <v>5</v>
      </c>
      <c r="G1047">
        <v>12</v>
      </c>
      <c r="H1047">
        <v>16</v>
      </c>
      <c r="I1047" t="s">
        <v>1775</v>
      </c>
      <c r="J1047" s="51">
        <v>41191</v>
      </c>
      <c r="K1047" t="s">
        <v>27</v>
      </c>
      <c r="L1047" t="s">
        <v>1584</v>
      </c>
      <c r="M1047">
        <v>3</v>
      </c>
      <c r="N1047" t="str">
        <f>L1047</f>
        <v>NAM\A8070</v>
      </c>
      <c r="O1047" s="51">
        <f>J1047</f>
        <v>41191</v>
      </c>
      <c r="P1047" s="51" t="str">
        <f>C1047</f>
        <v>~/cdd/olddocs/Quality Alerts/MICROMINI/MS/QA-MS-012 Compound  3460500-xx.pdf</v>
      </c>
      <c r="Q1047" s="51" t="str">
        <f>E1047</f>
        <v>pdf</v>
      </c>
      <c r="R1047" s="51"/>
      <c r="S1047" s="51"/>
      <c r="T1047" s="51"/>
      <c r="U1047" s="51"/>
      <c r="V1047" s="51"/>
      <c r="W1047" s="51"/>
      <c r="X1047" s="51"/>
      <c r="Y1047" s="51"/>
      <c r="Z1047" s="51"/>
      <c r="AA1047" s="51"/>
      <c r="AB1047" s="51"/>
      <c r="AC1047" s="51"/>
      <c r="AD1047" s="51"/>
      <c r="AE1047">
        <v>1</v>
      </c>
      <c r="AF1047" t="s">
        <v>611</v>
      </c>
      <c r="AG1047" t="s">
        <v>1776</v>
      </c>
      <c r="AH1047" s="51"/>
      <c r="AI1047" s="51"/>
    </row>
    <row r="1048" spans="2:35">
      <c r="B1048" t="s">
        <v>1777</v>
      </c>
      <c r="C1048" t="s">
        <v>3436</v>
      </c>
      <c r="D1048">
        <v>10</v>
      </c>
      <c r="E1048" t="s">
        <v>2791</v>
      </c>
      <c r="F1048">
        <v>5</v>
      </c>
      <c r="G1048">
        <v>12</v>
      </c>
      <c r="H1048">
        <v>19</v>
      </c>
      <c r="I1048" t="s">
        <v>1778</v>
      </c>
      <c r="J1048" s="51">
        <v>40924</v>
      </c>
      <c r="K1048" t="s">
        <v>27</v>
      </c>
      <c r="L1048" t="s">
        <v>1584</v>
      </c>
      <c r="M1048">
        <v>3</v>
      </c>
      <c r="N1048" t="str">
        <f>L1048</f>
        <v>NAM\A8070</v>
      </c>
      <c r="O1048" s="51">
        <f>J1048</f>
        <v>40924</v>
      </c>
      <c r="P1048" s="51" t="str">
        <f>C1048</f>
        <v>~/cdd/olddocs/Quality Alerts/MICROMINI/Potted- Plex/QA-PLEX-001 REV. A 14633392 Coupler -falta anodizado [Compatibility Mode].pdf</v>
      </c>
      <c r="Q1048" s="51" t="str">
        <f>E1048</f>
        <v>pdf</v>
      </c>
      <c r="R1048" s="51"/>
      <c r="S1048" s="51"/>
      <c r="T1048" s="51"/>
      <c r="U1048" s="51"/>
      <c r="V1048" s="51"/>
      <c r="W1048" s="51"/>
      <c r="X1048" s="51"/>
      <c r="Y1048" s="51"/>
      <c r="Z1048" s="51"/>
      <c r="AA1048" s="51"/>
      <c r="AB1048" s="51"/>
      <c r="AC1048" s="51"/>
      <c r="AD1048" s="51"/>
      <c r="AE1048">
        <v>1</v>
      </c>
      <c r="AF1048" t="s">
        <v>611</v>
      </c>
      <c r="AG1048">
        <v>14633392</v>
      </c>
      <c r="AH1048" s="51"/>
      <c r="AI1048" s="51"/>
    </row>
    <row r="1049" spans="2:35">
      <c r="B1049" t="s">
        <v>1779</v>
      </c>
      <c r="C1049" t="s">
        <v>3437</v>
      </c>
      <c r="D1049">
        <v>10</v>
      </c>
      <c r="E1049" t="s">
        <v>2791</v>
      </c>
      <c r="F1049">
        <v>5</v>
      </c>
      <c r="G1049">
        <v>12</v>
      </c>
      <c r="H1049">
        <v>19</v>
      </c>
      <c r="I1049" t="s">
        <v>1780</v>
      </c>
      <c r="J1049" s="51">
        <v>40924</v>
      </c>
      <c r="K1049" t="s">
        <v>27</v>
      </c>
      <c r="L1049" t="s">
        <v>1584</v>
      </c>
      <c r="M1049">
        <v>3</v>
      </c>
      <c r="N1049" t="str">
        <f>L1049</f>
        <v>NAM\A8070</v>
      </c>
      <c r="O1049" s="51">
        <f>J1049</f>
        <v>40924</v>
      </c>
      <c r="P1049" s="51" t="str">
        <f>C1049</f>
        <v>~/cdd/olddocs/Quality Alerts/MICROMINI/Potted- Plex/QA-PLEX-002 Rev. A ABPP4R5D5 Coupler Rayado [Compatibility Mode].pdf</v>
      </c>
      <c r="Q1049" s="51" t="str">
        <f>E1049</f>
        <v>pdf</v>
      </c>
      <c r="R1049" s="51"/>
      <c r="S1049" s="51"/>
      <c r="T1049" s="51"/>
      <c r="U1049" s="51"/>
      <c r="V1049" s="51"/>
      <c r="W1049" s="51"/>
      <c r="X1049" s="51"/>
      <c r="Y1049" s="51"/>
      <c r="Z1049" s="51"/>
      <c r="AA1049" s="51"/>
      <c r="AB1049" s="51"/>
      <c r="AC1049" s="51"/>
      <c r="AD1049" s="51"/>
      <c r="AE1049">
        <v>1</v>
      </c>
      <c r="AF1049" t="s">
        <v>611</v>
      </c>
      <c r="AG1049" t="s">
        <v>1781</v>
      </c>
      <c r="AH1049" s="51"/>
      <c r="AI1049" s="51"/>
    </row>
    <row r="1050" spans="2:35">
      <c r="B1050" t="s">
        <v>1782</v>
      </c>
      <c r="C1050" t="s">
        <v>3438</v>
      </c>
      <c r="D1050">
        <v>10</v>
      </c>
      <c r="E1050" t="s">
        <v>2791</v>
      </c>
      <c r="F1050">
        <v>5</v>
      </c>
      <c r="G1050">
        <v>12</v>
      </c>
      <c r="H1050">
        <v>19</v>
      </c>
      <c r="I1050" t="s">
        <v>1783</v>
      </c>
      <c r="J1050" s="51">
        <v>40997</v>
      </c>
      <c r="K1050" t="s">
        <v>27</v>
      </c>
      <c r="L1050" t="s">
        <v>1584</v>
      </c>
      <c r="M1050">
        <v>3</v>
      </c>
      <c r="N1050" t="str">
        <f>L1050</f>
        <v>NAM\A8070</v>
      </c>
      <c r="O1050" s="51">
        <f>J1050</f>
        <v>40997</v>
      </c>
      <c r="P1050" s="51" t="str">
        <f>C1050</f>
        <v>~/cdd/olddocs/Quality Alerts/MICROMINI/Potted- Plex/QA-PLEX-003 Rev. A A98DP56PTA5 Falta de Oring- Exceso de Epoxy.pdf</v>
      </c>
      <c r="Q1050" s="51" t="str">
        <f>E1050</f>
        <v>pdf</v>
      </c>
      <c r="R1050" s="51"/>
      <c r="S1050" s="51"/>
      <c r="T1050" s="51"/>
      <c r="U1050" s="51"/>
      <c r="V1050" s="51"/>
      <c r="W1050" s="51"/>
      <c r="X1050" s="51"/>
      <c r="Y1050" s="51"/>
      <c r="Z1050" s="51"/>
      <c r="AA1050" s="51"/>
      <c r="AB1050" s="51"/>
      <c r="AC1050" s="51"/>
      <c r="AD1050" s="51"/>
      <c r="AE1050">
        <v>1</v>
      </c>
      <c r="AF1050" t="s">
        <v>611</v>
      </c>
      <c r="AG1050" t="s">
        <v>1784</v>
      </c>
      <c r="AH1050" s="51"/>
      <c r="AI1050" s="51"/>
    </row>
    <row r="1051" spans="2:35">
      <c r="B1051" t="s">
        <v>1785</v>
      </c>
      <c r="C1051" t="s">
        <v>3439</v>
      </c>
      <c r="D1051">
        <v>10</v>
      </c>
      <c r="E1051" t="s">
        <v>2791</v>
      </c>
      <c r="F1051">
        <v>5</v>
      </c>
      <c r="G1051">
        <v>12</v>
      </c>
      <c r="H1051">
        <v>19</v>
      </c>
      <c r="I1051" t="s">
        <v>1786</v>
      </c>
      <c r="J1051" s="51">
        <v>41026</v>
      </c>
      <c r="K1051" t="s">
        <v>27</v>
      </c>
      <c r="L1051" t="s">
        <v>1584</v>
      </c>
      <c r="M1051">
        <v>3</v>
      </c>
      <c r="N1051" t="str">
        <f>L1051</f>
        <v>NAM\A8070</v>
      </c>
      <c r="O1051" s="51">
        <f>J1051</f>
        <v>41026</v>
      </c>
      <c r="P1051" s="51" t="str">
        <f>C1051</f>
        <v>~/cdd/olddocs/Quality Alerts/MICROMINI/Potted- Plex/QA-PLEX-004 Rev. A Utilizacion de etiquetas.pdf</v>
      </c>
      <c r="Q1051" s="51" t="str">
        <f>E1051</f>
        <v>pdf</v>
      </c>
      <c r="R1051" s="51"/>
      <c r="S1051" s="51"/>
      <c r="T1051" s="51"/>
      <c r="U1051" s="51"/>
      <c r="V1051" s="51"/>
      <c r="W1051" s="51"/>
      <c r="X1051" s="51"/>
      <c r="Y1051" s="51"/>
      <c r="Z1051" s="51"/>
      <c r="AA1051" s="51"/>
      <c r="AB1051" s="51"/>
      <c r="AC1051" s="51"/>
      <c r="AD1051" s="51"/>
      <c r="AE1051">
        <v>1</v>
      </c>
      <c r="AF1051" t="s">
        <v>611</v>
      </c>
      <c r="AG1051" t="s">
        <v>1694</v>
      </c>
      <c r="AH1051" s="51"/>
      <c r="AI1051" s="51"/>
    </row>
    <row r="1052" spans="2:35">
      <c r="B1052" t="s">
        <v>1806</v>
      </c>
      <c r="C1052" t="s">
        <v>3440</v>
      </c>
      <c r="D1052">
        <v>10</v>
      </c>
      <c r="E1052" t="s">
        <v>2791</v>
      </c>
      <c r="F1052">
        <v>5</v>
      </c>
      <c r="G1052">
        <v>12</v>
      </c>
      <c r="H1052">
        <v>18</v>
      </c>
      <c r="I1052" t="s">
        <v>1807</v>
      </c>
      <c r="J1052" s="51">
        <v>40946</v>
      </c>
      <c r="K1052" t="s">
        <v>27</v>
      </c>
      <c r="L1052" t="s">
        <v>1584</v>
      </c>
      <c r="M1052">
        <v>3</v>
      </c>
      <c r="N1052" t="str">
        <f>L1052</f>
        <v>NAM\A8070</v>
      </c>
      <c r="O1052" s="51">
        <f>J1052</f>
        <v>40946</v>
      </c>
      <c r="P1052" s="51" t="str">
        <f>C1052</f>
        <v>~/cdd/olddocs/Quality Alerts/MICROMINI/Potted- Plex/QA-POTT-001 Rev. A 11695251 Pieza- Faltante.pdf</v>
      </c>
      <c r="Q1052" s="51" t="str">
        <f>E1052</f>
        <v>pdf</v>
      </c>
      <c r="R1052" s="51"/>
      <c r="S1052" s="51"/>
      <c r="T1052" s="51"/>
      <c r="U1052" s="51"/>
      <c r="V1052" s="51"/>
      <c r="W1052" s="51"/>
      <c r="X1052" s="51"/>
      <c r="Y1052" s="51"/>
      <c r="Z1052" s="51"/>
      <c r="AA1052" s="51"/>
      <c r="AB1052" s="51"/>
      <c r="AC1052" s="51"/>
      <c r="AD1052" s="51"/>
      <c r="AE1052">
        <v>1</v>
      </c>
      <c r="AF1052" t="s">
        <v>611</v>
      </c>
      <c r="AG1052">
        <v>11695251</v>
      </c>
      <c r="AH1052" s="51"/>
      <c r="AI1052" s="51"/>
    </row>
    <row r="1053" spans="2:35">
      <c r="B1053" t="s">
        <v>1808</v>
      </c>
      <c r="C1053" t="s">
        <v>3441</v>
      </c>
      <c r="D1053">
        <v>10</v>
      </c>
      <c r="E1053" t="s">
        <v>2791</v>
      </c>
      <c r="F1053">
        <v>5</v>
      </c>
      <c r="G1053">
        <v>12</v>
      </c>
      <c r="H1053">
        <v>18</v>
      </c>
      <c r="I1053" t="s">
        <v>1809</v>
      </c>
      <c r="J1053" s="51">
        <v>41145</v>
      </c>
      <c r="K1053" t="s">
        <v>27</v>
      </c>
      <c r="L1053" t="s">
        <v>1584</v>
      </c>
      <c r="M1053">
        <v>3</v>
      </c>
      <c r="N1053" t="str">
        <f>L1053</f>
        <v>NAM\A8070</v>
      </c>
      <c r="O1053" s="51">
        <f>J1053</f>
        <v>41145</v>
      </c>
      <c r="P1053" s="51" t="str">
        <f>C1053</f>
        <v>~/cdd/olddocs/Quality Alerts/MICROMINI/Potted- Plex/QA-POTT-002 Rev. A . 1463659 Inspeccion de Entrada.pdf</v>
      </c>
      <c r="Q1053" s="51" t="str">
        <f>E1053</f>
        <v>pdf</v>
      </c>
      <c r="R1053" s="51"/>
      <c r="S1053" s="51"/>
      <c r="T1053" s="51"/>
      <c r="U1053" s="51"/>
      <c r="V1053" s="51"/>
      <c r="W1053" s="51"/>
      <c r="X1053" s="51"/>
      <c r="Y1053" s="51"/>
      <c r="Z1053" s="51"/>
      <c r="AA1053" s="51"/>
      <c r="AB1053" s="51"/>
      <c r="AC1053" s="51"/>
      <c r="AD1053" s="51"/>
      <c r="AE1053">
        <v>1</v>
      </c>
      <c r="AF1053" t="s">
        <v>611</v>
      </c>
      <c r="AG1053">
        <v>1463659</v>
      </c>
      <c r="AH1053" s="51"/>
      <c r="AI1053" s="51"/>
    </row>
    <row r="1054" spans="2:35">
      <c r="B1054" t="s">
        <v>1810</v>
      </c>
      <c r="C1054" t="s">
        <v>3941</v>
      </c>
      <c r="D1054">
        <v>10</v>
      </c>
      <c r="E1054" t="s">
        <v>2793</v>
      </c>
      <c r="F1054">
        <v>5</v>
      </c>
      <c r="G1054">
        <v>12</v>
      </c>
      <c r="H1054">
        <v>18</v>
      </c>
      <c r="I1054" t="s">
        <v>1811</v>
      </c>
      <c r="J1054" s="51">
        <v>41206</v>
      </c>
      <c r="K1054" t="s">
        <v>27</v>
      </c>
      <c r="L1054" t="s">
        <v>1584</v>
      </c>
      <c r="M1054">
        <v>3</v>
      </c>
      <c r="N1054" t="str">
        <f>L1054</f>
        <v>NAM\A8070</v>
      </c>
      <c r="O1054" s="51">
        <f>J1054</f>
        <v>41206</v>
      </c>
      <c r="P1054" s="51" t="str">
        <f>C1054</f>
        <v>~/cdd/olddocs/CN-QAAS (Aseguranza de calidad)/Quality Alerts/MICROMINI/Potted- Plex/QA-POTT 003 Rev. A MP1819D60050F doble coupler.pptx</v>
      </c>
      <c r="Q1054" s="51" t="str">
        <f>E1054</f>
        <v>pptx</v>
      </c>
      <c r="R1054" s="51"/>
      <c r="S1054" s="51"/>
      <c r="T1054" s="51"/>
      <c r="U1054" s="51"/>
      <c r="V1054" s="51"/>
      <c r="W1054" s="51"/>
      <c r="X1054" s="51"/>
      <c r="Y1054" s="51"/>
      <c r="Z1054" s="51"/>
      <c r="AA1054" s="51"/>
      <c r="AB1054" s="51"/>
      <c r="AC1054" s="51"/>
      <c r="AD1054" s="51"/>
      <c r="AE1054">
        <v>1</v>
      </c>
      <c r="AF1054" t="s">
        <v>611</v>
      </c>
      <c r="AG1054" t="s">
        <v>1812</v>
      </c>
      <c r="AH1054" s="51"/>
      <c r="AI1054" s="51"/>
    </row>
    <row r="1055" spans="2:35">
      <c r="B1055" t="s">
        <v>2204</v>
      </c>
      <c r="C1055" t="s">
        <v>3940</v>
      </c>
      <c r="D1055">
        <v>10</v>
      </c>
      <c r="E1055" t="s">
        <v>2793</v>
      </c>
      <c r="F1055">
        <v>5</v>
      </c>
      <c r="G1055">
        <v>34</v>
      </c>
      <c r="H1055">
        <v>25</v>
      </c>
      <c r="I1055" t="s">
        <v>2207</v>
      </c>
      <c r="J1055" s="51">
        <v>41052</v>
      </c>
      <c r="K1055" t="s">
        <v>27</v>
      </c>
      <c r="L1055" t="s">
        <v>2063</v>
      </c>
      <c r="M1055">
        <v>3</v>
      </c>
      <c r="N1055" t="str">
        <f>L1055</f>
        <v>NAM\MB2117</v>
      </c>
      <c r="O1055" s="51">
        <f>J1055</f>
        <v>41052</v>
      </c>
      <c r="P1055" s="51" t="str">
        <f>C1055</f>
        <v>~/cdd/olddocs/CN-QAAS (Aseguranza de calidad)/Quality Alerts/ITRON/SALEM/QA-SALE-001 Rev. A AL-329-0000-080 Alambre expuesto - Exceso de epoxy.pptx</v>
      </c>
      <c r="Q1055" s="51" t="str">
        <f>E1055</f>
        <v>pptx</v>
      </c>
      <c r="R1055" s="51"/>
      <c r="S1055" s="51"/>
      <c r="T1055" s="51"/>
      <c r="U1055" s="51"/>
      <c r="V1055" s="51"/>
      <c r="W1055" s="51"/>
      <c r="X1055" s="51"/>
      <c r="Y1055" s="51"/>
      <c r="Z1055" s="51"/>
      <c r="AA1055" s="51"/>
      <c r="AB1055" s="51"/>
      <c r="AC1055" s="51"/>
      <c r="AD1055" s="51"/>
      <c r="AE1055">
        <v>1</v>
      </c>
      <c r="AF1055" t="s">
        <v>2066</v>
      </c>
      <c r="AG1055" t="s">
        <v>2208</v>
      </c>
      <c r="AH1055" s="51"/>
      <c r="AI1055" s="51"/>
    </row>
    <row r="1056" spans="2:35">
      <c r="B1056" t="s">
        <v>2209</v>
      </c>
      <c r="C1056" t="s">
        <v>3417</v>
      </c>
      <c r="D1056">
        <v>10</v>
      </c>
      <c r="E1056" t="s">
        <v>2791</v>
      </c>
      <c r="F1056">
        <v>5</v>
      </c>
      <c r="G1056">
        <v>34</v>
      </c>
      <c r="H1056">
        <v>25</v>
      </c>
      <c r="I1056" t="s">
        <v>2210</v>
      </c>
      <c r="J1056" s="51">
        <v>41246</v>
      </c>
      <c r="K1056" t="s">
        <v>27</v>
      </c>
      <c r="L1056" t="s">
        <v>2063</v>
      </c>
      <c r="M1056">
        <v>3</v>
      </c>
      <c r="N1056" t="str">
        <f>L1056</f>
        <v>NAM\MB2117</v>
      </c>
      <c r="O1056" s="51">
        <f>J1056</f>
        <v>41246</v>
      </c>
      <c r="P1056" s="51" t="str">
        <f>C1056</f>
        <v>~/cdd/olddocs/Quality Alerts/ITRON/SALEM/QA-SALM-002 Al-329-000-080 Cont. hembra sin acomplamiento - Exceso de epoxy.pdf</v>
      </c>
      <c r="Q1056" s="51" t="str">
        <f>E1056</f>
        <v>pdf</v>
      </c>
      <c r="R1056" s="51"/>
      <c r="S1056" s="51"/>
      <c r="T1056" s="51"/>
      <c r="U1056" s="51"/>
      <c r="V1056" s="51"/>
      <c r="W1056" s="51"/>
      <c r="X1056" s="51"/>
      <c r="Y1056" s="51"/>
      <c r="Z1056" s="51"/>
      <c r="AA1056" s="51"/>
      <c r="AB1056" s="51"/>
      <c r="AC1056" s="51"/>
      <c r="AD1056" s="51"/>
      <c r="AE1056">
        <v>1</v>
      </c>
      <c r="AF1056" t="s">
        <v>2066</v>
      </c>
      <c r="AG1056" t="s">
        <v>2212</v>
      </c>
      <c r="AH1056" s="51"/>
      <c r="AI1056" s="51"/>
    </row>
    <row r="1057" spans="2:35">
      <c r="B1057" t="s">
        <v>1829</v>
      </c>
      <c r="C1057" t="s">
        <v>3447</v>
      </c>
      <c r="D1057">
        <v>10</v>
      </c>
      <c r="E1057" t="s">
        <v>2791</v>
      </c>
      <c r="F1057">
        <v>5</v>
      </c>
      <c r="G1057">
        <v>6</v>
      </c>
      <c r="H1057">
        <v>14</v>
      </c>
      <c r="I1057" t="s">
        <v>1830</v>
      </c>
      <c r="J1057" s="51">
        <v>41129</v>
      </c>
      <c r="K1057" t="s">
        <v>27</v>
      </c>
      <c r="L1057" t="s">
        <v>1584</v>
      </c>
      <c r="M1057">
        <v>3</v>
      </c>
      <c r="N1057" t="str">
        <f>L1057</f>
        <v>NAM\A8070</v>
      </c>
      <c r="O1057" s="51">
        <f>J1057</f>
        <v>41129</v>
      </c>
      <c r="P1057" s="51" t="str">
        <f>C1057</f>
        <v>~/cdd/olddocs/Quality Alerts/SOLAR/QA-SOL-001 Nedco.pdf</v>
      </c>
      <c r="Q1057" s="51" t="str">
        <f>E1057</f>
        <v>pdf</v>
      </c>
      <c r="R1057" s="51"/>
      <c r="S1057" s="51"/>
      <c r="T1057" s="51"/>
      <c r="U1057" s="51"/>
      <c r="V1057" s="51"/>
      <c r="W1057" s="51"/>
      <c r="X1057" s="51"/>
      <c r="Y1057" s="51"/>
      <c r="Z1057" s="51"/>
      <c r="AA1057" s="51"/>
      <c r="AB1057" s="51"/>
      <c r="AC1057" s="51"/>
      <c r="AD1057" s="51"/>
      <c r="AE1057">
        <v>1</v>
      </c>
      <c r="AF1057" t="s">
        <v>1832</v>
      </c>
      <c r="AG1057" t="s">
        <v>1831</v>
      </c>
      <c r="AH1057" s="51"/>
      <c r="AI1057" s="51"/>
    </row>
    <row r="1058" spans="2:35">
      <c r="B1058" t="s">
        <v>1833</v>
      </c>
      <c r="C1058" t="s">
        <v>3447</v>
      </c>
      <c r="D1058">
        <v>10</v>
      </c>
      <c r="E1058" t="s">
        <v>2791</v>
      </c>
      <c r="F1058">
        <v>5</v>
      </c>
      <c r="G1058">
        <v>6</v>
      </c>
      <c r="H1058">
        <v>14</v>
      </c>
      <c r="I1058" t="s">
        <v>1834</v>
      </c>
      <c r="J1058" s="51">
        <v>41165</v>
      </c>
      <c r="K1058" t="s">
        <v>27</v>
      </c>
      <c r="L1058" t="s">
        <v>1584</v>
      </c>
      <c r="M1058">
        <v>3</v>
      </c>
      <c r="N1058" t="str">
        <f>L1058</f>
        <v>NAM\A8070</v>
      </c>
      <c r="O1058" s="51">
        <f>J1058</f>
        <v>41165</v>
      </c>
      <c r="P1058" s="51" t="str">
        <f>C1058</f>
        <v>~/cdd/olddocs/Quality Alerts/SOLAR/QA-SOL-001 Nedco.pdf</v>
      </c>
      <c r="Q1058" s="51" t="str">
        <f>E1058</f>
        <v>pdf</v>
      </c>
      <c r="R1058" s="51"/>
      <c r="S1058" s="51"/>
      <c r="T1058" s="51"/>
      <c r="U1058" s="51"/>
      <c r="V1058" s="51"/>
      <c r="W1058" s="51"/>
      <c r="X1058" s="51"/>
      <c r="Y1058" s="51"/>
      <c r="Z1058" s="51"/>
      <c r="AA1058" s="51"/>
      <c r="AB1058" s="51"/>
      <c r="AC1058" s="51"/>
      <c r="AD1058" s="51"/>
      <c r="AE1058">
        <v>1</v>
      </c>
      <c r="AF1058" t="s">
        <v>1832</v>
      </c>
      <c r="AG1058" t="s">
        <v>1831</v>
      </c>
      <c r="AH1058" s="51"/>
      <c r="AI1058" s="51"/>
    </row>
    <row r="1059" spans="2:35">
      <c r="B1059" t="s">
        <v>1835</v>
      </c>
      <c r="C1059" t="s">
        <v>3448</v>
      </c>
      <c r="D1059">
        <v>10</v>
      </c>
      <c r="E1059" t="s">
        <v>2791</v>
      </c>
      <c r="F1059">
        <v>5</v>
      </c>
      <c r="G1059">
        <v>6</v>
      </c>
      <c r="H1059">
        <v>14</v>
      </c>
      <c r="I1059" t="s">
        <v>1836</v>
      </c>
      <c r="J1059" s="51">
        <v>41179</v>
      </c>
      <c r="K1059" t="s">
        <v>27</v>
      </c>
      <c r="L1059" t="s">
        <v>1584</v>
      </c>
      <c r="M1059">
        <v>3</v>
      </c>
      <c r="N1059" t="str">
        <f>L1059</f>
        <v>NAM\A8070</v>
      </c>
      <c r="O1059" s="51">
        <f>J1059</f>
        <v>41179</v>
      </c>
      <c r="P1059" s="51" t="str">
        <f>C1059</f>
        <v>~/cdd/olddocs/Quality Alerts/SOLAR/QA-SOL-003 Orientacion del tubing.pdf</v>
      </c>
      <c r="Q1059" s="51" t="str">
        <f>E1059</f>
        <v>pdf</v>
      </c>
      <c r="R1059" s="51"/>
      <c r="S1059" s="51"/>
      <c r="T1059" s="51"/>
      <c r="U1059" s="51"/>
      <c r="V1059" s="51"/>
      <c r="W1059" s="51"/>
      <c r="X1059" s="51"/>
      <c r="Y1059" s="51"/>
      <c r="Z1059" s="51"/>
      <c r="AA1059" s="51"/>
      <c r="AB1059" s="51"/>
      <c r="AC1059" s="51"/>
      <c r="AD1059" s="51"/>
      <c r="AE1059">
        <v>1</v>
      </c>
      <c r="AF1059" t="s">
        <v>1832</v>
      </c>
      <c r="AG1059" t="s">
        <v>1831</v>
      </c>
      <c r="AH1059" s="51"/>
      <c r="AI1059" s="51"/>
    </row>
    <row r="1060" spans="2:35">
      <c r="B1060" t="s">
        <v>1837</v>
      </c>
      <c r="C1060" t="s">
        <v>3449</v>
      </c>
      <c r="D1060">
        <v>10</v>
      </c>
      <c r="E1060" t="s">
        <v>2791</v>
      </c>
      <c r="F1060">
        <v>5</v>
      </c>
      <c r="G1060">
        <v>6</v>
      </c>
      <c r="H1060">
        <v>14</v>
      </c>
      <c r="I1060" t="s">
        <v>1838</v>
      </c>
      <c r="J1060" s="51">
        <v>41208</v>
      </c>
      <c r="K1060" t="s">
        <v>27</v>
      </c>
      <c r="L1060" t="s">
        <v>1584</v>
      </c>
      <c r="M1060">
        <v>3</v>
      </c>
      <c r="N1060" t="str">
        <f>L1060</f>
        <v>NAM\A8070</v>
      </c>
      <c r="O1060" s="51">
        <f>J1060</f>
        <v>41208</v>
      </c>
      <c r="P1060" s="51" t="str">
        <f>C1060</f>
        <v>~/cdd/olddocs/Quality Alerts/SOLAR/QA-SOL-004  Carretes Solar.pdf</v>
      </c>
      <c r="Q1060" s="51" t="str">
        <f>E1060</f>
        <v>pdf</v>
      </c>
      <c r="R1060" s="51"/>
      <c r="S1060" s="51"/>
      <c r="T1060" s="51"/>
      <c r="U1060" s="51"/>
      <c r="V1060" s="51"/>
      <c r="W1060" s="51"/>
      <c r="X1060" s="51"/>
      <c r="Y1060" s="51"/>
      <c r="Z1060" s="51"/>
      <c r="AA1060" s="51"/>
      <c r="AB1060" s="51"/>
      <c r="AC1060" s="51"/>
      <c r="AD1060" s="51"/>
      <c r="AE1060">
        <v>1</v>
      </c>
      <c r="AF1060" t="s">
        <v>1832</v>
      </c>
      <c r="AG1060" t="s">
        <v>1831</v>
      </c>
      <c r="AH1060" s="51"/>
      <c r="AI1060" s="51"/>
    </row>
    <row r="1061" spans="2:35">
      <c r="B1061" t="s">
        <v>254</v>
      </c>
      <c r="C1061" t="s">
        <v>3380</v>
      </c>
      <c r="D1061">
        <v>1</v>
      </c>
      <c r="E1061" t="s">
        <v>2791</v>
      </c>
      <c r="F1061">
        <v>5</v>
      </c>
      <c r="G1061">
        <v>9</v>
      </c>
      <c r="H1061">
        <v>8</v>
      </c>
      <c r="I1061" t="s">
        <v>260</v>
      </c>
      <c r="J1061" s="51">
        <v>40994</v>
      </c>
      <c r="K1061" t="s">
        <v>261</v>
      </c>
      <c r="L1061" t="s">
        <v>222</v>
      </c>
      <c r="M1061">
        <v>3</v>
      </c>
      <c r="N1061" t="str">
        <f>L1061</f>
        <v>NAM\MA9769</v>
      </c>
      <c r="O1061" s="51">
        <f>J1061</f>
        <v>40994</v>
      </c>
      <c r="P1061" s="51" t="str">
        <f>C1061</f>
        <v>~/cdd/olddocs/Manual de Calidad/QM-01 Quality Manual.pdf</v>
      </c>
      <c r="Q1061" s="51" t="str">
        <f>E1061</f>
        <v>pdf</v>
      </c>
      <c r="R1061" s="51"/>
      <c r="S1061" s="51"/>
      <c r="T1061" s="51"/>
      <c r="U1061" s="51"/>
      <c r="V1061" s="51"/>
      <c r="W1061" s="51"/>
      <c r="X1061" s="51"/>
      <c r="Y1061" s="51"/>
      <c r="Z1061" s="51"/>
      <c r="AA1061" s="51"/>
      <c r="AB1061" s="51"/>
      <c r="AC1061" s="51"/>
      <c r="AD1061" s="51"/>
      <c r="AG1061" t="s">
        <v>28</v>
      </c>
      <c r="AH1061" s="51"/>
      <c r="AI1061" s="51"/>
    </row>
    <row r="1062" spans="2:35">
      <c r="B1062" t="s">
        <v>262</v>
      </c>
      <c r="C1062" t="s">
        <v>2851</v>
      </c>
      <c r="D1062">
        <v>1</v>
      </c>
      <c r="E1062" t="s">
        <v>2791</v>
      </c>
      <c r="F1062">
        <v>5</v>
      </c>
      <c r="G1062">
        <v>9</v>
      </c>
      <c r="H1062">
        <v>8</v>
      </c>
      <c r="I1062" t="s">
        <v>263</v>
      </c>
      <c r="J1062" s="51">
        <v>41244</v>
      </c>
      <c r="K1062" t="s">
        <v>159</v>
      </c>
      <c r="L1062" t="s">
        <v>222</v>
      </c>
      <c r="M1062">
        <v>3</v>
      </c>
      <c r="N1062" t="str">
        <f>L1062</f>
        <v>NAM\MA9769</v>
      </c>
      <c r="O1062" s="51">
        <f>J1062</f>
        <v>41244</v>
      </c>
      <c r="P1062" s="51" t="str">
        <f>C1062</f>
        <v>~/cdd/olddocs/Estandares/Estandar AS9100/QM-03 Estandard AS9100 Rev, C pdf.pdf</v>
      </c>
      <c r="Q1062" s="51" t="str">
        <f>E1062</f>
        <v>pdf</v>
      </c>
      <c r="R1062" s="51"/>
      <c r="S1062" s="51"/>
      <c r="T1062" s="51"/>
      <c r="U1062" s="51"/>
      <c r="V1062" s="51"/>
      <c r="W1062" s="51"/>
      <c r="X1062" s="51"/>
      <c r="Y1062" s="51"/>
      <c r="Z1062" s="51"/>
      <c r="AA1062" s="51"/>
      <c r="AB1062" s="51"/>
      <c r="AC1062" s="51"/>
      <c r="AD1062" s="51"/>
      <c r="AG1062" t="s">
        <v>28</v>
      </c>
      <c r="AH1062" s="51"/>
      <c r="AI1062" s="51"/>
    </row>
    <row r="1063" spans="2:35">
      <c r="B1063" t="s">
        <v>20</v>
      </c>
      <c r="C1063" t="s">
        <v>2827</v>
      </c>
      <c r="D1063">
        <v>12</v>
      </c>
      <c r="E1063" t="s">
        <v>2790</v>
      </c>
      <c r="F1063">
        <v>5</v>
      </c>
      <c r="G1063">
        <v>12</v>
      </c>
      <c r="H1063">
        <v>3</v>
      </c>
      <c r="I1063" t="s">
        <v>20</v>
      </c>
      <c r="J1063" s="51">
        <v>41037</v>
      </c>
      <c r="K1063" t="s">
        <v>742</v>
      </c>
      <c r="L1063" t="s">
        <v>605</v>
      </c>
      <c r="M1063">
        <v>3</v>
      </c>
      <c r="N1063" t="str">
        <f>L1063</f>
        <v>NA/MB1049</v>
      </c>
      <c r="O1063" s="51">
        <f>J1063</f>
        <v>41037</v>
      </c>
      <c r="P1063" s="51" t="str">
        <f>C1063</f>
        <v>~/cdd/olddocs/Especificaciones genericas/Micromini/A Y B/CNWI-ENGI-F019 Rev  F Especificaciones remachado Celda A y B Rev  B.xlsx</v>
      </c>
      <c r="Q1063" s="51" t="str">
        <f>E1063</f>
        <v>xlsx</v>
      </c>
      <c r="R1063" s="51"/>
      <c r="S1063" s="51"/>
      <c r="T1063" s="51"/>
      <c r="U1063" s="51"/>
      <c r="V1063" s="51"/>
      <c r="W1063" s="51"/>
      <c r="X1063" s="51"/>
      <c r="Y1063" s="51"/>
      <c r="Z1063" s="51"/>
      <c r="AA1063" s="51"/>
      <c r="AB1063" s="51"/>
      <c r="AC1063" s="51"/>
      <c r="AD1063" s="51"/>
      <c r="AE1063" t="s">
        <v>30</v>
      </c>
      <c r="AF1063" t="s">
        <v>31</v>
      </c>
      <c r="AG1063" t="s">
        <v>28</v>
      </c>
      <c r="AH1063" s="51"/>
      <c r="AI1063" s="51"/>
    </row>
    <row r="1064" spans="2:35">
      <c r="B1064" t="s">
        <v>20</v>
      </c>
      <c r="C1064" t="s">
        <v>2834</v>
      </c>
      <c r="D1064">
        <v>12</v>
      </c>
      <c r="E1064" t="s">
        <v>2790</v>
      </c>
      <c r="F1064">
        <v>5</v>
      </c>
      <c r="G1064">
        <v>12</v>
      </c>
      <c r="H1064">
        <v>4</v>
      </c>
      <c r="I1064" t="s">
        <v>20</v>
      </c>
      <c r="J1064" s="51">
        <v>41026</v>
      </c>
      <c r="K1064" t="s">
        <v>27</v>
      </c>
      <c r="M1064">
        <v>3</v>
      </c>
      <c r="N1064">
        <f>L1064</f>
        <v>0</v>
      </c>
      <c r="O1064" s="51">
        <f>J1064</f>
        <v>41026</v>
      </c>
      <c r="P1064" s="51" t="str">
        <f>C1064</f>
        <v>~/cdd/olddocs/Especificaciones genericas/Micromini/CHANGE OUT/CNWI-ENGI-F019 Rev. A Especificaciones remachado area Change out Rev. A.xlsx</v>
      </c>
      <c r="Q1064" s="51" t="str">
        <f>E1064</f>
        <v>xlsx</v>
      </c>
      <c r="R1064" s="51"/>
      <c r="S1064" s="51"/>
      <c r="T1064" s="51"/>
      <c r="U1064" s="51"/>
      <c r="V1064" s="51"/>
      <c r="W1064" s="51"/>
      <c r="X1064" s="51"/>
      <c r="Y1064" s="51"/>
      <c r="Z1064" s="51"/>
      <c r="AA1064" s="51"/>
      <c r="AB1064" s="51"/>
      <c r="AC1064" s="51"/>
      <c r="AD1064" s="51"/>
      <c r="AE1064" t="s">
        <v>30</v>
      </c>
      <c r="AF1064" t="s">
        <v>31</v>
      </c>
      <c r="AG1064" t="s">
        <v>28</v>
      </c>
      <c r="AH1064" s="51"/>
      <c r="AI1064" s="51"/>
    </row>
    <row r="1065" spans="2:35">
      <c r="B1065" t="s">
        <v>20</v>
      </c>
      <c r="C1065" t="s">
        <v>2837</v>
      </c>
      <c r="D1065">
        <v>12</v>
      </c>
      <c r="E1065" t="s">
        <v>2790</v>
      </c>
      <c r="F1065">
        <v>5</v>
      </c>
      <c r="G1065">
        <v>12</v>
      </c>
      <c r="H1065">
        <v>16</v>
      </c>
      <c r="I1065" t="s">
        <v>20</v>
      </c>
      <c r="J1065" s="51">
        <v>41020</v>
      </c>
      <c r="K1065" t="s">
        <v>261</v>
      </c>
      <c r="L1065" t="s">
        <v>605</v>
      </c>
      <c r="M1065">
        <v>3</v>
      </c>
      <c r="N1065" t="str">
        <f>L1065</f>
        <v>NA/MB1049</v>
      </c>
      <c r="O1065" s="51">
        <f>J1065</f>
        <v>41020</v>
      </c>
      <c r="P1065" s="51" t="str">
        <f>C1065</f>
        <v>~/cdd/olddocs/Especificaciones genericas/Micromini/MS/CNWI-ENGI-F019 Rev. E Especificaciones remachado area MS.xlsx</v>
      </c>
      <c r="Q1065" s="51" t="str">
        <f>E1065</f>
        <v>xlsx</v>
      </c>
      <c r="R1065" s="51"/>
      <c r="S1065" s="51"/>
      <c r="T1065" s="51"/>
      <c r="U1065" s="51"/>
      <c r="V1065" s="51"/>
      <c r="W1065" s="51"/>
      <c r="X1065" s="51"/>
      <c r="Y1065" s="51"/>
      <c r="Z1065" s="51"/>
      <c r="AA1065" s="51"/>
      <c r="AB1065" s="51"/>
      <c r="AC1065" s="51"/>
      <c r="AD1065" s="51"/>
      <c r="AE1065" t="s">
        <v>30</v>
      </c>
      <c r="AF1065" t="s">
        <v>601</v>
      </c>
      <c r="AG1065" t="s">
        <v>28</v>
      </c>
      <c r="AH1065" s="51"/>
      <c r="AI1065" s="51"/>
    </row>
    <row r="1066" spans="2:35">
      <c r="B1066" t="s">
        <v>20</v>
      </c>
      <c r="C1066" t="s">
        <v>2844</v>
      </c>
      <c r="D1066">
        <v>12</v>
      </c>
      <c r="E1066" t="s">
        <v>2790</v>
      </c>
      <c r="F1066">
        <v>5</v>
      </c>
      <c r="G1066">
        <v>12</v>
      </c>
      <c r="H1066">
        <v>19</v>
      </c>
      <c r="I1066" t="s">
        <v>20</v>
      </c>
      <c r="J1066" s="51">
        <v>40896</v>
      </c>
      <c r="K1066" t="s">
        <v>46</v>
      </c>
      <c r="L1066" t="s">
        <v>605</v>
      </c>
      <c r="M1066">
        <v>3</v>
      </c>
      <c r="N1066" t="str">
        <f>L1066</f>
        <v>NA/MB1049</v>
      </c>
      <c r="O1066" s="51">
        <f>J1066</f>
        <v>40896</v>
      </c>
      <c r="P1066" s="51" t="str">
        <f>C1066</f>
        <v>~/cdd/olddocs/Especificaciones genericas/Micromini/PLEX/CNWI-ENGI-F019 Rev. A Especificaciones remachado area Plex.xlsx</v>
      </c>
      <c r="Q1066" s="51" t="str">
        <f>E1066</f>
        <v>xlsx</v>
      </c>
      <c r="R1066" s="51"/>
      <c r="S1066" s="51"/>
      <c r="T1066" s="51"/>
      <c r="U1066" s="51"/>
      <c r="V1066" s="51"/>
      <c r="W1066" s="51"/>
      <c r="X1066" s="51"/>
      <c r="Y1066" s="51"/>
      <c r="Z1066" s="51"/>
      <c r="AA1066" s="51"/>
      <c r="AB1066" s="51"/>
      <c r="AC1066" s="51"/>
      <c r="AD1066" s="51"/>
      <c r="AE1066" t="s">
        <v>30</v>
      </c>
      <c r="AF1066" t="s">
        <v>601</v>
      </c>
      <c r="AG1066" t="s">
        <v>28</v>
      </c>
      <c r="AH1066" s="51"/>
      <c r="AI1066" s="51"/>
    </row>
    <row r="1067" spans="2:35">
      <c r="B1067" t="s">
        <v>20</v>
      </c>
      <c r="C1067" t="s">
        <v>2848</v>
      </c>
      <c r="D1067">
        <v>12</v>
      </c>
      <c r="E1067" t="s">
        <v>2790</v>
      </c>
      <c r="F1067">
        <v>5</v>
      </c>
      <c r="G1067">
        <v>12</v>
      </c>
      <c r="H1067">
        <v>18</v>
      </c>
      <c r="I1067" t="s">
        <v>20</v>
      </c>
      <c r="J1067" s="51">
        <v>40893</v>
      </c>
      <c r="K1067" t="s">
        <v>742</v>
      </c>
      <c r="L1067" t="s">
        <v>605</v>
      </c>
      <c r="M1067">
        <v>3</v>
      </c>
      <c r="N1067" t="str">
        <f>L1067</f>
        <v>NA/MB1049</v>
      </c>
      <c r="O1067" s="51">
        <f>J1067</f>
        <v>40893</v>
      </c>
      <c r="P1067" s="51" t="str">
        <f>C1067</f>
        <v>~/cdd/olddocs/Especificaciones genericas/Micromini/POTTED/CNWI-ENGI-F019 Rev  F Especificaciones remachado area Potted.xlsx</v>
      </c>
      <c r="Q1067" s="51" t="str">
        <f>E1067</f>
        <v>xlsx</v>
      </c>
      <c r="R1067" s="51"/>
      <c r="S1067" s="51"/>
      <c r="T1067" s="51"/>
      <c r="U1067" s="51"/>
      <c r="V1067" s="51"/>
      <c r="W1067" s="51"/>
      <c r="X1067" s="51"/>
      <c r="Y1067" s="51"/>
      <c r="Z1067" s="51"/>
      <c r="AA1067" s="51"/>
      <c r="AB1067" s="51"/>
      <c r="AC1067" s="51"/>
      <c r="AD1067" s="51"/>
      <c r="AE1067" t="s">
        <v>30</v>
      </c>
      <c r="AF1067" t="s">
        <v>601</v>
      </c>
      <c r="AG1067" t="s">
        <v>28</v>
      </c>
      <c r="AH1067" s="51"/>
      <c r="AI1067" s="51"/>
    </row>
    <row r="1068" spans="2:35">
      <c r="B1068" t="s">
        <v>1531</v>
      </c>
      <c r="C1068" t="s">
        <v>3450</v>
      </c>
      <c r="D1068">
        <v>15</v>
      </c>
      <c r="E1068" t="s">
        <v>2790</v>
      </c>
      <c r="F1068">
        <v>5</v>
      </c>
      <c r="G1068">
        <v>9</v>
      </c>
      <c r="H1068">
        <v>8</v>
      </c>
      <c r="I1068" t="s">
        <v>1533</v>
      </c>
      <c r="J1068" s="51">
        <v>41079</v>
      </c>
      <c r="K1068" t="s">
        <v>27</v>
      </c>
      <c r="L1068" t="s">
        <v>1520</v>
      </c>
      <c r="M1068">
        <v>3</v>
      </c>
      <c r="N1068" t="str">
        <f>L1068</f>
        <v>NAM\A09DF</v>
      </c>
      <c r="O1068" s="51">
        <f>J1068</f>
        <v>41079</v>
      </c>
      <c r="P1068" s="51" t="str">
        <f>C1068</f>
        <v>~/cdd/olddocs/TPMs/Moorpark/TPM-MRPK-002 Rev. A TP-18 Tecn. de Mantto.xlsx</v>
      </c>
      <c r="Q1068" s="51" t="str">
        <f>E1068</f>
        <v>xlsx</v>
      </c>
      <c r="R1068" s="51"/>
      <c r="S1068" s="51"/>
      <c r="T1068" s="51"/>
      <c r="U1068" s="51"/>
      <c r="V1068" s="51"/>
      <c r="W1068" s="51"/>
      <c r="X1068" s="51"/>
      <c r="Y1068" s="51"/>
      <c r="Z1068" s="51"/>
      <c r="AA1068" s="51"/>
      <c r="AB1068" s="51"/>
      <c r="AC1068" s="51"/>
      <c r="AD1068" s="51"/>
      <c r="AG1068" t="s">
        <v>28</v>
      </c>
      <c r="AH1068" s="51"/>
      <c r="AI1068" s="51"/>
    </row>
    <row r="1069" spans="2:35">
      <c r="B1069" t="s">
        <v>1534</v>
      </c>
      <c r="C1069" t="s">
        <v>3450</v>
      </c>
      <c r="D1069">
        <v>15</v>
      </c>
      <c r="E1069" t="s">
        <v>2790</v>
      </c>
      <c r="F1069">
        <v>5</v>
      </c>
      <c r="G1069">
        <v>9</v>
      </c>
      <c r="H1069">
        <v>8</v>
      </c>
      <c r="I1069" t="s">
        <v>1535</v>
      </c>
      <c r="J1069" s="51">
        <v>41079</v>
      </c>
      <c r="K1069" t="s">
        <v>27</v>
      </c>
      <c r="L1069" t="s">
        <v>1520</v>
      </c>
      <c r="M1069">
        <v>3</v>
      </c>
      <c r="N1069" t="str">
        <f>L1069</f>
        <v>NAM\A09DF</v>
      </c>
      <c r="O1069" s="51">
        <f>J1069</f>
        <v>41079</v>
      </c>
      <c r="P1069" s="51" t="str">
        <f>C1069</f>
        <v>~/cdd/olddocs/TPMs/Moorpark/TPM-MRPK-002 Rev. A TP-18 Tecn. de Mantto.xlsx</v>
      </c>
      <c r="Q1069" s="51" t="str">
        <f>E1069</f>
        <v>xlsx</v>
      </c>
      <c r="R1069" s="51"/>
      <c r="S1069" s="51"/>
      <c r="T1069" s="51"/>
      <c r="U1069" s="51"/>
      <c r="V1069" s="51"/>
      <c r="W1069" s="51"/>
      <c r="X1069" s="51"/>
      <c r="Y1069" s="51"/>
      <c r="Z1069" s="51"/>
      <c r="AA1069" s="51"/>
      <c r="AB1069" s="51"/>
      <c r="AC1069" s="51"/>
      <c r="AD1069" s="51"/>
      <c r="AG1069" t="s">
        <v>28</v>
      </c>
      <c r="AH1069" s="51"/>
      <c r="AI1069" s="51"/>
    </row>
    <row r="1070" spans="2:35">
      <c r="B1070" t="s">
        <v>2442</v>
      </c>
      <c r="C1070" t="s">
        <v>3785</v>
      </c>
      <c r="D1070">
        <v>6</v>
      </c>
      <c r="E1070" t="s">
        <v>2796</v>
      </c>
      <c r="F1070">
        <v>5</v>
      </c>
      <c r="G1070">
        <v>10</v>
      </c>
      <c r="H1070">
        <v>7</v>
      </c>
      <c r="I1070" t="s">
        <v>2443</v>
      </c>
      <c r="J1070" s="51">
        <v>41212</v>
      </c>
      <c r="K1070" t="s">
        <v>2444</v>
      </c>
      <c r="L1070" t="s">
        <v>2427</v>
      </c>
      <c r="M1070">
        <v>3</v>
      </c>
      <c r="N1070" t="str">
        <f>L1070</f>
        <v>NAM\MB1911</v>
      </c>
      <c r="O1070" s="51">
        <f>J1070</f>
        <v>41212</v>
      </c>
      <c r="P1070" s="51" t="str">
        <f>C1070</f>
        <v>~cdd/olddocs/Ayudas visuales/Camarillo/Amsafe/VA-AMSA-001 Rev Doc E  Rev Draw N ASSEMBLY  CABLE  INTERFACE  508418  pag 1.ppt</v>
      </c>
      <c r="Q1070" s="51" t="str">
        <f>E1070</f>
        <v>ppt</v>
      </c>
      <c r="R1070" s="51"/>
      <c r="S1070" s="51"/>
      <c r="T1070" s="51"/>
      <c r="U1070" s="51"/>
      <c r="V1070" s="51"/>
      <c r="W1070" s="51"/>
      <c r="X1070" s="51"/>
      <c r="Y1070" s="51"/>
      <c r="Z1070" s="51"/>
      <c r="AA1070" s="51"/>
      <c r="AB1070" s="51"/>
      <c r="AC1070" s="51"/>
      <c r="AD1070" s="51"/>
      <c r="AE1070" t="s">
        <v>30</v>
      </c>
      <c r="AF1070" t="s">
        <v>479</v>
      </c>
      <c r="AG1070">
        <v>508418</v>
      </c>
      <c r="AH1070" s="51"/>
      <c r="AI1070" s="51"/>
    </row>
    <row r="1071" spans="2:35">
      <c r="B1071" t="s">
        <v>2445</v>
      </c>
      <c r="C1071" t="s">
        <v>3467</v>
      </c>
      <c r="D1071">
        <v>6</v>
      </c>
      <c r="E1071" t="s">
        <v>2796</v>
      </c>
      <c r="F1071">
        <v>5</v>
      </c>
      <c r="G1071">
        <v>10</v>
      </c>
      <c r="H1071">
        <v>7</v>
      </c>
      <c r="I1071" t="s">
        <v>2446</v>
      </c>
      <c r="J1071" s="51">
        <v>41082</v>
      </c>
      <c r="K1071" t="s">
        <v>27</v>
      </c>
      <c r="L1071" t="s">
        <v>2427</v>
      </c>
      <c r="M1071">
        <v>3</v>
      </c>
      <c r="N1071" t="str">
        <f>L1071</f>
        <v>NAM\MB1911</v>
      </c>
      <c r="O1071" s="51">
        <f>J1071</f>
        <v>41082</v>
      </c>
      <c r="P1071" s="51" t="str">
        <f>C1071</f>
        <v>~/cdd/olddocs/Ayudas visuales/Camarillo/Amsafe/VA-AMSA-002 Rev A  CABLE ASSEMPLY EXTENTION  DRAWING 509800  PART   004038-0001.ppt</v>
      </c>
      <c r="Q1071" s="51" t="str">
        <f>E1071</f>
        <v>ppt</v>
      </c>
      <c r="R1071" s="51"/>
      <c r="S1071" s="51"/>
      <c r="T1071" s="51"/>
      <c r="U1071" s="51"/>
      <c r="V1071" s="51"/>
      <c r="W1071" s="51"/>
      <c r="X1071" s="51"/>
      <c r="Y1071" s="51"/>
      <c r="Z1071" s="51"/>
      <c r="AA1071" s="51"/>
      <c r="AB1071" s="51"/>
      <c r="AC1071" s="51"/>
      <c r="AD1071" s="51"/>
      <c r="AE1071" t="s">
        <v>30</v>
      </c>
      <c r="AF1071" t="s">
        <v>479</v>
      </c>
      <c r="AG1071">
        <v>509800</v>
      </c>
      <c r="AH1071" s="51"/>
      <c r="AI1071" s="51"/>
    </row>
    <row r="1072" spans="2:35">
      <c r="B1072" t="s">
        <v>2447</v>
      </c>
      <c r="C1072" t="s">
        <v>3786</v>
      </c>
      <c r="D1072">
        <v>6</v>
      </c>
      <c r="E1072" t="s">
        <v>2796</v>
      </c>
      <c r="F1072">
        <v>5</v>
      </c>
      <c r="G1072">
        <v>10</v>
      </c>
      <c r="H1072">
        <v>7</v>
      </c>
      <c r="I1072" t="s">
        <v>2448</v>
      </c>
      <c r="J1072" s="51">
        <v>41192</v>
      </c>
      <c r="K1072" t="s">
        <v>2449</v>
      </c>
      <c r="L1072" t="s">
        <v>2427</v>
      </c>
      <c r="M1072">
        <v>3</v>
      </c>
      <c r="N1072" t="str">
        <f>L1072</f>
        <v>NAM\MB1911</v>
      </c>
      <c r="O1072" s="51">
        <f>J1072</f>
        <v>41192</v>
      </c>
      <c r="P1072" s="51" t="str">
        <f>C1072</f>
        <v>~cdd/olddocs/Ayudas visuales/Camarillo/Amsafe/VA-AMSA-003 Rev Doc G - Drawing  BM CABLE ASSEMBLY INTERFACE 509976 Pag 5.ppt</v>
      </c>
      <c r="Q1072" s="51" t="str">
        <f>E1072</f>
        <v>ppt</v>
      </c>
      <c r="R1072" s="51"/>
      <c r="S1072" s="51"/>
      <c r="T1072" s="51"/>
      <c r="U1072" s="51"/>
      <c r="V1072" s="51"/>
      <c r="W1072" s="51"/>
      <c r="X1072" s="51"/>
      <c r="Y1072" s="51"/>
      <c r="Z1072" s="51"/>
      <c r="AA1072" s="51"/>
      <c r="AB1072" s="51"/>
      <c r="AC1072" s="51"/>
      <c r="AD1072" s="51"/>
      <c r="AE1072" t="s">
        <v>30</v>
      </c>
      <c r="AF1072" t="s">
        <v>479</v>
      </c>
      <c r="AG1072">
        <v>509976</v>
      </c>
      <c r="AH1072" s="51"/>
      <c r="AI1072" s="51"/>
    </row>
    <row r="1073" spans="2:35" ht="30">
      <c r="B1073" t="s">
        <v>2450</v>
      </c>
      <c r="C1073" t="s">
        <v>3787</v>
      </c>
      <c r="D1073">
        <v>6</v>
      </c>
      <c r="E1073" t="s">
        <v>2796</v>
      </c>
      <c r="F1073">
        <v>5</v>
      </c>
      <c r="G1073">
        <v>10</v>
      </c>
      <c r="H1073">
        <v>7</v>
      </c>
      <c r="I1073" s="53" t="s">
        <v>3782</v>
      </c>
      <c r="J1073" s="51">
        <v>41192</v>
      </c>
      <c r="K1073" t="s">
        <v>2452</v>
      </c>
      <c r="L1073" t="s">
        <v>2427</v>
      </c>
      <c r="M1073">
        <v>3</v>
      </c>
      <c r="N1073" t="str">
        <f>L1073</f>
        <v>NAM\MB1911</v>
      </c>
      <c r="O1073" s="51">
        <f>J1073</f>
        <v>41192</v>
      </c>
      <c r="P1073" s="51" t="str">
        <f>C1073</f>
        <v>~cdd/olddocs/Ayudas visuales/Camarillo/Amsafe/VA-AMSA-004  Rev Doc E  Drawin BM CABLE ASSEMPLY INTERFACE 509976 Pag 4.ppt</v>
      </c>
      <c r="Q1073" s="51" t="str">
        <f>E1073</f>
        <v>ppt</v>
      </c>
      <c r="R1073" s="51"/>
      <c r="S1073" s="51"/>
      <c r="T1073" s="51"/>
      <c r="U1073" s="51"/>
      <c r="V1073" s="51"/>
      <c r="W1073" s="51"/>
      <c r="X1073" s="51"/>
      <c r="Y1073" s="51"/>
      <c r="Z1073" s="51"/>
      <c r="AA1073" s="51"/>
      <c r="AB1073" s="51"/>
      <c r="AC1073" s="51"/>
      <c r="AD1073" s="51"/>
      <c r="AE1073" t="s">
        <v>30</v>
      </c>
      <c r="AF1073" t="s">
        <v>479</v>
      </c>
      <c r="AG1073">
        <v>509976</v>
      </c>
      <c r="AH1073" s="51"/>
      <c r="AI1073" s="51"/>
    </row>
    <row r="1074" spans="2:35">
      <c r="B1074" t="s">
        <v>2453</v>
      </c>
      <c r="C1074" t="s">
        <v>3788</v>
      </c>
      <c r="D1074">
        <v>6</v>
      </c>
      <c r="E1074" t="s">
        <v>2796</v>
      </c>
      <c r="F1074">
        <v>5</v>
      </c>
      <c r="G1074">
        <v>10</v>
      </c>
      <c r="H1074">
        <v>7</v>
      </c>
      <c r="I1074" t="s">
        <v>2454</v>
      </c>
      <c r="J1074" s="51">
        <v>41192</v>
      </c>
      <c r="K1074" t="s">
        <v>2455</v>
      </c>
      <c r="L1074" t="s">
        <v>2427</v>
      </c>
      <c r="M1074">
        <v>3</v>
      </c>
      <c r="N1074" t="str">
        <f>L1074</f>
        <v>NAM\MB1911</v>
      </c>
      <c r="O1074" s="51">
        <f>J1074</f>
        <v>41192</v>
      </c>
      <c r="P1074" s="51" t="str">
        <f>C1074</f>
        <v>~cdd/olddocs/Ayudas visuales/Camarillo/Amsafe/VA-AMSA-005 Rev Doc D- Drawing  BM CABLE ASSEMBLY INTERFACE 509976 pag 12.ppt</v>
      </c>
      <c r="Q1074" s="51" t="str">
        <f>E1074</f>
        <v>ppt</v>
      </c>
      <c r="R1074" s="51"/>
      <c r="S1074" s="51"/>
      <c r="T1074" s="51"/>
      <c r="U1074" s="51"/>
      <c r="V1074" s="51"/>
      <c r="W1074" s="51"/>
      <c r="X1074" s="51"/>
      <c r="Y1074" s="51"/>
      <c r="Z1074" s="51"/>
      <c r="AA1074" s="51"/>
      <c r="AB1074" s="51"/>
      <c r="AC1074" s="51"/>
      <c r="AD1074" s="51"/>
      <c r="AE1074" t="s">
        <v>30</v>
      </c>
      <c r="AF1074" t="s">
        <v>479</v>
      </c>
      <c r="AG1074">
        <v>509976</v>
      </c>
      <c r="AH1074" s="51"/>
      <c r="AI1074" s="51"/>
    </row>
    <row r="1075" spans="2:35">
      <c r="B1075" t="s">
        <v>2456</v>
      </c>
      <c r="C1075" t="s">
        <v>3789</v>
      </c>
      <c r="D1075">
        <v>6</v>
      </c>
      <c r="E1075" t="s">
        <v>2796</v>
      </c>
      <c r="F1075">
        <v>5</v>
      </c>
      <c r="G1075">
        <v>10</v>
      </c>
      <c r="H1075">
        <v>7</v>
      </c>
      <c r="I1075" t="s">
        <v>2457</v>
      </c>
      <c r="J1075" s="51">
        <v>41143</v>
      </c>
      <c r="K1075" t="s">
        <v>2458</v>
      </c>
      <c r="L1075" t="s">
        <v>2427</v>
      </c>
      <c r="M1075">
        <v>3</v>
      </c>
      <c r="N1075" t="str">
        <f>L1075</f>
        <v>NAM\MB1911</v>
      </c>
      <c r="O1075" s="51">
        <f>J1075</f>
        <v>41143</v>
      </c>
      <c r="P1075" s="51" t="str">
        <f>C1075</f>
        <v>~cdd/olddocs/Ayudas visuales/Camarillo/Amsafe/VA-AMSA-006 Rev Doc C - Rev Drawing L  CABLE  ASSEMBLY 508328 PART 003076-0001.ppt</v>
      </c>
      <c r="Q1075" s="51" t="str">
        <f>E1075</f>
        <v>ppt</v>
      </c>
      <c r="R1075" s="51"/>
      <c r="S1075" s="51"/>
      <c r="T1075" s="51"/>
      <c r="U1075" s="51"/>
      <c r="V1075" s="51"/>
      <c r="W1075" s="51"/>
      <c r="X1075" s="51"/>
      <c r="Y1075" s="51"/>
      <c r="Z1075" s="51"/>
      <c r="AA1075" s="51"/>
      <c r="AB1075" s="51"/>
      <c r="AC1075" s="51"/>
      <c r="AD1075" s="51"/>
      <c r="AE1075" t="s">
        <v>30</v>
      </c>
      <c r="AF1075" t="s">
        <v>479</v>
      </c>
      <c r="AG1075">
        <v>508328</v>
      </c>
      <c r="AH1075" s="51"/>
      <c r="AI1075" s="51"/>
    </row>
    <row r="1076" spans="2:35">
      <c r="B1076" t="s">
        <v>2459</v>
      </c>
      <c r="C1076" t="s">
        <v>3790</v>
      </c>
      <c r="D1076">
        <v>6</v>
      </c>
      <c r="E1076" t="s">
        <v>2796</v>
      </c>
      <c r="F1076">
        <v>5</v>
      </c>
      <c r="G1076">
        <v>10</v>
      </c>
      <c r="H1076">
        <v>7</v>
      </c>
      <c r="I1076" t="s">
        <v>2460</v>
      </c>
      <c r="J1076" s="51">
        <v>41137</v>
      </c>
      <c r="K1076" t="s">
        <v>2461</v>
      </c>
      <c r="L1076" t="s">
        <v>2427</v>
      </c>
      <c r="M1076">
        <v>3</v>
      </c>
      <c r="N1076" t="str">
        <f>L1076</f>
        <v>NAM\MB1911</v>
      </c>
      <c r="O1076" s="51">
        <f>J1076</f>
        <v>41137</v>
      </c>
      <c r="P1076" s="51" t="str">
        <f>C1076</f>
        <v>~cdd/olddocs/Ayudas visuales/Camarillo/Amsafe/VA-AMSA-007  Rev Doc C - Rev Drawing AN CABLE ASSEMBLY INTERFACE 508976 Pag 2.ppt</v>
      </c>
      <c r="Q1076" s="51" t="str">
        <f>E1076</f>
        <v>ppt</v>
      </c>
      <c r="R1076" s="51"/>
      <c r="S1076" s="51"/>
      <c r="T1076" s="51"/>
      <c r="U1076" s="51"/>
      <c r="V1076" s="51"/>
      <c r="W1076" s="51"/>
      <c r="X1076" s="51"/>
      <c r="Y1076" s="51"/>
      <c r="Z1076" s="51"/>
      <c r="AA1076" s="51"/>
      <c r="AB1076" s="51"/>
      <c r="AC1076" s="51"/>
      <c r="AD1076" s="51"/>
      <c r="AE1076" t="s">
        <v>30</v>
      </c>
      <c r="AF1076" t="s">
        <v>479</v>
      </c>
      <c r="AG1076">
        <v>508976</v>
      </c>
      <c r="AH1076" s="51"/>
      <c r="AI1076" s="51"/>
    </row>
    <row r="1077" spans="2:35">
      <c r="B1077" t="s">
        <v>2462</v>
      </c>
      <c r="C1077" t="s">
        <v>3468</v>
      </c>
      <c r="D1077">
        <v>6</v>
      </c>
      <c r="E1077" t="s">
        <v>2796</v>
      </c>
      <c r="F1077">
        <v>5</v>
      </c>
      <c r="G1077">
        <v>10</v>
      </c>
      <c r="H1077">
        <v>7</v>
      </c>
      <c r="I1077" t="s">
        <v>2463</v>
      </c>
      <c r="J1077" s="51">
        <v>41092</v>
      </c>
      <c r="K1077" t="s">
        <v>27</v>
      </c>
      <c r="L1077" t="s">
        <v>2427</v>
      </c>
      <c r="M1077">
        <v>3</v>
      </c>
      <c r="N1077" t="str">
        <f>L1077</f>
        <v>NAM\MB1911</v>
      </c>
      <c r="O1077" s="51">
        <f>J1077</f>
        <v>41092</v>
      </c>
      <c r="P1077" s="51" t="str">
        <f>C1077</f>
        <v>~/cdd/olddocs/Ayudas visuales/Camarillo/Amsafe/VA-AMSA-008 Rev. A  508976 APLICA 003086-0001 003088-0001 003095-0001 004000-0001.ppt</v>
      </c>
      <c r="Q1077" s="51" t="str">
        <f>E1077</f>
        <v>ppt</v>
      </c>
      <c r="R1077" s="51"/>
      <c r="S1077" s="51"/>
      <c r="T1077" s="51"/>
      <c r="U1077" s="51"/>
      <c r="V1077" s="51"/>
      <c r="W1077" s="51"/>
      <c r="X1077" s="51"/>
      <c r="Y1077" s="51"/>
      <c r="Z1077" s="51"/>
      <c r="AA1077" s="51"/>
      <c r="AB1077" s="51"/>
      <c r="AC1077" s="51"/>
      <c r="AD1077" s="51"/>
      <c r="AE1077" t="s">
        <v>30</v>
      </c>
      <c r="AF1077" t="s">
        <v>479</v>
      </c>
      <c r="AG1077">
        <v>508976</v>
      </c>
      <c r="AH1077" s="51"/>
      <c r="AI1077" s="51"/>
    </row>
    <row r="1078" spans="2:35">
      <c r="B1078" t="s">
        <v>2464</v>
      </c>
      <c r="C1078" t="s">
        <v>3469</v>
      </c>
      <c r="D1078">
        <v>6</v>
      </c>
      <c r="E1078" t="s">
        <v>2796</v>
      </c>
      <c r="F1078">
        <v>5</v>
      </c>
      <c r="G1078">
        <v>10</v>
      </c>
      <c r="H1078">
        <v>7</v>
      </c>
      <c r="I1078" t="s">
        <v>2465</v>
      </c>
      <c r="J1078" s="51">
        <v>41095</v>
      </c>
      <c r="K1078" t="s">
        <v>38</v>
      </c>
      <c r="L1078" t="s">
        <v>2427</v>
      </c>
      <c r="M1078">
        <v>3</v>
      </c>
      <c r="N1078" t="str">
        <f>L1078</f>
        <v>NAM\MB1911</v>
      </c>
      <c r="O1078" s="51">
        <f>J1078</f>
        <v>41095</v>
      </c>
      <c r="P1078" s="51" t="str">
        <f>C1078</f>
        <v>~/cdd/olddocs/Ayudas visuales/Camarillo/Amsafe/VA-AMSA-009 Rev D CABLE INTERFACE 511324.ppt</v>
      </c>
      <c r="Q1078" s="51" t="str">
        <f>E1078</f>
        <v>ppt</v>
      </c>
      <c r="R1078" s="51"/>
      <c r="S1078" s="51"/>
      <c r="T1078" s="51"/>
      <c r="U1078" s="51"/>
      <c r="V1078" s="51"/>
      <c r="W1078" s="51"/>
      <c r="X1078" s="51"/>
      <c r="Y1078" s="51"/>
      <c r="Z1078" s="51"/>
      <c r="AA1078" s="51"/>
      <c r="AB1078" s="51"/>
      <c r="AC1078" s="51"/>
      <c r="AD1078" s="51"/>
      <c r="AE1078" t="s">
        <v>2466</v>
      </c>
      <c r="AF1078" t="s">
        <v>479</v>
      </c>
      <c r="AG1078">
        <v>511324</v>
      </c>
      <c r="AH1078" s="51"/>
      <c r="AI1078" s="51"/>
    </row>
    <row r="1079" spans="2:35">
      <c r="B1079" t="s">
        <v>2467</v>
      </c>
      <c r="C1079" t="s">
        <v>3791</v>
      </c>
      <c r="D1079">
        <v>6</v>
      </c>
      <c r="E1079" t="s">
        <v>2793</v>
      </c>
      <c r="F1079">
        <v>5</v>
      </c>
      <c r="G1079">
        <v>10</v>
      </c>
      <c r="H1079">
        <v>7</v>
      </c>
      <c r="I1079" t="s">
        <v>2468</v>
      </c>
      <c r="J1079" s="51">
        <v>41177</v>
      </c>
      <c r="K1079" t="s">
        <v>2469</v>
      </c>
      <c r="L1079" t="s">
        <v>2427</v>
      </c>
      <c r="M1079">
        <v>3</v>
      </c>
      <c r="N1079" t="str">
        <f>L1079</f>
        <v>NAM\MB1911</v>
      </c>
      <c r="O1079" s="51">
        <f>J1079</f>
        <v>41177</v>
      </c>
      <c r="P1079" s="51" t="str">
        <f>C1079</f>
        <v>~cdd/olddocs/Ayudas visuales/Camarillo/Amsafe/VA-AMSA-010 Rev Doc C - Rev Draw  G  CABLE  ASSEMBLY DRAW 510256 PART 004049-0001.pptx</v>
      </c>
      <c r="Q1079" s="51" t="str">
        <f>E1079</f>
        <v>pptx</v>
      </c>
      <c r="R1079" s="51"/>
      <c r="S1079" s="51"/>
      <c r="T1079" s="51"/>
      <c r="U1079" s="51"/>
      <c r="V1079" s="51"/>
      <c r="W1079" s="51"/>
      <c r="X1079" s="51"/>
      <c r="Y1079" s="51"/>
      <c r="Z1079" s="51"/>
      <c r="AA1079" s="51"/>
      <c r="AB1079" s="51"/>
      <c r="AC1079" s="51"/>
      <c r="AD1079" s="51"/>
      <c r="AE1079" t="s">
        <v>30</v>
      </c>
      <c r="AF1079" t="s">
        <v>479</v>
      </c>
      <c r="AG1079">
        <v>510256</v>
      </c>
      <c r="AH1079" s="51"/>
      <c r="AI1079" s="51"/>
    </row>
    <row r="1080" spans="2:35">
      <c r="B1080" t="s">
        <v>2470</v>
      </c>
      <c r="C1080" t="s">
        <v>3470</v>
      </c>
      <c r="D1080">
        <v>6</v>
      </c>
      <c r="E1080" t="s">
        <v>2796</v>
      </c>
      <c r="F1080">
        <v>5</v>
      </c>
      <c r="G1080">
        <v>10</v>
      </c>
      <c r="H1080">
        <v>7</v>
      </c>
      <c r="I1080" t="s">
        <v>2471</v>
      </c>
      <c r="J1080" s="51">
        <v>41114</v>
      </c>
      <c r="K1080" t="s">
        <v>2472</v>
      </c>
      <c r="L1080" t="s">
        <v>2427</v>
      </c>
      <c r="M1080">
        <v>3</v>
      </c>
      <c r="N1080" t="str">
        <f>L1080</f>
        <v>NAM\MB1911</v>
      </c>
      <c r="O1080" s="51">
        <f>J1080</f>
        <v>41114</v>
      </c>
      <c r="P1080" s="51" t="str">
        <f>C1080</f>
        <v>~/cdd/olddocs/Ayudas visuales/Camarillo/Amsafe/VA-AMSA-011  REV T  004046-0006 (Rev T).ppt</v>
      </c>
      <c r="Q1080" s="51" t="str">
        <f>E1080</f>
        <v>ppt</v>
      </c>
      <c r="R1080" s="51"/>
      <c r="S1080" s="51"/>
      <c r="T1080" s="51"/>
      <c r="U1080" s="51"/>
      <c r="V1080" s="51"/>
      <c r="W1080" s="51"/>
      <c r="X1080" s="51"/>
      <c r="Y1080" s="51"/>
      <c r="Z1080" s="51"/>
      <c r="AA1080" s="51"/>
      <c r="AB1080" s="51"/>
      <c r="AC1080" s="51"/>
      <c r="AD1080" s="51"/>
      <c r="AE1080" t="s">
        <v>30</v>
      </c>
      <c r="AF1080" t="s">
        <v>479</v>
      </c>
      <c r="AG1080">
        <v>509701</v>
      </c>
      <c r="AH1080" s="51"/>
      <c r="AI1080" s="51"/>
    </row>
    <row r="1081" spans="2:35">
      <c r="B1081" t="s">
        <v>2473</v>
      </c>
      <c r="C1081" t="s">
        <v>3471</v>
      </c>
      <c r="D1081">
        <v>6</v>
      </c>
      <c r="E1081" t="s">
        <v>2793</v>
      </c>
      <c r="F1081">
        <v>5</v>
      </c>
      <c r="G1081">
        <v>10</v>
      </c>
      <c r="H1081">
        <v>7</v>
      </c>
      <c r="I1081" t="s">
        <v>2474</v>
      </c>
      <c r="J1081" s="51">
        <v>41114</v>
      </c>
      <c r="K1081" t="s">
        <v>2472</v>
      </c>
      <c r="L1081" t="s">
        <v>2427</v>
      </c>
      <c r="M1081">
        <v>3</v>
      </c>
      <c r="N1081" t="str">
        <f>L1081</f>
        <v>NAM\MB1911</v>
      </c>
      <c r="O1081" s="51">
        <f>J1081</f>
        <v>41114</v>
      </c>
      <c r="P1081" s="51" t="str">
        <f>C1081</f>
        <v>~/cdd/olddocs/Ayudas visuales/Camarillo/Amsafe/VA-AMSA-012  REV T  004042-0001, 004042-0002, 004042-0003, 004046-0004 (Rev T).pptx</v>
      </c>
      <c r="Q1081" s="51" t="str">
        <f>E1081</f>
        <v>pptx</v>
      </c>
      <c r="R1081" s="51"/>
      <c r="S1081" s="51"/>
      <c r="T1081" s="51"/>
      <c r="U1081" s="51"/>
      <c r="V1081" s="51"/>
      <c r="W1081" s="51"/>
      <c r="X1081" s="51"/>
      <c r="Y1081" s="51"/>
      <c r="Z1081" s="51"/>
      <c r="AA1081" s="51"/>
      <c r="AB1081" s="51"/>
      <c r="AC1081" s="51"/>
      <c r="AD1081" s="51"/>
      <c r="AE1081" t="s">
        <v>30</v>
      </c>
      <c r="AF1081" t="s">
        <v>479</v>
      </c>
      <c r="AG1081">
        <v>509701</v>
      </c>
      <c r="AH1081" s="51"/>
      <c r="AI1081" s="51"/>
    </row>
    <row r="1082" spans="2:35">
      <c r="B1082" t="s">
        <v>2475</v>
      </c>
      <c r="C1082" t="s">
        <v>3792</v>
      </c>
      <c r="D1082">
        <v>6</v>
      </c>
      <c r="E1082" t="s">
        <v>2796</v>
      </c>
      <c r="F1082">
        <v>5</v>
      </c>
      <c r="G1082">
        <v>10</v>
      </c>
      <c r="H1082">
        <v>7</v>
      </c>
      <c r="I1082" t="s">
        <v>3781</v>
      </c>
      <c r="J1082" s="51">
        <v>41192</v>
      </c>
      <c r="K1082" t="s">
        <v>2477</v>
      </c>
      <c r="L1082" t="s">
        <v>2427</v>
      </c>
      <c r="M1082">
        <v>3</v>
      </c>
      <c r="N1082" t="str">
        <f>L1082</f>
        <v>NAM\MB1911</v>
      </c>
      <c r="O1082" s="51">
        <f>J1082</f>
        <v>41192</v>
      </c>
      <c r="P1082" s="51" t="str">
        <f>C1082</f>
        <v>~cdd/olddocs/Ayudas visuales/Camarillo/Amsafe/VA-AMSA-013 Rev Doc AI - Rev Draw AG   CABLE INTERFACE 508978  pag 2 PART 003089-XXXX Y 004035-XXXX.ppt</v>
      </c>
      <c r="Q1082" s="51" t="str">
        <f>E1082</f>
        <v>ppt</v>
      </c>
      <c r="R1082" s="51"/>
      <c r="S1082" s="51"/>
      <c r="T1082" s="51"/>
      <c r="U1082" s="51"/>
      <c r="V1082" s="51"/>
      <c r="W1082" s="51"/>
      <c r="X1082" s="51"/>
      <c r="Y1082" s="51"/>
      <c r="Z1082" s="51"/>
      <c r="AA1082" s="51"/>
      <c r="AB1082" s="51"/>
      <c r="AC1082" s="51"/>
      <c r="AD1082" s="51"/>
      <c r="AE1082" t="s">
        <v>2478</v>
      </c>
      <c r="AF1082" t="s">
        <v>479</v>
      </c>
      <c r="AG1082">
        <v>508978</v>
      </c>
      <c r="AH1082" s="51"/>
      <c r="AI1082" s="51"/>
    </row>
    <row r="1083" spans="2:35">
      <c r="B1083" t="s">
        <v>2479</v>
      </c>
      <c r="C1083" t="s">
        <v>3472</v>
      </c>
      <c r="D1083">
        <v>6</v>
      </c>
      <c r="E1083" t="s">
        <v>2796</v>
      </c>
      <c r="F1083">
        <v>5</v>
      </c>
      <c r="G1083">
        <v>10</v>
      </c>
      <c r="H1083">
        <v>7</v>
      </c>
      <c r="I1083" t="s">
        <v>2480</v>
      </c>
      <c r="J1083" s="51">
        <v>41117</v>
      </c>
      <c r="K1083" t="s">
        <v>27</v>
      </c>
      <c r="L1083" t="s">
        <v>2427</v>
      </c>
      <c r="M1083">
        <v>3</v>
      </c>
      <c r="N1083" t="str">
        <f>L1083</f>
        <v>NAM\MB1911</v>
      </c>
      <c r="O1083" s="51">
        <f>J1083</f>
        <v>41117</v>
      </c>
      <c r="P1083" s="51" t="str">
        <f>C1083</f>
        <v>~/cdd/olddocs/Ayudas visuales/Camarillo/Amsafe/VA-AMSA-014  REV --  (Es revision A error tipografico --)  511434 (004070-0001).ppt</v>
      </c>
      <c r="Q1083" s="51" t="str">
        <f>E1083</f>
        <v>ppt</v>
      </c>
      <c r="R1083" s="51"/>
      <c r="S1083" s="51"/>
      <c r="T1083" s="51"/>
      <c r="U1083" s="51"/>
      <c r="V1083" s="51"/>
      <c r="W1083" s="51"/>
      <c r="X1083" s="51"/>
      <c r="Y1083" s="51"/>
      <c r="Z1083" s="51"/>
      <c r="AA1083" s="51"/>
      <c r="AB1083" s="51"/>
      <c r="AC1083" s="51"/>
      <c r="AD1083" s="51"/>
      <c r="AE1083" t="s">
        <v>30</v>
      </c>
      <c r="AF1083" t="s">
        <v>479</v>
      </c>
      <c r="AG1083">
        <v>511434</v>
      </c>
      <c r="AH1083" s="51"/>
      <c r="AI1083" s="51"/>
    </row>
    <row r="1084" spans="2:35">
      <c r="B1084" t="s">
        <v>2481</v>
      </c>
      <c r="C1084" t="s">
        <v>3473</v>
      </c>
      <c r="D1084">
        <v>6</v>
      </c>
      <c r="E1084" t="s">
        <v>2796</v>
      </c>
      <c r="F1084">
        <v>5</v>
      </c>
      <c r="G1084">
        <v>10</v>
      </c>
      <c r="H1084">
        <v>7</v>
      </c>
      <c r="I1084" t="s">
        <v>2482</v>
      </c>
      <c r="J1084" s="51">
        <v>41117</v>
      </c>
      <c r="K1084" t="s">
        <v>2483</v>
      </c>
      <c r="L1084" t="s">
        <v>2427</v>
      </c>
      <c r="M1084">
        <v>3</v>
      </c>
      <c r="N1084" t="str">
        <f>L1084</f>
        <v>NAM\MB1911</v>
      </c>
      <c r="O1084" s="51">
        <f>J1084</f>
        <v>41117</v>
      </c>
      <c r="P1084" s="51" t="str">
        <f>C1084</f>
        <v>~/cdd/olddocs/Ayudas visuales/Camarillo/Amsafe/VA-AMSA-015  REV DOC A- DRAWING REV L    508348  PART   003075-0001.ppt</v>
      </c>
      <c r="Q1084" s="51" t="str">
        <f>E1084</f>
        <v>ppt</v>
      </c>
      <c r="R1084" s="51"/>
      <c r="S1084" s="51"/>
      <c r="T1084" s="51"/>
      <c r="U1084" s="51"/>
      <c r="V1084" s="51"/>
      <c r="W1084" s="51"/>
      <c r="X1084" s="51"/>
      <c r="Y1084" s="51"/>
      <c r="Z1084" s="51"/>
      <c r="AA1084" s="51"/>
      <c r="AB1084" s="51"/>
      <c r="AC1084" s="51"/>
      <c r="AD1084" s="51"/>
      <c r="AE1084" t="s">
        <v>30</v>
      </c>
      <c r="AF1084" t="s">
        <v>479</v>
      </c>
      <c r="AG1084">
        <v>508348</v>
      </c>
      <c r="AH1084" s="51"/>
      <c r="AI1084" s="51"/>
    </row>
    <row r="1085" spans="2:35">
      <c r="B1085" t="s">
        <v>2484</v>
      </c>
      <c r="C1085" t="s">
        <v>3793</v>
      </c>
      <c r="D1085">
        <v>6</v>
      </c>
      <c r="E1085" t="s">
        <v>2796</v>
      </c>
      <c r="F1085">
        <v>5</v>
      </c>
      <c r="G1085">
        <v>10</v>
      </c>
      <c r="H1085">
        <v>7</v>
      </c>
      <c r="I1085" t="s">
        <v>2485</v>
      </c>
      <c r="J1085" s="51">
        <v>41192</v>
      </c>
      <c r="K1085" t="s">
        <v>2486</v>
      </c>
      <c r="L1085" t="s">
        <v>2427</v>
      </c>
      <c r="M1085">
        <v>3</v>
      </c>
      <c r="N1085" t="str">
        <f>L1085</f>
        <v>NAM\MB1911</v>
      </c>
      <c r="O1085" s="51">
        <f>J1085</f>
        <v>41192</v>
      </c>
      <c r="P1085" s="51" t="str">
        <f>C1085</f>
        <v>~cdd/olddocs/Ayudas visuales/Camarillo/Amsafe/VA-AMSA-016  Rev Doc H - Drawing  BN Cable assembly interface 509976 Pag 7.ppt</v>
      </c>
      <c r="Q1085" s="51" t="str">
        <f>E1085</f>
        <v>ppt</v>
      </c>
      <c r="R1085" s="51"/>
      <c r="S1085" s="51"/>
      <c r="T1085" s="51"/>
      <c r="U1085" s="51"/>
      <c r="V1085" s="51"/>
      <c r="W1085" s="51"/>
      <c r="X1085" s="51"/>
      <c r="Y1085" s="51"/>
      <c r="Z1085" s="51"/>
      <c r="AA1085" s="51"/>
      <c r="AB1085" s="51"/>
      <c r="AC1085" s="51"/>
      <c r="AD1085" s="51"/>
      <c r="AE1085" t="s">
        <v>2487</v>
      </c>
      <c r="AF1085" t="s">
        <v>479</v>
      </c>
      <c r="AG1085">
        <v>509976</v>
      </c>
      <c r="AH1085" s="51"/>
      <c r="AI1085" s="51"/>
    </row>
    <row r="1086" spans="2:35">
      <c r="B1086" t="s">
        <v>2488</v>
      </c>
      <c r="C1086" t="s">
        <v>3474</v>
      </c>
      <c r="D1086">
        <v>6</v>
      </c>
      <c r="E1086" t="s">
        <v>2796</v>
      </c>
      <c r="F1086">
        <v>5</v>
      </c>
      <c r="G1086">
        <v>10</v>
      </c>
      <c r="H1086">
        <v>7</v>
      </c>
      <c r="I1086" t="s">
        <v>2489</v>
      </c>
      <c r="J1086" s="51">
        <v>41054</v>
      </c>
      <c r="K1086" t="s">
        <v>2490</v>
      </c>
      <c r="L1086" t="s">
        <v>2427</v>
      </c>
      <c r="M1086">
        <v>3</v>
      </c>
      <c r="N1086" t="str">
        <f>L1086</f>
        <v>NAM\MB1911</v>
      </c>
      <c r="O1086" s="51">
        <f>J1086</f>
        <v>41054</v>
      </c>
      <c r="P1086" s="51" t="str">
        <f>C1086</f>
        <v>~/cdd/olddocs/Ayudas visuales/Camarillo/Amsafe/VA-AMSA-017 Rev Doc B- Drawing AN CABLE ASSEMBLY INTERFACE 508976 pag 4.ppt</v>
      </c>
      <c r="Q1086" s="51" t="str">
        <f>E1086</f>
        <v>ppt</v>
      </c>
      <c r="R1086" s="51"/>
      <c r="S1086" s="51"/>
      <c r="T1086" s="51"/>
      <c r="U1086" s="51"/>
      <c r="V1086" s="51"/>
      <c r="W1086" s="51"/>
      <c r="X1086" s="51"/>
      <c r="Y1086" s="51"/>
      <c r="Z1086" s="51"/>
      <c r="AA1086" s="51"/>
      <c r="AB1086" s="51"/>
      <c r="AC1086" s="51"/>
      <c r="AD1086" s="51"/>
      <c r="AE1086" t="s">
        <v>30</v>
      </c>
      <c r="AF1086" t="s">
        <v>479</v>
      </c>
      <c r="AG1086">
        <v>508976</v>
      </c>
      <c r="AH1086" s="51"/>
      <c r="AI1086" s="51"/>
    </row>
    <row r="1087" spans="2:35">
      <c r="B1087" t="s">
        <v>2491</v>
      </c>
      <c r="C1087" t="s">
        <v>3475</v>
      </c>
      <c r="D1087">
        <v>6</v>
      </c>
      <c r="E1087" t="s">
        <v>2796</v>
      </c>
      <c r="F1087">
        <v>5</v>
      </c>
      <c r="G1087">
        <v>10</v>
      </c>
      <c r="H1087">
        <v>7</v>
      </c>
      <c r="I1087" t="s">
        <v>2492</v>
      </c>
      <c r="J1087" s="51">
        <v>41054</v>
      </c>
      <c r="K1087" t="s">
        <v>2493</v>
      </c>
      <c r="L1087" t="s">
        <v>2427</v>
      </c>
      <c r="M1087">
        <v>3</v>
      </c>
      <c r="N1087" t="str">
        <f>L1087</f>
        <v>NAM\MB1911</v>
      </c>
      <c r="O1087" s="51">
        <f>J1087</f>
        <v>41054</v>
      </c>
      <c r="P1087" s="51" t="str">
        <f>C1087</f>
        <v>~/cdd/olddocs/Ayudas visuales/Camarillo/Amsafe/VA-AMSA-018 Rev Doc B- Drawing AN CABLE ASSEMBLY INTERFACE  508976 pag 7.ppt</v>
      </c>
      <c r="Q1087" s="51" t="str">
        <f>E1087</f>
        <v>ppt</v>
      </c>
      <c r="R1087" s="51"/>
      <c r="S1087" s="51"/>
      <c r="T1087" s="51"/>
      <c r="U1087" s="51"/>
      <c r="V1087" s="51"/>
      <c r="W1087" s="51"/>
      <c r="X1087" s="51"/>
      <c r="Y1087" s="51"/>
      <c r="Z1087" s="51"/>
      <c r="AA1087" s="51"/>
      <c r="AB1087" s="51"/>
      <c r="AC1087" s="51"/>
      <c r="AD1087" s="51"/>
      <c r="AE1087" t="s">
        <v>30</v>
      </c>
      <c r="AF1087" t="s">
        <v>479</v>
      </c>
      <c r="AG1087">
        <v>508976</v>
      </c>
      <c r="AH1087" s="51"/>
      <c r="AI1087" s="51"/>
    </row>
    <row r="1088" spans="2:35">
      <c r="B1088" t="s">
        <v>2494</v>
      </c>
      <c r="C1088" t="s">
        <v>3476</v>
      </c>
      <c r="D1088">
        <v>6</v>
      </c>
      <c r="E1088" t="s">
        <v>2796</v>
      </c>
      <c r="F1088">
        <v>5</v>
      </c>
      <c r="G1088">
        <v>10</v>
      </c>
      <c r="H1088">
        <v>7</v>
      </c>
      <c r="I1088" t="s">
        <v>2495</v>
      </c>
      <c r="J1088" s="51">
        <v>41120</v>
      </c>
      <c r="K1088" t="s">
        <v>2496</v>
      </c>
      <c r="L1088" t="s">
        <v>2427</v>
      </c>
      <c r="M1088">
        <v>3</v>
      </c>
      <c r="N1088" t="str">
        <f>L1088</f>
        <v>NAM\MB1911</v>
      </c>
      <c r="O1088" s="51">
        <f>J1088</f>
        <v>41120</v>
      </c>
      <c r="P1088" s="51" t="str">
        <f>C1088</f>
        <v>~/cdd/olddocs/Ayudas visuales/Camarillo/Amsafe/VA-AMSA-019  Rev Doc D- Drawing  AG CABLE INTERFACE 508978 Pag 3.ppt</v>
      </c>
      <c r="Q1088" s="51" t="str">
        <f>E1088</f>
        <v>ppt</v>
      </c>
      <c r="R1088" s="51"/>
      <c r="S1088" s="51"/>
      <c r="T1088" s="51"/>
      <c r="U1088" s="51"/>
      <c r="V1088" s="51"/>
      <c r="W1088" s="51"/>
      <c r="X1088" s="51"/>
      <c r="Y1088" s="51"/>
      <c r="Z1088" s="51"/>
      <c r="AA1088" s="51"/>
      <c r="AB1088" s="51"/>
      <c r="AC1088" s="51"/>
      <c r="AD1088" s="51"/>
      <c r="AE1088" t="s">
        <v>30</v>
      </c>
      <c r="AF1088" t="s">
        <v>479</v>
      </c>
      <c r="AG1088">
        <v>508978</v>
      </c>
      <c r="AH1088" s="51"/>
      <c r="AI1088" s="51"/>
    </row>
    <row r="1089" spans="2:35">
      <c r="B1089" t="s">
        <v>2497</v>
      </c>
      <c r="C1089" t="s">
        <v>3794</v>
      </c>
      <c r="D1089">
        <v>6</v>
      </c>
      <c r="E1089" t="s">
        <v>2796</v>
      </c>
      <c r="F1089">
        <v>5</v>
      </c>
      <c r="G1089">
        <v>10</v>
      </c>
      <c r="H1089">
        <v>7</v>
      </c>
      <c r="I1089" t="s">
        <v>2498</v>
      </c>
      <c r="J1089" s="51">
        <v>41143</v>
      </c>
      <c r="K1089" t="s">
        <v>2499</v>
      </c>
      <c r="L1089" t="s">
        <v>2427</v>
      </c>
      <c r="M1089">
        <v>3</v>
      </c>
      <c r="N1089" t="str">
        <f>L1089</f>
        <v>NAM\MB1911</v>
      </c>
      <c r="O1089" s="51">
        <f>J1089</f>
        <v>41143</v>
      </c>
      <c r="P1089" s="51" t="str">
        <f>C1089</f>
        <v>~cdd/olddocs/Ayudas visuales/Camarillo/Amsafe/VA-AMSA-020 Rev Doc D-  Drawing T  CABLE ASSEMBLY INTERFACE  509701 Pag 4.ppt</v>
      </c>
      <c r="Q1089" s="51" t="str">
        <f>E1089</f>
        <v>ppt</v>
      </c>
      <c r="R1089" s="51"/>
      <c r="S1089" s="51"/>
      <c r="T1089" s="51"/>
      <c r="U1089" s="51"/>
      <c r="V1089" s="51"/>
      <c r="W1089" s="51"/>
      <c r="X1089" s="51"/>
      <c r="Y1089" s="51"/>
      <c r="Z1089" s="51"/>
      <c r="AA1089" s="51"/>
      <c r="AB1089" s="51"/>
      <c r="AC1089" s="51"/>
      <c r="AD1089" s="51"/>
      <c r="AE1089" t="s">
        <v>2500</v>
      </c>
      <c r="AF1089" t="s">
        <v>479</v>
      </c>
      <c r="AG1089">
        <v>509701</v>
      </c>
      <c r="AH1089" s="51"/>
      <c r="AI1089" s="51"/>
    </row>
    <row r="1090" spans="2:35">
      <c r="B1090" t="s">
        <v>2501</v>
      </c>
      <c r="C1090" t="s">
        <v>3795</v>
      </c>
      <c r="D1090">
        <v>6</v>
      </c>
      <c r="E1090" t="s">
        <v>2796</v>
      </c>
      <c r="F1090">
        <v>5</v>
      </c>
      <c r="G1090">
        <v>10</v>
      </c>
      <c r="H1090">
        <v>7</v>
      </c>
      <c r="I1090" t="s">
        <v>2502</v>
      </c>
      <c r="J1090" s="51">
        <v>41121</v>
      </c>
      <c r="K1090" t="s">
        <v>2503</v>
      </c>
      <c r="L1090" t="s">
        <v>2427</v>
      </c>
      <c r="M1090">
        <v>3</v>
      </c>
      <c r="N1090" t="str">
        <f>L1090</f>
        <v>NAM\MB1911</v>
      </c>
      <c r="O1090" s="51">
        <f>J1090</f>
        <v>41121</v>
      </c>
      <c r="P1090" s="51" t="str">
        <f>C1090</f>
        <v>~cdd/olddocs/Ayudas visuales/Camarillo/Amsafe/VA-AMSA-021 Rev Doc B- Drawing  E   CABLE ASSEMBLY 509828-201  pag 1 PART 004041-0001.ppt</v>
      </c>
      <c r="Q1090" s="51" t="str">
        <f>E1090</f>
        <v>ppt</v>
      </c>
      <c r="R1090" s="51"/>
      <c r="S1090" s="51"/>
      <c r="T1090" s="51"/>
      <c r="U1090" s="51"/>
      <c r="V1090" s="51"/>
      <c r="W1090" s="51"/>
      <c r="X1090" s="51"/>
      <c r="Y1090" s="51"/>
      <c r="Z1090" s="51"/>
      <c r="AA1090" s="51"/>
      <c r="AB1090" s="51"/>
      <c r="AC1090" s="51"/>
      <c r="AD1090" s="51"/>
      <c r="AE1090" t="s">
        <v>30</v>
      </c>
      <c r="AF1090" t="s">
        <v>479</v>
      </c>
      <c r="AG1090">
        <v>509828</v>
      </c>
      <c r="AH1090" s="51"/>
      <c r="AI1090" s="51"/>
    </row>
    <row r="1091" spans="2:35">
      <c r="B1091" t="s">
        <v>2504</v>
      </c>
      <c r="C1091" t="s">
        <v>3796</v>
      </c>
      <c r="D1091">
        <v>6</v>
      </c>
      <c r="E1091" t="s">
        <v>2796</v>
      </c>
      <c r="F1091">
        <v>5</v>
      </c>
      <c r="G1091">
        <v>10</v>
      </c>
      <c r="H1091">
        <v>7</v>
      </c>
      <c r="I1091" t="s">
        <v>2505</v>
      </c>
      <c r="J1091" s="51">
        <v>41197</v>
      </c>
      <c r="K1091" t="s">
        <v>2506</v>
      </c>
      <c r="L1091" t="s">
        <v>2427</v>
      </c>
      <c r="M1091">
        <v>3</v>
      </c>
      <c r="N1091" t="str">
        <f>L1091</f>
        <v>NAM\MB1911</v>
      </c>
      <c r="O1091" s="51">
        <f>J1091</f>
        <v>41197</v>
      </c>
      <c r="P1091" s="51" t="str">
        <f>C1091</f>
        <v>~cdd/olddocs/Ayudas visuales/Camarillo/Amsafe/VA-AMSA-022 Rev Doc B -  Drawing BM CABLE ASSEMBLY INTERFACE  509976 Pag 13.ppt</v>
      </c>
      <c r="Q1091" s="51" t="str">
        <f>E1091</f>
        <v>ppt</v>
      </c>
      <c r="R1091" s="51"/>
      <c r="S1091" s="51"/>
      <c r="T1091" s="51"/>
      <c r="U1091" s="51"/>
      <c r="V1091" s="51"/>
      <c r="W1091" s="51"/>
      <c r="X1091" s="51"/>
      <c r="Y1091" s="51"/>
      <c r="Z1091" s="51"/>
      <c r="AA1091" s="51"/>
      <c r="AB1091" s="51"/>
      <c r="AC1091" s="51"/>
      <c r="AD1091" s="51"/>
      <c r="AE1091" t="s">
        <v>30</v>
      </c>
      <c r="AF1091" t="s">
        <v>479</v>
      </c>
      <c r="AG1091">
        <v>509976</v>
      </c>
      <c r="AH1091" s="51"/>
      <c r="AI1091" s="51"/>
    </row>
    <row r="1092" spans="2:35">
      <c r="B1092" t="s">
        <v>2507</v>
      </c>
      <c r="C1092" t="s">
        <v>3797</v>
      </c>
      <c r="D1092">
        <v>6</v>
      </c>
      <c r="E1092" t="s">
        <v>2796</v>
      </c>
      <c r="F1092">
        <v>5</v>
      </c>
      <c r="G1092">
        <v>10</v>
      </c>
      <c r="H1092">
        <v>7</v>
      </c>
      <c r="I1092" t="s">
        <v>2508</v>
      </c>
      <c r="J1092" s="51">
        <v>41212</v>
      </c>
      <c r="K1092" t="s">
        <v>2509</v>
      </c>
      <c r="L1092" t="s">
        <v>2427</v>
      </c>
      <c r="M1092">
        <v>3</v>
      </c>
      <c r="N1092" t="str">
        <f>L1092</f>
        <v>NAM\MB1911</v>
      </c>
      <c r="O1092" s="51">
        <f>J1092</f>
        <v>41212</v>
      </c>
      <c r="P1092" s="51" t="str">
        <f>C1092</f>
        <v>~cdd/olddocs/Ayudas visuales/Camarillo/Amsafe/VA-AMSA-023  Rev Doc E - Drawing Rev BN CABLE ASSEMBLY INTERFACE 509976 Pag 10.ppt</v>
      </c>
      <c r="Q1092" s="51" t="str">
        <f>E1092</f>
        <v>ppt</v>
      </c>
      <c r="R1092" s="51"/>
      <c r="S1092" s="51"/>
      <c r="T1092" s="51"/>
      <c r="U1092" s="51"/>
      <c r="V1092" s="51"/>
      <c r="W1092" s="51"/>
      <c r="X1092" s="51"/>
      <c r="Y1092" s="51"/>
      <c r="Z1092" s="51"/>
      <c r="AA1092" s="51"/>
      <c r="AB1092" s="51"/>
      <c r="AC1092" s="51"/>
      <c r="AD1092" s="51"/>
      <c r="AE1092" t="s">
        <v>30</v>
      </c>
      <c r="AF1092" t="s">
        <v>479</v>
      </c>
      <c r="AG1092">
        <v>509976</v>
      </c>
      <c r="AH1092" s="51"/>
      <c r="AI1092" s="51"/>
    </row>
    <row r="1093" spans="2:35">
      <c r="B1093" t="s">
        <v>2510</v>
      </c>
      <c r="C1093" t="s">
        <v>3798</v>
      </c>
      <c r="D1093">
        <v>6</v>
      </c>
      <c r="E1093" t="s">
        <v>2796</v>
      </c>
      <c r="F1093">
        <v>5</v>
      </c>
      <c r="G1093">
        <v>10</v>
      </c>
      <c r="H1093">
        <v>7</v>
      </c>
      <c r="I1093" t="s">
        <v>2511</v>
      </c>
      <c r="J1093" s="51">
        <v>41212</v>
      </c>
      <c r="K1093" t="s">
        <v>2512</v>
      </c>
      <c r="L1093" t="s">
        <v>2427</v>
      </c>
      <c r="M1093">
        <v>3</v>
      </c>
      <c r="N1093" t="str">
        <f>L1093</f>
        <v>NAM\MB1911</v>
      </c>
      <c r="O1093" s="51">
        <f>J1093</f>
        <v>41212</v>
      </c>
      <c r="P1093" s="51" t="str">
        <f>C1093</f>
        <v>~cdd/olddocs/Ayudas visuales/Camarillo/Amsafe/VA-AMSA-024  Rev Doc  AN - Drawing Rev BN    CABLE ASSEMBLY 509976 Pag. 6.ppt</v>
      </c>
      <c r="Q1093" s="51" t="str">
        <f>E1093</f>
        <v>ppt</v>
      </c>
      <c r="R1093" s="51"/>
      <c r="S1093" s="51"/>
      <c r="T1093" s="51"/>
      <c r="U1093" s="51"/>
      <c r="V1093" s="51"/>
      <c r="W1093" s="51"/>
      <c r="X1093" s="51"/>
      <c r="Y1093" s="51"/>
      <c r="Z1093" s="51"/>
      <c r="AA1093" s="51"/>
      <c r="AB1093" s="51"/>
      <c r="AC1093" s="51"/>
      <c r="AD1093" s="51"/>
      <c r="AE1093" t="s">
        <v>30</v>
      </c>
      <c r="AF1093" t="s">
        <v>479</v>
      </c>
      <c r="AG1093">
        <v>509976</v>
      </c>
      <c r="AH1093" s="51"/>
      <c r="AI1093" s="51"/>
    </row>
    <row r="1094" spans="2:35">
      <c r="B1094" t="s">
        <v>2513</v>
      </c>
      <c r="C1094" t="s">
        <v>3799</v>
      </c>
      <c r="D1094">
        <v>6</v>
      </c>
      <c r="E1094" t="s">
        <v>2796</v>
      </c>
      <c r="F1094">
        <v>5</v>
      </c>
      <c r="G1094">
        <v>10</v>
      </c>
      <c r="H1094">
        <v>7</v>
      </c>
      <c r="I1094" t="s">
        <v>2514</v>
      </c>
      <c r="J1094" s="51">
        <v>41143</v>
      </c>
      <c r="K1094" t="s">
        <v>2515</v>
      </c>
      <c r="L1094" t="s">
        <v>2427</v>
      </c>
      <c r="M1094">
        <v>3</v>
      </c>
      <c r="N1094" t="str">
        <f>L1094</f>
        <v>NAM\MB1911</v>
      </c>
      <c r="O1094" s="51">
        <f>J1094</f>
        <v>41143</v>
      </c>
      <c r="P1094" s="51" t="str">
        <f>C1094</f>
        <v>~cdd/olddocs/Ayudas visuales/Camarillo/Amsafe/VA-AMSA-025  Rev Doc C - Rev Drawing K  DRAWNG 509320  PART 004002-0001 Pag 1.ppt</v>
      </c>
      <c r="Q1094" s="51" t="str">
        <f>E1094</f>
        <v>ppt</v>
      </c>
      <c r="R1094" s="51"/>
      <c r="S1094" s="51"/>
      <c r="T1094" s="51"/>
      <c r="U1094" s="51"/>
      <c r="V1094" s="51"/>
      <c r="W1094" s="51"/>
      <c r="X1094" s="51"/>
      <c r="Y1094" s="51"/>
      <c r="Z1094" s="51"/>
      <c r="AA1094" s="51"/>
      <c r="AB1094" s="51"/>
      <c r="AC1094" s="51"/>
      <c r="AD1094" s="51"/>
      <c r="AE1094" t="s">
        <v>30</v>
      </c>
      <c r="AF1094" t="s">
        <v>479</v>
      </c>
      <c r="AG1094">
        <v>509320</v>
      </c>
      <c r="AH1094" s="51"/>
      <c r="AI1094" s="51"/>
    </row>
    <row r="1095" spans="2:35">
      <c r="B1095" t="s">
        <v>2516</v>
      </c>
      <c r="C1095" t="s">
        <v>3800</v>
      </c>
      <c r="D1095">
        <v>6</v>
      </c>
      <c r="E1095" t="s">
        <v>2796</v>
      </c>
      <c r="F1095">
        <v>5</v>
      </c>
      <c r="G1095">
        <v>10</v>
      </c>
      <c r="H1095">
        <v>7</v>
      </c>
      <c r="I1095" t="s">
        <v>2517</v>
      </c>
      <c r="J1095" s="51">
        <v>41177</v>
      </c>
      <c r="K1095" t="s">
        <v>2518</v>
      </c>
      <c r="L1095" t="s">
        <v>2427</v>
      </c>
      <c r="M1095">
        <v>3</v>
      </c>
      <c r="N1095" t="str">
        <f>L1095</f>
        <v>NAM\MB1911</v>
      </c>
      <c r="O1095" s="51">
        <f>J1095</f>
        <v>41177</v>
      </c>
      <c r="P1095" s="51" t="str">
        <f>C1095</f>
        <v>~cdd/olddocs/Ayudas visuales/Camarillo/Amsafe/VA-AMSA-026 Rev Doc B - Rev Drawing AN   ESTAMPADO PARA EL  508976.ppt</v>
      </c>
      <c r="Q1095" s="51" t="str">
        <f>E1095</f>
        <v>ppt</v>
      </c>
      <c r="R1095" s="51"/>
      <c r="S1095" s="51"/>
      <c r="T1095" s="51"/>
      <c r="U1095" s="51"/>
      <c r="V1095" s="51"/>
      <c r="W1095" s="51"/>
      <c r="X1095" s="51"/>
      <c r="Y1095" s="51"/>
      <c r="Z1095" s="51"/>
      <c r="AA1095" s="51"/>
      <c r="AB1095" s="51"/>
      <c r="AC1095" s="51"/>
      <c r="AD1095" s="51"/>
      <c r="AE1095" t="s">
        <v>30</v>
      </c>
      <c r="AF1095" t="s">
        <v>479</v>
      </c>
      <c r="AG1095">
        <v>508976</v>
      </c>
      <c r="AH1095" s="51"/>
      <c r="AI1095" s="51"/>
    </row>
    <row r="1096" spans="2:35">
      <c r="B1096" t="s">
        <v>2519</v>
      </c>
      <c r="C1096" t="s">
        <v>3801</v>
      </c>
      <c r="D1096">
        <v>6</v>
      </c>
      <c r="E1096" t="s">
        <v>2796</v>
      </c>
      <c r="F1096">
        <v>5</v>
      </c>
      <c r="G1096">
        <v>10</v>
      </c>
      <c r="H1096">
        <v>7</v>
      </c>
      <c r="I1096" t="s">
        <v>2520</v>
      </c>
      <c r="J1096" s="51">
        <v>41143</v>
      </c>
      <c r="K1096" t="s">
        <v>2521</v>
      </c>
      <c r="L1096" t="s">
        <v>2427</v>
      </c>
      <c r="M1096">
        <v>3</v>
      </c>
      <c r="N1096" t="str">
        <f>L1096</f>
        <v>NAM\MB1911</v>
      </c>
      <c r="O1096" s="51">
        <f>J1096</f>
        <v>41143</v>
      </c>
      <c r="P1096" s="51" t="str">
        <f>C1096</f>
        <v>~cdd/olddocs/Ayudas visuales/Camarillo/Amsafe/VA-AMSA-027 Rev Doc D - Rev Drawing H  CABLE ASSEMBLY PIGTAIL 508340  003077-001.ppt</v>
      </c>
      <c r="Q1096" s="51" t="str">
        <f>E1096</f>
        <v>ppt</v>
      </c>
      <c r="R1096" s="51"/>
      <c r="S1096" s="51"/>
      <c r="T1096" s="51"/>
      <c r="U1096" s="51"/>
      <c r="V1096" s="51"/>
      <c r="W1096" s="51"/>
      <c r="X1096" s="51"/>
      <c r="Y1096" s="51"/>
      <c r="Z1096" s="51"/>
      <c r="AA1096" s="51"/>
      <c r="AB1096" s="51"/>
      <c r="AC1096" s="51"/>
      <c r="AD1096" s="51"/>
      <c r="AE1096" t="s">
        <v>30</v>
      </c>
      <c r="AF1096" t="s">
        <v>479</v>
      </c>
      <c r="AG1096">
        <v>508340</v>
      </c>
      <c r="AH1096" s="51"/>
      <c r="AI1096" s="51"/>
    </row>
    <row r="1097" spans="2:35">
      <c r="B1097" t="s">
        <v>2522</v>
      </c>
      <c r="C1097" t="s">
        <v>3802</v>
      </c>
      <c r="D1097">
        <v>6</v>
      </c>
      <c r="E1097" t="s">
        <v>2796</v>
      </c>
      <c r="F1097">
        <v>5</v>
      </c>
      <c r="G1097">
        <v>10</v>
      </c>
      <c r="H1097">
        <v>7</v>
      </c>
      <c r="I1097" t="s">
        <v>2523</v>
      </c>
      <c r="J1097" s="51">
        <v>41177</v>
      </c>
      <c r="K1097" t="s">
        <v>2524</v>
      </c>
      <c r="L1097" t="s">
        <v>2427</v>
      </c>
      <c r="M1097">
        <v>3</v>
      </c>
      <c r="N1097" t="str">
        <f>L1097</f>
        <v>NAM\MB1911</v>
      </c>
      <c r="O1097" s="51">
        <f>J1097</f>
        <v>41177</v>
      </c>
      <c r="P1097" s="51" t="str">
        <f>C1097</f>
        <v>~cdd/olddocs/Ayudas visuales/Camarillo/Amsafe/VA-AMSA-028  Rev Doc C - Rev Drawing  C  T511890 part 004080-0001.ppt</v>
      </c>
      <c r="Q1097" s="51" t="str">
        <f>E1097</f>
        <v>ppt</v>
      </c>
      <c r="R1097" s="51"/>
      <c r="S1097" s="51"/>
      <c r="T1097" s="51"/>
      <c r="U1097" s="51"/>
      <c r="V1097" s="51"/>
      <c r="W1097" s="51"/>
      <c r="X1097" s="51"/>
      <c r="Y1097" s="51"/>
      <c r="Z1097" s="51"/>
      <c r="AA1097" s="51"/>
      <c r="AB1097" s="51"/>
      <c r="AC1097" s="51"/>
      <c r="AD1097" s="51"/>
      <c r="AE1097" t="s">
        <v>30</v>
      </c>
      <c r="AF1097" t="s">
        <v>479</v>
      </c>
      <c r="AG1097" t="s">
        <v>2525</v>
      </c>
      <c r="AH1097" s="51"/>
      <c r="AI1097" s="51"/>
    </row>
    <row r="1098" spans="2:35">
      <c r="B1098" t="s">
        <v>2526</v>
      </c>
      <c r="C1098" t="s">
        <v>3803</v>
      </c>
      <c r="D1098">
        <v>6</v>
      </c>
      <c r="E1098" t="s">
        <v>2796</v>
      </c>
      <c r="F1098">
        <v>5</v>
      </c>
      <c r="G1098">
        <v>10</v>
      </c>
      <c r="H1098">
        <v>7</v>
      </c>
      <c r="I1098" t="s">
        <v>2527</v>
      </c>
      <c r="J1098" s="51">
        <v>41177</v>
      </c>
      <c r="K1098" t="s">
        <v>2528</v>
      </c>
      <c r="L1098" t="s">
        <v>2427</v>
      </c>
      <c r="M1098">
        <v>3</v>
      </c>
      <c r="N1098" t="str">
        <f>L1098</f>
        <v>NAM\MB1911</v>
      </c>
      <c r="O1098" s="51">
        <f>J1098</f>
        <v>41177</v>
      </c>
      <c r="P1098" s="51" t="str">
        <f>C1098</f>
        <v>~cdd/olddocs/Ayudas visuales/Camarillo/Amsafe/VA-AMSA-029 Rev Doc A- Rev Draw AG  508978 ESTAMPADO.ppt</v>
      </c>
      <c r="Q1098" s="51" t="str">
        <f>E1098</f>
        <v>ppt</v>
      </c>
      <c r="R1098" s="51"/>
      <c r="S1098" s="51"/>
      <c r="T1098" s="51"/>
      <c r="U1098" s="51"/>
      <c r="V1098" s="51"/>
      <c r="W1098" s="51"/>
      <c r="X1098" s="51"/>
      <c r="Y1098" s="51"/>
      <c r="Z1098" s="51"/>
      <c r="AA1098" s="51"/>
      <c r="AB1098" s="51"/>
      <c r="AC1098" s="51"/>
      <c r="AD1098" s="51"/>
      <c r="AE1098" t="s">
        <v>30</v>
      </c>
      <c r="AF1098" t="s">
        <v>479</v>
      </c>
      <c r="AG1098">
        <v>508978</v>
      </c>
      <c r="AH1098" s="51"/>
      <c r="AI1098" s="51"/>
    </row>
    <row r="1099" spans="2:35">
      <c r="B1099" t="s">
        <v>2529</v>
      </c>
      <c r="C1099" t="s">
        <v>3804</v>
      </c>
      <c r="D1099">
        <v>6</v>
      </c>
      <c r="E1099" t="s">
        <v>2796</v>
      </c>
      <c r="F1099">
        <v>5</v>
      </c>
      <c r="G1099">
        <v>10</v>
      </c>
      <c r="H1099">
        <v>7</v>
      </c>
      <c r="I1099" t="s">
        <v>2530</v>
      </c>
      <c r="J1099" s="51">
        <v>41197</v>
      </c>
      <c r="K1099" t="s">
        <v>2506</v>
      </c>
      <c r="L1099" t="s">
        <v>2427</v>
      </c>
      <c r="M1099">
        <v>3</v>
      </c>
      <c r="N1099" t="str">
        <f>L1099</f>
        <v>NAM\MB1911</v>
      </c>
      <c r="O1099" s="51">
        <f>J1099</f>
        <v>41197</v>
      </c>
      <c r="P1099" s="51" t="str">
        <f>C1099</f>
        <v>~cdd/olddocs/Ayudas visuales/Camarillo/Amsafe/VA-AMSA-030 Rev Doc B - Rev Draw BM   509976 ESTAMPADO.ppt</v>
      </c>
      <c r="Q1099" s="51" t="str">
        <f>E1099</f>
        <v>ppt</v>
      </c>
      <c r="R1099" s="51"/>
      <c r="S1099" s="51"/>
      <c r="T1099" s="51"/>
      <c r="U1099" s="51"/>
      <c r="V1099" s="51"/>
      <c r="W1099" s="51"/>
      <c r="X1099" s="51"/>
      <c r="Y1099" s="51"/>
      <c r="Z1099" s="51"/>
      <c r="AA1099" s="51"/>
      <c r="AB1099" s="51"/>
      <c r="AC1099" s="51"/>
      <c r="AD1099" s="51"/>
      <c r="AE1099" t="s">
        <v>30</v>
      </c>
      <c r="AF1099" t="s">
        <v>479</v>
      </c>
      <c r="AG1099">
        <v>509976</v>
      </c>
      <c r="AH1099" s="51"/>
      <c r="AI1099" s="51"/>
    </row>
    <row r="1100" spans="2:35">
      <c r="B1100" t="s">
        <v>2531</v>
      </c>
      <c r="C1100" t="s">
        <v>3805</v>
      </c>
      <c r="D1100">
        <v>6</v>
      </c>
      <c r="E1100" t="s">
        <v>2796</v>
      </c>
      <c r="F1100">
        <v>5</v>
      </c>
      <c r="G1100">
        <v>10</v>
      </c>
      <c r="H1100">
        <v>7</v>
      </c>
      <c r="I1100" t="s">
        <v>2532</v>
      </c>
      <c r="J1100" s="51">
        <v>41177</v>
      </c>
      <c r="K1100" t="s">
        <v>2533</v>
      </c>
      <c r="L1100" t="s">
        <v>2427</v>
      </c>
      <c r="M1100">
        <v>3</v>
      </c>
      <c r="N1100" t="str">
        <f>L1100</f>
        <v>NAM\MB1911</v>
      </c>
      <c r="O1100" s="51">
        <f>J1100</f>
        <v>41177</v>
      </c>
      <c r="P1100" s="51" t="str">
        <f>C1100</f>
        <v>~cdd/olddocs/Ayudas visuales/Camarillo/Amsafe/VA-AMSA-031 Rev Doc A - Rev Draw C   ESTAMPADO DE T511890.ppt</v>
      </c>
      <c r="Q1100" s="51" t="str">
        <f>E1100</f>
        <v>ppt</v>
      </c>
      <c r="R1100" s="51"/>
      <c r="S1100" s="51"/>
      <c r="T1100" s="51"/>
      <c r="U1100" s="51"/>
      <c r="V1100" s="51"/>
      <c r="W1100" s="51"/>
      <c r="X1100" s="51"/>
      <c r="Y1100" s="51"/>
      <c r="Z1100" s="51"/>
      <c r="AA1100" s="51"/>
      <c r="AB1100" s="51"/>
      <c r="AC1100" s="51"/>
      <c r="AD1100" s="51"/>
      <c r="AE1100" t="s">
        <v>30</v>
      </c>
      <c r="AF1100" t="s">
        <v>479</v>
      </c>
      <c r="AG1100" t="s">
        <v>2525</v>
      </c>
      <c r="AH1100" s="51"/>
      <c r="AI1100" s="51"/>
    </row>
    <row r="1101" spans="2:35">
      <c r="B1101" t="s">
        <v>2534</v>
      </c>
      <c r="C1101" t="s">
        <v>3806</v>
      </c>
      <c r="D1101">
        <v>6</v>
      </c>
      <c r="E1101" t="s">
        <v>2796</v>
      </c>
      <c r="F1101">
        <v>5</v>
      </c>
      <c r="G1101">
        <v>10</v>
      </c>
      <c r="H1101">
        <v>7</v>
      </c>
      <c r="I1101" t="s">
        <v>3775</v>
      </c>
      <c r="J1101" s="51">
        <v>41177</v>
      </c>
      <c r="K1101" t="s">
        <v>2535</v>
      </c>
      <c r="L1101" t="s">
        <v>2427</v>
      </c>
      <c r="M1101">
        <v>3</v>
      </c>
      <c r="N1101" t="str">
        <f>L1101</f>
        <v>NAM\MB1911</v>
      </c>
      <c r="O1101" s="51">
        <f>J1101</f>
        <v>41177</v>
      </c>
      <c r="P1101" s="51" t="str">
        <f>C1101</f>
        <v>~cdd/olddocs/Ayudas visuales/Camarillo/Amsafe/VA-AMSA-032  REV Doc D Draw AG 508978 pag 1 003082-XXXX 004014-XXXX 004034-XXXX 004035-XXXX.ppt</v>
      </c>
      <c r="Q1101" s="51" t="str">
        <f>E1101</f>
        <v>ppt</v>
      </c>
      <c r="R1101" s="51"/>
      <c r="S1101" s="51"/>
      <c r="T1101" s="51"/>
      <c r="U1101" s="51"/>
      <c r="V1101" s="51"/>
      <c r="W1101" s="51"/>
      <c r="X1101" s="51"/>
      <c r="Y1101" s="51"/>
      <c r="Z1101" s="51"/>
      <c r="AA1101" s="51"/>
      <c r="AB1101" s="51"/>
      <c r="AC1101" s="51"/>
      <c r="AD1101" s="51"/>
      <c r="AE1101" t="s">
        <v>2430</v>
      </c>
      <c r="AF1101" t="s">
        <v>479</v>
      </c>
      <c r="AG1101">
        <v>508978</v>
      </c>
      <c r="AH1101" s="51"/>
      <c r="AI1101" s="51"/>
    </row>
    <row r="1102" spans="2:35">
      <c r="B1102" t="s">
        <v>2536</v>
      </c>
      <c r="C1102" t="s">
        <v>3807</v>
      </c>
      <c r="D1102">
        <v>6</v>
      </c>
      <c r="E1102" t="s">
        <v>2796</v>
      </c>
      <c r="F1102">
        <v>5</v>
      </c>
      <c r="G1102">
        <v>10</v>
      </c>
      <c r="H1102">
        <v>7</v>
      </c>
      <c r="I1102" t="s">
        <v>2537</v>
      </c>
      <c r="J1102" s="51">
        <v>41212</v>
      </c>
      <c r="K1102" t="s">
        <v>2538</v>
      </c>
      <c r="L1102" t="s">
        <v>2427</v>
      </c>
      <c r="M1102">
        <v>3</v>
      </c>
      <c r="N1102" t="str">
        <f>L1102</f>
        <v>NAM\MB1911</v>
      </c>
      <c r="O1102" s="51">
        <f>J1102</f>
        <v>41212</v>
      </c>
      <c r="P1102" s="51" t="str">
        <f>C1102</f>
        <v>~cdd/olddocs/Ayudas visuales/Camarillo/Amsafe/VA-AMSA-033 Rev Doc  B- Drawing D  CABLE ASSEMBLY INTERFACE 511125 Pag 1.ppt</v>
      </c>
      <c r="Q1102" s="51" t="str">
        <f>E1102</f>
        <v>ppt</v>
      </c>
      <c r="R1102" s="51"/>
      <c r="S1102" s="51"/>
      <c r="T1102" s="51"/>
      <c r="U1102" s="51"/>
      <c r="V1102" s="51"/>
      <c r="W1102" s="51"/>
      <c r="X1102" s="51"/>
      <c r="Y1102" s="51"/>
      <c r="Z1102" s="51"/>
      <c r="AA1102" s="51"/>
      <c r="AB1102" s="51"/>
      <c r="AC1102" s="51"/>
      <c r="AD1102" s="51"/>
      <c r="AE1102" t="s">
        <v>30</v>
      </c>
      <c r="AF1102" t="s">
        <v>479</v>
      </c>
      <c r="AG1102">
        <v>511125</v>
      </c>
      <c r="AH1102" s="51"/>
      <c r="AI1102" s="51"/>
    </row>
    <row r="1103" spans="2:35">
      <c r="B1103" t="s">
        <v>2539</v>
      </c>
      <c r="C1103" t="s">
        <v>3808</v>
      </c>
      <c r="D1103">
        <v>6</v>
      </c>
      <c r="E1103" t="s">
        <v>2796</v>
      </c>
      <c r="F1103">
        <v>5</v>
      </c>
      <c r="G1103">
        <v>10</v>
      </c>
      <c r="H1103">
        <v>7</v>
      </c>
      <c r="I1103" t="s">
        <v>2540</v>
      </c>
      <c r="J1103" s="51">
        <v>41177</v>
      </c>
      <c r="K1103" t="s">
        <v>27</v>
      </c>
      <c r="L1103" t="s">
        <v>2427</v>
      </c>
      <c r="M1103">
        <v>3</v>
      </c>
      <c r="N1103" t="str">
        <f>L1103</f>
        <v>NAM\MB1911</v>
      </c>
      <c r="O1103" s="51">
        <f>J1103</f>
        <v>41177</v>
      </c>
      <c r="P1103" s="51" t="str">
        <f>C1103</f>
        <v>~cdd/olddocs/Ayudas visuales/Camarillo/Amsafe/VA-AMSA-034 Rev A  EMPAQUE GENERAL DE AMSAFE.ppt</v>
      </c>
      <c r="Q1103" s="51" t="str">
        <f>E1103</f>
        <v>ppt</v>
      </c>
      <c r="R1103" s="51"/>
      <c r="S1103" s="51"/>
      <c r="T1103" s="51"/>
      <c r="U1103" s="51"/>
      <c r="V1103" s="51"/>
      <c r="W1103" s="51"/>
      <c r="X1103" s="51"/>
      <c r="Y1103" s="51"/>
      <c r="Z1103" s="51"/>
      <c r="AA1103" s="51"/>
      <c r="AB1103" s="51"/>
      <c r="AC1103" s="51"/>
      <c r="AD1103" s="51"/>
      <c r="AE1103" t="s">
        <v>30</v>
      </c>
      <c r="AF1103" t="s">
        <v>479</v>
      </c>
      <c r="AG1103" t="s">
        <v>28</v>
      </c>
      <c r="AH1103" s="51"/>
      <c r="AI1103" s="51"/>
    </row>
    <row r="1104" spans="2:35">
      <c r="B1104" t="s">
        <v>743</v>
      </c>
      <c r="C1104" t="s">
        <v>3582</v>
      </c>
      <c r="D1104">
        <v>6</v>
      </c>
      <c r="E1104" t="s">
        <v>2793</v>
      </c>
      <c r="F1104">
        <v>5</v>
      </c>
      <c r="G1104">
        <v>12</v>
      </c>
      <c r="H1104">
        <v>3</v>
      </c>
      <c r="I1104" t="s">
        <v>744</v>
      </c>
      <c r="J1104" s="51">
        <v>41085</v>
      </c>
      <c r="K1104" t="s">
        <v>27</v>
      </c>
      <c r="L1104" t="s">
        <v>605</v>
      </c>
      <c r="M1104">
        <v>3</v>
      </c>
      <c r="N1104" t="str">
        <f>L1104</f>
        <v>NA/MB1049</v>
      </c>
      <c r="O1104" s="51">
        <f>J1104</f>
        <v>41085</v>
      </c>
      <c r="P1104" s="51" t="str">
        <f>C1104</f>
        <v>~/cdd/olddocs/Ayudas visuales/Micromini/A y B/VA-AYB-001 Rev B ALTURA DE CONTACTOS PARA DIBUJOS A89N-F7AF-2, A89N-F7AF5- A89N-F8AF2, A89B-F8AF-5.pptx</v>
      </c>
      <c r="Q1104" s="51" t="str">
        <f>E1104</f>
        <v>pptx</v>
      </c>
      <c r="R1104" s="51"/>
      <c r="S1104" s="51"/>
      <c r="T1104" s="51"/>
      <c r="U1104" s="51"/>
      <c r="V1104" s="51"/>
      <c r="W1104" s="51"/>
      <c r="X1104" s="51"/>
      <c r="Y1104" s="51"/>
      <c r="Z1104" s="51"/>
      <c r="AA1104" s="51"/>
      <c r="AB1104" s="51"/>
      <c r="AC1104" s="51"/>
      <c r="AD1104" s="51"/>
      <c r="AE1104" t="s">
        <v>30</v>
      </c>
      <c r="AF1104" t="s">
        <v>90</v>
      </c>
      <c r="AG1104" t="s">
        <v>745</v>
      </c>
      <c r="AH1104" s="51"/>
      <c r="AI1104" s="51"/>
    </row>
    <row r="1105" spans="2:35">
      <c r="B1105" t="s">
        <v>746</v>
      </c>
      <c r="C1105" t="s">
        <v>3583</v>
      </c>
      <c r="D1105">
        <v>6</v>
      </c>
      <c r="E1105" t="s">
        <v>2793</v>
      </c>
      <c r="F1105">
        <v>5</v>
      </c>
      <c r="G1105">
        <v>12</v>
      </c>
      <c r="H1105">
        <v>3</v>
      </c>
      <c r="I1105" t="s">
        <v>747</v>
      </c>
      <c r="J1105" s="51">
        <v>41085</v>
      </c>
      <c r="K1105" t="s">
        <v>46</v>
      </c>
      <c r="L1105" t="s">
        <v>605</v>
      </c>
      <c r="M1105">
        <v>3</v>
      </c>
      <c r="N1105" t="str">
        <f>L1105</f>
        <v>NA/MB1049</v>
      </c>
      <c r="O1105" s="51">
        <f>J1105</f>
        <v>41085</v>
      </c>
      <c r="P1105" s="51" t="str">
        <f>C1105</f>
        <v>~/cdd/olddocs/Ayudas visuales/Micromini/A y B/VA-AYB-002 Rev B  ALTURA DE CONTACTOS TEE DIBUJO CHDN-TAER Y  CHDN-TAER-N Y A98N-43PB-N4.pptx</v>
      </c>
      <c r="Q1105" s="51" t="str">
        <f>E1105</f>
        <v>pptx</v>
      </c>
      <c r="R1105" s="51"/>
      <c r="S1105" s="51"/>
      <c r="T1105" s="51"/>
      <c r="U1105" s="51"/>
      <c r="V1105" s="51"/>
      <c r="W1105" s="51"/>
      <c r="X1105" s="51"/>
      <c r="Y1105" s="51"/>
      <c r="Z1105" s="51"/>
      <c r="AA1105" s="51"/>
      <c r="AB1105" s="51"/>
      <c r="AC1105" s="51"/>
      <c r="AD1105" s="51"/>
      <c r="AE1105" t="s">
        <v>30</v>
      </c>
      <c r="AF1105" t="s">
        <v>90</v>
      </c>
      <c r="AG1105" t="s">
        <v>748</v>
      </c>
      <c r="AH1105" s="51"/>
      <c r="AI1105" s="51"/>
    </row>
    <row r="1106" spans="2:35">
      <c r="B1106" t="s">
        <v>749</v>
      </c>
      <c r="C1106" t="s">
        <v>3584</v>
      </c>
      <c r="D1106">
        <v>6</v>
      </c>
      <c r="E1106" t="s">
        <v>2793</v>
      </c>
      <c r="F1106">
        <v>5</v>
      </c>
      <c r="G1106">
        <v>12</v>
      </c>
      <c r="H1106">
        <v>3</v>
      </c>
      <c r="I1106" t="s">
        <v>750</v>
      </c>
      <c r="J1106" s="51">
        <v>41102</v>
      </c>
      <c r="K1106" t="s">
        <v>27</v>
      </c>
      <c r="L1106" t="s">
        <v>605</v>
      </c>
      <c r="M1106">
        <v>3</v>
      </c>
      <c r="N1106" t="str">
        <f>L1106</f>
        <v>NA/MB1049</v>
      </c>
      <c r="O1106" s="51">
        <f>J1106</f>
        <v>41102</v>
      </c>
      <c r="P1106" s="51" t="str">
        <f>C1106</f>
        <v>~/cdd/olddocs/Ayudas visuales/Micromini/A y B/VA-AYB-003 Rev A DM4Q2M24E-A (Dominico).pptx</v>
      </c>
      <c r="Q1106" s="51" t="str">
        <f>E1106</f>
        <v>pptx</v>
      </c>
      <c r="R1106" s="51"/>
      <c r="S1106" s="51"/>
      <c r="T1106" s="51"/>
      <c r="U1106" s="51"/>
      <c r="V1106" s="51"/>
      <c r="W1106" s="51"/>
      <c r="X1106" s="51"/>
      <c r="Y1106" s="51"/>
      <c r="Z1106" s="51"/>
      <c r="AA1106" s="51"/>
      <c r="AB1106" s="51"/>
      <c r="AC1106" s="51"/>
      <c r="AD1106" s="51"/>
      <c r="AE1106" t="s">
        <v>30</v>
      </c>
      <c r="AF1106" t="s">
        <v>90</v>
      </c>
      <c r="AG1106" t="s">
        <v>751</v>
      </c>
      <c r="AH1106" s="51"/>
      <c r="AI1106" s="51"/>
    </row>
    <row r="1107" spans="2:35">
      <c r="B1107" t="s">
        <v>2606</v>
      </c>
      <c r="C1107" t="s">
        <v>3497</v>
      </c>
      <c r="D1107">
        <v>6</v>
      </c>
      <c r="E1107" t="s">
        <v>2796</v>
      </c>
      <c r="F1107">
        <v>5</v>
      </c>
      <c r="G1107">
        <v>10</v>
      </c>
      <c r="H1107">
        <v>10</v>
      </c>
      <c r="I1107" t="s">
        <v>2607</v>
      </c>
      <c r="J1107" s="51">
        <v>41114</v>
      </c>
      <c r="K1107" t="s">
        <v>741</v>
      </c>
      <c r="L1107" t="s">
        <v>2427</v>
      </c>
      <c r="M1107">
        <v>3</v>
      </c>
      <c r="N1107" t="str">
        <f>L1107</f>
        <v>NAM\MB1911</v>
      </c>
      <c r="O1107" s="51">
        <f>J1107</f>
        <v>41114</v>
      </c>
      <c r="P1107" s="51" t="str">
        <f>C1107</f>
        <v>~/cdd/olddocs/Ayudas visuales/Camarillo/Bonding/VA-BOND-002 Rev G 002359-0000 (AMC02PA03R- AMC02PS03W- AMC02PA03B).ppt</v>
      </c>
      <c r="Q1107" s="51" t="str">
        <f>E1107</f>
        <v>ppt</v>
      </c>
      <c r="R1107" s="51"/>
      <c r="S1107" s="51"/>
      <c r="T1107" s="51"/>
      <c r="U1107" s="51"/>
      <c r="V1107" s="51"/>
      <c r="W1107" s="51"/>
      <c r="X1107" s="51"/>
      <c r="Y1107" s="51"/>
      <c r="Z1107" s="51"/>
      <c r="AA1107" s="51"/>
      <c r="AB1107" s="51"/>
      <c r="AC1107" s="51"/>
      <c r="AD1107" s="51"/>
      <c r="AE1107" t="s">
        <v>2609</v>
      </c>
      <c r="AF1107" t="s">
        <v>1473</v>
      </c>
      <c r="AG1107" t="s">
        <v>2608</v>
      </c>
      <c r="AH1107" s="51"/>
      <c r="AI1107" s="51"/>
    </row>
    <row r="1108" spans="2:35">
      <c r="B1108" t="s">
        <v>2610</v>
      </c>
      <c r="C1108" t="s">
        <v>3498</v>
      </c>
      <c r="D1108">
        <v>6</v>
      </c>
      <c r="E1108" t="s">
        <v>2796</v>
      </c>
      <c r="F1108">
        <v>5</v>
      </c>
      <c r="G1108">
        <v>10</v>
      </c>
      <c r="H1108">
        <v>10</v>
      </c>
      <c r="I1108" t="s">
        <v>2611</v>
      </c>
      <c r="J1108" s="51">
        <v>41101</v>
      </c>
      <c r="K1108" t="s">
        <v>742</v>
      </c>
      <c r="L1108" t="s">
        <v>2427</v>
      </c>
      <c r="M1108">
        <v>3</v>
      </c>
      <c r="N1108" t="str">
        <f>L1108</f>
        <v>NAM\MB1911</v>
      </c>
      <c r="O1108" s="51">
        <f>J1108</f>
        <v>41101</v>
      </c>
      <c r="P1108" s="51" t="str">
        <f>C1108</f>
        <v>~/cdd/olddocs/Ayudas visuales/Camarillo/Bonding/VA-BOND-003 Rev F   BACC65AKXXXP.ppt</v>
      </c>
      <c r="Q1108" s="51" t="str">
        <f>E1108</f>
        <v>ppt</v>
      </c>
      <c r="R1108" s="51"/>
      <c r="S1108" s="51"/>
      <c r="T1108" s="51"/>
      <c r="U1108" s="51"/>
      <c r="V1108" s="51"/>
      <c r="W1108" s="51"/>
      <c r="X1108" s="51"/>
      <c r="Y1108" s="51"/>
      <c r="Z1108" s="51"/>
      <c r="AA1108" s="51"/>
      <c r="AB1108" s="51"/>
      <c r="AC1108" s="51"/>
      <c r="AD1108" s="51"/>
      <c r="AE1108" t="s">
        <v>2609</v>
      </c>
      <c r="AF1108" t="s">
        <v>1473</v>
      </c>
      <c r="AG1108" t="s">
        <v>1034</v>
      </c>
      <c r="AH1108" s="51"/>
      <c r="AI1108" s="51"/>
    </row>
    <row r="1109" spans="2:35">
      <c r="B1109" t="s">
        <v>2612</v>
      </c>
      <c r="C1109" t="s">
        <v>3809</v>
      </c>
      <c r="D1109">
        <v>6</v>
      </c>
      <c r="E1109" t="s">
        <v>2796</v>
      </c>
      <c r="F1109">
        <v>5</v>
      </c>
      <c r="G1109">
        <v>10</v>
      </c>
      <c r="H1109">
        <v>10</v>
      </c>
      <c r="I1109" t="s">
        <v>2613</v>
      </c>
      <c r="J1109" s="51">
        <v>41172</v>
      </c>
      <c r="K1109" t="s">
        <v>261</v>
      </c>
      <c r="L1109" t="s">
        <v>2427</v>
      </c>
      <c r="M1109">
        <v>3</v>
      </c>
      <c r="N1109" t="str">
        <f>L1109</f>
        <v>NAM\MB1911</v>
      </c>
      <c r="O1109" s="51">
        <f>J1109</f>
        <v>41172</v>
      </c>
      <c r="P1109" s="51" t="str">
        <f>C1109</f>
        <v>~cdd/olddocs/Ayudas visuales/Camarillo/Bonding/VA-BOND-004  Rev E  empaque bacc.ppt</v>
      </c>
      <c r="Q1109" s="51" t="str">
        <f>E1109</f>
        <v>ppt</v>
      </c>
      <c r="R1109" s="51"/>
      <c r="S1109" s="51"/>
      <c r="T1109" s="51"/>
      <c r="U1109" s="51"/>
      <c r="V1109" s="51"/>
      <c r="W1109" s="51"/>
      <c r="X1109" s="51"/>
      <c r="Y1109" s="51"/>
      <c r="Z1109" s="51"/>
      <c r="AA1109" s="51"/>
      <c r="AB1109" s="51"/>
      <c r="AC1109" s="51"/>
      <c r="AD1109" s="51"/>
      <c r="AE1109" t="s">
        <v>624</v>
      </c>
      <c r="AF1109" t="s">
        <v>1473</v>
      </c>
      <c r="AG1109" t="s">
        <v>28</v>
      </c>
      <c r="AH1109" s="51"/>
      <c r="AI1109" s="51"/>
    </row>
    <row r="1110" spans="2:35">
      <c r="B1110" t="s">
        <v>2614</v>
      </c>
      <c r="C1110" t="s">
        <v>3499</v>
      </c>
      <c r="D1110">
        <v>6</v>
      </c>
      <c r="E1110" t="s">
        <v>2796</v>
      </c>
      <c r="F1110">
        <v>5</v>
      </c>
      <c r="G1110">
        <v>10</v>
      </c>
      <c r="H1110">
        <v>10</v>
      </c>
      <c r="I1110" t="s">
        <v>2615</v>
      </c>
      <c r="J1110" s="51">
        <v>41143</v>
      </c>
      <c r="K1110" t="s">
        <v>159</v>
      </c>
      <c r="L1110" t="s">
        <v>2427</v>
      </c>
      <c r="M1110">
        <v>3</v>
      </c>
      <c r="N1110" t="str">
        <f>L1110</f>
        <v>NAM\MB1911</v>
      </c>
      <c r="O1110" s="51">
        <f>J1110</f>
        <v>41143</v>
      </c>
      <c r="P1110" s="51" t="str">
        <f>C1110</f>
        <v>~/cdd/olddocs/Ayudas visuales/Camarillo/Bonding/VA-BOND-005 Rev C  002359-0000 EMPAQUE  PLUG AIRBORNEMINIATURE CIRCULAR COLORS RED WHAITE &amp; BLUE.ppt</v>
      </c>
      <c r="Q1110" s="51" t="str">
        <f>E1110</f>
        <v>ppt</v>
      </c>
      <c r="R1110" s="51"/>
      <c r="S1110" s="51"/>
      <c r="T1110" s="51"/>
      <c r="U1110" s="51"/>
      <c r="V1110" s="51"/>
      <c r="W1110" s="51"/>
      <c r="X1110" s="51"/>
      <c r="Y1110" s="51"/>
      <c r="Z1110" s="51"/>
      <c r="AA1110" s="51"/>
      <c r="AB1110" s="51"/>
      <c r="AC1110" s="51"/>
      <c r="AD1110" s="51"/>
      <c r="AE1110" t="s">
        <v>30</v>
      </c>
      <c r="AF1110" t="s">
        <v>1473</v>
      </c>
      <c r="AG1110" t="s">
        <v>2616</v>
      </c>
      <c r="AH1110" s="51"/>
      <c r="AI1110" s="51"/>
    </row>
    <row r="1111" spans="2:35">
      <c r="B1111" t="s">
        <v>2617</v>
      </c>
      <c r="C1111" t="s">
        <v>3500</v>
      </c>
      <c r="D1111">
        <v>6</v>
      </c>
      <c r="E1111" t="s">
        <v>2796</v>
      </c>
      <c r="F1111">
        <v>5</v>
      </c>
      <c r="G1111">
        <v>10</v>
      </c>
      <c r="H1111">
        <v>10</v>
      </c>
      <c r="I1111" t="s">
        <v>2618</v>
      </c>
      <c r="J1111" s="51">
        <v>41148</v>
      </c>
      <c r="K1111" t="s">
        <v>46</v>
      </c>
      <c r="L1111" t="s">
        <v>2427</v>
      </c>
      <c r="M1111">
        <v>3</v>
      </c>
      <c r="N1111" t="str">
        <f>L1111</f>
        <v>NAM\MB1911</v>
      </c>
      <c r="O1111" s="51">
        <f>J1111</f>
        <v>41148</v>
      </c>
      <c r="P1111" s="51" t="str">
        <f>C1111</f>
        <v>~/cdd/olddocs/Ayudas visuales/Camarillo/Bonding/VA-BOND-006 Rev B CONECTOR  000100-0113M.ppt</v>
      </c>
      <c r="Q1111" s="51" t="str">
        <f>E1111</f>
        <v>ppt</v>
      </c>
      <c r="R1111" s="51"/>
      <c r="S1111" s="51"/>
      <c r="T1111" s="51"/>
      <c r="U1111" s="51"/>
      <c r="V1111" s="51"/>
      <c r="W1111" s="51"/>
      <c r="X1111" s="51"/>
      <c r="Y1111" s="51"/>
      <c r="Z1111" s="51"/>
      <c r="AA1111" s="51"/>
      <c r="AB1111" s="51"/>
      <c r="AC1111" s="51"/>
      <c r="AD1111" s="51"/>
      <c r="AE1111" t="s">
        <v>30</v>
      </c>
      <c r="AF1111" t="s">
        <v>1473</v>
      </c>
      <c r="AG1111" t="s">
        <v>2619</v>
      </c>
      <c r="AH1111" s="51"/>
      <c r="AI1111" s="51"/>
    </row>
    <row r="1112" spans="2:35">
      <c r="B1112" t="s">
        <v>2620</v>
      </c>
      <c r="C1112" t="s">
        <v>3501</v>
      </c>
      <c r="D1112">
        <v>6</v>
      </c>
      <c r="E1112" t="s">
        <v>2796</v>
      </c>
      <c r="F1112">
        <v>5</v>
      </c>
      <c r="G1112">
        <v>10</v>
      </c>
      <c r="H1112">
        <v>10</v>
      </c>
      <c r="I1112" t="s">
        <v>2621</v>
      </c>
      <c r="J1112" s="51">
        <v>41170</v>
      </c>
      <c r="K1112" t="s">
        <v>27</v>
      </c>
      <c r="L1112" t="s">
        <v>2427</v>
      </c>
      <c r="M1112">
        <v>3</v>
      </c>
      <c r="N1112" t="str">
        <f>L1112</f>
        <v>NAM\MB1911</v>
      </c>
      <c r="O1112" s="51">
        <f>J1112</f>
        <v>41170</v>
      </c>
      <c r="P1112" s="51" t="str">
        <f>C1112</f>
        <v>~/cdd/olddocs/Ayudas visuales/Camarillo/Bonding/VA-BOND-007 Rev A  002359-0000  002360-0000  002361-0000.ppt</v>
      </c>
      <c r="Q1112" s="51" t="str">
        <f>E1112</f>
        <v>ppt</v>
      </c>
      <c r="R1112" s="51"/>
      <c r="S1112" s="51"/>
      <c r="T1112" s="51"/>
      <c r="U1112" s="51"/>
      <c r="V1112" s="51"/>
      <c r="W1112" s="51"/>
      <c r="X1112" s="51"/>
      <c r="Y1112" s="51"/>
      <c r="Z1112" s="51"/>
      <c r="AA1112" s="51"/>
      <c r="AB1112" s="51"/>
      <c r="AC1112" s="51"/>
      <c r="AD1112" s="51"/>
      <c r="AE1112" t="s">
        <v>30</v>
      </c>
      <c r="AF1112" t="s">
        <v>1473</v>
      </c>
      <c r="AG1112" t="s">
        <v>2622</v>
      </c>
      <c r="AH1112" s="51"/>
      <c r="AI1112" s="51"/>
    </row>
    <row r="1113" spans="2:35">
      <c r="B1113" t="s">
        <v>2623</v>
      </c>
      <c r="C1113" t="s">
        <v>3810</v>
      </c>
      <c r="D1113">
        <v>6</v>
      </c>
      <c r="E1113" t="s">
        <v>2796</v>
      </c>
      <c r="F1113">
        <v>5</v>
      </c>
      <c r="G1113">
        <v>10</v>
      </c>
      <c r="H1113">
        <v>10</v>
      </c>
      <c r="I1113" t="s">
        <v>2624</v>
      </c>
      <c r="J1113" s="51">
        <v>41204</v>
      </c>
      <c r="K1113" t="s">
        <v>741</v>
      </c>
      <c r="L1113" t="s">
        <v>2427</v>
      </c>
      <c r="M1113">
        <v>3</v>
      </c>
      <c r="N1113" t="str">
        <f>L1113</f>
        <v>NAM\MB1911</v>
      </c>
      <c r="O1113" s="51">
        <f>J1113</f>
        <v>41204</v>
      </c>
      <c r="P1113" s="51" t="str">
        <f>C1113</f>
        <v>~cdd/olddocs/Ayudas visuales/Camarillo/Bonding/VA-BOND-008 Rev G ASSEMBLY PLUG BACC65AJXXXS.ppt</v>
      </c>
      <c r="Q1113" s="51" t="str">
        <f>E1113</f>
        <v>ppt</v>
      </c>
      <c r="R1113" s="51"/>
      <c r="S1113" s="51"/>
      <c r="T1113" s="51"/>
      <c r="U1113" s="51"/>
      <c r="V1113" s="51"/>
      <c r="W1113" s="51"/>
      <c r="X1113" s="51"/>
      <c r="Y1113" s="51"/>
      <c r="Z1113" s="51"/>
      <c r="AA1113" s="51"/>
      <c r="AB1113" s="51"/>
      <c r="AC1113" s="51"/>
      <c r="AD1113" s="51"/>
      <c r="AE1113" t="s">
        <v>30</v>
      </c>
      <c r="AF1113" t="s">
        <v>1473</v>
      </c>
      <c r="AG1113" t="s">
        <v>2625</v>
      </c>
      <c r="AH1113" s="51"/>
      <c r="AI1113" s="51"/>
    </row>
    <row r="1114" spans="2:35">
      <c r="B1114" t="s">
        <v>2626</v>
      </c>
      <c r="C1114" t="s">
        <v>3811</v>
      </c>
      <c r="D1114">
        <v>6</v>
      </c>
      <c r="E1114" t="s">
        <v>2796</v>
      </c>
      <c r="F1114">
        <v>5</v>
      </c>
      <c r="G1114">
        <v>10</v>
      </c>
      <c r="H1114">
        <v>10</v>
      </c>
      <c r="I1114" t="s">
        <v>2627</v>
      </c>
      <c r="J1114" s="51">
        <v>41178</v>
      </c>
      <c r="K1114" t="s">
        <v>27</v>
      </c>
      <c r="L1114" t="s">
        <v>2427</v>
      </c>
      <c r="M1114">
        <v>3</v>
      </c>
      <c r="N1114" t="str">
        <f>L1114</f>
        <v>NAM\MB1911</v>
      </c>
      <c r="O1114" s="51">
        <f>J1114</f>
        <v>41178</v>
      </c>
      <c r="P1114" s="51" t="str">
        <f>C1114</f>
        <v>~cdd/olddocs/Ayudas visuales/Camarillo/Bonding/VA-BOND-009 Rev A LAVADO MEK.ppt</v>
      </c>
      <c r="Q1114" s="51" t="str">
        <f>E1114</f>
        <v>ppt</v>
      </c>
      <c r="R1114" s="51"/>
      <c r="S1114" s="51"/>
      <c r="T1114" s="51"/>
      <c r="U1114" s="51"/>
      <c r="V1114" s="51"/>
      <c r="W1114" s="51"/>
      <c r="X1114" s="51"/>
      <c r="Y1114" s="51"/>
      <c r="Z1114" s="51"/>
      <c r="AA1114" s="51"/>
      <c r="AB1114" s="51"/>
      <c r="AC1114" s="51"/>
      <c r="AD1114" s="51"/>
      <c r="AE1114" t="s">
        <v>30</v>
      </c>
      <c r="AF1114" t="s">
        <v>1473</v>
      </c>
      <c r="AG1114" t="s">
        <v>28</v>
      </c>
      <c r="AH1114" s="51"/>
      <c r="AI1114" s="51"/>
    </row>
    <row r="1115" spans="2:35">
      <c r="B1115" t="s">
        <v>2628</v>
      </c>
      <c r="C1115" t="s">
        <v>3812</v>
      </c>
      <c r="D1115">
        <v>6</v>
      </c>
      <c r="E1115" t="s">
        <v>2796</v>
      </c>
      <c r="F1115">
        <v>5</v>
      </c>
      <c r="G1115">
        <v>10</v>
      </c>
      <c r="H1115">
        <v>10</v>
      </c>
      <c r="I1115" t="s">
        <v>2629</v>
      </c>
      <c r="J1115" s="51">
        <v>41184</v>
      </c>
      <c r="K1115" t="s">
        <v>27</v>
      </c>
      <c r="L1115" t="s">
        <v>2427</v>
      </c>
      <c r="M1115">
        <v>3</v>
      </c>
      <c r="N1115" t="str">
        <f>L1115</f>
        <v>NAM\MB1911</v>
      </c>
      <c r="O1115" s="51">
        <f>J1115</f>
        <v>41184</v>
      </c>
      <c r="P1115" s="51" t="str">
        <f>C1115</f>
        <v>~cdd/olddocs/Ayudas visuales/Camarillo/Bonding/VA-BOND-010 Rev A  INSULATOR ASSY 000300-059X.ppt</v>
      </c>
      <c r="Q1115" s="51" t="str">
        <f>E1115</f>
        <v>ppt</v>
      </c>
      <c r="R1115" s="51"/>
      <c r="S1115" s="51"/>
      <c r="T1115" s="51"/>
      <c r="U1115" s="51"/>
      <c r="V1115" s="51"/>
      <c r="W1115" s="51"/>
      <c r="X1115" s="51"/>
      <c r="Y1115" s="51"/>
      <c r="Z1115" s="51"/>
      <c r="AA1115" s="51"/>
      <c r="AB1115" s="51"/>
      <c r="AC1115" s="51"/>
      <c r="AD1115" s="51"/>
      <c r="AE1115" t="s">
        <v>30</v>
      </c>
      <c r="AF1115" t="s">
        <v>1473</v>
      </c>
      <c r="AG1115" t="s">
        <v>2630</v>
      </c>
      <c r="AH1115" s="51"/>
      <c r="AI1115" s="51"/>
    </row>
    <row r="1116" spans="2:35">
      <c r="B1116" t="s">
        <v>2631</v>
      </c>
      <c r="C1116" t="s">
        <v>3813</v>
      </c>
      <c r="D1116">
        <v>6</v>
      </c>
      <c r="E1116" t="s">
        <v>2796</v>
      </c>
      <c r="F1116">
        <v>5</v>
      </c>
      <c r="G1116">
        <v>10</v>
      </c>
      <c r="H1116">
        <v>10</v>
      </c>
      <c r="I1116" t="s">
        <v>2632</v>
      </c>
      <c r="J1116" s="51">
        <v>41192</v>
      </c>
      <c r="K1116" t="s">
        <v>27</v>
      </c>
      <c r="L1116" t="s">
        <v>2427</v>
      </c>
      <c r="M1116">
        <v>3</v>
      </c>
      <c r="N1116" t="str">
        <f>L1116</f>
        <v>NAM\MB1911</v>
      </c>
      <c r="O1116" s="51">
        <f>J1116</f>
        <v>41192</v>
      </c>
      <c r="P1116" s="51" t="str">
        <f>C1116</f>
        <v>~cdd/olddocs/Ayudas visuales/Camarillo/Bonding/VA-BOND-011Rev A PLUG ASSEMBLY 000102-0381.ppt</v>
      </c>
      <c r="Q1116" s="51" t="str">
        <f>E1116</f>
        <v>ppt</v>
      </c>
      <c r="R1116" s="51"/>
      <c r="S1116" s="51"/>
      <c r="T1116" s="51"/>
      <c r="U1116" s="51"/>
      <c r="V1116" s="51"/>
      <c r="W1116" s="51"/>
      <c r="X1116" s="51"/>
      <c r="Y1116" s="51"/>
      <c r="Z1116" s="51"/>
      <c r="AA1116" s="51"/>
      <c r="AB1116" s="51"/>
      <c r="AC1116" s="51"/>
      <c r="AD1116" s="51"/>
      <c r="AE1116" t="s">
        <v>30</v>
      </c>
      <c r="AF1116" t="s">
        <v>1473</v>
      </c>
      <c r="AG1116" t="s">
        <v>2633</v>
      </c>
      <c r="AH1116" s="51"/>
      <c r="AI1116" s="51"/>
    </row>
    <row r="1117" spans="2:35">
      <c r="B1117" t="s">
        <v>1466</v>
      </c>
      <c r="C1117" t="s">
        <v>3523</v>
      </c>
      <c r="D1117">
        <v>6</v>
      </c>
      <c r="E1117" t="s">
        <v>2796</v>
      </c>
      <c r="F1117">
        <v>5</v>
      </c>
      <c r="G1117">
        <v>33</v>
      </c>
      <c r="H1117">
        <v>21</v>
      </c>
      <c r="I1117" t="s">
        <v>1469</v>
      </c>
      <c r="J1117" s="51">
        <v>41137</v>
      </c>
      <c r="K1117" t="s">
        <v>159</v>
      </c>
      <c r="L1117" t="s">
        <v>1461</v>
      </c>
      <c r="M1117">
        <v>3</v>
      </c>
      <c r="N1117" t="str">
        <f>L1117</f>
        <v>NAM\MB1297</v>
      </c>
      <c r="O1117" s="51">
        <f>J1117</f>
        <v>41137</v>
      </c>
      <c r="P1117" s="51" t="str">
        <f>C1117</f>
        <v>~/cdd/olddocs/Ayudas visuales/Camarillo/General/VA-CGRAL-001 Rev C prueba de o-ring.ppt</v>
      </c>
      <c r="Q1117" s="51" t="str">
        <f>E1117</f>
        <v>ppt</v>
      </c>
      <c r="R1117" s="51"/>
      <c r="S1117" s="51"/>
      <c r="T1117" s="51"/>
      <c r="U1117" s="51"/>
      <c r="V1117" s="51"/>
      <c r="W1117" s="51"/>
      <c r="X1117" s="51"/>
      <c r="Y1117" s="51"/>
      <c r="Z1117" s="51"/>
      <c r="AA1117" s="51"/>
      <c r="AB1117" s="51"/>
      <c r="AC1117" s="51"/>
      <c r="AD1117" s="51"/>
      <c r="AE1117" t="s">
        <v>646</v>
      </c>
      <c r="AF1117" t="s">
        <v>479</v>
      </c>
      <c r="AG1117" t="s">
        <v>28</v>
      </c>
      <c r="AH1117" s="51"/>
      <c r="AI1117" s="51"/>
    </row>
    <row r="1118" spans="2:35">
      <c r="B1118" t="s">
        <v>2697</v>
      </c>
      <c r="C1118" t="s">
        <v>3814</v>
      </c>
      <c r="D1118">
        <v>6</v>
      </c>
      <c r="E1118" t="s">
        <v>2796</v>
      </c>
      <c r="F1118">
        <v>5</v>
      </c>
      <c r="G1118">
        <v>33</v>
      </c>
      <c r="H1118">
        <v>21</v>
      </c>
      <c r="I1118" t="s">
        <v>2698</v>
      </c>
      <c r="J1118" s="51">
        <v>41199</v>
      </c>
      <c r="K1118" t="s">
        <v>782</v>
      </c>
      <c r="L1118" t="s">
        <v>2427</v>
      </c>
      <c r="M1118">
        <v>3</v>
      </c>
      <c r="N1118" t="str">
        <f>L1118</f>
        <v>NAM\MB1911</v>
      </c>
      <c r="O1118" s="51">
        <f>J1118</f>
        <v>41199</v>
      </c>
      <c r="P1118" s="51" t="str">
        <f>C1118</f>
        <v>~cdd/olddocs/Ayudas visuales/Camarillo/General/VA-CGRAL-002  REV H ESPECIFICACIONES DE CORTE Y PREPARACION ITRON.ppt</v>
      </c>
      <c r="Q1118" s="51" t="str">
        <f>E1118</f>
        <v>ppt</v>
      </c>
      <c r="R1118" s="51"/>
      <c r="S1118" s="51"/>
      <c r="T1118" s="51"/>
      <c r="U1118" s="51"/>
      <c r="V1118" s="51"/>
      <c r="W1118" s="51"/>
      <c r="X1118" s="51"/>
      <c r="Y1118" s="51"/>
      <c r="Z1118" s="51"/>
      <c r="AA1118" s="51"/>
      <c r="AB1118" s="51"/>
      <c r="AC1118" s="51"/>
      <c r="AD1118" s="51"/>
      <c r="AE1118" t="s">
        <v>624</v>
      </c>
      <c r="AF1118" t="s">
        <v>1473</v>
      </c>
      <c r="AG1118" t="s">
        <v>28</v>
      </c>
      <c r="AH1118" s="51"/>
      <c r="AI1118" s="51"/>
    </row>
    <row r="1119" spans="2:35">
      <c r="B1119" t="s">
        <v>2699</v>
      </c>
      <c r="C1119" t="s">
        <v>3815</v>
      </c>
      <c r="D1119">
        <v>6</v>
      </c>
      <c r="E1119" t="s">
        <v>2796</v>
      </c>
      <c r="F1119">
        <v>5</v>
      </c>
      <c r="G1119">
        <v>33</v>
      </c>
      <c r="H1119">
        <v>21</v>
      </c>
      <c r="I1119" t="s">
        <v>2700</v>
      </c>
      <c r="J1119" s="51">
        <v>41197</v>
      </c>
      <c r="K1119" t="s">
        <v>27</v>
      </c>
      <c r="L1119" t="s">
        <v>2427</v>
      </c>
      <c r="M1119">
        <v>3</v>
      </c>
      <c r="N1119" t="str">
        <f>L1119</f>
        <v>NAM\MB1911</v>
      </c>
      <c r="O1119" s="51">
        <f>J1119</f>
        <v>41197</v>
      </c>
      <c r="P1119" s="51" t="str">
        <f>C1119</f>
        <v>~cdd/olddocs/Ayudas visuales/Camarillo/General/VA-CGRAL-003 Rev A lavado de tubo para llenado de epoxy.ppt</v>
      </c>
      <c r="Q1119" s="51" t="str">
        <f>E1119</f>
        <v>ppt</v>
      </c>
      <c r="R1119" s="51"/>
      <c r="S1119" s="51"/>
      <c r="T1119" s="51"/>
      <c r="U1119" s="51"/>
      <c r="V1119" s="51"/>
      <c r="W1119" s="51"/>
      <c r="X1119" s="51"/>
      <c r="Y1119" s="51"/>
      <c r="Z1119" s="51"/>
      <c r="AA1119" s="51"/>
      <c r="AB1119" s="51"/>
      <c r="AC1119" s="51"/>
      <c r="AD1119" s="51"/>
      <c r="AE1119" t="s">
        <v>30</v>
      </c>
      <c r="AF1119" t="s">
        <v>1473</v>
      </c>
      <c r="AG1119" t="s">
        <v>28</v>
      </c>
      <c r="AH1119" s="51"/>
      <c r="AI1119" s="51"/>
    </row>
    <row r="1120" spans="2:35">
      <c r="B1120" t="s">
        <v>767</v>
      </c>
      <c r="C1120" t="s">
        <v>3589</v>
      </c>
      <c r="D1120">
        <v>6</v>
      </c>
      <c r="E1120" t="s">
        <v>2793</v>
      </c>
      <c r="F1120">
        <v>5</v>
      </c>
      <c r="G1120">
        <v>12</v>
      </c>
      <c r="H1120">
        <v>4</v>
      </c>
      <c r="I1120" t="s">
        <v>768</v>
      </c>
      <c r="J1120" s="51">
        <v>41101</v>
      </c>
      <c r="K1120" t="s">
        <v>46</v>
      </c>
      <c r="L1120" t="s">
        <v>605</v>
      </c>
      <c r="M1120">
        <v>3</v>
      </c>
      <c r="N1120" t="str">
        <f>L1120</f>
        <v>NA/MB1049</v>
      </c>
      <c r="O1120" s="51">
        <f>J1120</f>
        <v>41101</v>
      </c>
      <c r="P1120" s="51" t="str">
        <f>C1120</f>
        <v>~/cdd/olddocs/Ayudas visuales/Micromini/Change Out/VA-CHGO-001 Rev B  X8652-CS Y REFERENCIA 1326304.pptx</v>
      </c>
      <c r="Q1120" s="51" t="str">
        <f>E1120</f>
        <v>pptx</v>
      </c>
      <c r="R1120" s="51"/>
      <c r="S1120" s="51"/>
      <c r="T1120" s="51"/>
      <c r="U1120" s="51"/>
      <c r="V1120" s="51"/>
      <c r="W1120" s="51"/>
      <c r="X1120" s="51"/>
      <c r="Y1120" s="51"/>
      <c r="Z1120" s="51"/>
      <c r="AA1120" s="51"/>
      <c r="AB1120" s="51"/>
      <c r="AC1120" s="51"/>
      <c r="AD1120" s="51"/>
      <c r="AE1120" t="s">
        <v>30</v>
      </c>
      <c r="AF1120" t="s">
        <v>90</v>
      </c>
      <c r="AG1120" t="s">
        <v>769</v>
      </c>
      <c r="AH1120" s="51"/>
      <c r="AI1120" s="51"/>
    </row>
    <row r="1121" spans="2:35">
      <c r="B1121" t="s">
        <v>2694</v>
      </c>
      <c r="C1121" t="s">
        <v>3522</v>
      </c>
      <c r="D1121">
        <v>6</v>
      </c>
      <c r="E1121" t="s">
        <v>2793</v>
      </c>
      <c r="F1121">
        <v>5</v>
      </c>
      <c r="G1121">
        <v>36</v>
      </c>
      <c r="H1121">
        <v>26</v>
      </c>
      <c r="I1121" t="s">
        <v>2695</v>
      </c>
      <c r="J1121" s="51">
        <v>41107</v>
      </c>
      <c r="K1121" t="s">
        <v>46</v>
      </c>
      <c r="L1121" t="s">
        <v>2427</v>
      </c>
      <c r="M1121">
        <v>3</v>
      </c>
      <c r="N1121" t="str">
        <f>L1121</f>
        <v>NAM\MB1911</v>
      </c>
      <c r="O1121" s="51">
        <f>J1121</f>
        <v>41107</v>
      </c>
      <c r="P1121" s="51" t="str">
        <f>C1121</f>
        <v>~/cdd/olddocs/Ayudas visuales/Camarillo/Ensamble general/VA-EGRAL-001 Rev B  000294-0000.pptx</v>
      </c>
      <c r="Q1121" s="51" t="str">
        <f>E1121</f>
        <v>pptx</v>
      </c>
      <c r="R1121" s="51"/>
      <c r="S1121" s="51"/>
      <c r="T1121" s="51"/>
      <c r="U1121" s="51"/>
      <c r="V1121" s="51"/>
      <c r="W1121" s="51"/>
      <c r="X1121" s="51"/>
      <c r="Y1121" s="51"/>
      <c r="Z1121" s="51"/>
      <c r="AA1121" s="51"/>
      <c r="AB1121" s="51"/>
      <c r="AC1121" s="51"/>
      <c r="AD1121" s="51"/>
      <c r="AE1121" t="s">
        <v>30</v>
      </c>
      <c r="AF1121" t="s">
        <v>479</v>
      </c>
      <c r="AG1121" t="s">
        <v>2696</v>
      </c>
      <c r="AH1121" s="51"/>
      <c r="AI1121" s="51"/>
    </row>
    <row r="1122" spans="2:35">
      <c r="B1122" t="s">
        <v>2732</v>
      </c>
      <c r="C1122" t="s">
        <v>3538</v>
      </c>
      <c r="D1122">
        <v>6</v>
      </c>
      <c r="E1122" t="s">
        <v>2796</v>
      </c>
      <c r="F1122">
        <v>5</v>
      </c>
      <c r="G1122">
        <v>9</v>
      </c>
      <c r="H1122">
        <v>9</v>
      </c>
      <c r="I1122" t="s">
        <v>2733</v>
      </c>
      <c r="J1122" s="51">
        <v>41081</v>
      </c>
      <c r="K1122" t="s">
        <v>261</v>
      </c>
      <c r="L1122" t="s">
        <v>2427</v>
      </c>
      <c r="M1122">
        <v>3</v>
      </c>
      <c r="N1122" t="str">
        <f>L1122</f>
        <v>NAM\MB1911</v>
      </c>
      <c r="O1122" s="51">
        <f>J1122</f>
        <v>41081</v>
      </c>
      <c r="P1122" s="51" t="str">
        <f>C1122</f>
        <v>~/cdd/olddocs/Ayudas visuales/Camarillo/Itron/MULTICELDA B/VA-IMB-001 Rev E  100G REMOTE MERCURY CORRECTOR 5 CBA-5000-002 (28-3278-0001) - Copy.ppt</v>
      </c>
      <c r="Q1122" s="51" t="str">
        <f>E1122</f>
        <v>ppt</v>
      </c>
      <c r="R1122" s="51"/>
      <c r="S1122" s="51"/>
      <c r="T1122" s="51"/>
      <c r="U1122" s="51"/>
      <c r="V1122" s="51"/>
      <c r="W1122" s="51"/>
      <c r="X1122" s="51"/>
      <c r="Y1122" s="51"/>
      <c r="Z1122" s="51"/>
      <c r="AA1122" s="51"/>
      <c r="AB1122" s="51"/>
      <c r="AC1122" s="51"/>
      <c r="AD1122" s="51"/>
      <c r="AE1122" t="s">
        <v>30</v>
      </c>
      <c r="AF1122" t="s">
        <v>479</v>
      </c>
      <c r="AG1122" t="s">
        <v>2734</v>
      </c>
      <c r="AH1122" s="51"/>
      <c r="AI1122" s="51"/>
    </row>
    <row r="1123" spans="2:35">
      <c r="B1123" t="s">
        <v>2735</v>
      </c>
      <c r="C1123" t="s">
        <v>3539</v>
      </c>
      <c r="D1123">
        <v>6</v>
      </c>
      <c r="E1123" t="s">
        <v>2796</v>
      </c>
      <c r="F1123">
        <v>5</v>
      </c>
      <c r="G1123">
        <v>9</v>
      </c>
      <c r="H1123">
        <v>9</v>
      </c>
      <c r="I1123" t="s">
        <v>2736</v>
      </c>
      <c r="J1123" s="51">
        <v>41092</v>
      </c>
      <c r="K1123" t="s">
        <v>46</v>
      </c>
      <c r="L1123" t="s">
        <v>2427</v>
      </c>
      <c r="M1123">
        <v>3</v>
      </c>
      <c r="N1123" t="str">
        <f>L1123</f>
        <v>NAM\MB1911</v>
      </c>
      <c r="O1123" s="51">
        <f>J1123</f>
        <v>41092</v>
      </c>
      <c r="P1123" s="51" t="str">
        <f>C1123</f>
        <v>~/cdd/olddocs/Ayudas visuales/Camarillo/Itron/MULTICELDA B/VA-IMB-002 Rev B CBA-1300-002  CBA-1300-003 CBA-1300-004 CBA-1300-001.ppt</v>
      </c>
      <c r="Q1123" s="51" t="str">
        <f>E1123</f>
        <v>ppt</v>
      </c>
      <c r="R1123" s="51"/>
      <c r="S1123" s="51"/>
      <c r="T1123" s="51"/>
      <c r="U1123" s="51"/>
      <c r="V1123" s="51"/>
      <c r="W1123" s="51"/>
      <c r="X1123" s="51"/>
      <c r="Y1123" s="51"/>
      <c r="Z1123" s="51"/>
      <c r="AA1123" s="51"/>
      <c r="AB1123" s="51"/>
      <c r="AC1123" s="51"/>
      <c r="AD1123" s="51"/>
      <c r="AE1123" t="s">
        <v>30</v>
      </c>
      <c r="AF1123" t="s">
        <v>479</v>
      </c>
      <c r="AG1123" t="s">
        <v>2737</v>
      </c>
      <c r="AH1123" s="51"/>
      <c r="AI1123" s="51"/>
    </row>
    <row r="1124" spans="2:35">
      <c r="B1124" t="s">
        <v>2738</v>
      </c>
      <c r="C1124" t="s">
        <v>3816</v>
      </c>
      <c r="D1124">
        <v>6</v>
      </c>
      <c r="E1124" t="s">
        <v>2796</v>
      </c>
      <c r="F1124">
        <v>5</v>
      </c>
      <c r="G1124">
        <v>9</v>
      </c>
      <c r="H1124">
        <v>9</v>
      </c>
      <c r="I1124" t="s">
        <v>2739</v>
      </c>
      <c r="J1124" s="51">
        <v>41199</v>
      </c>
      <c r="K1124" t="s">
        <v>46</v>
      </c>
      <c r="L1124" t="s">
        <v>2427</v>
      </c>
      <c r="M1124">
        <v>3</v>
      </c>
      <c r="N1124" t="str">
        <f>L1124</f>
        <v>NAM\MB1911</v>
      </c>
      <c r="O1124" s="51">
        <f>J1124</f>
        <v>41199</v>
      </c>
      <c r="P1124" s="51" t="str">
        <f>C1124</f>
        <v>~cdd/olddocs/Ayudas visuales/Camarillo/Itron/MULTICELDA B/VA-IMB-003 Rev B  MSC ENVIRONMENTAL CAP UNIV  MSC-0019-008 PARTE  010-0121-001 .ppt</v>
      </c>
      <c r="Q1124" s="51" t="str">
        <f>E1124</f>
        <v>ppt</v>
      </c>
      <c r="R1124" s="51"/>
      <c r="S1124" s="51"/>
      <c r="T1124" s="51"/>
      <c r="U1124" s="51"/>
      <c r="V1124" s="51"/>
      <c r="W1124" s="51"/>
      <c r="X1124" s="51"/>
      <c r="Y1124" s="51"/>
      <c r="Z1124" s="51"/>
      <c r="AA1124" s="51"/>
      <c r="AB1124" s="51"/>
      <c r="AC1124" s="51"/>
      <c r="AD1124" s="51"/>
      <c r="AE1124" t="s">
        <v>30</v>
      </c>
      <c r="AF1124" t="s">
        <v>479</v>
      </c>
      <c r="AG1124" t="s">
        <v>2164</v>
      </c>
      <c r="AH1124" s="51"/>
      <c r="AI1124" s="51"/>
    </row>
    <row r="1125" spans="2:35">
      <c r="B1125" t="s">
        <v>2740</v>
      </c>
      <c r="C1125" t="s">
        <v>3540</v>
      </c>
      <c r="D1125">
        <v>6</v>
      </c>
      <c r="E1125" t="s">
        <v>2793</v>
      </c>
      <c r="F1125">
        <v>5</v>
      </c>
      <c r="G1125">
        <v>9</v>
      </c>
      <c r="H1125">
        <v>9</v>
      </c>
      <c r="I1125" t="s">
        <v>2741</v>
      </c>
      <c r="J1125" s="51">
        <v>41101</v>
      </c>
      <c r="K1125" t="s">
        <v>27</v>
      </c>
      <c r="L1125" t="s">
        <v>2427</v>
      </c>
      <c r="M1125">
        <v>3</v>
      </c>
      <c r="N1125" t="str">
        <f>L1125</f>
        <v>NAM\MB1911</v>
      </c>
      <c r="O1125" s="51">
        <f>J1125</f>
        <v>41101</v>
      </c>
      <c r="P1125" s="51" t="str">
        <f>C1125</f>
        <v>~/cdd/olddocs/Ayudas visuales/Camarillo/Itron/MULTICELDA B/VA-IMB-004 Rev A  Ensamble de 28-2304-005 28-2305-0001  pptx - Copy.pptx</v>
      </c>
      <c r="Q1125" s="51" t="str">
        <f>E1125</f>
        <v>pptx</v>
      </c>
      <c r="R1125" s="51"/>
      <c r="S1125" s="51"/>
      <c r="T1125" s="51"/>
      <c r="U1125" s="51"/>
      <c r="V1125" s="51"/>
      <c r="W1125" s="51"/>
      <c r="X1125" s="51"/>
      <c r="Y1125" s="51"/>
      <c r="Z1125" s="51"/>
      <c r="AA1125" s="51"/>
      <c r="AB1125" s="51"/>
      <c r="AC1125" s="51"/>
      <c r="AD1125" s="51"/>
      <c r="AE1125" t="s">
        <v>30</v>
      </c>
      <c r="AF1125" t="s">
        <v>479</v>
      </c>
      <c r="AG1125" t="s">
        <v>2742</v>
      </c>
      <c r="AH1125" s="51"/>
      <c r="AI1125" s="51"/>
    </row>
    <row r="1126" spans="2:35">
      <c r="B1126" t="s">
        <v>2743</v>
      </c>
      <c r="C1126" t="s">
        <v>3541</v>
      </c>
      <c r="D1126">
        <v>6</v>
      </c>
      <c r="E1126" t="s">
        <v>2796</v>
      </c>
      <c r="F1126">
        <v>5</v>
      </c>
      <c r="G1126">
        <v>9</v>
      </c>
      <c r="H1126">
        <v>9</v>
      </c>
      <c r="I1126" t="s">
        <v>2744</v>
      </c>
      <c r="J1126" s="51">
        <v>41134</v>
      </c>
      <c r="K1126" t="s">
        <v>46</v>
      </c>
      <c r="L1126" t="s">
        <v>2427</v>
      </c>
      <c r="M1126">
        <v>3</v>
      </c>
      <c r="N1126" t="str">
        <f>L1126</f>
        <v>NAM\MB1911</v>
      </c>
      <c r="O1126" s="51">
        <f>J1126</f>
        <v>41134</v>
      </c>
      <c r="P1126" s="51" t="str">
        <f>C1126</f>
        <v>~/cdd/olddocs/Ayudas visuales/Camarillo/Itron/MULTICELDA B/VA-IMB-005  Rev B  28-2266-0000 28-2266-000X.ppt</v>
      </c>
      <c r="Q1126" s="51" t="str">
        <f>E1126</f>
        <v>ppt</v>
      </c>
      <c r="R1126" s="51"/>
      <c r="S1126" s="51"/>
      <c r="T1126" s="51"/>
      <c r="U1126" s="51"/>
      <c r="V1126" s="51"/>
      <c r="W1126" s="51"/>
      <c r="X1126" s="51"/>
      <c r="Y1126" s="51"/>
      <c r="Z1126" s="51"/>
      <c r="AA1126" s="51"/>
      <c r="AB1126" s="51"/>
      <c r="AC1126" s="51"/>
      <c r="AD1126" s="51"/>
      <c r="AE1126" t="s">
        <v>30</v>
      </c>
      <c r="AF1126" t="s">
        <v>479</v>
      </c>
      <c r="AG1126" t="s">
        <v>2745</v>
      </c>
      <c r="AH1126" s="51"/>
      <c r="AI1126" s="51"/>
    </row>
    <row r="1127" spans="2:35">
      <c r="B1127" t="s">
        <v>2746</v>
      </c>
      <c r="C1127" t="s">
        <v>3817</v>
      </c>
      <c r="D1127">
        <v>6</v>
      </c>
      <c r="E1127" t="s">
        <v>2796</v>
      </c>
      <c r="F1127">
        <v>5</v>
      </c>
      <c r="G1127">
        <v>9</v>
      </c>
      <c r="H1127">
        <v>9</v>
      </c>
      <c r="I1127" t="s">
        <v>2741</v>
      </c>
      <c r="J1127" s="51">
        <v>41212</v>
      </c>
      <c r="K1127" t="s">
        <v>159</v>
      </c>
      <c r="L1127" t="s">
        <v>2427</v>
      </c>
      <c r="M1127">
        <v>3</v>
      </c>
      <c r="N1127" t="str">
        <f>L1127</f>
        <v>NAM\MB1911</v>
      </c>
      <c r="O1127" s="51">
        <f>J1127</f>
        <v>41212</v>
      </c>
      <c r="P1127" s="51" t="str">
        <f>C1127</f>
        <v>~cdd/olddocs/Ayudas visuales/Camarillo/Itron/MULTICELDA B/VA-IMB-006 Rev C  Ensamble manual de 28-2304-005 y  28-2305-0001.ppt</v>
      </c>
      <c r="Q1127" s="51" t="str">
        <f>E1127</f>
        <v>ppt</v>
      </c>
      <c r="R1127" s="51"/>
      <c r="S1127" s="51"/>
      <c r="T1127" s="51"/>
      <c r="U1127" s="51"/>
      <c r="V1127" s="51"/>
      <c r="W1127" s="51"/>
      <c r="X1127" s="51"/>
      <c r="Y1127" s="51"/>
      <c r="Z1127" s="51"/>
      <c r="AA1127" s="51"/>
      <c r="AB1127" s="51"/>
      <c r="AC1127" s="51"/>
      <c r="AD1127" s="51"/>
      <c r="AE1127" t="s">
        <v>30</v>
      </c>
      <c r="AF1127" t="s">
        <v>1473</v>
      </c>
      <c r="AG1127" t="s">
        <v>2747</v>
      </c>
      <c r="AH1127" s="51"/>
      <c r="AI1127" s="51"/>
    </row>
    <row r="1128" spans="2:35">
      <c r="B1128" t="s">
        <v>2748</v>
      </c>
      <c r="C1128" t="s">
        <v>3818</v>
      </c>
      <c r="D1128">
        <v>6</v>
      </c>
      <c r="E1128" t="s">
        <v>2796</v>
      </c>
      <c r="F1128">
        <v>5</v>
      </c>
      <c r="G1128">
        <v>9</v>
      </c>
      <c r="H1128">
        <v>9</v>
      </c>
      <c r="I1128" t="s">
        <v>2749</v>
      </c>
      <c r="J1128" s="51">
        <v>41135</v>
      </c>
      <c r="K1128" t="s">
        <v>38</v>
      </c>
      <c r="L1128" t="s">
        <v>2427</v>
      </c>
      <c r="M1128">
        <v>3</v>
      </c>
      <c r="N1128" t="str">
        <f>L1128</f>
        <v>NAM\MB1911</v>
      </c>
      <c r="O1128" s="51">
        <f>J1128</f>
        <v>41135</v>
      </c>
      <c r="P1128" s="51" t="str">
        <f>C1128</f>
        <v>~cdd/olddocs/Ayudas visuales/Camarillo/Itron/MULTICELDA B/VA-IMB-007 Rev D  CABLE ASSY 28-3273-0000.ppt</v>
      </c>
      <c r="Q1128" s="51" t="str">
        <f>E1128</f>
        <v>ppt</v>
      </c>
      <c r="R1128" s="51"/>
      <c r="S1128" s="51"/>
      <c r="T1128" s="51"/>
      <c r="U1128" s="51"/>
      <c r="V1128" s="51"/>
      <c r="W1128" s="51"/>
      <c r="X1128" s="51"/>
      <c r="Y1128" s="51"/>
      <c r="Z1128" s="51"/>
      <c r="AA1128" s="51"/>
      <c r="AB1128" s="51"/>
      <c r="AC1128" s="51"/>
      <c r="AD1128" s="51"/>
      <c r="AE1128" t="s">
        <v>30</v>
      </c>
      <c r="AF1128" t="s">
        <v>1473</v>
      </c>
      <c r="AG1128" t="s">
        <v>2750</v>
      </c>
      <c r="AH1128" s="51"/>
      <c r="AI1128" s="51"/>
    </row>
    <row r="1129" spans="2:35">
      <c r="B1129" t="s">
        <v>2751</v>
      </c>
      <c r="C1129" t="s">
        <v>3819</v>
      </c>
      <c r="D1129">
        <v>6</v>
      </c>
      <c r="E1129" t="s">
        <v>2796</v>
      </c>
      <c r="F1129">
        <v>5</v>
      </c>
      <c r="G1129">
        <v>9</v>
      </c>
      <c r="H1129">
        <v>9</v>
      </c>
      <c r="I1129" t="s">
        <v>2752</v>
      </c>
      <c r="J1129" s="51">
        <v>41198</v>
      </c>
      <c r="K1129" t="s">
        <v>46</v>
      </c>
      <c r="L1129" t="s">
        <v>2427</v>
      </c>
      <c r="M1129">
        <v>3</v>
      </c>
      <c r="N1129" t="str">
        <f>L1129</f>
        <v>NAM\MB1911</v>
      </c>
      <c r="O1129" s="51">
        <f>J1129</f>
        <v>41198</v>
      </c>
      <c r="P1129" s="51" t="str">
        <f>C1129</f>
        <v>~cdd/olddocs/Ayudas visuales/Camarillo/Itron/MULTICELDA B/VA-IMB-008 Rev B  ENSAMBLE DE 28-2306-0001 (CBA-1300-903).ppt</v>
      </c>
      <c r="Q1129" s="51" t="str">
        <f>E1129</f>
        <v>ppt</v>
      </c>
      <c r="R1129" s="51"/>
      <c r="S1129" s="51"/>
      <c r="T1129" s="51"/>
      <c r="U1129" s="51"/>
      <c r="V1129" s="51"/>
      <c r="W1129" s="51"/>
      <c r="X1129" s="51"/>
      <c r="Y1129" s="51"/>
      <c r="Z1129" s="51"/>
      <c r="AA1129" s="51"/>
      <c r="AB1129" s="51"/>
      <c r="AC1129" s="51"/>
      <c r="AD1129" s="51"/>
      <c r="AE1129" t="s">
        <v>30</v>
      </c>
      <c r="AF1129" t="s">
        <v>1473</v>
      </c>
      <c r="AG1129" t="s">
        <v>2753</v>
      </c>
      <c r="AH1129" s="51"/>
      <c r="AI1129" s="51"/>
    </row>
    <row r="1130" spans="2:35">
      <c r="B1130" t="s">
        <v>1470</v>
      </c>
      <c r="C1130" t="s">
        <v>3820</v>
      </c>
      <c r="D1130">
        <v>6</v>
      </c>
      <c r="E1130" t="s">
        <v>2796</v>
      </c>
      <c r="F1130">
        <v>5</v>
      </c>
      <c r="G1130">
        <v>9</v>
      </c>
      <c r="H1130">
        <v>9</v>
      </c>
      <c r="I1130" t="s">
        <v>1471</v>
      </c>
      <c r="J1130" s="51">
        <v>41205</v>
      </c>
      <c r="K1130" t="s">
        <v>27</v>
      </c>
      <c r="L1130" t="s">
        <v>1461</v>
      </c>
      <c r="M1130">
        <v>3</v>
      </c>
      <c r="N1130" t="str">
        <f>L1130</f>
        <v>NAM\MB1297</v>
      </c>
      <c r="O1130" s="51">
        <f>J1130</f>
        <v>41205</v>
      </c>
      <c r="P1130" s="51" t="str">
        <f>C1130</f>
        <v>~cdd/olddocs/Ayudas visuales/Camarillo/Itron/MULTICELDA B/VA-IMB-009  Rev A  ENSAMBLE DE 28-2290-000128-2290-0002.ppt</v>
      </c>
      <c r="Q1130" s="51" t="str">
        <f>E1130</f>
        <v>ppt</v>
      </c>
      <c r="R1130" s="51"/>
      <c r="S1130" s="51"/>
      <c r="T1130" s="51"/>
      <c r="U1130" s="51"/>
      <c r="V1130" s="51"/>
      <c r="W1130" s="51"/>
      <c r="X1130" s="51"/>
      <c r="Y1130" s="51"/>
      <c r="Z1130" s="51"/>
      <c r="AA1130" s="51"/>
      <c r="AB1130" s="51"/>
      <c r="AC1130" s="51"/>
      <c r="AD1130" s="51"/>
      <c r="AE1130" t="s">
        <v>30</v>
      </c>
      <c r="AF1130" t="s">
        <v>1473</v>
      </c>
      <c r="AG1130" t="s">
        <v>1472</v>
      </c>
      <c r="AH1130" s="51"/>
      <c r="AI1130" s="51"/>
    </row>
    <row r="1131" spans="2:35">
      <c r="B1131" t="s">
        <v>2757</v>
      </c>
      <c r="C1131" t="s">
        <v>3542</v>
      </c>
      <c r="D1131">
        <v>6</v>
      </c>
      <c r="E1131" t="s">
        <v>2796</v>
      </c>
      <c r="F1131">
        <v>5</v>
      </c>
      <c r="G1131">
        <v>9</v>
      </c>
      <c r="H1131">
        <v>1</v>
      </c>
      <c r="I1131" t="s">
        <v>2758</v>
      </c>
      <c r="J1131" s="51">
        <v>41092</v>
      </c>
      <c r="K1131" t="s">
        <v>742</v>
      </c>
      <c r="L1131" t="s">
        <v>2427</v>
      </c>
      <c r="M1131">
        <v>3</v>
      </c>
      <c r="N1131" t="str">
        <f>L1131</f>
        <v>NAM\MB1911</v>
      </c>
      <c r="O1131" s="51">
        <f>J1131</f>
        <v>41092</v>
      </c>
      <c r="P1131" s="51" t="str">
        <f>C1131</f>
        <v>~/cdd/olddocs/Ayudas visuales/Camarillo/Itron/PLUG/VA-IPLUG-001 Rev F  CABLE ASSEMBLY 28-3272-0004 (CBA-0217-307) .ppt</v>
      </c>
      <c r="Q1131" s="51" t="str">
        <f>E1131</f>
        <v>ppt</v>
      </c>
      <c r="R1131" s="51"/>
      <c r="S1131" s="51"/>
      <c r="T1131" s="51"/>
      <c r="U1131" s="51"/>
      <c r="V1131" s="51"/>
      <c r="W1131" s="51"/>
      <c r="X1131" s="51"/>
      <c r="Y1131" s="51"/>
      <c r="Z1131" s="51"/>
      <c r="AA1131" s="51"/>
      <c r="AB1131" s="51"/>
      <c r="AC1131" s="51"/>
      <c r="AD1131" s="51"/>
      <c r="AE1131" t="s">
        <v>30</v>
      </c>
      <c r="AF1131" t="s">
        <v>479</v>
      </c>
      <c r="AG1131" t="s">
        <v>2759</v>
      </c>
      <c r="AH1131" s="51"/>
      <c r="AI1131" s="51"/>
    </row>
    <row r="1132" spans="2:35">
      <c r="B1132" t="s">
        <v>2760</v>
      </c>
      <c r="C1132" t="s">
        <v>3543</v>
      </c>
      <c r="D1132">
        <v>6</v>
      </c>
      <c r="E1132" t="s">
        <v>2796</v>
      </c>
      <c r="F1132">
        <v>5</v>
      </c>
      <c r="G1132">
        <v>9</v>
      </c>
      <c r="H1132">
        <v>1</v>
      </c>
      <c r="I1132" t="s">
        <v>2761</v>
      </c>
      <c r="J1132" s="51">
        <v>40946</v>
      </c>
      <c r="K1132" t="s">
        <v>159</v>
      </c>
      <c r="L1132" t="s">
        <v>2427</v>
      </c>
      <c r="M1132">
        <v>3</v>
      </c>
      <c r="N1132" t="str">
        <f>L1132</f>
        <v>NAM\MB1911</v>
      </c>
      <c r="O1132" s="51">
        <f>J1132</f>
        <v>40946</v>
      </c>
      <c r="P1132" s="51" t="str">
        <f>C1132</f>
        <v>~/cdd/olddocs/Ayudas visuales/Camarillo/Itron/PLUG/VA-IPLUG-002  Rev C   CBA-0349-105 PARTE 28-2297-0001.ppt</v>
      </c>
      <c r="Q1132" s="51" t="str">
        <f>E1132</f>
        <v>ppt</v>
      </c>
      <c r="R1132" s="51"/>
      <c r="S1132" s="51"/>
      <c r="T1132" s="51"/>
      <c r="U1132" s="51"/>
      <c r="V1132" s="51"/>
      <c r="W1132" s="51"/>
      <c r="X1132" s="51"/>
      <c r="Y1132" s="51"/>
      <c r="Z1132" s="51"/>
      <c r="AA1132" s="51"/>
      <c r="AB1132" s="51"/>
      <c r="AC1132" s="51"/>
      <c r="AD1132" s="51"/>
      <c r="AE1132" t="s">
        <v>30</v>
      </c>
      <c r="AF1132" t="s">
        <v>479</v>
      </c>
      <c r="AG1132" t="s">
        <v>2762</v>
      </c>
      <c r="AH1132" s="51"/>
      <c r="AI1132" s="51"/>
    </row>
    <row r="1133" spans="2:35">
      <c r="B1133" t="s">
        <v>2763</v>
      </c>
      <c r="C1133" t="s">
        <v>3821</v>
      </c>
      <c r="D1133">
        <v>6</v>
      </c>
      <c r="E1133" t="s">
        <v>2796</v>
      </c>
      <c r="F1133">
        <v>5</v>
      </c>
      <c r="G1133">
        <v>9</v>
      </c>
      <c r="H1133">
        <v>1</v>
      </c>
      <c r="I1133" t="s">
        <v>2764</v>
      </c>
      <c r="J1133" s="51">
        <v>41199</v>
      </c>
      <c r="K1133" t="s">
        <v>742</v>
      </c>
      <c r="L1133" t="s">
        <v>2427</v>
      </c>
      <c r="M1133">
        <v>3</v>
      </c>
      <c r="N1133" t="str">
        <f>L1133</f>
        <v>NAM\MB1911</v>
      </c>
      <c r="O1133" s="51">
        <f>J1133</f>
        <v>41199</v>
      </c>
      <c r="P1133" s="51" t="str">
        <f>C1133</f>
        <v>~cdd/olddocs/Ayudas visuales/Camarillo/Itron/PLUG/VA-IPLUG-003 REV  F.ppt</v>
      </c>
      <c r="Q1133" s="51" t="str">
        <f>E1133</f>
        <v>ppt</v>
      </c>
      <c r="R1133" s="51"/>
      <c r="S1133" s="51"/>
      <c r="T1133" s="51"/>
      <c r="U1133" s="51"/>
      <c r="V1133" s="51"/>
      <c r="W1133" s="51"/>
      <c r="X1133" s="51"/>
      <c r="Y1133" s="51"/>
      <c r="Z1133" s="51"/>
      <c r="AA1133" s="51"/>
      <c r="AB1133" s="51"/>
      <c r="AC1133" s="51"/>
      <c r="AD1133" s="51"/>
      <c r="AE1133" t="s">
        <v>2766</v>
      </c>
      <c r="AF1133" t="s">
        <v>1473</v>
      </c>
      <c r="AG1133" t="s">
        <v>2765</v>
      </c>
      <c r="AH1133" s="51"/>
      <c r="AI1133" s="51"/>
    </row>
    <row r="1134" spans="2:35">
      <c r="B1134" t="s">
        <v>2772</v>
      </c>
      <c r="C1134" t="s">
        <v>3544</v>
      </c>
      <c r="D1134">
        <v>6</v>
      </c>
      <c r="E1134" t="s">
        <v>2796</v>
      </c>
      <c r="F1134">
        <v>5</v>
      </c>
      <c r="G1134">
        <v>9</v>
      </c>
      <c r="H1134">
        <v>13</v>
      </c>
      <c r="I1134" t="s">
        <v>2773</v>
      </c>
      <c r="J1134" s="51">
        <v>41143</v>
      </c>
      <c r="K1134" t="s">
        <v>741</v>
      </c>
      <c r="L1134" t="s">
        <v>2427</v>
      </c>
      <c r="M1134">
        <v>3</v>
      </c>
      <c r="N1134" t="str">
        <f>L1134</f>
        <v>NAM\MB1911</v>
      </c>
      <c r="O1134" s="51">
        <f>J1134</f>
        <v>41143</v>
      </c>
      <c r="P1134" s="51" t="str">
        <f>C1134</f>
        <v>~/cdd/olddocs/Ayudas visuales/Camarillo/Itron/RECEPTACULO/VA-IRCPT-001 Rev G   RECEPTACLE 28-3264-0001 28-3272-050X.ppt</v>
      </c>
      <c r="Q1134" s="51" t="str">
        <f>E1134</f>
        <v>ppt</v>
      </c>
      <c r="R1134" s="51"/>
      <c r="S1134" s="51"/>
      <c r="T1134" s="51"/>
      <c r="U1134" s="51"/>
      <c r="V1134" s="51"/>
      <c r="W1134" s="51"/>
      <c r="X1134" s="51"/>
      <c r="Y1134" s="51"/>
      <c r="Z1134" s="51"/>
      <c r="AA1134" s="51"/>
      <c r="AB1134" s="51"/>
      <c r="AC1134" s="51"/>
      <c r="AD1134" s="51"/>
      <c r="AE1134" t="s">
        <v>2774</v>
      </c>
      <c r="AF1134" t="s">
        <v>1473</v>
      </c>
      <c r="AG1134" t="s">
        <v>2703</v>
      </c>
      <c r="AH1134" s="51"/>
      <c r="AI1134" s="51"/>
    </row>
    <row r="1135" spans="2:35">
      <c r="B1135" t="s">
        <v>633</v>
      </c>
      <c r="C1135" t="s">
        <v>3602</v>
      </c>
      <c r="D1135">
        <v>6</v>
      </c>
      <c r="E1135" t="s">
        <v>2793</v>
      </c>
      <c r="F1135">
        <v>5</v>
      </c>
      <c r="G1135">
        <v>33</v>
      </c>
      <c r="H1135">
        <v>28</v>
      </c>
      <c r="I1135" t="s">
        <v>634</v>
      </c>
      <c r="J1135" s="51">
        <v>41082</v>
      </c>
      <c r="K1135" t="s">
        <v>46</v>
      </c>
      <c r="L1135" t="s">
        <v>605</v>
      </c>
      <c r="M1135">
        <v>3</v>
      </c>
      <c r="N1135" t="str">
        <f>L1135</f>
        <v>NA/MB1049</v>
      </c>
      <c r="O1135" s="51">
        <f>J1135</f>
        <v>41082</v>
      </c>
      <c r="P1135" s="51" t="str">
        <f>C1135</f>
        <v>~/cdd/olddocs/Ayudas visuales/Micromini/General/VA-MGRAL-001 Rev B  COLOCACION DE FACE GASKET.pptx</v>
      </c>
      <c r="Q1135" s="51" t="str">
        <f>E1135</f>
        <v>pptx</v>
      </c>
      <c r="R1135" s="51"/>
      <c r="S1135" s="51"/>
      <c r="T1135" s="51"/>
      <c r="U1135" s="51"/>
      <c r="V1135" s="51"/>
      <c r="W1135" s="51"/>
      <c r="X1135" s="51"/>
      <c r="Y1135" s="51"/>
      <c r="Z1135" s="51"/>
      <c r="AA1135" s="51"/>
      <c r="AB1135" s="51"/>
      <c r="AC1135" s="51"/>
      <c r="AD1135" s="51"/>
      <c r="AE1135" t="s">
        <v>610</v>
      </c>
      <c r="AF1135" t="s">
        <v>90</v>
      </c>
      <c r="AG1135" t="s">
        <v>28</v>
      </c>
      <c r="AH1135" s="51"/>
      <c r="AI1135" s="51"/>
    </row>
    <row r="1136" spans="2:35">
      <c r="B1136" t="s">
        <v>635</v>
      </c>
      <c r="C1136" t="s">
        <v>3603</v>
      </c>
      <c r="D1136">
        <v>6</v>
      </c>
      <c r="E1136" t="s">
        <v>2793</v>
      </c>
      <c r="F1136">
        <v>5</v>
      </c>
      <c r="G1136">
        <v>33</v>
      </c>
      <c r="H1136">
        <v>28</v>
      </c>
      <c r="I1136" t="s">
        <v>636</v>
      </c>
      <c r="J1136" s="51">
        <v>41172</v>
      </c>
      <c r="K1136" t="s">
        <v>159</v>
      </c>
      <c r="L1136" t="s">
        <v>605</v>
      </c>
      <c r="M1136">
        <v>3</v>
      </c>
      <c r="N1136" t="str">
        <f>L1136</f>
        <v>NA/MB1049</v>
      </c>
      <c r="O1136" s="51">
        <f>J1136</f>
        <v>41172</v>
      </c>
      <c r="P1136" s="51" t="str">
        <f>C1136</f>
        <v>~/cdd/olddocs/Ayudas visuales/Micromini/General/VA-MGRAL-002 Rev C SOLDADURA DE CONDUCTORES A CONECTOR GENERICA MICROMINI (2).pptx</v>
      </c>
      <c r="Q1136" s="51" t="str">
        <f>E1136</f>
        <v>pptx</v>
      </c>
      <c r="R1136" s="51"/>
      <c r="S1136" s="51"/>
      <c r="T1136" s="51"/>
      <c r="U1136" s="51"/>
      <c r="V1136" s="51"/>
      <c r="W1136" s="51"/>
      <c r="X1136" s="51"/>
      <c r="Y1136" s="51"/>
      <c r="Z1136" s="51"/>
      <c r="AA1136" s="51"/>
      <c r="AB1136" s="51"/>
      <c r="AC1136" s="51"/>
      <c r="AD1136" s="51"/>
      <c r="AE1136" t="s">
        <v>637</v>
      </c>
      <c r="AF1136" t="s">
        <v>90</v>
      </c>
      <c r="AG1136" t="s">
        <v>28</v>
      </c>
      <c r="AH1136" s="51"/>
      <c r="AI1136" s="51"/>
    </row>
    <row r="1137" spans="2:35">
      <c r="B1137" t="s">
        <v>638</v>
      </c>
      <c r="C1137" t="s">
        <v>3604</v>
      </c>
      <c r="D1137">
        <v>6</v>
      </c>
      <c r="E1137" t="s">
        <v>2793</v>
      </c>
      <c r="F1137">
        <v>5</v>
      </c>
      <c r="G1137">
        <v>33</v>
      </c>
      <c r="H1137">
        <v>28</v>
      </c>
      <c r="I1137" t="s">
        <v>639</v>
      </c>
      <c r="J1137" s="51">
        <v>41172</v>
      </c>
      <c r="K1137" t="s">
        <v>159</v>
      </c>
      <c r="L1137" t="s">
        <v>605</v>
      </c>
      <c r="M1137">
        <v>3</v>
      </c>
      <c r="N1137" t="str">
        <f>L1137</f>
        <v>NA/MB1049</v>
      </c>
      <c r="O1137" s="51">
        <f>J1137</f>
        <v>41172</v>
      </c>
      <c r="P1137" s="51" t="str">
        <f>C1137</f>
        <v>~/cdd/olddocs/Ayudas visuales/Micromini/General/VA-MGRAL-003 Rev C  REMACHADO DE CONTACTOS MICROMINI (2).pptx</v>
      </c>
      <c r="Q1137" s="51" t="str">
        <f>E1137</f>
        <v>pptx</v>
      </c>
      <c r="R1137" s="51"/>
      <c r="S1137" s="51"/>
      <c r="T1137" s="51"/>
      <c r="U1137" s="51"/>
      <c r="V1137" s="51"/>
      <c r="W1137" s="51"/>
      <c r="X1137" s="51"/>
      <c r="Y1137" s="51"/>
      <c r="Z1137" s="51"/>
      <c r="AA1137" s="51"/>
      <c r="AB1137" s="51"/>
      <c r="AC1137" s="51"/>
      <c r="AD1137" s="51"/>
      <c r="AE1137" t="s">
        <v>637</v>
      </c>
      <c r="AF1137" t="s">
        <v>90</v>
      </c>
      <c r="AG1137" t="s">
        <v>28</v>
      </c>
      <c r="AH1137" s="51"/>
      <c r="AI1137" s="51"/>
    </row>
    <row r="1138" spans="2:35">
      <c r="B1138" t="s">
        <v>640</v>
      </c>
      <c r="C1138" t="s">
        <v>3605</v>
      </c>
      <c r="D1138">
        <v>6</v>
      </c>
      <c r="E1138" t="s">
        <v>2793</v>
      </c>
      <c r="F1138">
        <v>5</v>
      </c>
      <c r="G1138">
        <v>33</v>
      </c>
      <c r="H1138">
        <v>28</v>
      </c>
      <c r="I1138" t="s">
        <v>641</v>
      </c>
      <c r="J1138" s="51">
        <v>41172</v>
      </c>
      <c r="K1138" t="s">
        <v>46</v>
      </c>
      <c r="L1138" t="s">
        <v>605</v>
      </c>
      <c r="M1138">
        <v>3</v>
      </c>
      <c r="N1138" t="str">
        <f>L1138</f>
        <v>NA/MB1049</v>
      </c>
      <c r="O1138" s="51">
        <f>J1138</f>
        <v>41172</v>
      </c>
      <c r="P1138" s="51" t="str">
        <f>C1138</f>
        <v>~/cdd/olddocs/Ayudas visuales/Micromini/General/VA-MGRAL-004 Rev B  despoje de conductores micromini (2).pptx</v>
      </c>
      <c r="Q1138" s="51" t="str">
        <f>E1138</f>
        <v>pptx</v>
      </c>
      <c r="R1138" s="51"/>
      <c r="S1138" s="51"/>
      <c r="T1138" s="51"/>
      <c r="U1138" s="51"/>
      <c r="V1138" s="51"/>
      <c r="W1138" s="51"/>
      <c r="X1138" s="51"/>
      <c r="Y1138" s="51"/>
      <c r="Z1138" s="51"/>
      <c r="AA1138" s="51"/>
      <c r="AB1138" s="51"/>
      <c r="AC1138" s="51"/>
      <c r="AD1138" s="51"/>
      <c r="AE1138" t="s">
        <v>637</v>
      </c>
      <c r="AF1138" t="s">
        <v>90</v>
      </c>
      <c r="AG1138" t="s">
        <v>28</v>
      </c>
      <c r="AH1138" s="51"/>
      <c r="AI1138" s="51"/>
    </row>
    <row r="1139" spans="2:35">
      <c r="B1139" t="s">
        <v>642</v>
      </c>
      <c r="C1139" t="s">
        <v>3606</v>
      </c>
      <c r="D1139">
        <v>6</v>
      </c>
      <c r="E1139" t="s">
        <v>2793</v>
      </c>
      <c r="F1139">
        <v>5</v>
      </c>
      <c r="G1139">
        <v>33</v>
      </c>
      <c r="H1139">
        <v>28</v>
      </c>
      <c r="I1139" t="s">
        <v>643</v>
      </c>
      <c r="J1139" s="51">
        <v>41173</v>
      </c>
      <c r="K1139" t="s">
        <v>46</v>
      </c>
      <c r="L1139" t="s">
        <v>605</v>
      </c>
      <c r="M1139">
        <v>3</v>
      </c>
      <c r="N1139" t="str">
        <f>L1139</f>
        <v>NA/MB1049</v>
      </c>
      <c r="O1139" s="51">
        <f>J1139</f>
        <v>41173</v>
      </c>
      <c r="P1139" s="51" t="str">
        <f>C1139</f>
        <v>~/cdd/olddocs/Ayudas visuales/Micromini/General/VA-MGRAL-005 Rev B  PEGADO DE PIEZAS MOLDEADAS (2).pptx</v>
      </c>
      <c r="Q1139" s="51" t="str">
        <f>E1139</f>
        <v>pptx</v>
      </c>
      <c r="R1139" s="51"/>
      <c r="S1139" s="51"/>
      <c r="T1139" s="51"/>
      <c r="U1139" s="51"/>
      <c r="V1139" s="51"/>
      <c r="W1139" s="51"/>
      <c r="X1139" s="51"/>
      <c r="Y1139" s="51"/>
      <c r="Z1139" s="51"/>
      <c r="AA1139" s="51"/>
      <c r="AB1139" s="51"/>
      <c r="AC1139" s="51"/>
      <c r="AD1139" s="51"/>
      <c r="AE1139" t="s">
        <v>624</v>
      </c>
      <c r="AF1139" t="s">
        <v>90</v>
      </c>
      <c r="AG1139" t="s">
        <v>28</v>
      </c>
      <c r="AH1139" s="51"/>
      <c r="AI1139" s="51"/>
    </row>
    <row r="1140" spans="2:35">
      <c r="B1140" t="s">
        <v>644</v>
      </c>
      <c r="C1140" t="s">
        <v>3607</v>
      </c>
      <c r="D1140">
        <v>6</v>
      </c>
      <c r="E1140" t="s">
        <v>2793</v>
      </c>
      <c r="F1140">
        <v>5</v>
      </c>
      <c r="G1140">
        <v>33</v>
      </c>
      <c r="H1140">
        <v>28</v>
      </c>
      <c r="I1140" t="s">
        <v>645</v>
      </c>
      <c r="J1140" s="51">
        <v>41176</v>
      </c>
      <c r="K1140" t="s">
        <v>46</v>
      </c>
      <c r="L1140" t="s">
        <v>605</v>
      </c>
      <c r="M1140">
        <v>3</v>
      </c>
      <c r="N1140" t="str">
        <f>L1140</f>
        <v>NA/MB1049</v>
      </c>
      <c r="O1140" s="51">
        <f>J1140</f>
        <v>41176</v>
      </c>
      <c r="P1140" s="51" t="str">
        <f>C1140</f>
        <v>~/cdd/olddocs/Ayudas visuales/Micromini/General/VA-MGRAL-006 Rev B corte de cable micro mini generica (2).pptx</v>
      </c>
      <c r="Q1140" s="51" t="str">
        <f>E1140</f>
        <v>pptx</v>
      </c>
      <c r="R1140" s="51"/>
      <c r="S1140" s="51"/>
      <c r="T1140" s="51"/>
      <c r="U1140" s="51"/>
      <c r="V1140" s="51"/>
      <c r="W1140" s="51"/>
      <c r="X1140" s="51"/>
      <c r="Y1140" s="51"/>
      <c r="Z1140" s="51"/>
      <c r="AA1140" s="51"/>
      <c r="AB1140" s="51"/>
      <c r="AC1140" s="51"/>
      <c r="AD1140" s="51"/>
      <c r="AE1140" t="s">
        <v>646</v>
      </c>
      <c r="AF1140" t="s">
        <v>90</v>
      </c>
      <c r="AG1140" t="s">
        <v>28</v>
      </c>
      <c r="AH1140" s="51"/>
      <c r="AI1140" s="51"/>
    </row>
    <row r="1141" spans="2:35">
      <c r="B1141" t="s">
        <v>647</v>
      </c>
      <c r="C1141" t="s">
        <v>3608</v>
      </c>
      <c r="D1141">
        <v>6</v>
      </c>
      <c r="E1141" t="s">
        <v>2793</v>
      </c>
      <c r="F1141">
        <v>5</v>
      </c>
      <c r="G1141">
        <v>33</v>
      </c>
      <c r="H1141">
        <v>28</v>
      </c>
      <c r="I1141" t="s">
        <v>648</v>
      </c>
      <c r="J1141" s="51">
        <v>41176</v>
      </c>
      <c r="K1141" t="s">
        <v>46</v>
      </c>
      <c r="L1141" t="s">
        <v>605</v>
      </c>
      <c r="M1141">
        <v>3</v>
      </c>
      <c r="N1141" t="str">
        <f>L1141</f>
        <v>NA/MB1049</v>
      </c>
      <c r="O1141" s="51">
        <f>J1141</f>
        <v>41176</v>
      </c>
      <c r="P1141" s="51" t="str">
        <f>C1141</f>
        <v>~/cdd/olddocs/Ayudas visuales/Micromini/General/VA-MGRAL-007 Rev B despoje jacket  generica micromini (2).pptx</v>
      </c>
      <c r="Q1141" s="51" t="str">
        <f>E1141</f>
        <v>pptx</v>
      </c>
      <c r="R1141" s="51"/>
      <c r="S1141" s="51"/>
      <c r="T1141" s="51"/>
      <c r="U1141" s="51"/>
      <c r="V1141" s="51"/>
      <c r="W1141" s="51"/>
      <c r="X1141" s="51"/>
      <c r="Y1141" s="51"/>
      <c r="Z1141" s="51"/>
      <c r="AA1141" s="51"/>
      <c r="AB1141" s="51"/>
      <c r="AC1141" s="51"/>
      <c r="AD1141" s="51"/>
      <c r="AE1141" t="s">
        <v>646</v>
      </c>
      <c r="AF1141" t="s">
        <v>90</v>
      </c>
      <c r="AG1141" t="s">
        <v>28</v>
      </c>
      <c r="AH1141" s="51"/>
      <c r="AI1141" s="51"/>
    </row>
    <row r="1142" spans="2:35">
      <c r="B1142" t="s">
        <v>649</v>
      </c>
      <c r="C1142" t="s">
        <v>3609</v>
      </c>
      <c r="D1142">
        <v>6</v>
      </c>
      <c r="E1142" t="s">
        <v>2793</v>
      </c>
      <c r="F1142">
        <v>5</v>
      </c>
      <c r="G1142">
        <v>33</v>
      </c>
      <c r="H1142">
        <v>28</v>
      </c>
      <c r="I1142" t="s">
        <v>650</v>
      </c>
      <c r="J1142" s="51">
        <v>41176</v>
      </c>
      <c r="K1142" t="s">
        <v>46</v>
      </c>
      <c r="L1142" t="s">
        <v>605</v>
      </c>
      <c r="M1142">
        <v>3</v>
      </c>
      <c r="N1142" t="str">
        <f>L1142</f>
        <v>NA/MB1049</v>
      </c>
      <c r="O1142" s="51">
        <f>J1142</f>
        <v>41176</v>
      </c>
      <c r="P1142" s="51" t="str">
        <f>C1142</f>
        <v>~/cdd/olddocs/Ayudas visuales/Micromini/General/VA-MGRAL-008 Rev B  EMPAQUE GENERICO MICROMINI.pptx</v>
      </c>
      <c r="Q1142" s="51" t="str">
        <f>E1142</f>
        <v>pptx</v>
      </c>
      <c r="R1142" s="51"/>
      <c r="S1142" s="51"/>
      <c r="T1142" s="51"/>
      <c r="U1142" s="51"/>
      <c r="V1142" s="51"/>
      <c r="W1142" s="51"/>
      <c r="X1142" s="51"/>
      <c r="Y1142" s="51"/>
      <c r="Z1142" s="51"/>
      <c r="AA1142" s="51"/>
      <c r="AB1142" s="51"/>
      <c r="AC1142" s="51"/>
      <c r="AD1142" s="51"/>
      <c r="AE1142" t="s">
        <v>646</v>
      </c>
      <c r="AF1142" t="s">
        <v>90</v>
      </c>
      <c r="AG1142" t="s">
        <v>28</v>
      </c>
      <c r="AH1142" s="51"/>
      <c r="AI1142" s="51"/>
    </row>
    <row r="1143" spans="2:35">
      <c r="B1143" t="s">
        <v>651</v>
      </c>
      <c r="C1143" t="s">
        <v>3610</v>
      </c>
      <c r="D1143">
        <v>6</v>
      </c>
      <c r="E1143" t="s">
        <v>2793</v>
      </c>
      <c r="F1143">
        <v>5</v>
      </c>
      <c r="G1143">
        <v>33</v>
      </c>
      <c r="H1143">
        <v>28</v>
      </c>
      <c r="I1143" t="s">
        <v>652</v>
      </c>
      <c r="J1143" s="51">
        <v>41176</v>
      </c>
      <c r="K1143" t="s">
        <v>46</v>
      </c>
      <c r="L1143" t="s">
        <v>605</v>
      </c>
      <c r="M1143">
        <v>3</v>
      </c>
      <c r="N1143" t="str">
        <f>L1143</f>
        <v>NA/MB1049</v>
      </c>
      <c r="O1143" s="51">
        <f>J1143</f>
        <v>41176</v>
      </c>
      <c r="P1143" s="51" t="str">
        <f>C1143</f>
        <v>~/cdd/olddocs/Ayudas visuales/Micromini/General/VA-MGRAL-009 Rev B  INSERCION DE CONTACTOS GENERICA MICROMINI.pptx</v>
      </c>
      <c r="Q1143" s="51" t="str">
        <f>E1143</f>
        <v>pptx</v>
      </c>
      <c r="R1143" s="51"/>
      <c r="S1143" s="51"/>
      <c r="T1143" s="51"/>
      <c r="U1143" s="51"/>
      <c r="V1143" s="51"/>
      <c r="W1143" s="51"/>
      <c r="X1143" s="51"/>
      <c r="Y1143" s="51"/>
      <c r="Z1143" s="51"/>
      <c r="AA1143" s="51"/>
      <c r="AB1143" s="51"/>
      <c r="AC1143" s="51"/>
      <c r="AD1143" s="51"/>
      <c r="AE1143" t="s">
        <v>646</v>
      </c>
      <c r="AF1143" t="s">
        <v>90</v>
      </c>
      <c r="AG1143" t="s">
        <v>28</v>
      </c>
      <c r="AH1143" s="51"/>
      <c r="AI1143" s="51"/>
    </row>
    <row r="1144" spans="2:35">
      <c r="B1144" t="s">
        <v>653</v>
      </c>
      <c r="C1144" t="s">
        <v>3611</v>
      </c>
      <c r="D1144">
        <v>6</v>
      </c>
      <c r="E1144" t="s">
        <v>2793</v>
      </c>
      <c r="F1144">
        <v>5</v>
      </c>
      <c r="G1144">
        <v>33</v>
      </c>
      <c r="H1144">
        <v>28</v>
      </c>
      <c r="I1144" t="s">
        <v>654</v>
      </c>
      <c r="J1144" s="51">
        <v>41176</v>
      </c>
      <c r="K1144" t="s">
        <v>46</v>
      </c>
      <c r="L1144" t="s">
        <v>605</v>
      </c>
      <c r="M1144">
        <v>3</v>
      </c>
      <c r="N1144" t="str">
        <f>L1144</f>
        <v>NA/MB1049</v>
      </c>
      <c r="O1144" s="51">
        <f>J1144</f>
        <v>41176</v>
      </c>
      <c r="P1144" s="51" t="str">
        <f>C1144</f>
        <v>~/cdd/olddocs/Ayudas visuales/Micromini/General/VA-MGRAL-010 Rev B  Moldeo de pieza micromini.pptx</v>
      </c>
      <c r="Q1144" s="51" t="str">
        <f>E1144</f>
        <v>pptx</v>
      </c>
      <c r="R1144" s="51"/>
      <c r="S1144" s="51"/>
      <c r="T1144" s="51"/>
      <c r="U1144" s="51"/>
      <c r="V1144" s="51"/>
      <c r="W1144" s="51"/>
      <c r="X1144" s="51"/>
      <c r="Y1144" s="51"/>
      <c r="Z1144" s="51"/>
      <c r="AA1144" s="51"/>
      <c r="AB1144" s="51"/>
      <c r="AC1144" s="51"/>
      <c r="AD1144" s="51"/>
      <c r="AE1144" t="s">
        <v>646</v>
      </c>
      <c r="AF1144" t="s">
        <v>90</v>
      </c>
      <c r="AG1144" t="s">
        <v>28</v>
      </c>
      <c r="AH1144" s="51"/>
      <c r="AI1144" s="51"/>
    </row>
    <row r="1145" spans="2:35">
      <c r="B1145" t="s">
        <v>655</v>
      </c>
      <c r="C1145" t="s">
        <v>3612</v>
      </c>
      <c r="D1145">
        <v>6</v>
      </c>
      <c r="E1145" t="s">
        <v>2793</v>
      </c>
      <c r="F1145">
        <v>5</v>
      </c>
      <c r="G1145">
        <v>33</v>
      </c>
      <c r="H1145">
        <v>28</v>
      </c>
      <c r="I1145" t="s">
        <v>656</v>
      </c>
      <c r="J1145" s="51">
        <v>41186</v>
      </c>
      <c r="K1145" t="s">
        <v>38</v>
      </c>
      <c r="L1145" t="s">
        <v>605</v>
      </c>
      <c r="M1145">
        <v>3</v>
      </c>
      <c r="N1145" t="str">
        <f>L1145</f>
        <v>NA/MB1049</v>
      </c>
      <c r="O1145" s="51">
        <f>J1145</f>
        <v>41186</v>
      </c>
      <c r="P1145" s="51" t="str">
        <f>C1145</f>
        <v>~/cdd/olddocs/Ayudas visuales/Micromini/General/VA-MGRAL-011 Rev D Calentado de inserts.pptx</v>
      </c>
      <c r="Q1145" s="51" t="str">
        <f>E1145</f>
        <v>pptx</v>
      </c>
      <c r="R1145" s="51"/>
      <c r="S1145" s="51"/>
      <c r="T1145" s="51"/>
      <c r="U1145" s="51"/>
      <c r="V1145" s="51"/>
      <c r="W1145" s="51"/>
      <c r="X1145" s="51"/>
      <c r="Y1145" s="51"/>
      <c r="Z1145" s="51"/>
      <c r="AA1145" s="51"/>
      <c r="AB1145" s="51"/>
      <c r="AC1145" s="51"/>
      <c r="AD1145" s="51"/>
      <c r="AE1145" t="s">
        <v>624</v>
      </c>
      <c r="AF1145" t="s">
        <v>90</v>
      </c>
      <c r="AG1145" t="s">
        <v>28</v>
      </c>
      <c r="AH1145" s="51"/>
      <c r="AI1145" s="51"/>
    </row>
    <row r="1146" spans="2:35">
      <c r="B1146" t="s">
        <v>657</v>
      </c>
      <c r="C1146" t="s">
        <v>3613</v>
      </c>
      <c r="D1146">
        <v>6</v>
      </c>
      <c r="E1146" t="s">
        <v>2793</v>
      </c>
      <c r="F1146">
        <v>5</v>
      </c>
      <c r="G1146">
        <v>33</v>
      </c>
      <c r="H1146">
        <v>28</v>
      </c>
      <c r="I1146" t="s">
        <v>658</v>
      </c>
      <c r="J1146" s="51">
        <v>41194</v>
      </c>
      <c r="K1146" t="s">
        <v>659</v>
      </c>
      <c r="L1146" t="s">
        <v>605</v>
      </c>
      <c r="M1146">
        <v>3</v>
      </c>
      <c r="N1146" t="str">
        <f>L1146</f>
        <v>NA/MB1049</v>
      </c>
      <c r="O1146" s="51">
        <f>J1146</f>
        <v>41194</v>
      </c>
      <c r="P1146" s="51" t="str">
        <f>C1146</f>
        <v>~/cdd/olddocs/Ayudas visuales/Micromini/General/VA-MGRAL-012 Rev N aplicacion de goma al inserto y al cable.pptx</v>
      </c>
      <c r="Q1146" s="51" t="str">
        <f>E1146</f>
        <v>pptx</v>
      </c>
      <c r="R1146" s="51"/>
      <c r="S1146" s="51"/>
      <c r="T1146" s="51"/>
      <c r="U1146" s="51"/>
      <c r="V1146" s="51"/>
      <c r="W1146" s="51"/>
      <c r="X1146" s="51"/>
      <c r="Y1146" s="51"/>
      <c r="Z1146" s="51"/>
      <c r="AA1146" s="51"/>
      <c r="AB1146" s="51"/>
      <c r="AC1146" s="51"/>
      <c r="AD1146" s="51"/>
      <c r="AE1146" t="s">
        <v>478</v>
      </c>
      <c r="AF1146" t="s">
        <v>90</v>
      </c>
      <c r="AG1146" t="s">
        <v>88</v>
      </c>
      <c r="AH1146" s="51"/>
      <c r="AI1146" s="51"/>
    </row>
    <row r="1147" spans="2:35">
      <c r="B1147" t="s">
        <v>783</v>
      </c>
      <c r="C1147" t="s">
        <v>3619</v>
      </c>
      <c r="D1147">
        <v>6</v>
      </c>
      <c r="E1147" t="s">
        <v>2793</v>
      </c>
      <c r="F1147">
        <v>5</v>
      </c>
      <c r="G1147">
        <v>12</v>
      </c>
      <c r="H1147">
        <v>16</v>
      </c>
      <c r="I1147" t="s">
        <v>784</v>
      </c>
      <c r="J1147" s="51">
        <v>41094</v>
      </c>
      <c r="K1147" t="s">
        <v>46</v>
      </c>
      <c r="L1147" t="s">
        <v>605</v>
      </c>
      <c r="M1147">
        <v>3</v>
      </c>
      <c r="N1147" t="str">
        <f>L1147</f>
        <v>NA/MB1049</v>
      </c>
      <c r="O1147" s="51">
        <f>J1147</f>
        <v>41094</v>
      </c>
      <c r="P1147" s="51" t="str">
        <f>C1147</f>
        <v>~/cdd/olddocs/Ayudas visuales/Micromini/MS/VA-MS-001 REV B COLOCACION DE MALLA.pptx</v>
      </c>
      <c r="Q1147" s="51" t="str">
        <f>E1147</f>
        <v>pptx</v>
      </c>
      <c r="R1147" s="51"/>
      <c r="S1147" s="51"/>
      <c r="T1147" s="51"/>
      <c r="U1147" s="51"/>
      <c r="V1147" s="51"/>
      <c r="W1147" s="51"/>
      <c r="X1147" s="51"/>
      <c r="Y1147" s="51"/>
      <c r="Z1147" s="51"/>
      <c r="AA1147" s="51"/>
      <c r="AB1147" s="51"/>
      <c r="AC1147" s="51"/>
      <c r="AD1147" s="51"/>
      <c r="AE1147" t="s">
        <v>30</v>
      </c>
      <c r="AF1147" t="s">
        <v>90</v>
      </c>
      <c r="AG1147" t="s">
        <v>28</v>
      </c>
      <c r="AH1147" s="51"/>
      <c r="AI1147" s="51"/>
    </row>
    <row r="1148" spans="2:35">
      <c r="B1148" t="s">
        <v>785</v>
      </c>
      <c r="C1148" t="s">
        <v>3620</v>
      </c>
      <c r="D1148">
        <v>6</v>
      </c>
      <c r="E1148" t="s">
        <v>2793</v>
      </c>
      <c r="F1148">
        <v>5</v>
      </c>
      <c r="G1148">
        <v>12</v>
      </c>
      <c r="H1148">
        <v>16</v>
      </c>
      <c r="I1148" t="s">
        <v>786</v>
      </c>
      <c r="J1148" s="51">
        <v>41099</v>
      </c>
      <c r="K1148" t="s">
        <v>27</v>
      </c>
      <c r="L1148" t="s">
        <v>605</v>
      </c>
      <c r="M1148">
        <v>3</v>
      </c>
      <c r="N1148" t="str">
        <f>L1148</f>
        <v>NA/MB1049</v>
      </c>
      <c r="O1148" s="51">
        <f>J1148</f>
        <v>41099</v>
      </c>
      <c r="P1148" s="51" t="str">
        <f>C1148</f>
        <v>~/cdd/olddocs/Ayudas visuales/Micromini/MS/VA-MS-002 Rev A  USO DE CHECADOR DE ENGOMADO.pptx</v>
      </c>
      <c r="Q1148" s="51" t="str">
        <f>E1148</f>
        <v>pptx</v>
      </c>
      <c r="R1148" s="51"/>
      <c r="S1148" s="51"/>
      <c r="T1148" s="51"/>
      <c r="U1148" s="51"/>
      <c r="V1148" s="51"/>
      <c r="W1148" s="51"/>
      <c r="X1148" s="51"/>
      <c r="Y1148" s="51"/>
      <c r="Z1148" s="51"/>
      <c r="AA1148" s="51"/>
      <c r="AB1148" s="51"/>
      <c r="AC1148" s="51"/>
      <c r="AD1148" s="51"/>
      <c r="AE1148" t="s">
        <v>30</v>
      </c>
      <c r="AF1148" t="s">
        <v>90</v>
      </c>
      <c r="AG1148" t="s">
        <v>28</v>
      </c>
      <c r="AH1148" s="51"/>
      <c r="AI1148" s="51"/>
    </row>
    <row r="1149" spans="2:35">
      <c r="B1149" t="s">
        <v>787</v>
      </c>
      <c r="C1149" t="s">
        <v>3621</v>
      </c>
      <c r="D1149">
        <v>6</v>
      </c>
      <c r="E1149" t="s">
        <v>2793</v>
      </c>
      <c r="F1149">
        <v>5</v>
      </c>
      <c r="G1149">
        <v>12</v>
      </c>
      <c r="H1149">
        <v>16</v>
      </c>
      <c r="I1149" t="s">
        <v>788</v>
      </c>
      <c r="J1149" s="51">
        <v>41122</v>
      </c>
      <c r="K1149" t="s">
        <v>46</v>
      </c>
      <c r="L1149" t="s">
        <v>605</v>
      </c>
      <c r="M1149">
        <v>3</v>
      </c>
      <c r="N1149" t="str">
        <f>L1149</f>
        <v>NA/MB1049</v>
      </c>
      <c r="O1149" s="51">
        <f>J1149</f>
        <v>41122</v>
      </c>
      <c r="P1149" s="51" t="str">
        <f>C1149</f>
        <v>~/cdd/olddocs/Ayudas visuales/Micromini/MS/VA-MS-003 EB1147 Rev. B.pptx</v>
      </c>
      <c r="Q1149" s="51" t="str">
        <f>E1149</f>
        <v>pptx</v>
      </c>
      <c r="R1149" s="51"/>
      <c r="S1149" s="51"/>
      <c r="T1149" s="51"/>
      <c r="U1149" s="51"/>
      <c r="V1149" s="51"/>
      <c r="W1149" s="51"/>
      <c r="X1149" s="51"/>
      <c r="Y1149" s="51"/>
      <c r="Z1149" s="51"/>
      <c r="AA1149" s="51"/>
      <c r="AB1149" s="51"/>
      <c r="AC1149" s="51"/>
      <c r="AD1149" s="51"/>
      <c r="AE1149" t="s">
        <v>30</v>
      </c>
      <c r="AF1149" t="s">
        <v>90</v>
      </c>
      <c r="AG1149" t="s">
        <v>788</v>
      </c>
      <c r="AH1149" s="51"/>
      <c r="AI1149" s="51"/>
    </row>
    <row r="1150" spans="2:35">
      <c r="B1150" t="s">
        <v>841</v>
      </c>
      <c r="C1150" t="s">
        <v>3641</v>
      </c>
      <c r="D1150">
        <v>6</v>
      </c>
      <c r="E1150" t="s">
        <v>2793</v>
      </c>
      <c r="F1150">
        <v>5</v>
      </c>
      <c r="G1150">
        <v>12</v>
      </c>
      <c r="H1150">
        <v>18</v>
      </c>
      <c r="I1150" t="s">
        <v>842</v>
      </c>
      <c r="J1150" s="51">
        <v>41102</v>
      </c>
      <c r="K1150" t="s">
        <v>159</v>
      </c>
      <c r="L1150" t="s">
        <v>605</v>
      </c>
      <c r="M1150">
        <v>3</v>
      </c>
      <c r="N1150" t="str">
        <f>L1150</f>
        <v>NA/MB1049</v>
      </c>
      <c r="O1150" s="51">
        <f>J1150</f>
        <v>41102</v>
      </c>
      <c r="P1150" s="51" t="str">
        <f>C1150</f>
        <v>~/cdd/olddocs/Ayudas visuales/Micromini/Potted/VA-POTT-001  Rev  C  Pegado de insert a shell.pptx</v>
      </c>
      <c r="Q1150" s="51" t="str">
        <f>E1150</f>
        <v>pptx</v>
      </c>
      <c r="R1150" s="51"/>
      <c r="S1150" s="51"/>
      <c r="T1150" s="51"/>
      <c r="U1150" s="51"/>
      <c r="V1150" s="51"/>
      <c r="W1150" s="51"/>
      <c r="X1150" s="51"/>
      <c r="Y1150" s="51"/>
      <c r="Z1150" s="51"/>
      <c r="AA1150" s="51"/>
      <c r="AB1150" s="51"/>
      <c r="AC1150" s="51"/>
      <c r="AD1150" s="51"/>
      <c r="AE1150" t="s">
        <v>30</v>
      </c>
      <c r="AF1150" t="s">
        <v>90</v>
      </c>
      <c r="AG1150" t="s">
        <v>28</v>
      </c>
      <c r="AH1150" s="51"/>
      <c r="AI1150" s="51"/>
    </row>
    <row r="1151" spans="2:35">
      <c r="B1151" t="s">
        <v>843</v>
      </c>
      <c r="C1151" t="s">
        <v>3642</v>
      </c>
      <c r="D1151">
        <v>6</v>
      </c>
      <c r="E1151" t="s">
        <v>2793</v>
      </c>
      <c r="F1151">
        <v>5</v>
      </c>
      <c r="G1151">
        <v>12</v>
      </c>
      <c r="H1151">
        <v>18</v>
      </c>
      <c r="I1151" t="s">
        <v>844</v>
      </c>
      <c r="J1151" s="51">
        <v>41197</v>
      </c>
      <c r="K1151" t="s">
        <v>46</v>
      </c>
      <c r="L1151" t="s">
        <v>605</v>
      </c>
      <c r="M1151">
        <v>3</v>
      </c>
      <c r="N1151" t="str">
        <f>L1151</f>
        <v>NA/MB1049</v>
      </c>
      <c r="O1151" s="51">
        <f>J1151</f>
        <v>41197</v>
      </c>
      <c r="P1151" s="51" t="str">
        <f>C1151</f>
        <v>~/cdd/olddocs/Ayudas visuales/Micromini/Potted/VA-POTT-002 Encapsulado con epoxy Rev B.pptx</v>
      </c>
      <c r="Q1151" s="51" t="str">
        <f>E1151</f>
        <v>pptx</v>
      </c>
      <c r="R1151" s="51"/>
      <c r="S1151" s="51"/>
      <c r="T1151" s="51"/>
      <c r="U1151" s="51"/>
      <c r="V1151" s="51"/>
      <c r="W1151" s="51"/>
      <c r="X1151" s="51"/>
      <c r="Y1151" s="51"/>
      <c r="Z1151" s="51"/>
      <c r="AA1151" s="51"/>
      <c r="AB1151" s="51"/>
      <c r="AC1151" s="51"/>
      <c r="AD1151" s="51"/>
      <c r="AE1151" t="s">
        <v>30</v>
      </c>
      <c r="AF1151" t="s">
        <v>90</v>
      </c>
      <c r="AG1151" t="s">
        <v>28</v>
      </c>
      <c r="AH1151" s="51"/>
      <c r="AI1151" s="51"/>
    </row>
    <row r="1152" spans="2:35">
      <c r="B1152" t="s">
        <v>849</v>
      </c>
      <c r="C1152" t="s">
        <v>3644</v>
      </c>
      <c r="D1152">
        <v>6</v>
      </c>
      <c r="E1152" t="s">
        <v>2793</v>
      </c>
      <c r="F1152">
        <v>5</v>
      </c>
      <c r="G1152">
        <v>12</v>
      </c>
      <c r="H1152">
        <v>20</v>
      </c>
      <c r="I1152" t="s">
        <v>850</v>
      </c>
      <c r="J1152" s="51">
        <v>41095</v>
      </c>
      <c r="K1152" t="s">
        <v>27</v>
      </c>
      <c r="L1152" t="s">
        <v>605</v>
      </c>
      <c r="M1152">
        <v>3</v>
      </c>
      <c r="N1152" t="str">
        <f>L1152</f>
        <v>NA/MB1049</v>
      </c>
      <c r="O1152" s="51">
        <f>J1152</f>
        <v>41095</v>
      </c>
      <c r="P1152" s="51" t="str">
        <f>C1152</f>
        <v>~/cdd/olddocs/Ayudas visuales/Micromini/Rocwell/VA-ROCK-001 Rev A ENGOMADO DE  RONDANA.pptx</v>
      </c>
      <c r="Q1152" s="51" t="str">
        <f>E1152</f>
        <v>pptx</v>
      </c>
      <c r="R1152" s="51"/>
      <c r="S1152" s="51"/>
      <c r="T1152" s="51"/>
      <c r="U1152" s="51"/>
      <c r="V1152" s="51"/>
      <c r="W1152" s="51"/>
      <c r="X1152" s="51"/>
      <c r="Y1152" s="51"/>
      <c r="Z1152" s="51"/>
      <c r="AA1152" s="51"/>
      <c r="AB1152" s="51"/>
      <c r="AC1152" s="51"/>
      <c r="AD1152" s="51"/>
      <c r="AE1152" t="s">
        <v>30</v>
      </c>
      <c r="AF1152" t="s">
        <v>601</v>
      </c>
      <c r="AG1152" t="s">
        <v>851</v>
      </c>
      <c r="AH1152" s="51"/>
      <c r="AI1152" s="51"/>
    </row>
    <row r="1153" spans="2:35">
      <c r="B1153" t="s">
        <v>2779</v>
      </c>
      <c r="C1153" t="s">
        <v>3553</v>
      </c>
      <c r="D1153">
        <v>6</v>
      </c>
      <c r="E1153" t="s">
        <v>2796</v>
      </c>
      <c r="F1153">
        <v>5</v>
      </c>
      <c r="G1153">
        <v>34</v>
      </c>
      <c r="H1153">
        <v>25</v>
      </c>
      <c r="I1153" t="s">
        <v>2780</v>
      </c>
      <c r="J1153" s="51">
        <v>41092</v>
      </c>
      <c r="K1153" t="s">
        <v>159</v>
      </c>
      <c r="L1153" t="s">
        <v>2427</v>
      </c>
      <c r="M1153">
        <v>3</v>
      </c>
      <c r="N1153" t="str">
        <f>L1153</f>
        <v>NAM\MB1911</v>
      </c>
      <c r="O1153" s="51">
        <f>J1153</f>
        <v>41092</v>
      </c>
      <c r="P1153" s="51" t="str">
        <f>C1153</f>
        <v>~/cdd/olddocs/Ayudas visuales/Camarillo/Salem/VA-SALM-001 Rev C CABLE ASSY A1-330-0000  PART A1-330-0080.ppt</v>
      </c>
      <c r="Q1153" s="51" t="str">
        <f>E1153</f>
        <v>ppt</v>
      </c>
      <c r="R1153" s="51"/>
      <c r="S1153" s="51"/>
      <c r="T1153" s="51"/>
      <c r="U1153" s="51"/>
      <c r="V1153" s="51"/>
      <c r="W1153" s="51"/>
      <c r="X1153" s="51"/>
      <c r="Y1153" s="51"/>
      <c r="Z1153" s="51"/>
      <c r="AA1153" s="51"/>
      <c r="AB1153" s="51"/>
      <c r="AC1153" s="51"/>
      <c r="AD1153" s="51"/>
      <c r="AE1153" t="s">
        <v>30</v>
      </c>
      <c r="AF1153" t="s">
        <v>479</v>
      </c>
      <c r="AG1153" t="s">
        <v>2781</v>
      </c>
      <c r="AH1153" s="51"/>
      <c r="AI1153" s="51"/>
    </row>
    <row r="1154" spans="2:35">
      <c r="B1154" t="s">
        <v>109</v>
      </c>
      <c r="C1154" t="s">
        <v>3457</v>
      </c>
      <c r="D1154">
        <v>6</v>
      </c>
      <c r="E1154" t="s">
        <v>2796</v>
      </c>
      <c r="F1154">
        <v>5</v>
      </c>
      <c r="G1154">
        <v>6</v>
      </c>
      <c r="H1154">
        <v>14</v>
      </c>
      <c r="I1154" t="s">
        <v>110</v>
      </c>
      <c r="J1154" s="51">
        <v>41102</v>
      </c>
      <c r="K1154" t="s">
        <v>46</v>
      </c>
      <c r="L1154" t="s">
        <v>63</v>
      </c>
      <c r="M1154">
        <v>3</v>
      </c>
      <c r="N1154" t="str">
        <f>L1154</f>
        <v>NAM\D6B1B</v>
      </c>
      <c r="O1154" s="51">
        <f>J1154</f>
        <v>41102</v>
      </c>
      <c r="P1154" s="51" t="str">
        <f>C1154</f>
        <v>~/cdd/olddocs/Ayudas visuales/Avenal-Solar/VA-SOL-001  Rev. B  Proceso ensamble del area de solar IC-A61-N1.ppt</v>
      </c>
      <c r="Q1154" s="51" t="str">
        <f>E1154</f>
        <v>ppt</v>
      </c>
      <c r="R1154" s="51"/>
      <c r="S1154" s="51"/>
      <c r="T1154" s="51"/>
      <c r="U1154" s="51"/>
      <c r="V1154" s="51"/>
      <c r="W1154" s="51"/>
      <c r="X1154" s="51"/>
      <c r="Y1154" s="51"/>
      <c r="Z1154" s="51"/>
      <c r="AA1154" s="51"/>
      <c r="AB1154" s="51"/>
      <c r="AC1154" s="51"/>
      <c r="AD1154" s="51"/>
      <c r="AE1154" t="s">
        <v>101</v>
      </c>
      <c r="AF1154" t="s">
        <v>97</v>
      </c>
      <c r="AG1154" t="s">
        <v>111</v>
      </c>
      <c r="AH1154" s="51"/>
      <c r="AI1154" s="51"/>
    </row>
    <row r="1155" spans="2:35">
      <c r="B1155" t="s">
        <v>112</v>
      </c>
      <c r="C1155" t="s">
        <v>3458</v>
      </c>
      <c r="D1155">
        <v>6</v>
      </c>
      <c r="E1155" t="s">
        <v>2793</v>
      </c>
      <c r="F1155">
        <v>5</v>
      </c>
      <c r="G1155">
        <v>6</v>
      </c>
      <c r="H1155">
        <v>14</v>
      </c>
      <c r="I1155" t="s">
        <v>110</v>
      </c>
      <c r="J1155" s="51">
        <v>41106</v>
      </c>
      <c r="K1155" t="s">
        <v>46</v>
      </c>
      <c r="L1155" t="s">
        <v>63</v>
      </c>
      <c r="M1155">
        <v>3</v>
      </c>
      <c r="N1155" t="str">
        <f>L1155</f>
        <v>NAM\D6B1B</v>
      </c>
      <c r="O1155" s="51">
        <f>J1155</f>
        <v>41106</v>
      </c>
      <c r="P1155" s="51" t="str">
        <f>C1155</f>
        <v>~/cdd/olddocs/Ayudas visuales/Avenal-Solar/VA-SOL-002  Rev .B Proceso ensamble del area de solar IC-A61-N2 .pptx</v>
      </c>
      <c r="Q1155" s="51" t="str">
        <f>E1155</f>
        <v>pptx</v>
      </c>
      <c r="R1155" s="51"/>
      <c r="S1155" s="51"/>
      <c r="T1155" s="51"/>
      <c r="U1155" s="51"/>
      <c r="V1155" s="51"/>
      <c r="W1155" s="51"/>
      <c r="X1155" s="51"/>
      <c r="Y1155" s="51"/>
      <c r="Z1155" s="51"/>
      <c r="AA1155" s="51"/>
      <c r="AB1155" s="51"/>
      <c r="AC1155" s="51"/>
      <c r="AD1155" s="51"/>
      <c r="AE1155" t="s">
        <v>101</v>
      </c>
      <c r="AF1155" t="s">
        <v>97</v>
      </c>
      <c r="AG1155" t="s">
        <v>113</v>
      </c>
      <c r="AH1155" s="51"/>
      <c r="AI1155" s="51"/>
    </row>
    <row r="1156" spans="2:35">
      <c r="B1156" t="s">
        <v>114</v>
      </c>
      <c r="C1156" t="s">
        <v>3456</v>
      </c>
      <c r="D1156">
        <v>6</v>
      </c>
      <c r="E1156" t="s">
        <v>2793</v>
      </c>
      <c r="F1156">
        <v>5</v>
      </c>
      <c r="G1156">
        <v>6</v>
      </c>
      <c r="H1156">
        <v>14</v>
      </c>
      <c r="I1156" t="s">
        <v>110</v>
      </c>
      <c r="J1156" s="51">
        <v>41106</v>
      </c>
      <c r="K1156" t="s">
        <v>46</v>
      </c>
      <c r="L1156" t="s">
        <v>63</v>
      </c>
      <c r="M1156">
        <v>3</v>
      </c>
      <c r="N1156" t="str">
        <f>L1156</f>
        <v>NAM\D6B1B</v>
      </c>
      <c r="O1156" s="51">
        <f>J1156</f>
        <v>41106</v>
      </c>
      <c r="P1156" s="51" t="str">
        <f>C1156</f>
        <v>~/cdd/olddocs/Ayudas visuales/Avenal-Solar/VA-SOL- 003 Rev .B  Proceso ensamble del area de solar IC-A61-P2.pptx</v>
      </c>
      <c r="Q1156" s="51" t="str">
        <f>E1156</f>
        <v>pptx</v>
      </c>
      <c r="R1156" s="51"/>
      <c r="S1156" s="51"/>
      <c r="T1156" s="51"/>
      <c r="U1156" s="51"/>
      <c r="V1156" s="51"/>
      <c r="W1156" s="51"/>
      <c r="X1156" s="51"/>
      <c r="Y1156" s="51"/>
      <c r="Z1156" s="51"/>
      <c r="AA1156" s="51"/>
      <c r="AB1156" s="51"/>
      <c r="AC1156" s="51"/>
      <c r="AD1156" s="51"/>
      <c r="AE1156" t="s">
        <v>101</v>
      </c>
      <c r="AF1156" t="s">
        <v>97</v>
      </c>
      <c r="AG1156" t="s">
        <v>115</v>
      </c>
      <c r="AH1156" s="51"/>
      <c r="AI1156" s="51"/>
    </row>
    <row r="1157" spans="2:35">
      <c r="B1157" t="s">
        <v>116</v>
      </c>
      <c r="C1157" t="s">
        <v>3459</v>
      </c>
      <c r="D1157">
        <v>6</v>
      </c>
      <c r="E1157" t="s">
        <v>2793</v>
      </c>
      <c r="F1157">
        <v>5</v>
      </c>
      <c r="G1157">
        <v>6</v>
      </c>
      <c r="H1157">
        <v>14</v>
      </c>
      <c r="I1157" t="s">
        <v>110</v>
      </c>
      <c r="J1157" s="51">
        <v>41106</v>
      </c>
      <c r="K1157" t="s">
        <v>46</v>
      </c>
      <c r="L1157" t="s">
        <v>63</v>
      </c>
      <c r="M1157">
        <v>3</v>
      </c>
      <c r="N1157" t="str">
        <f>L1157</f>
        <v>NAM\D6B1B</v>
      </c>
      <c r="O1157" s="51">
        <f>J1157</f>
        <v>41106</v>
      </c>
      <c r="P1157" s="51" t="str">
        <f>C1157</f>
        <v>~/cdd/olddocs/Ayudas visuales/Avenal-Solar/VA-SOL-004  Rev. B Proceso ensamble del area de solar IC-A61-P1.pptx</v>
      </c>
      <c r="Q1157" s="51" t="str">
        <f>E1157</f>
        <v>pptx</v>
      </c>
      <c r="R1157" s="51"/>
      <c r="S1157" s="51"/>
      <c r="T1157" s="51"/>
      <c r="U1157" s="51"/>
      <c r="V1157" s="51"/>
      <c r="W1157" s="51"/>
      <c r="X1157" s="51"/>
      <c r="Y1157" s="51"/>
      <c r="Z1157" s="51"/>
      <c r="AA1157" s="51"/>
      <c r="AB1157" s="51"/>
      <c r="AC1157" s="51"/>
      <c r="AD1157" s="51"/>
      <c r="AE1157" t="s">
        <v>101</v>
      </c>
      <c r="AF1157" t="s">
        <v>97</v>
      </c>
      <c r="AG1157" t="s">
        <v>117</v>
      </c>
      <c r="AH1157" s="51"/>
      <c r="AI1157" s="51"/>
    </row>
    <row r="1158" spans="2:35">
      <c r="B1158" t="s">
        <v>118</v>
      </c>
      <c r="C1158" t="s">
        <v>3460</v>
      </c>
      <c r="D1158">
        <v>6</v>
      </c>
      <c r="E1158" t="s">
        <v>2793</v>
      </c>
      <c r="F1158">
        <v>5</v>
      </c>
      <c r="G1158">
        <v>6</v>
      </c>
      <c r="H1158">
        <v>14</v>
      </c>
      <c r="I1158" t="s">
        <v>119</v>
      </c>
      <c r="J1158" s="51">
        <v>41107</v>
      </c>
      <c r="K1158" t="s">
        <v>27</v>
      </c>
      <c r="L1158" t="s">
        <v>63</v>
      </c>
      <c r="M1158">
        <v>3</v>
      </c>
      <c r="N1158" t="str">
        <f>L1158</f>
        <v>NAM\D6B1B</v>
      </c>
      <c r="O1158" s="51">
        <f>J1158</f>
        <v>41107</v>
      </c>
      <c r="P1158" s="51" t="str">
        <f>C1158</f>
        <v>~/cdd/olddocs/Ayudas visuales/Avenal-Solar/VA-SOL-005 Rev. A Proyecto NEDCO area de Solar.pptx</v>
      </c>
      <c r="Q1158" s="51" t="str">
        <f>E1158</f>
        <v>pptx</v>
      </c>
      <c r="R1158" s="51"/>
      <c r="S1158" s="51"/>
      <c r="T1158" s="51"/>
      <c r="U1158" s="51"/>
      <c r="V1158" s="51"/>
      <c r="W1158" s="51"/>
      <c r="X1158" s="51"/>
      <c r="Y1158" s="51"/>
      <c r="Z1158" s="51"/>
      <c r="AA1158" s="51"/>
      <c r="AB1158" s="51"/>
      <c r="AC1158" s="51"/>
      <c r="AD1158" s="51"/>
      <c r="AE1158" t="s">
        <v>120</v>
      </c>
      <c r="AF1158" t="s">
        <v>97</v>
      </c>
      <c r="AG1158" t="s">
        <v>28</v>
      </c>
      <c r="AH1158" s="51"/>
      <c r="AI1158" s="51"/>
    </row>
    <row r="1159" spans="2:35">
      <c r="B1159" t="s">
        <v>121</v>
      </c>
      <c r="C1159" t="s">
        <v>3783</v>
      </c>
      <c r="D1159">
        <v>6</v>
      </c>
      <c r="E1159" t="s">
        <v>2796</v>
      </c>
      <c r="F1159">
        <v>5</v>
      </c>
      <c r="G1159">
        <v>6</v>
      </c>
      <c r="H1159">
        <v>14</v>
      </c>
      <c r="I1159" t="s">
        <v>122</v>
      </c>
      <c r="J1159" s="51">
        <v>41184</v>
      </c>
      <c r="K1159" t="s">
        <v>27</v>
      </c>
      <c r="L1159" t="s">
        <v>63</v>
      </c>
      <c r="M1159">
        <v>3</v>
      </c>
      <c r="N1159" t="str">
        <f>L1159</f>
        <v>NAM\D6B1B</v>
      </c>
      <c r="O1159" s="51">
        <f>J1159</f>
        <v>41184</v>
      </c>
      <c r="P1159" s="51" t="str">
        <f>C1159</f>
        <v>~cdd/olddocs/Ayudas visuales/Avenal-Solar/VA-SOL-006 Rev A Ensamble para IC-B46-SF6-XXXX proyecto AMEC.ppt</v>
      </c>
      <c r="Q1159" s="51" t="str">
        <f>E1159</f>
        <v>ppt</v>
      </c>
      <c r="R1159" s="51"/>
      <c r="S1159" s="51"/>
      <c r="T1159" s="51"/>
      <c r="U1159" s="51"/>
      <c r="V1159" s="51"/>
      <c r="W1159" s="51"/>
      <c r="X1159" s="51"/>
      <c r="Y1159" s="51"/>
      <c r="Z1159" s="51"/>
      <c r="AA1159" s="51"/>
      <c r="AB1159" s="51"/>
      <c r="AC1159" s="51"/>
      <c r="AD1159" s="51"/>
      <c r="AE1159" t="s">
        <v>124</v>
      </c>
      <c r="AF1159" t="s">
        <v>97</v>
      </c>
      <c r="AG1159" t="s">
        <v>123</v>
      </c>
      <c r="AH1159" s="51"/>
      <c r="AI1159" s="51"/>
    </row>
    <row r="1160" spans="2:35">
      <c r="B1160" t="s">
        <v>125</v>
      </c>
      <c r="C1160" t="s">
        <v>3784</v>
      </c>
      <c r="D1160">
        <v>6</v>
      </c>
      <c r="E1160" t="s">
        <v>2796</v>
      </c>
      <c r="F1160">
        <v>5</v>
      </c>
      <c r="G1160">
        <v>6</v>
      </c>
      <c r="H1160">
        <v>14</v>
      </c>
      <c r="I1160" t="s">
        <v>126</v>
      </c>
      <c r="J1160" s="51">
        <v>41184</v>
      </c>
      <c r="K1160" t="s">
        <v>27</v>
      </c>
      <c r="L1160" t="s">
        <v>63</v>
      </c>
      <c r="M1160">
        <v>3</v>
      </c>
      <c r="N1160" t="str">
        <f>L1160</f>
        <v>NAM\D6B1B</v>
      </c>
      <c r="O1160" s="51">
        <f>J1160</f>
        <v>41184</v>
      </c>
      <c r="P1160" s="51" t="str">
        <f>C1160</f>
        <v>~cdd/olddocs/Ayudas visuales/Avenal-Solar/VA-SOL-007 Rev A CORTE DE CABLE PARA IC-B46-SF6-B5N2.ppt</v>
      </c>
      <c r="Q1160" s="51" t="str">
        <f>E1160</f>
        <v>ppt</v>
      </c>
      <c r="R1160" s="51"/>
      <c r="S1160" s="51"/>
      <c r="T1160" s="51"/>
      <c r="U1160" s="51"/>
      <c r="V1160" s="51"/>
      <c r="W1160" s="51"/>
      <c r="X1160" s="51"/>
      <c r="Y1160" s="51"/>
      <c r="Z1160" s="51"/>
      <c r="AA1160" s="51"/>
      <c r="AB1160" s="51"/>
      <c r="AC1160" s="51"/>
      <c r="AD1160" s="51"/>
      <c r="AE1160" t="s">
        <v>101</v>
      </c>
      <c r="AF1160" t="s">
        <v>97</v>
      </c>
      <c r="AG1160" t="s">
        <v>127</v>
      </c>
      <c r="AH1160" s="51"/>
      <c r="AI1160" s="51"/>
    </row>
  </sheetData>
  <sortState ref="A2:AO1160">
    <sortCondition ref="B2:B1160"/>
  </sortState>
  <hyperlinks>
    <hyperlink ref="C1013" r:id="rId1" display="\\chno0276\Aseguranza de Calidad\Control de Documentos\Doc. controlados PDF\Control Plans\MICROMINI\CELDA A&amp;B\CP-A&amp;B-040  AM2C2MG030F, AM3C2MG030F, AM4C2MG030F, AM5C2MG030F.pdf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AI1159"/>
  <sheetViews>
    <sheetView tabSelected="1" workbookViewId="0">
      <selection sqref="A1:XFD1048576"/>
    </sheetView>
  </sheetViews>
  <sheetFormatPr defaultRowHeight="15"/>
  <cols>
    <col min="2" max="2" width="27.5703125" bestFit="1" customWidth="1"/>
    <col min="3" max="3" width="213" bestFit="1" customWidth="1"/>
    <col min="9" max="9" width="255.7109375" bestFit="1" customWidth="1"/>
    <col min="10" max="10" width="10.7109375" style="51" bestFit="1" customWidth="1"/>
    <col min="15" max="15" width="10.7109375" bestFit="1" customWidth="1"/>
    <col min="16" max="30" width="10.7109375" customWidth="1"/>
    <col min="34" max="35" width="10.7109375" customWidth="1"/>
  </cols>
  <sheetData>
    <row r="1" spans="2:35">
      <c r="B1" t="s">
        <v>264</v>
      </c>
      <c r="C1" t="s">
        <v>3381</v>
      </c>
      <c r="D1">
        <v>3</v>
      </c>
      <c r="E1" t="s">
        <v>2791</v>
      </c>
      <c r="F1">
        <v>9</v>
      </c>
      <c r="G1">
        <v>23</v>
      </c>
      <c r="I1" t="s">
        <v>269</v>
      </c>
      <c r="J1" s="51">
        <v>40962</v>
      </c>
      <c r="K1" t="s">
        <v>159</v>
      </c>
      <c r="L1" t="s">
        <v>222</v>
      </c>
      <c r="M1">
        <v>3</v>
      </c>
      <c r="N1" t="str">
        <f>L1</f>
        <v>NAM\MA9769</v>
      </c>
      <c r="O1" s="51">
        <f>J1</f>
        <v>40962</v>
      </c>
      <c r="P1" s="51" t="str">
        <f>C1</f>
        <v>~/cdd/olddocs/Procedimientos/CNSOP-01 Control de Documentos del sistema de Calidad.pdf</v>
      </c>
      <c r="Q1" s="51" t="str">
        <f>E1</f>
        <v>pdf</v>
      </c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G1" t="s">
        <v>28</v>
      </c>
      <c r="AH1" s="51"/>
      <c r="AI1" s="51"/>
    </row>
    <row r="2" spans="2:35">
      <c r="B2" t="s">
        <v>270</v>
      </c>
      <c r="C2" t="s">
        <v>3382</v>
      </c>
      <c r="D2">
        <v>3</v>
      </c>
      <c r="E2" t="s">
        <v>2791</v>
      </c>
      <c r="F2">
        <v>9</v>
      </c>
      <c r="G2">
        <v>23</v>
      </c>
      <c r="I2" t="s">
        <v>271</v>
      </c>
      <c r="J2" s="51">
        <v>40949</v>
      </c>
      <c r="K2" t="s">
        <v>38</v>
      </c>
      <c r="L2" t="s">
        <v>222</v>
      </c>
      <c r="M2">
        <v>3</v>
      </c>
      <c r="N2" t="str">
        <f>L2</f>
        <v>NAM\MA9769</v>
      </c>
      <c r="O2" s="51">
        <f>J2</f>
        <v>40949</v>
      </c>
      <c r="P2" s="51" t="str">
        <f>C2</f>
        <v>~/cdd/olddocs/Procedimientos/CNSOP-02 Control de Registros de Calidad.pdf</v>
      </c>
      <c r="Q2" s="51" t="str">
        <f>E2</f>
        <v>pdf</v>
      </c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G2" t="s">
        <v>28</v>
      </c>
      <c r="AH2" s="51"/>
      <c r="AI2" s="51"/>
    </row>
    <row r="3" spans="2:35">
      <c r="B3" t="s">
        <v>272</v>
      </c>
      <c r="C3" t="s">
        <v>3383</v>
      </c>
      <c r="D3">
        <v>3</v>
      </c>
      <c r="E3" t="s">
        <v>2791</v>
      </c>
      <c r="F3">
        <v>9</v>
      </c>
      <c r="G3">
        <v>23</v>
      </c>
      <c r="I3" t="s">
        <v>273</v>
      </c>
      <c r="J3" s="51">
        <v>40959</v>
      </c>
      <c r="K3" t="s">
        <v>159</v>
      </c>
      <c r="L3" t="s">
        <v>222</v>
      </c>
      <c r="M3">
        <v>3</v>
      </c>
      <c r="N3" t="str">
        <f>L3</f>
        <v>NAM\MA9769</v>
      </c>
      <c r="O3" s="51">
        <f>J3</f>
        <v>40959</v>
      </c>
      <c r="P3" s="51" t="str">
        <f>C3</f>
        <v>~/cdd/olddocs/Procedimientos/CNSOP-03 Auditorias Internas.pdf</v>
      </c>
      <c r="Q3" s="51" t="str">
        <f>E3</f>
        <v>pdf</v>
      </c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G3" t="s">
        <v>28</v>
      </c>
      <c r="AH3" s="51"/>
      <c r="AI3" s="51"/>
    </row>
    <row r="4" spans="2:35">
      <c r="B4" t="s">
        <v>274</v>
      </c>
      <c r="C4" t="s">
        <v>3384</v>
      </c>
      <c r="D4">
        <v>3</v>
      </c>
      <c r="E4" t="s">
        <v>2791</v>
      </c>
      <c r="F4">
        <v>9</v>
      </c>
      <c r="G4">
        <v>23</v>
      </c>
      <c r="I4" t="s">
        <v>275</v>
      </c>
      <c r="J4" s="51">
        <v>40857</v>
      </c>
      <c r="K4" t="s">
        <v>159</v>
      </c>
      <c r="L4" t="s">
        <v>222</v>
      </c>
      <c r="M4">
        <v>3</v>
      </c>
      <c r="N4" t="str">
        <f>L4</f>
        <v>NAM\MA9769</v>
      </c>
      <c r="O4" s="51">
        <f>J4</f>
        <v>40857</v>
      </c>
      <c r="P4" s="51" t="str">
        <f>C4</f>
        <v>~/cdd/olddocs/Procedimientos/CNSOP-04 Manejo de material no conformante.pdf</v>
      </c>
      <c r="Q4" s="51" t="str">
        <f>E4</f>
        <v>pdf</v>
      </c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G4" t="s">
        <v>28</v>
      </c>
      <c r="AH4" s="51"/>
      <c r="AI4" s="51"/>
    </row>
    <row r="5" spans="2:35">
      <c r="B5" t="s">
        <v>276</v>
      </c>
      <c r="C5" t="s">
        <v>3385</v>
      </c>
      <c r="D5">
        <v>3</v>
      </c>
      <c r="E5" t="s">
        <v>2791</v>
      </c>
      <c r="F5">
        <v>9</v>
      </c>
      <c r="G5">
        <v>23</v>
      </c>
      <c r="I5" t="s">
        <v>277</v>
      </c>
      <c r="J5" s="51">
        <v>40939</v>
      </c>
      <c r="K5" t="s">
        <v>38</v>
      </c>
      <c r="L5" t="s">
        <v>222</v>
      </c>
      <c r="M5">
        <v>3</v>
      </c>
      <c r="N5" t="str">
        <f>L5</f>
        <v>NAM\MA9769</v>
      </c>
      <c r="O5" s="51">
        <f>J5</f>
        <v>40939</v>
      </c>
      <c r="P5" s="51" t="str">
        <f>C5</f>
        <v>~/cdd/olddocs/Procedimientos/CNSOP-05 Acciones Correctivas y Preventivas.pdf</v>
      </c>
      <c r="Q5" s="51" t="str">
        <f>E5</f>
        <v>pdf</v>
      </c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G5" t="s">
        <v>28</v>
      </c>
      <c r="AH5" s="51"/>
      <c r="AI5" s="51"/>
    </row>
    <row r="6" spans="2:35">
      <c r="B6" t="s">
        <v>219</v>
      </c>
      <c r="C6" t="s">
        <v>3243</v>
      </c>
      <c r="D6">
        <v>4</v>
      </c>
      <c r="E6" t="s">
        <v>2791</v>
      </c>
      <c r="F6">
        <v>4</v>
      </c>
      <c r="I6" t="s">
        <v>220</v>
      </c>
      <c r="J6" s="51">
        <v>40633</v>
      </c>
      <c r="K6" t="s">
        <v>27</v>
      </c>
      <c r="L6" t="s">
        <v>222</v>
      </c>
      <c r="M6">
        <v>3</v>
      </c>
      <c r="N6" t="str">
        <f>L6</f>
        <v>NAM\MA9769</v>
      </c>
      <c r="O6" s="51">
        <f>J6</f>
        <v>40633</v>
      </c>
      <c r="P6" s="51" t="str">
        <f>C6</f>
        <v>~/cdd/olddocs/Instructivos/CNWI-ENGI/CNWI-ENGI-0001 Control de Documentos y Datos.pdf</v>
      </c>
      <c r="Q6" s="51" t="str">
        <f>E6</f>
        <v>pdf</v>
      </c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G6" t="s">
        <v>28</v>
      </c>
      <c r="AH6" s="51"/>
      <c r="AI6" s="51"/>
    </row>
    <row r="7" spans="2:35">
      <c r="B7" t="s">
        <v>223</v>
      </c>
      <c r="C7" t="s">
        <v>3244</v>
      </c>
      <c r="D7">
        <v>4</v>
      </c>
      <c r="E7" t="s">
        <v>2791</v>
      </c>
      <c r="F7">
        <v>4</v>
      </c>
      <c r="I7" t="s">
        <v>224</v>
      </c>
      <c r="J7" s="51">
        <v>40633</v>
      </c>
      <c r="K7" t="s">
        <v>27</v>
      </c>
      <c r="L7" t="s">
        <v>222</v>
      </c>
      <c r="M7">
        <v>3</v>
      </c>
      <c r="N7" t="str">
        <f>L7</f>
        <v>NAM\MA9769</v>
      </c>
      <c r="O7" s="51">
        <f>J7</f>
        <v>40633</v>
      </c>
      <c r="P7" s="51" t="str">
        <f>C7</f>
        <v>~/cdd/olddocs/Instructivos/CNWI-ENGI/CNWI-ENGI-0002 Recibo y Distribuccion de dibujos.pdf</v>
      </c>
      <c r="Q7" s="51" t="str">
        <f>E7</f>
        <v>pdf</v>
      </c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G7" t="s">
        <v>28</v>
      </c>
      <c r="AH7" s="51"/>
      <c r="AI7" s="51"/>
    </row>
    <row r="8" spans="2:35">
      <c r="B8" t="s">
        <v>225</v>
      </c>
      <c r="C8" t="s">
        <v>3897</v>
      </c>
      <c r="D8">
        <v>4</v>
      </c>
      <c r="E8" t="s">
        <v>2791</v>
      </c>
      <c r="F8">
        <v>4</v>
      </c>
      <c r="I8" t="s">
        <v>226</v>
      </c>
      <c r="J8" s="51">
        <v>41114</v>
      </c>
      <c r="K8" t="s">
        <v>159</v>
      </c>
      <c r="L8" t="s">
        <v>222</v>
      </c>
      <c r="M8">
        <v>3</v>
      </c>
      <c r="N8" t="str">
        <f>L8</f>
        <v>NAM\MA9769</v>
      </c>
      <c r="O8" s="51">
        <f>J8</f>
        <v>41114</v>
      </c>
      <c r="P8" s="51" t="str">
        <f>C8</f>
        <v>~cdd/olddocs/Instructivos/CNWI-ENGI/CNWI-ENGI-0003 Cambios de Ingeniería _ECR-ECN_.pdf</v>
      </c>
      <c r="Q8" s="51" t="str">
        <f>E8</f>
        <v>pdf</v>
      </c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G8" t="s">
        <v>28</v>
      </c>
      <c r="AH8" s="51"/>
      <c r="AI8" s="51"/>
    </row>
    <row r="9" spans="2:35">
      <c r="B9" t="s">
        <v>1885</v>
      </c>
      <c r="C9" t="s">
        <v>3245</v>
      </c>
      <c r="D9">
        <v>4</v>
      </c>
      <c r="E9" t="s">
        <v>2791</v>
      </c>
      <c r="F9">
        <v>4</v>
      </c>
      <c r="I9" t="s">
        <v>1886</v>
      </c>
      <c r="J9" s="51">
        <v>40632</v>
      </c>
      <c r="K9" t="s">
        <v>27</v>
      </c>
      <c r="L9" t="s">
        <v>1888</v>
      </c>
      <c r="M9">
        <v>3</v>
      </c>
      <c r="N9" t="str">
        <f>L9</f>
        <v>NAM\MA7784</v>
      </c>
      <c r="O9" s="51">
        <f>J9</f>
        <v>40632</v>
      </c>
      <c r="P9" s="51" t="str">
        <f>C9</f>
        <v>~/cdd/olddocs/Instructivos/CNWI-ENGI/CNWI-ENGI-0004 Elaboración de Instrucciones de Trabajo INGENIERIA (WI).pdf</v>
      </c>
      <c r="Q9" s="51" t="str">
        <f>E9</f>
        <v>pdf</v>
      </c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G9" t="s">
        <v>28</v>
      </c>
      <c r="AH9" s="51"/>
      <c r="AI9" s="51"/>
    </row>
    <row r="10" spans="2:35">
      <c r="B10" t="s">
        <v>1889</v>
      </c>
      <c r="C10" t="s">
        <v>3246</v>
      </c>
      <c r="D10">
        <v>4</v>
      </c>
      <c r="E10" t="s">
        <v>2791</v>
      </c>
      <c r="F10">
        <v>4</v>
      </c>
      <c r="I10" t="s">
        <v>1890</v>
      </c>
      <c r="J10" s="51">
        <v>40731</v>
      </c>
      <c r="K10" t="s">
        <v>27</v>
      </c>
      <c r="L10" t="s">
        <v>1888</v>
      </c>
      <c r="M10">
        <v>3</v>
      </c>
      <c r="N10" t="str">
        <f>L10</f>
        <v>NAM\MA7784</v>
      </c>
      <c r="O10" s="51">
        <f>J10</f>
        <v>40731</v>
      </c>
      <c r="P10" s="51" t="str">
        <f>C10</f>
        <v>~/cdd/olddocs/Instructivos/CNWI-ENGI/CNWI-ENGI-0005 Maquina Moldeadora Auto-Jectors Modelo HS35-S.pdf</v>
      </c>
      <c r="Q10" s="51" t="str">
        <f>E10</f>
        <v>pdf</v>
      </c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G10" t="s">
        <v>28</v>
      </c>
      <c r="AH10" s="51"/>
      <c r="AI10" s="51"/>
    </row>
    <row r="11" spans="2:35">
      <c r="B11" t="s">
        <v>1891</v>
      </c>
      <c r="C11" t="s">
        <v>3247</v>
      </c>
      <c r="D11">
        <v>4</v>
      </c>
      <c r="E11" t="s">
        <v>2791</v>
      </c>
      <c r="F11">
        <v>4</v>
      </c>
      <c r="I11" t="s">
        <v>1892</v>
      </c>
      <c r="J11" s="51">
        <v>41074</v>
      </c>
      <c r="K11" t="s">
        <v>159</v>
      </c>
      <c r="L11" t="s">
        <v>1888</v>
      </c>
      <c r="M11">
        <v>3</v>
      </c>
      <c r="N11" t="str">
        <f>L11</f>
        <v>NAM\MA7784</v>
      </c>
      <c r="O11" s="51">
        <f>J11</f>
        <v>41074</v>
      </c>
      <c r="P11" s="51" t="str">
        <f>C11</f>
        <v>~/cdd/olddocs/Instructivos/CNWI-ENGI/CNWI-ENGI-0006 Preparación y Aplicación de la goma  (Chemlok).pdf</v>
      </c>
      <c r="Q11" s="51" t="str">
        <f>E11</f>
        <v>pdf</v>
      </c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G11" t="s">
        <v>28</v>
      </c>
      <c r="AH11" s="51"/>
      <c r="AI11" s="51"/>
    </row>
    <row r="12" spans="2:35">
      <c r="B12" t="s">
        <v>59</v>
      </c>
      <c r="C12" t="s">
        <v>3248</v>
      </c>
      <c r="D12">
        <v>4</v>
      </c>
      <c r="E12" t="s">
        <v>2791</v>
      </c>
      <c r="F12">
        <v>4</v>
      </c>
      <c r="I12" t="s">
        <v>61</v>
      </c>
      <c r="J12" s="51">
        <v>41061</v>
      </c>
      <c r="K12" t="s">
        <v>27</v>
      </c>
      <c r="L12" t="s">
        <v>63</v>
      </c>
      <c r="M12">
        <v>3</v>
      </c>
      <c r="N12" t="str">
        <f>L12</f>
        <v>NAM\D6B1B</v>
      </c>
      <c r="O12" s="51">
        <f>J12</f>
        <v>41061</v>
      </c>
      <c r="P12" s="51" t="str">
        <f>C12</f>
        <v>~/cdd/olddocs/Instructivos/CNWI-ENGI/CNWI-ENGI-0007 Maquina remachado de solar.pdf</v>
      </c>
      <c r="Q12" s="51" t="str">
        <f>E12</f>
        <v>pdf</v>
      </c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G12" t="s">
        <v>28</v>
      </c>
      <c r="AH12" s="51"/>
      <c r="AI12" s="51"/>
    </row>
    <row r="13" spans="2:35">
      <c r="B13" t="s">
        <v>1893</v>
      </c>
      <c r="C13" t="s">
        <v>3249</v>
      </c>
      <c r="D13">
        <v>4</v>
      </c>
      <c r="E13" t="s">
        <v>2791</v>
      </c>
      <c r="F13">
        <v>4</v>
      </c>
      <c r="I13" t="s">
        <v>1894</v>
      </c>
      <c r="J13" s="51">
        <v>40634</v>
      </c>
      <c r="K13" t="s">
        <v>27</v>
      </c>
      <c r="L13" t="s">
        <v>1888</v>
      </c>
      <c r="M13">
        <v>3</v>
      </c>
      <c r="N13" t="str">
        <f>L13</f>
        <v>NAM\MA7784</v>
      </c>
      <c r="O13" s="51">
        <f>J13</f>
        <v>40634</v>
      </c>
      <c r="P13" s="51" t="str">
        <f>C13</f>
        <v>~/cdd/olddocs/Instructivos/CNWI-ENGI/CNWI-ENGI-0008 Operación inserción manual de Contactos.pdf</v>
      </c>
      <c r="Q13" s="51" t="str">
        <f>E13</f>
        <v>pdf</v>
      </c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G13" t="s">
        <v>28</v>
      </c>
      <c r="AH13" s="51"/>
      <c r="AI13" s="51"/>
    </row>
    <row r="14" spans="2:35">
      <c r="B14" t="s">
        <v>1895</v>
      </c>
      <c r="C14" t="s">
        <v>3250</v>
      </c>
      <c r="D14">
        <v>4</v>
      </c>
      <c r="E14" t="s">
        <v>2791</v>
      </c>
      <c r="F14">
        <v>4</v>
      </c>
      <c r="I14" t="s">
        <v>1896</v>
      </c>
      <c r="J14" s="51">
        <v>40634</v>
      </c>
      <c r="K14" t="s">
        <v>27</v>
      </c>
      <c r="L14" t="s">
        <v>1888</v>
      </c>
      <c r="M14">
        <v>3</v>
      </c>
      <c r="N14" t="str">
        <f>L14</f>
        <v>NAM\MA7784</v>
      </c>
      <c r="O14" s="51">
        <f>J14</f>
        <v>40634</v>
      </c>
      <c r="P14" s="51" t="str">
        <f>C14</f>
        <v>~/cdd/olddocs/Instructivos/CNWI-ENGI/CNWI-ENGI-0009 Operación de cortadora Schleuniger 9500 A.pdf</v>
      </c>
      <c r="Q14" s="51" t="str">
        <f>E14</f>
        <v>pdf</v>
      </c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G14" t="s">
        <v>28</v>
      </c>
      <c r="AH14" s="51"/>
      <c r="AI14" s="51"/>
    </row>
    <row r="15" spans="2:35">
      <c r="B15" t="s">
        <v>1897</v>
      </c>
      <c r="C15" t="s">
        <v>3251</v>
      </c>
      <c r="D15">
        <v>4</v>
      </c>
      <c r="E15" t="s">
        <v>2791</v>
      </c>
      <c r="F15">
        <v>4</v>
      </c>
      <c r="I15" t="s">
        <v>1898</v>
      </c>
      <c r="J15" s="51">
        <v>40639</v>
      </c>
      <c r="K15" t="s">
        <v>27</v>
      </c>
      <c r="L15" t="s">
        <v>1888</v>
      </c>
      <c r="M15">
        <v>3</v>
      </c>
      <c r="N15" t="str">
        <f>L15</f>
        <v>NAM\MA7784</v>
      </c>
      <c r="O15" s="51">
        <f>J15</f>
        <v>40639</v>
      </c>
      <c r="P15" s="51" t="str">
        <f>C15</f>
        <v>~/cdd/olddocs/Instructivos/CNWI-ENGI/CNWI-ENGI-0010 Prueba Eléctrica de la Maquina Horizón 1500 volts.pdf</v>
      </c>
      <c r="Q15" s="51" t="str">
        <f>E15</f>
        <v>pdf</v>
      </c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G15" t="s">
        <v>28</v>
      </c>
      <c r="AH15" s="51"/>
      <c r="AI15" s="51"/>
    </row>
    <row r="16" spans="2:35">
      <c r="B16" t="s">
        <v>1899</v>
      </c>
      <c r="C16" t="s">
        <v>3252</v>
      </c>
      <c r="D16">
        <v>4</v>
      </c>
      <c r="E16" t="s">
        <v>2791</v>
      </c>
      <c r="F16">
        <v>4</v>
      </c>
      <c r="I16" t="s">
        <v>1900</v>
      </c>
      <c r="J16" s="51">
        <v>40735</v>
      </c>
      <c r="K16" t="s">
        <v>46</v>
      </c>
      <c r="L16" t="s">
        <v>1888</v>
      </c>
      <c r="M16">
        <v>3</v>
      </c>
      <c r="N16" t="str">
        <f>L16</f>
        <v>NAM\MA7784</v>
      </c>
      <c r="O16" s="51">
        <f>J16</f>
        <v>40735</v>
      </c>
      <c r="P16" s="51" t="str">
        <f>C16</f>
        <v>~/cdd/olddocs/Instructivos/CNWI-ENGI/CNWI-ENGI-0011 Remachado de cables en  máquina Daniels Modelos WA27F, WA22, WA27-309-2C, WA27-300BT-EP..pdf</v>
      </c>
      <c r="Q16" s="51" t="str">
        <f>E16</f>
        <v>pdf</v>
      </c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G16" t="s">
        <v>28</v>
      </c>
      <c r="AH16" s="51"/>
      <c r="AI16" s="51"/>
    </row>
    <row r="17" spans="2:35">
      <c r="B17" t="s">
        <v>1901</v>
      </c>
      <c r="C17" t="s">
        <v>3253</v>
      </c>
      <c r="D17">
        <v>4</v>
      </c>
      <c r="E17" t="s">
        <v>2791</v>
      </c>
      <c r="F17">
        <v>4</v>
      </c>
      <c r="I17" t="s">
        <v>1902</v>
      </c>
      <c r="J17" s="51">
        <v>40640</v>
      </c>
      <c r="K17" t="s">
        <v>27</v>
      </c>
      <c r="L17" t="s">
        <v>1888</v>
      </c>
      <c r="M17">
        <v>3</v>
      </c>
      <c r="N17" t="str">
        <f>L17</f>
        <v>NAM\MA7784</v>
      </c>
      <c r="O17" s="51">
        <f>J17</f>
        <v>40640</v>
      </c>
      <c r="P17" s="51" t="str">
        <f>C17</f>
        <v>~/cdd/olddocs/Instructivos/CNWI-ENGI/CNWI-ENGI-0012 Operación General de Empaque .pdf</v>
      </c>
      <c r="Q17" s="51" t="str">
        <f>E17</f>
        <v>pdf</v>
      </c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G17" t="s">
        <v>28</v>
      </c>
      <c r="AH17" s="51"/>
      <c r="AI17" s="51"/>
    </row>
    <row r="18" spans="2:35">
      <c r="B18" t="s">
        <v>1903</v>
      </c>
      <c r="C18" t="s">
        <v>3254</v>
      </c>
      <c r="D18">
        <v>4</v>
      </c>
      <c r="E18" t="s">
        <v>2791</v>
      </c>
      <c r="F18">
        <v>4</v>
      </c>
      <c r="I18" t="s">
        <v>1904</v>
      </c>
      <c r="J18" s="51">
        <v>40638</v>
      </c>
      <c r="K18" t="s">
        <v>27</v>
      </c>
      <c r="L18" t="s">
        <v>1888</v>
      </c>
      <c r="M18">
        <v>3</v>
      </c>
      <c r="N18" t="str">
        <f>L18</f>
        <v>NAM\MA7784</v>
      </c>
      <c r="O18" s="51">
        <f>J18</f>
        <v>40638</v>
      </c>
      <c r="P18" s="51" t="str">
        <f>C18</f>
        <v>~/cdd/olddocs/Instructivos/CNWI-ENGI/CNWI-ENGI-0013 Maquina Moldeadora Ahi-Top Modelo AHT.pdf</v>
      </c>
      <c r="Q18" s="51" t="str">
        <f>E18</f>
        <v>pdf</v>
      </c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G18" t="s">
        <v>28</v>
      </c>
      <c r="AH18" s="51"/>
      <c r="AI18" s="51"/>
    </row>
    <row r="19" spans="2:35">
      <c r="B19" t="s">
        <v>1905</v>
      </c>
      <c r="C19" t="s">
        <v>3255</v>
      </c>
      <c r="D19">
        <v>4</v>
      </c>
      <c r="E19" t="s">
        <v>2791</v>
      </c>
      <c r="F19">
        <v>4</v>
      </c>
      <c r="I19" t="s">
        <v>1906</v>
      </c>
      <c r="J19" s="51">
        <v>40647</v>
      </c>
      <c r="K19" t="s">
        <v>27</v>
      </c>
      <c r="L19" t="s">
        <v>1888</v>
      </c>
      <c r="M19">
        <v>3</v>
      </c>
      <c r="N19" t="str">
        <f>L19</f>
        <v>NAM\MA7784</v>
      </c>
      <c r="O19" s="51">
        <f>J19</f>
        <v>40647</v>
      </c>
      <c r="P19" s="51" t="str">
        <f>C19</f>
        <v>~/cdd/olddocs/Instructivos/CNWI-ENGI/CNWI-ENGI-0014 Prueba Eléctrica de 2000 Volts en Máquina Sotcher .pdf</v>
      </c>
      <c r="Q19" s="51" t="str">
        <f>E19</f>
        <v>pdf</v>
      </c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G19" t="s">
        <v>28</v>
      </c>
      <c r="AH19" s="51"/>
      <c r="AI19" s="51"/>
    </row>
    <row r="20" spans="2:35">
      <c r="B20" t="s">
        <v>1907</v>
      </c>
      <c r="C20" t="s">
        <v>3256</v>
      </c>
      <c r="D20">
        <v>4</v>
      </c>
      <c r="E20" t="s">
        <v>2791</v>
      </c>
      <c r="F20">
        <v>4</v>
      </c>
      <c r="I20" t="s">
        <v>1908</v>
      </c>
      <c r="J20" s="51">
        <v>40638</v>
      </c>
      <c r="K20" t="s">
        <v>27</v>
      </c>
      <c r="L20" t="s">
        <v>1888</v>
      </c>
      <c r="M20">
        <v>3</v>
      </c>
      <c r="N20" t="str">
        <f>L20</f>
        <v>NAM\MA7784</v>
      </c>
      <c r="O20" s="51">
        <f>J20</f>
        <v>40638</v>
      </c>
      <c r="P20" s="51" t="str">
        <f>C20</f>
        <v>~/cdd/olddocs/Instructivos/CNWI-ENGI/CNWI-ENGI-0015 Maquina Moldeadora TR-13, TR-14, TR-15..pdf</v>
      </c>
      <c r="Q20" s="51" t="str">
        <f>E20</f>
        <v>pdf</v>
      </c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G20" t="s">
        <v>28</v>
      </c>
      <c r="AH20" s="51"/>
      <c r="AI20" s="51"/>
    </row>
    <row r="21" spans="2:35">
      <c r="B21" t="s">
        <v>1458</v>
      </c>
      <c r="C21" t="s">
        <v>3898</v>
      </c>
      <c r="D21">
        <v>4</v>
      </c>
      <c r="E21" t="s">
        <v>2791</v>
      </c>
      <c r="F21">
        <v>4</v>
      </c>
      <c r="I21" t="s">
        <v>1459</v>
      </c>
      <c r="J21" s="51">
        <v>41162</v>
      </c>
      <c r="K21" t="s">
        <v>159</v>
      </c>
      <c r="L21" t="s">
        <v>1461</v>
      </c>
      <c r="M21">
        <v>3</v>
      </c>
      <c r="N21" t="str">
        <f>L21</f>
        <v>NAM\MB1297</v>
      </c>
      <c r="O21" s="51">
        <f>J21</f>
        <v>41162</v>
      </c>
      <c r="P21" s="51" t="str">
        <f>C21</f>
        <v>~cdd/olddocs/Instructivos/CNWI-ENGI/CNWI-ENGI-0016  Introducción a Nuevos Productos .pdf</v>
      </c>
      <c r="Q21" s="51" t="str">
        <f>E21</f>
        <v>pdf</v>
      </c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G21" t="s">
        <v>28</v>
      </c>
      <c r="AH21" s="51"/>
      <c r="AI21" s="51"/>
    </row>
    <row r="22" spans="2:35">
      <c r="B22" t="s">
        <v>1909</v>
      </c>
      <c r="C22" t="s">
        <v>3257</v>
      </c>
      <c r="D22">
        <v>4</v>
      </c>
      <c r="E22" t="s">
        <v>2791</v>
      </c>
      <c r="F22">
        <v>4</v>
      </c>
      <c r="I22" t="s">
        <v>1910</v>
      </c>
      <c r="J22" s="51">
        <v>40778</v>
      </c>
      <c r="K22" t="s">
        <v>46</v>
      </c>
      <c r="L22" t="s">
        <v>1888</v>
      </c>
      <c r="M22">
        <v>3</v>
      </c>
      <c r="N22" t="str">
        <f>L22</f>
        <v>NAM\MA7784</v>
      </c>
      <c r="O22" s="51">
        <f>J22</f>
        <v>40778</v>
      </c>
      <c r="P22" s="51" t="str">
        <f>C22</f>
        <v>~/cdd/olddocs/Instructivos/CNWI-ENGI/CNWI-ENGI-0017 Inserción Automática de Contactos en Remachadoras.pdf</v>
      </c>
      <c r="Q22" s="51" t="str">
        <f>E22</f>
        <v>pdf</v>
      </c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G22" t="s">
        <v>28</v>
      </c>
      <c r="AH22" s="51"/>
      <c r="AI22" s="51"/>
    </row>
    <row r="23" spans="2:35">
      <c r="B23" t="s">
        <v>1911</v>
      </c>
      <c r="C23" t="s">
        <v>3258</v>
      </c>
      <c r="D23">
        <v>4</v>
      </c>
      <c r="E23" t="s">
        <v>2791</v>
      </c>
      <c r="F23">
        <v>4</v>
      </c>
      <c r="I23" t="s">
        <v>1912</v>
      </c>
      <c r="J23" s="51">
        <v>40659</v>
      </c>
      <c r="K23" t="s">
        <v>27</v>
      </c>
      <c r="L23" t="s">
        <v>1888</v>
      </c>
      <c r="M23">
        <v>3</v>
      </c>
      <c r="N23" t="str">
        <f>L23</f>
        <v>NAM\MA7784</v>
      </c>
      <c r="O23" s="51">
        <f>J23</f>
        <v>40659</v>
      </c>
      <c r="P23" s="51" t="str">
        <f>C23</f>
        <v>~/cdd/olddocs/Instructivos/CNWI-ENGI/CNWI-ENGI-0018 Perforación de Riel y Lifter con Taladros Modelos   8716- 97908-36640-86498-36632.pdf</v>
      </c>
      <c r="Q23" s="51" t="str">
        <f>E23</f>
        <v>pdf</v>
      </c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G23" t="s">
        <v>28</v>
      </c>
      <c r="AH23" s="51"/>
      <c r="AI23" s="51"/>
    </row>
    <row r="24" spans="2:35">
      <c r="B24" t="s">
        <v>1913</v>
      </c>
      <c r="C24" t="s">
        <v>3259</v>
      </c>
      <c r="D24">
        <v>4</v>
      </c>
      <c r="E24" t="s">
        <v>2791</v>
      </c>
      <c r="F24">
        <v>4</v>
      </c>
      <c r="I24" t="s">
        <v>1914</v>
      </c>
      <c r="J24" s="51">
        <v>40648</v>
      </c>
      <c r="K24" t="s">
        <v>27</v>
      </c>
      <c r="L24" t="s">
        <v>1888</v>
      </c>
      <c r="M24">
        <v>3</v>
      </c>
      <c r="N24" t="str">
        <f>L24</f>
        <v>NAM\MA7784</v>
      </c>
      <c r="O24" s="51">
        <f>J24</f>
        <v>40648</v>
      </c>
      <c r="P24" s="51" t="str">
        <f>C24</f>
        <v>~/cdd/olddocs/Instructivos/CNWI-ENGI/CNWI-ENGI-0019 Despoje de insulación de cable en Máquina Schleuniger 2600 y5400.pdf</v>
      </c>
      <c r="Q24" s="51" t="str">
        <f>E24</f>
        <v>pdf</v>
      </c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G24" t="s">
        <v>28</v>
      </c>
      <c r="AH24" s="51"/>
      <c r="AI24" s="51"/>
    </row>
    <row r="25" spans="2:35">
      <c r="B25" t="s">
        <v>1915</v>
      </c>
      <c r="C25" t="s">
        <v>3260</v>
      </c>
      <c r="D25">
        <v>4</v>
      </c>
      <c r="E25" t="s">
        <v>2791</v>
      </c>
      <c r="F25">
        <v>4</v>
      </c>
      <c r="I25" t="s">
        <v>1916</v>
      </c>
      <c r="J25" s="51">
        <v>40648</v>
      </c>
      <c r="K25" t="s">
        <v>27</v>
      </c>
      <c r="L25" t="s">
        <v>1888</v>
      </c>
      <c r="M25">
        <v>3</v>
      </c>
      <c r="N25" t="str">
        <f>L25</f>
        <v>NAM\MA7784</v>
      </c>
      <c r="O25" s="51">
        <f>J25</f>
        <v>40648</v>
      </c>
      <c r="P25" s="51" t="str">
        <f>C25</f>
        <v>~/cdd/olddocs/Instructivos/CNWI-ENGI/CNWI-ENGI-0020 Despoje de insulación de cable en Máquina SCHLEUNIGER US2500.pdf</v>
      </c>
      <c r="Q25" s="51" t="str">
        <f>E25</f>
        <v>pdf</v>
      </c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G25" t="s">
        <v>28</v>
      </c>
      <c r="AH25" s="51"/>
      <c r="AI25" s="51"/>
    </row>
    <row r="26" spans="2:35">
      <c r="B26" t="s">
        <v>1917</v>
      </c>
      <c r="C26" t="s">
        <v>3261</v>
      </c>
      <c r="D26">
        <v>4</v>
      </c>
      <c r="E26" t="s">
        <v>2791</v>
      </c>
      <c r="F26">
        <v>4</v>
      </c>
      <c r="I26" t="s">
        <v>1918</v>
      </c>
      <c r="J26" s="51">
        <v>40651</v>
      </c>
      <c r="K26" t="s">
        <v>27</v>
      </c>
      <c r="L26" t="s">
        <v>1888</v>
      </c>
      <c r="M26">
        <v>3</v>
      </c>
      <c r="N26" t="str">
        <f>L26</f>
        <v>NAM\MA7784</v>
      </c>
      <c r="O26" s="51">
        <f>J26</f>
        <v>40651</v>
      </c>
      <c r="P26" s="51" t="str">
        <f>C26</f>
        <v>~/cdd/olddocs/Instructivos/CNWI-ENGI/CNWI-ENGI-0021 Despoje de insulacion de cable en maquina Komax delta 50.pdf</v>
      </c>
      <c r="Q26" s="51" t="str">
        <f>E26</f>
        <v>pdf</v>
      </c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G26" t="s">
        <v>28</v>
      </c>
      <c r="AH26" s="51"/>
      <c r="AI26" s="51"/>
    </row>
    <row r="27" spans="2:35">
      <c r="B27" t="s">
        <v>1919</v>
      </c>
      <c r="C27" t="s">
        <v>3262</v>
      </c>
      <c r="D27">
        <v>4</v>
      </c>
      <c r="E27" t="s">
        <v>2791</v>
      </c>
      <c r="F27">
        <v>4</v>
      </c>
      <c r="I27" t="s">
        <v>1920</v>
      </c>
      <c r="J27" s="51">
        <v>40654</v>
      </c>
      <c r="K27" t="s">
        <v>27</v>
      </c>
      <c r="L27" t="s">
        <v>1888</v>
      </c>
      <c r="M27">
        <v>3</v>
      </c>
      <c r="N27" t="str">
        <f>L27</f>
        <v>NAM\MA7784</v>
      </c>
      <c r="O27" s="51">
        <f>J27</f>
        <v>40654</v>
      </c>
      <c r="P27" s="51" t="str">
        <f>C27</f>
        <v>~/cdd/olddocs/Instructivos/CNWI-ENGI/CNWI-ENGI-0022 Remache de terminales en maquina remachadora AMP.pdf</v>
      </c>
      <c r="Q27" s="51" t="str">
        <f>E27</f>
        <v>pdf</v>
      </c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G27" t="s">
        <v>28</v>
      </c>
      <c r="AH27" s="51"/>
      <c r="AI27" s="51"/>
    </row>
    <row r="28" spans="2:35">
      <c r="B28" t="s">
        <v>1921</v>
      </c>
      <c r="C28" t="s">
        <v>3263</v>
      </c>
      <c r="D28">
        <v>4</v>
      </c>
      <c r="E28" t="s">
        <v>2791</v>
      </c>
      <c r="F28">
        <v>4</v>
      </c>
      <c r="I28" t="s">
        <v>1922</v>
      </c>
      <c r="J28" s="51">
        <v>40653</v>
      </c>
      <c r="K28" t="s">
        <v>27</v>
      </c>
      <c r="L28" t="s">
        <v>1888</v>
      </c>
      <c r="M28">
        <v>3</v>
      </c>
      <c r="N28" t="str">
        <f>L28</f>
        <v>NAM\MA7784</v>
      </c>
      <c r="O28" s="51">
        <f>J28</f>
        <v>40653</v>
      </c>
      <c r="P28" s="51" t="str">
        <f>C28</f>
        <v>~/cdd/olddocs/Instructivos/CNWI-ENGI/CNWI-ENGI-0023 Estampado en maquina Jan-Tech.pdf</v>
      </c>
      <c r="Q28" s="51" t="str">
        <f>E28</f>
        <v>pdf</v>
      </c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G28" t="s">
        <v>28</v>
      </c>
      <c r="AH28" s="51"/>
      <c r="AI28" s="51"/>
    </row>
    <row r="29" spans="2:35">
      <c r="B29" t="s">
        <v>1923</v>
      </c>
      <c r="C29" t="s">
        <v>3264</v>
      </c>
      <c r="D29">
        <v>4</v>
      </c>
      <c r="E29" t="s">
        <v>2791</v>
      </c>
      <c r="F29">
        <v>4</v>
      </c>
      <c r="I29" t="s">
        <v>1924</v>
      </c>
      <c r="J29" s="51">
        <v>40658</v>
      </c>
      <c r="K29" t="s">
        <v>27</v>
      </c>
      <c r="L29" t="s">
        <v>1888</v>
      </c>
      <c r="M29">
        <v>3</v>
      </c>
      <c r="N29" t="str">
        <f>L29</f>
        <v>NAM\MA7784</v>
      </c>
      <c r="O29" s="51">
        <f>J29</f>
        <v>40658</v>
      </c>
      <c r="P29" s="51" t="str">
        <f>C29</f>
        <v>~/cdd/olddocs/Instructivos/CNWI-ENGI/CNWI-ENGI-0024 Prueba Eléctrica  CABLE EYE.pdf</v>
      </c>
      <c r="Q29" s="51" t="str">
        <f>E29</f>
        <v>pdf</v>
      </c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G29" t="s">
        <v>28</v>
      </c>
      <c r="AH29" s="51"/>
      <c r="AI29" s="51"/>
    </row>
    <row r="30" spans="2:35">
      <c r="B30" t="s">
        <v>1925</v>
      </c>
      <c r="C30" t="s">
        <v>3265</v>
      </c>
      <c r="D30">
        <v>4</v>
      </c>
      <c r="E30" t="s">
        <v>2791</v>
      </c>
      <c r="F30">
        <v>4</v>
      </c>
      <c r="I30" t="s">
        <v>1926</v>
      </c>
      <c r="J30" s="51">
        <v>40658</v>
      </c>
      <c r="K30" t="s">
        <v>27</v>
      </c>
      <c r="L30" t="s">
        <v>1888</v>
      </c>
      <c r="M30">
        <v>3</v>
      </c>
      <c r="N30" t="str">
        <f>L30</f>
        <v>NAM\MA7784</v>
      </c>
      <c r="O30" s="51">
        <f>J30</f>
        <v>40658</v>
      </c>
      <c r="P30" s="51" t="str">
        <f>C30</f>
        <v>~/cdd/olddocs/Instructivos/CNWI-ENGI/CNWI-ENGI-0025 Prueba de Fuga de Aire  en Máquina QT-11179-A.pdf</v>
      </c>
      <c r="Q30" s="51" t="str">
        <f>E30</f>
        <v>pdf</v>
      </c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G30" t="s">
        <v>28</v>
      </c>
      <c r="AH30" s="51"/>
      <c r="AI30" s="51"/>
    </row>
    <row r="31" spans="2:35">
      <c r="B31" t="s">
        <v>1927</v>
      </c>
      <c r="C31" t="s">
        <v>3266</v>
      </c>
      <c r="D31">
        <v>4</v>
      </c>
      <c r="E31" t="s">
        <v>2791</v>
      </c>
      <c r="F31">
        <v>4</v>
      </c>
      <c r="I31" t="s">
        <v>1928</v>
      </c>
      <c r="J31" s="51">
        <v>40731</v>
      </c>
      <c r="K31" t="s">
        <v>46</v>
      </c>
      <c r="L31" t="s">
        <v>1888</v>
      </c>
      <c r="M31">
        <v>3</v>
      </c>
      <c r="N31" t="str">
        <f>L31</f>
        <v>NAM\MA7784</v>
      </c>
      <c r="O31" s="51">
        <f>J31</f>
        <v>40731</v>
      </c>
      <c r="P31" s="51" t="str">
        <f>C31</f>
        <v>~/cdd/olddocs/Instructivos/CNWI-ENGI/CNWI-ENGI-0026 Estampado en Máquina Pad Printer.pdf</v>
      </c>
      <c r="Q31" s="51" t="str">
        <f>E31</f>
        <v>pdf</v>
      </c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G31" t="s">
        <v>28</v>
      </c>
      <c r="AH31" s="51"/>
      <c r="AI31" s="51"/>
    </row>
    <row r="32" spans="2:35">
      <c r="B32" t="s">
        <v>1929</v>
      </c>
      <c r="C32" t="s">
        <v>3899</v>
      </c>
      <c r="D32">
        <v>4</v>
      </c>
      <c r="E32" t="s">
        <v>2791</v>
      </c>
      <c r="F32">
        <v>4</v>
      </c>
      <c r="I32" t="s">
        <v>1930</v>
      </c>
      <c r="J32" s="51">
        <v>40665</v>
      </c>
      <c r="K32" t="s">
        <v>27</v>
      </c>
      <c r="L32" t="s">
        <v>1888</v>
      </c>
      <c r="M32">
        <v>3</v>
      </c>
      <c r="N32" t="str">
        <f>L32</f>
        <v>NAM\MA7784</v>
      </c>
      <c r="O32" s="51">
        <f>J32</f>
        <v>40665</v>
      </c>
      <c r="P32" s="51" t="str">
        <f>C32</f>
        <v>~cdd/olddocs/Instructivos/CNWI-ENGI/CNWI-ENGI-0027 Curado de partes en Hornos Num  21 25 24 27 22.pdf</v>
      </c>
      <c r="Q32" s="51" t="str">
        <f>E32</f>
        <v>pdf</v>
      </c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G32" t="s">
        <v>28</v>
      </c>
      <c r="AH32" s="51"/>
      <c r="AI32" s="51"/>
    </row>
    <row r="33" spans="2:35">
      <c r="B33" t="s">
        <v>1931</v>
      </c>
      <c r="C33" t="s">
        <v>3267</v>
      </c>
      <c r="D33">
        <v>4</v>
      </c>
      <c r="E33" t="s">
        <v>2791</v>
      </c>
      <c r="F33">
        <v>4</v>
      </c>
      <c r="I33" t="s">
        <v>1932</v>
      </c>
      <c r="J33" s="51">
        <v>40668</v>
      </c>
      <c r="K33" t="s">
        <v>27</v>
      </c>
      <c r="L33" t="s">
        <v>1888</v>
      </c>
      <c r="M33">
        <v>3</v>
      </c>
      <c r="N33" t="str">
        <f>L33</f>
        <v>NAM\MA7784</v>
      </c>
      <c r="O33" s="51">
        <f>J33</f>
        <v>40668</v>
      </c>
      <c r="P33" s="51" t="str">
        <f>C33</f>
        <v>~/cdd/olddocs/Instructivos/CNWI-ENGI/CNWI-ENGI-0028 Grabado de Placas  Máquina HERMES VANGUARD XM.pdf</v>
      </c>
      <c r="Q33" s="51" t="str">
        <f>E33</f>
        <v>pdf</v>
      </c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G33" t="s">
        <v>28</v>
      </c>
      <c r="AH33" s="51"/>
      <c r="AI33" s="51"/>
    </row>
    <row r="34" spans="2:35">
      <c r="B34" t="s">
        <v>1933</v>
      </c>
      <c r="C34" t="s">
        <v>3268</v>
      </c>
      <c r="D34">
        <v>4</v>
      </c>
      <c r="E34" t="s">
        <v>2791</v>
      </c>
      <c r="F34">
        <v>4</v>
      </c>
      <c r="I34" t="s">
        <v>1934</v>
      </c>
      <c r="J34" s="51">
        <v>40666</v>
      </c>
      <c r="K34" t="s">
        <v>27</v>
      </c>
      <c r="L34" t="s">
        <v>1888</v>
      </c>
      <c r="M34">
        <v>3</v>
      </c>
      <c r="N34" t="str">
        <f>L34</f>
        <v>NAM\MA7784</v>
      </c>
      <c r="O34" s="51">
        <f>J34</f>
        <v>40666</v>
      </c>
      <c r="P34" s="51" t="str">
        <f>C34</f>
        <v>~/cdd/olddocs/Instructivos/CNWI-ENGI/CNWI-ENGI-0029 Preparación de Pintura para Máquina de estampado Pad Printer.pdf</v>
      </c>
      <c r="Q34" s="51" t="str">
        <f>E34</f>
        <v>pdf</v>
      </c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G34" t="s">
        <v>28</v>
      </c>
      <c r="AH34" s="51"/>
      <c r="AI34" s="51"/>
    </row>
    <row r="35" spans="2:35">
      <c r="B35" t="s">
        <v>1935</v>
      </c>
      <c r="C35" t="s">
        <v>3269</v>
      </c>
      <c r="D35">
        <v>4</v>
      </c>
      <c r="E35" t="s">
        <v>2791</v>
      </c>
      <c r="F35">
        <v>4</v>
      </c>
      <c r="I35" t="s">
        <v>1936</v>
      </c>
      <c r="J35" s="51">
        <v>40675</v>
      </c>
      <c r="K35" t="s">
        <v>27</v>
      </c>
      <c r="L35" t="s">
        <v>1888</v>
      </c>
      <c r="M35">
        <v>3</v>
      </c>
      <c r="N35" t="str">
        <f>L35</f>
        <v>NAM\MA7784</v>
      </c>
      <c r="O35" s="51">
        <f>J35</f>
        <v>40675</v>
      </c>
      <c r="P35" s="51" t="str">
        <f>C35</f>
        <v>~/cdd/olddocs/Instructivos/CNWI-ENGI/CNWI-ENGI-0030 Máquina Trituradora de Material.pdf</v>
      </c>
      <c r="Q35" s="51" t="str">
        <f>E35</f>
        <v>pdf</v>
      </c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G35" t="s">
        <v>28</v>
      </c>
      <c r="AH35" s="51"/>
      <c r="AI35" s="51"/>
    </row>
    <row r="36" spans="2:35">
      <c r="B36" t="s">
        <v>1937</v>
      </c>
      <c r="C36" t="s">
        <v>3270</v>
      </c>
      <c r="D36">
        <v>4</v>
      </c>
      <c r="E36" t="s">
        <v>2791</v>
      </c>
      <c r="F36">
        <v>4</v>
      </c>
      <c r="I36" t="s">
        <v>1938</v>
      </c>
      <c r="J36" s="51">
        <v>40686</v>
      </c>
      <c r="K36" t="s">
        <v>27</v>
      </c>
      <c r="L36" t="s">
        <v>1888</v>
      </c>
      <c r="M36">
        <v>3</v>
      </c>
      <c r="N36" t="str">
        <f>L36</f>
        <v>NAM\MA7784</v>
      </c>
      <c r="O36" s="51">
        <f>J36</f>
        <v>40686</v>
      </c>
      <c r="P36" s="51" t="str">
        <f>C36</f>
        <v>~/cdd/olddocs/Instructivos/CNWI-ENGI/CNWI-ENGI-0031 Maquina Moldeadora ARBURK.pdf</v>
      </c>
      <c r="Q36" s="51" t="str">
        <f>E36</f>
        <v>pdf</v>
      </c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G36" t="s">
        <v>28</v>
      </c>
      <c r="AH36" s="51"/>
      <c r="AI36" s="51"/>
    </row>
    <row r="37" spans="2:35">
      <c r="B37" t="s">
        <v>1939</v>
      </c>
      <c r="C37" t="s">
        <v>3271</v>
      </c>
      <c r="D37">
        <v>4</v>
      </c>
      <c r="E37" t="s">
        <v>2791</v>
      </c>
      <c r="F37">
        <v>4</v>
      </c>
      <c r="I37" t="s">
        <v>1940</v>
      </c>
      <c r="J37" s="51">
        <v>40675</v>
      </c>
      <c r="K37" t="s">
        <v>27</v>
      </c>
      <c r="L37" t="s">
        <v>1888</v>
      </c>
      <c r="M37">
        <v>3</v>
      </c>
      <c r="N37" t="str">
        <f>L37</f>
        <v>NAM\MA7784</v>
      </c>
      <c r="O37" s="51">
        <f>J37</f>
        <v>40675</v>
      </c>
      <c r="P37" s="51" t="str">
        <f>C37</f>
        <v>~/cdd/olddocs/Instructivos/CNWI-ENGI/CNWI-ENGI-0032 Maquina Moldeadora AUTO-JECTORS 908-13.pdf</v>
      </c>
      <c r="Q37" s="51" t="str">
        <f>E37</f>
        <v>pdf</v>
      </c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G37" t="s">
        <v>28</v>
      </c>
      <c r="AH37" s="51"/>
      <c r="AI37" s="51"/>
    </row>
    <row r="38" spans="2:35">
      <c r="B38" t="s">
        <v>1941</v>
      </c>
      <c r="C38" t="s">
        <v>3272</v>
      </c>
      <c r="D38">
        <v>4</v>
      </c>
      <c r="E38" t="s">
        <v>2791</v>
      </c>
      <c r="F38">
        <v>4</v>
      </c>
      <c r="I38" t="s">
        <v>1942</v>
      </c>
      <c r="J38" s="51">
        <v>40687</v>
      </c>
      <c r="K38" t="s">
        <v>27</v>
      </c>
      <c r="L38" t="s">
        <v>1888</v>
      </c>
      <c r="M38">
        <v>3</v>
      </c>
      <c r="N38" t="str">
        <f>L38</f>
        <v>NAM\MA7784</v>
      </c>
      <c r="O38" s="51">
        <f>J38</f>
        <v>40687</v>
      </c>
      <c r="P38" s="51" t="str">
        <f>C38</f>
        <v>~/cdd/olddocs/Instructivos/CNWI-ENGI/CNWI-ENGI-0033 Maquina Dispensadora de Epoxy SHOT GUN.pdf</v>
      </c>
      <c r="Q38" s="51" t="str">
        <f>E38</f>
        <v>pdf</v>
      </c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G38" t="s">
        <v>28</v>
      </c>
      <c r="AH38" s="51"/>
      <c r="AI38" s="51"/>
    </row>
    <row r="39" spans="2:35">
      <c r="B39" t="s">
        <v>64</v>
      </c>
      <c r="C39" t="s">
        <v>3273</v>
      </c>
      <c r="D39">
        <v>4</v>
      </c>
      <c r="E39" t="s">
        <v>2791</v>
      </c>
      <c r="F39">
        <v>4</v>
      </c>
      <c r="I39" t="s">
        <v>65</v>
      </c>
      <c r="J39" s="51">
        <v>40717</v>
      </c>
      <c r="K39" t="s">
        <v>46</v>
      </c>
      <c r="L39" t="s">
        <v>63</v>
      </c>
      <c r="M39">
        <v>3</v>
      </c>
      <c r="N39" t="str">
        <f>L39</f>
        <v>NAM\D6B1B</v>
      </c>
      <c r="O39" s="51">
        <f>J39</f>
        <v>40717</v>
      </c>
      <c r="P39" s="51" t="str">
        <f>C39</f>
        <v>~/cdd/olddocs/Instructivos/CNWI-ENGI/CNWI-ENGI-0034 Elaboracion de routing.pdf</v>
      </c>
      <c r="Q39" s="51" t="str">
        <f>E39</f>
        <v>pdf</v>
      </c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G39" t="s">
        <v>28</v>
      </c>
      <c r="AH39" s="51"/>
      <c r="AI39" s="51"/>
    </row>
    <row r="40" spans="2:35">
      <c r="B40" t="s">
        <v>1943</v>
      </c>
      <c r="C40" t="s">
        <v>3274</v>
      </c>
      <c r="D40">
        <v>4</v>
      </c>
      <c r="E40" t="s">
        <v>2791</v>
      </c>
      <c r="F40">
        <v>4</v>
      </c>
      <c r="I40" t="s">
        <v>1944</v>
      </c>
      <c r="J40" s="51">
        <v>40723</v>
      </c>
      <c r="K40" t="s">
        <v>46</v>
      </c>
      <c r="L40" t="s">
        <v>1888</v>
      </c>
      <c r="M40">
        <v>3</v>
      </c>
      <c r="N40" t="str">
        <f>L40</f>
        <v>NAM\MA7784</v>
      </c>
      <c r="O40" s="51">
        <f>J40</f>
        <v>40723</v>
      </c>
      <c r="P40" s="51" t="str">
        <f>C40</f>
        <v>~/cdd/olddocs/Instructivos/CNWI-ENGI/CNWI-ENGI-0035 Maquina SCHLEUNIGER EcoStrip 9300.pdf</v>
      </c>
      <c r="Q40" s="51" t="str">
        <f>E40</f>
        <v>pdf</v>
      </c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G40" t="s">
        <v>28</v>
      </c>
      <c r="AH40" s="51"/>
      <c r="AI40" s="51"/>
    </row>
    <row r="41" spans="2:35">
      <c r="B41" t="s">
        <v>1945</v>
      </c>
      <c r="C41" t="s">
        <v>3275</v>
      </c>
      <c r="D41">
        <v>4</v>
      </c>
      <c r="E41" t="s">
        <v>2791</v>
      </c>
      <c r="F41">
        <v>4</v>
      </c>
      <c r="I41" t="s">
        <v>1946</v>
      </c>
      <c r="J41" s="51">
        <v>40687</v>
      </c>
      <c r="K41" t="s">
        <v>27</v>
      </c>
      <c r="L41" t="s">
        <v>1888</v>
      </c>
      <c r="M41">
        <v>3</v>
      </c>
      <c r="N41" t="str">
        <f>L41</f>
        <v>NAM\MA7784</v>
      </c>
      <c r="O41" s="51">
        <f>J41</f>
        <v>40687</v>
      </c>
      <c r="P41" s="51" t="str">
        <f>C41</f>
        <v>~/cdd/olddocs/Instructivos/CNWI-ENGI/CNWI-ENGI-0036 Maquina Dispensadora Mezcladara de Epoxy DTIC.pdf</v>
      </c>
      <c r="Q41" s="51" t="str">
        <f>E41</f>
        <v>pdf</v>
      </c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G41" t="s">
        <v>28</v>
      </c>
      <c r="AH41" s="51"/>
      <c r="AI41" s="51"/>
    </row>
    <row r="42" spans="2:35">
      <c r="B42" t="s">
        <v>1947</v>
      </c>
      <c r="C42" t="s">
        <v>3276</v>
      </c>
      <c r="D42">
        <v>4</v>
      </c>
      <c r="E42" t="s">
        <v>2791</v>
      </c>
      <c r="F42">
        <v>4</v>
      </c>
      <c r="I42" t="s">
        <v>1948</v>
      </c>
      <c r="J42" s="51">
        <v>40693</v>
      </c>
      <c r="K42" t="s">
        <v>27</v>
      </c>
      <c r="L42" t="s">
        <v>1888</v>
      </c>
      <c r="M42">
        <v>3</v>
      </c>
      <c r="N42" t="str">
        <f>L42</f>
        <v>NAM\MA7784</v>
      </c>
      <c r="O42" s="51">
        <f>J42</f>
        <v>40693</v>
      </c>
      <c r="P42" s="51" t="str">
        <f>C42</f>
        <v>~/cdd/olddocs/Instructivos/CNWI-ENGI/CNWI-ENGI-0037 Dispensadora de Epoxy EFD 1000 XL.pdf</v>
      </c>
      <c r="Q42" s="51" t="str">
        <f>E42</f>
        <v>pdf</v>
      </c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G42" t="s">
        <v>28</v>
      </c>
      <c r="AH42" s="51"/>
      <c r="AI42" s="51"/>
    </row>
    <row r="43" spans="2:35">
      <c r="B43" t="s">
        <v>1949</v>
      </c>
      <c r="C43" t="s">
        <v>3277</v>
      </c>
      <c r="D43">
        <v>4</v>
      </c>
      <c r="E43" t="s">
        <v>2791</v>
      </c>
      <c r="F43">
        <v>4</v>
      </c>
      <c r="I43" t="s">
        <v>1950</v>
      </c>
      <c r="J43" s="51">
        <v>41144</v>
      </c>
      <c r="K43" t="s">
        <v>159</v>
      </c>
      <c r="L43" t="s">
        <v>1888</v>
      </c>
      <c r="M43">
        <v>3</v>
      </c>
      <c r="N43" t="str">
        <f>L43</f>
        <v>NAM\MA7784</v>
      </c>
      <c r="O43" s="51">
        <f>J43</f>
        <v>41144</v>
      </c>
      <c r="P43" s="51" t="str">
        <f>C43</f>
        <v>~/cdd/olddocs/Instructivos/CNWI-ENGI/CNWI-ENGI-0038 Llenado de cartuchos de epoxy.pdf</v>
      </c>
      <c r="Q43" s="51" t="str">
        <f>E43</f>
        <v>pdf</v>
      </c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G43" t="s">
        <v>28</v>
      </c>
      <c r="AH43" s="51"/>
      <c r="AI43" s="51"/>
    </row>
    <row r="44" spans="2:35">
      <c r="B44" t="s">
        <v>1951</v>
      </c>
      <c r="C44" t="s">
        <v>3278</v>
      </c>
      <c r="D44">
        <v>4</v>
      </c>
      <c r="E44" t="s">
        <v>2791</v>
      </c>
      <c r="F44">
        <v>4</v>
      </c>
      <c r="I44" t="s">
        <v>1952</v>
      </c>
      <c r="J44" s="51">
        <v>40815</v>
      </c>
      <c r="K44" t="s">
        <v>46</v>
      </c>
      <c r="L44" t="s">
        <v>1888</v>
      </c>
      <c r="M44">
        <v>3</v>
      </c>
      <c r="N44" t="str">
        <f>L44</f>
        <v>NAM\MA7784</v>
      </c>
      <c r="O44" s="51">
        <f>J44</f>
        <v>40815</v>
      </c>
      <c r="P44" s="51" t="str">
        <f>C44</f>
        <v>~/cdd/olddocs/Instructivos/CNWI-ENGI/CNWI-ENGI-0039 Lavado de Cartuchos de Epoxy en acetona.pdf</v>
      </c>
      <c r="Q44" s="51" t="str">
        <f>E44</f>
        <v>pdf</v>
      </c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G44" t="s">
        <v>28</v>
      </c>
      <c r="AH44" s="51"/>
      <c r="AI44" s="51"/>
    </row>
    <row r="45" spans="2:35">
      <c r="B45" t="s">
        <v>1953</v>
      </c>
      <c r="C45" t="s">
        <v>3279</v>
      </c>
      <c r="D45">
        <v>4</v>
      </c>
      <c r="E45" t="s">
        <v>2791</v>
      </c>
      <c r="F45">
        <v>4</v>
      </c>
      <c r="I45" t="s">
        <v>1954</v>
      </c>
      <c r="J45" s="51">
        <v>40687</v>
      </c>
      <c r="K45" t="s">
        <v>27</v>
      </c>
      <c r="L45" t="s">
        <v>1888</v>
      </c>
      <c r="M45">
        <v>3</v>
      </c>
      <c r="N45" t="str">
        <f>L45</f>
        <v>NAM\MA7784</v>
      </c>
      <c r="O45" s="51">
        <f>J45</f>
        <v>40687</v>
      </c>
      <c r="P45" s="51" t="str">
        <f>C45</f>
        <v>~/cdd/olddocs/Instructivos/CNWI-ENGI/CNWI-ENGI-0040 Alimentador de cables Schleuniger Pre-Feeder 2200.pdf</v>
      </c>
      <c r="Q45" s="51" t="str">
        <f>E45</f>
        <v>pdf</v>
      </c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G45" t="s">
        <v>28</v>
      </c>
      <c r="AH45" s="51"/>
      <c r="AI45" s="51"/>
    </row>
    <row r="46" spans="2:35">
      <c r="B46" t="s">
        <v>1955</v>
      </c>
      <c r="C46" t="s">
        <v>3280</v>
      </c>
      <c r="D46">
        <v>4</v>
      </c>
      <c r="E46" t="s">
        <v>2791</v>
      </c>
      <c r="F46">
        <v>4</v>
      </c>
      <c r="I46" t="s">
        <v>1956</v>
      </c>
      <c r="J46" s="51">
        <v>40694</v>
      </c>
      <c r="K46" t="s">
        <v>27</v>
      </c>
      <c r="L46" t="s">
        <v>1888</v>
      </c>
      <c r="M46">
        <v>3</v>
      </c>
      <c r="N46" t="str">
        <f>L46</f>
        <v>NAM\MA7784</v>
      </c>
      <c r="O46" s="51">
        <f>J46</f>
        <v>40694</v>
      </c>
      <c r="P46" s="51" t="str">
        <f>C46</f>
        <v>~/cdd/olddocs/Instructivos/CNWI-ENGI/CNWI-ENGI-0041 Alimentador de cables ARTOS PF-.pdf</v>
      </c>
      <c r="Q46" s="51" t="str">
        <f>E46</f>
        <v>pdf</v>
      </c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G46" t="s">
        <v>28</v>
      </c>
      <c r="AH46" s="51"/>
      <c r="AI46" s="51"/>
    </row>
    <row r="47" spans="2:35">
      <c r="B47" t="s">
        <v>1957</v>
      </c>
      <c r="C47" t="s">
        <v>3281</v>
      </c>
      <c r="D47">
        <v>4</v>
      </c>
      <c r="E47" t="s">
        <v>2791</v>
      </c>
      <c r="F47">
        <v>4</v>
      </c>
      <c r="I47" t="s">
        <v>1958</v>
      </c>
      <c r="J47" s="51">
        <v>40693</v>
      </c>
      <c r="K47" t="s">
        <v>27</v>
      </c>
      <c r="L47" t="s">
        <v>1888</v>
      </c>
      <c r="M47">
        <v>3</v>
      </c>
      <c r="N47" t="str">
        <f>L47</f>
        <v>NAM\MA7784</v>
      </c>
      <c r="O47" s="51">
        <f>J47</f>
        <v>40693</v>
      </c>
      <c r="P47" s="51" t="str">
        <f>C47</f>
        <v>~/cdd/olddocs/Instructivos/CNWI-ENGI/CNWI-ENGI-0042 Maquina SCHLEUNIGER OmiStrip 9400.pdf</v>
      </c>
      <c r="Q47" s="51" t="str">
        <f>E47</f>
        <v>pdf</v>
      </c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G47" t="s">
        <v>28</v>
      </c>
      <c r="AH47" s="51"/>
      <c r="AI47" s="51"/>
    </row>
    <row r="48" spans="2:35">
      <c r="B48" t="s">
        <v>1959</v>
      </c>
      <c r="C48" t="s">
        <v>3282</v>
      </c>
      <c r="D48">
        <v>4</v>
      </c>
      <c r="E48" t="s">
        <v>2791</v>
      </c>
      <c r="F48">
        <v>4</v>
      </c>
      <c r="I48" t="s">
        <v>1960</v>
      </c>
      <c r="J48" s="51">
        <v>40697</v>
      </c>
      <c r="K48" t="s">
        <v>27</v>
      </c>
      <c r="L48" t="s">
        <v>1888</v>
      </c>
      <c r="M48">
        <v>3</v>
      </c>
      <c r="N48" t="str">
        <f>L48</f>
        <v>NAM\MA7784</v>
      </c>
      <c r="O48" s="51">
        <f>J48</f>
        <v>40697</v>
      </c>
      <c r="P48" s="51" t="str">
        <f>C48</f>
        <v>~/cdd/olddocs/Instructivos/CNWI-ENGI/CNWI-ENGI-0043 Horno con conveyor Gruenberg.pdf</v>
      </c>
      <c r="Q48" s="51" t="str">
        <f>E48</f>
        <v>pdf</v>
      </c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G48" t="s">
        <v>28</v>
      </c>
      <c r="AH48" s="51"/>
      <c r="AI48" s="51"/>
    </row>
    <row r="49" spans="2:35">
      <c r="B49" t="s">
        <v>1961</v>
      </c>
      <c r="C49" t="s">
        <v>3283</v>
      </c>
      <c r="D49">
        <v>4</v>
      </c>
      <c r="E49" t="s">
        <v>2791</v>
      </c>
      <c r="F49">
        <v>4</v>
      </c>
      <c r="I49" t="s">
        <v>1962</v>
      </c>
      <c r="J49" s="51">
        <v>40700</v>
      </c>
      <c r="K49" t="s">
        <v>27</v>
      </c>
      <c r="L49" t="s">
        <v>1888</v>
      </c>
      <c r="M49">
        <v>3</v>
      </c>
      <c r="N49" t="str">
        <f>L49</f>
        <v>NAM\MA7784</v>
      </c>
      <c r="O49" s="51">
        <f>J49</f>
        <v>40700</v>
      </c>
      <c r="P49" s="51" t="str">
        <f>C49</f>
        <v>~/cdd/olddocs/Instructivos/CNWI-ENGI/CNWI-ENGI-0044 Maquina SCHLEUNIGER CS-9100.pdf</v>
      </c>
      <c r="Q49" s="51" t="str">
        <f>E49</f>
        <v>pdf</v>
      </c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G49" t="s">
        <v>28</v>
      </c>
      <c r="AH49" s="51"/>
      <c r="AI49" s="51"/>
    </row>
    <row r="50" spans="2:35">
      <c r="B50" t="s">
        <v>1963</v>
      </c>
      <c r="C50" t="s">
        <v>3284</v>
      </c>
      <c r="D50">
        <v>4</v>
      </c>
      <c r="E50" t="s">
        <v>2791</v>
      </c>
      <c r="F50">
        <v>4</v>
      </c>
      <c r="I50" t="s">
        <v>1964</v>
      </c>
      <c r="J50" s="51">
        <v>40696</v>
      </c>
      <c r="K50" t="s">
        <v>27</v>
      </c>
      <c r="L50" t="s">
        <v>1888</v>
      </c>
      <c r="M50">
        <v>3</v>
      </c>
      <c r="N50" t="str">
        <f>L50</f>
        <v>NAM\MA7784</v>
      </c>
      <c r="O50" s="51">
        <f>J50</f>
        <v>40696</v>
      </c>
      <c r="P50" s="51" t="str">
        <f>C50</f>
        <v>~/cdd/olddocs/Instructivos/CNWI-ENGI/CNWI-ENGI-0045 Maquina RIDGID cortadora de conduit.pdf</v>
      </c>
      <c r="Q50" s="51" t="str">
        <f>E50</f>
        <v>pdf</v>
      </c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G50" t="s">
        <v>28</v>
      </c>
      <c r="AH50" s="51"/>
      <c r="AI50" s="51"/>
    </row>
    <row r="51" spans="2:35">
      <c r="B51" t="s">
        <v>1965</v>
      </c>
      <c r="C51" t="s">
        <v>3285</v>
      </c>
      <c r="D51">
        <v>4</v>
      </c>
      <c r="E51" t="s">
        <v>2791</v>
      </c>
      <c r="F51">
        <v>4</v>
      </c>
      <c r="I51" t="s">
        <v>1966</v>
      </c>
      <c r="J51" s="51">
        <v>40700</v>
      </c>
      <c r="K51" t="s">
        <v>27</v>
      </c>
      <c r="L51" t="s">
        <v>1888</v>
      </c>
      <c r="M51">
        <v>3</v>
      </c>
      <c r="N51" t="str">
        <f>L51</f>
        <v>NAM\MA7784</v>
      </c>
      <c r="O51" s="51">
        <f>J51</f>
        <v>40700</v>
      </c>
      <c r="P51" s="51" t="str">
        <f>C51</f>
        <v>~/cdd/olddocs/Instructivos/CNWI-ENGI/CNWI-ENGI-0046 Maquina cortadora CR-100.pdf</v>
      </c>
      <c r="Q51" s="51" t="str">
        <f>E51</f>
        <v>pdf</v>
      </c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G51" t="s">
        <v>28</v>
      </c>
      <c r="AH51" s="51"/>
      <c r="AI51" s="51"/>
    </row>
    <row r="52" spans="2:35">
      <c r="B52" t="s">
        <v>1967</v>
      </c>
      <c r="C52" t="s">
        <v>3286</v>
      </c>
      <c r="D52">
        <v>4</v>
      </c>
      <c r="E52" t="s">
        <v>2791</v>
      </c>
      <c r="F52">
        <v>4</v>
      </c>
      <c r="I52" t="s">
        <v>1968</v>
      </c>
      <c r="J52" s="51">
        <v>40575</v>
      </c>
      <c r="K52" t="s">
        <v>46</v>
      </c>
      <c r="L52" t="s">
        <v>1888</v>
      </c>
      <c r="M52">
        <v>3</v>
      </c>
      <c r="N52" t="str">
        <f>L52</f>
        <v>NAM\MA7784</v>
      </c>
      <c r="O52" s="51">
        <f>J52</f>
        <v>40575</v>
      </c>
      <c r="P52" s="51" t="str">
        <f>C52</f>
        <v>~/cdd/olddocs/Instructivos/CNWI-ENGI/CNWI-ENGI-0047 Horno Blue M.pdf</v>
      </c>
      <c r="Q52" s="51" t="str">
        <f>E52</f>
        <v>pdf</v>
      </c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G52" t="s">
        <v>28</v>
      </c>
      <c r="AH52" s="51"/>
      <c r="AI52" s="51"/>
    </row>
    <row r="53" spans="2:35">
      <c r="B53" t="s">
        <v>1969</v>
      </c>
      <c r="C53" t="s">
        <v>3287</v>
      </c>
      <c r="D53">
        <v>4</v>
      </c>
      <c r="E53" t="s">
        <v>2791</v>
      </c>
      <c r="F53">
        <v>4</v>
      </c>
      <c r="I53" t="s">
        <v>1970</v>
      </c>
      <c r="J53" s="51">
        <v>40702</v>
      </c>
      <c r="K53" t="s">
        <v>27</v>
      </c>
      <c r="L53" t="s">
        <v>1888</v>
      </c>
      <c r="M53">
        <v>3</v>
      </c>
      <c r="N53" t="str">
        <f>L53</f>
        <v>NAM\MA7784</v>
      </c>
      <c r="O53" s="51">
        <f>J53</f>
        <v>40702</v>
      </c>
      <c r="P53" s="51" t="str">
        <f>C53</f>
        <v>~/cdd/olddocs/Instructivos/CNWI-ENGI/CNWI-ENGI-0048 Máquina Remachadora Cambrige.pdf</v>
      </c>
      <c r="Q53" s="51" t="str">
        <f>E53</f>
        <v>pdf</v>
      </c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G53" t="s">
        <v>28</v>
      </c>
      <c r="AH53" s="51"/>
      <c r="AI53" s="51"/>
    </row>
    <row r="54" spans="2:35">
      <c r="B54" t="s">
        <v>1971</v>
      </c>
      <c r="C54" t="s">
        <v>3288</v>
      </c>
      <c r="D54">
        <v>4</v>
      </c>
      <c r="E54" t="s">
        <v>2791</v>
      </c>
      <c r="F54">
        <v>4</v>
      </c>
      <c r="I54" t="s">
        <v>1972</v>
      </c>
      <c r="J54" s="51">
        <v>40722</v>
      </c>
      <c r="K54" t="s">
        <v>27</v>
      </c>
      <c r="L54" t="s">
        <v>1888</v>
      </c>
      <c r="M54">
        <v>3</v>
      </c>
      <c r="N54" t="str">
        <f>L54</f>
        <v>NAM\MA7784</v>
      </c>
      <c r="O54" s="51">
        <f>J54</f>
        <v>40722</v>
      </c>
      <c r="P54" s="51" t="str">
        <f>C54</f>
        <v>~/cdd/olddocs/Instructivos/CNWI-ENGI/CNWI-ENGI-0049 Alimentador de cables RTT.pdf</v>
      </c>
      <c r="Q54" s="51" t="str">
        <f>E54</f>
        <v>pdf</v>
      </c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G54" t="s">
        <v>28</v>
      </c>
      <c r="AH54" s="51"/>
      <c r="AI54" s="51"/>
    </row>
    <row r="55" spans="2:35">
      <c r="B55" t="s">
        <v>1973</v>
      </c>
      <c r="C55" t="s">
        <v>3289</v>
      </c>
      <c r="D55">
        <v>4</v>
      </c>
      <c r="E55" t="s">
        <v>2791</v>
      </c>
      <c r="F55">
        <v>4</v>
      </c>
      <c r="I55" t="s">
        <v>1974</v>
      </c>
      <c r="J55" s="51">
        <v>40718</v>
      </c>
      <c r="K55" t="s">
        <v>27</v>
      </c>
      <c r="L55" t="s">
        <v>1888</v>
      </c>
      <c r="M55">
        <v>3</v>
      </c>
      <c r="N55" t="str">
        <f>L55</f>
        <v>NAM\MA7784</v>
      </c>
      <c r="O55" s="51">
        <f>J55</f>
        <v>40718</v>
      </c>
      <c r="P55" s="51" t="str">
        <f>C55</f>
        <v>~/cdd/olddocs/Instructivos/CNWI-ENGI/CNWI-ENGI-0050 Maquina ALPHATRON Modelo MPT-200A.pdf</v>
      </c>
      <c r="Q55" s="51" t="str">
        <f>E55</f>
        <v>pdf</v>
      </c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G55" t="s">
        <v>28</v>
      </c>
      <c r="AH55" s="51"/>
      <c r="AI55" s="51"/>
    </row>
    <row r="56" spans="2:35">
      <c r="B56" t="s">
        <v>1975</v>
      </c>
      <c r="C56" t="s">
        <v>3290</v>
      </c>
      <c r="D56">
        <v>4</v>
      </c>
      <c r="E56" t="s">
        <v>2791</v>
      </c>
      <c r="F56">
        <v>4</v>
      </c>
      <c r="I56" t="s">
        <v>1976</v>
      </c>
      <c r="J56" s="51">
        <v>40718</v>
      </c>
      <c r="K56" t="s">
        <v>27</v>
      </c>
      <c r="L56" t="s">
        <v>1888</v>
      </c>
      <c r="M56">
        <v>3</v>
      </c>
      <c r="N56" t="str">
        <f>L56</f>
        <v>NAM\MA7784</v>
      </c>
      <c r="O56" s="51">
        <f>J56</f>
        <v>40718</v>
      </c>
      <c r="P56" s="51" t="str">
        <f>C56</f>
        <v>~/cdd/olddocs/Instructivos/CNWI-ENGI/CNWI-ENGI-0051 Maquina Branson.pdf</v>
      </c>
      <c r="Q56" s="51" t="str">
        <f>E56</f>
        <v>pdf</v>
      </c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G56" t="s">
        <v>28</v>
      </c>
      <c r="AH56" s="51"/>
      <c r="AI56" s="51"/>
    </row>
    <row r="57" spans="2:35">
      <c r="B57" t="s">
        <v>1977</v>
      </c>
      <c r="C57" t="s">
        <v>3291</v>
      </c>
      <c r="D57">
        <v>4</v>
      </c>
      <c r="E57" t="s">
        <v>2791</v>
      </c>
      <c r="F57">
        <v>4</v>
      </c>
      <c r="I57" t="s">
        <v>1978</v>
      </c>
      <c r="J57" s="51">
        <v>40731</v>
      </c>
      <c r="K57" t="s">
        <v>27</v>
      </c>
      <c r="L57" t="s">
        <v>1888</v>
      </c>
      <c r="M57">
        <v>3</v>
      </c>
      <c r="N57" t="str">
        <f>L57</f>
        <v>NAM\MA7784</v>
      </c>
      <c r="O57" s="51">
        <f>J57</f>
        <v>40731</v>
      </c>
      <c r="P57" s="51" t="str">
        <f>C57</f>
        <v>~/cdd/olddocs/Instructivos/CNWI-ENGI/CNWI-ENGI-0052 Maquina PULL HOME.pdf</v>
      </c>
      <c r="Q57" s="51" t="str">
        <f>E57</f>
        <v>pdf</v>
      </c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G57" t="s">
        <v>28</v>
      </c>
      <c r="AH57" s="51"/>
      <c r="AI57" s="51"/>
    </row>
    <row r="58" spans="2:35">
      <c r="B58" t="s">
        <v>66</v>
      </c>
      <c r="C58" t="s">
        <v>3292</v>
      </c>
      <c r="D58">
        <v>4</v>
      </c>
      <c r="E58" t="s">
        <v>2791</v>
      </c>
      <c r="F58">
        <v>4</v>
      </c>
      <c r="I58" t="s">
        <v>67</v>
      </c>
      <c r="J58" s="51">
        <v>41061</v>
      </c>
      <c r="K58" t="s">
        <v>27</v>
      </c>
      <c r="L58" t="s">
        <v>63</v>
      </c>
      <c r="M58">
        <v>3</v>
      </c>
      <c r="N58" t="str">
        <f>L58</f>
        <v>NAM\D6B1B</v>
      </c>
      <c r="O58" s="51">
        <f>J58</f>
        <v>41061</v>
      </c>
      <c r="P58" s="51" t="str">
        <f>C58</f>
        <v>~/cdd/olddocs/Instructivos/CNWI-ENGI/CNWI-ENGI-0053 Maquina Branson Solar.pdf</v>
      </c>
      <c r="Q58" s="51" t="str">
        <f>E58</f>
        <v>pdf</v>
      </c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G58" t="s">
        <v>28</v>
      </c>
      <c r="AH58" s="51"/>
      <c r="AI58" s="51"/>
    </row>
    <row r="59" spans="2:35">
      <c r="B59" t="s">
        <v>1979</v>
      </c>
      <c r="C59" t="s">
        <v>3293</v>
      </c>
      <c r="D59">
        <v>4</v>
      </c>
      <c r="E59" t="s">
        <v>2791</v>
      </c>
      <c r="F59">
        <v>4</v>
      </c>
      <c r="I59" t="s">
        <v>1980</v>
      </c>
      <c r="J59" s="51">
        <v>40736</v>
      </c>
      <c r="K59" t="s">
        <v>27</v>
      </c>
      <c r="L59" t="s">
        <v>1888</v>
      </c>
      <c r="M59">
        <v>3</v>
      </c>
      <c r="N59" t="str">
        <f>L59</f>
        <v>NAM\MA7784</v>
      </c>
      <c r="O59" s="51">
        <f>J59</f>
        <v>40736</v>
      </c>
      <c r="P59" s="51" t="str">
        <f>C59</f>
        <v>~/cdd/olddocs/Instructivos/CNWI-ENGI/CNWI-ENGI-0054 Maquina Viking modelo 260-4199.pdf</v>
      </c>
      <c r="Q59" s="51" t="str">
        <f>E59</f>
        <v>pdf</v>
      </c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G59" t="s">
        <v>28</v>
      </c>
      <c r="AH59" s="51"/>
      <c r="AI59" s="51"/>
    </row>
    <row r="60" spans="2:35">
      <c r="B60" t="s">
        <v>1981</v>
      </c>
      <c r="C60" t="s">
        <v>3294</v>
      </c>
      <c r="D60">
        <v>4</v>
      </c>
      <c r="E60" t="s">
        <v>2791</v>
      </c>
      <c r="F60">
        <v>4</v>
      </c>
      <c r="I60" t="s">
        <v>1982</v>
      </c>
      <c r="J60" s="51">
        <v>40731</v>
      </c>
      <c r="K60" t="s">
        <v>27</v>
      </c>
      <c r="L60" t="s">
        <v>1888</v>
      </c>
      <c r="M60">
        <v>3</v>
      </c>
      <c r="N60" t="str">
        <f>L60</f>
        <v>NAM\MA7784</v>
      </c>
      <c r="O60" s="51">
        <f>J60</f>
        <v>40731</v>
      </c>
      <c r="P60" s="51" t="str">
        <f>C60</f>
        <v>~/cdd/olddocs/Instructivos/CNWI-ENGI/CNWI-ENGI-0055 Remachado de Contactos en Maquina Astron.pdf</v>
      </c>
      <c r="Q60" s="51" t="str">
        <f>E60</f>
        <v>pdf</v>
      </c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G60" t="s">
        <v>28</v>
      </c>
      <c r="AH60" s="51"/>
      <c r="AI60" s="51"/>
    </row>
    <row r="61" spans="2:35">
      <c r="B61" t="s">
        <v>1983</v>
      </c>
      <c r="C61" t="s">
        <v>3295</v>
      </c>
      <c r="D61">
        <v>4</v>
      </c>
      <c r="E61" t="s">
        <v>2791</v>
      </c>
      <c r="F61">
        <v>4</v>
      </c>
      <c r="I61" t="s">
        <v>1984</v>
      </c>
      <c r="J61" s="51">
        <v>40722</v>
      </c>
      <c r="K61" t="s">
        <v>27</v>
      </c>
      <c r="L61" t="s">
        <v>1888</v>
      </c>
      <c r="M61">
        <v>3</v>
      </c>
      <c r="N61" t="str">
        <f>L61</f>
        <v>NAM\MA7784</v>
      </c>
      <c r="O61" s="51">
        <f>J61</f>
        <v>40722</v>
      </c>
      <c r="P61" s="51" t="str">
        <f>C61</f>
        <v>~/cdd/olddocs/Instructivos/CNWI-ENGI/CNWI-ENGI-0056 Estañado de Conductores en plato Crisol.pdf</v>
      </c>
      <c r="Q61" s="51" t="str">
        <f>E61</f>
        <v>pdf</v>
      </c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t="s">
        <v>1985</v>
      </c>
      <c r="AF61" t="s">
        <v>611</v>
      </c>
      <c r="AG61" t="s">
        <v>28</v>
      </c>
      <c r="AH61" s="51"/>
      <c r="AI61" s="51"/>
    </row>
    <row r="62" spans="2:35">
      <c r="B62" t="s">
        <v>1986</v>
      </c>
      <c r="C62" t="s">
        <v>3296</v>
      </c>
      <c r="D62">
        <v>4</v>
      </c>
      <c r="E62" t="s">
        <v>2791</v>
      </c>
      <c r="F62">
        <v>4</v>
      </c>
      <c r="I62" t="s">
        <v>1987</v>
      </c>
      <c r="J62" s="51">
        <v>40808</v>
      </c>
      <c r="K62" t="s">
        <v>27</v>
      </c>
      <c r="L62" t="s">
        <v>1888</v>
      </c>
      <c r="M62">
        <v>3</v>
      </c>
      <c r="N62" t="str">
        <f>L62</f>
        <v>NAM\MA7784</v>
      </c>
      <c r="O62" s="51">
        <f>J62</f>
        <v>40808</v>
      </c>
      <c r="P62" s="51" t="str">
        <f>C62</f>
        <v>~/cdd/olddocs/Instructivos/CNWI-ENGI/CNWI-ENGI-0057 Prueba Electrica en Maquina VITREK V53 ACDC.pdf</v>
      </c>
      <c r="Q62" s="51" t="str">
        <f>E62</f>
        <v>pdf</v>
      </c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G62" t="s">
        <v>28</v>
      </c>
      <c r="AH62" s="51"/>
      <c r="AI62" s="51"/>
    </row>
    <row r="63" spans="2:35">
      <c r="B63" t="s">
        <v>1988</v>
      </c>
      <c r="C63" t="s">
        <v>3297</v>
      </c>
      <c r="D63">
        <v>4</v>
      </c>
      <c r="E63" t="s">
        <v>2791</v>
      </c>
      <c r="F63">
        <v>4</v>
      </c>
      <c r="I63" t="s">
        <v>1989</v>
      </c>
      <c r="J63" s="51">
        <v>40739</v>
      </c>
      <c r="K63" t="s">
        <v>27</v>
      </c>
      <c r="L63" t="s">
        <v>1888</v>
      </c>
      <c r="M63">
        <v>3</v>
      </c>
      <c r="N63" t="str">
        <f>L63</f>
        <v>NAM\MA7784</v>
      </c>
      <c r="O63" s="51">
        <f>J63</f>
        <v>40739</v>
      </c>
      <c r="P63" s="51" t="str">
        <f>C63</f>
        <v>~/cdd/olddocs/Instructivos/CNWI-ENGI/CNWI-ENGI-0058 Prueba de continuidad y presencia  O-Ring.pdf</v>
      </c>
      <c r="Q63" s="51" t="str">
        <f>E63</f>
        <v>pdf</v>
      </c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G63" t="s">
        <v>28</v>
      </c>
      <c r="AH63" s="51"/>
      <c r="AI63" s="51"/>
    </row>
    <row r="64" spans="2:35">
      <c r="B64" t="s">
        <v>1990</v>
      </c>
      <c r="C64" t="s">
        <v>3298</v>
      </c>
      <c r="D64">
        <v>4</v>
      </c>
      <c r="E64" t="s">
        <v>2791</v>
      </c>
      <c r="F64">
        <v>4</v>
      </c>
      <c r="I64" t="s">
        <v>1991</v>
      </c>
      <c r="J64" s="51">
        <v>40808</v>
      </c>
      <c r="K64" t="s">
        <v>27</v>
      </c>
      <c r="L64" t="s">
        <v>1888</v>
      </c>
      <c r="M64">
        <v>3</v>
      </c>
      <c r="N64" t="str">
        <f>L64</f>
        <v>NAM\MA7784</v>
      </c>
      <c r="O64" s="51">
        <f>J64</f>
        <v>40808</v>
      </c>
      <c r="P64" s="51" t="str">
        <f>C64</f>
        <v>~/cdd/olddocs/Instructivos/CNWI-ENGI/CNWI-ENGI-0059 Prueba Electrica en Maquina CIRRIS.pdf</v>
      </c>
      <c r="Q64" s="51" t="str">
        <f>E64</f>
        <v>pdf</v>
      </c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G64" t="s">
        <v>28</v>
      </c>
      <c r="AH64" s="51"/>
      <c r="AI64" s="51"/>
    </row>
    <row r="65" spans="2:35">
      <c r="B65" t="s">
        <v>1992</v>
      </c>
      <c r="C65" t="s">
        <v>3299</v>
      </c>
      <c r="D65">
        <v>4</v>
      </c>
      <c r="E65" t="s">
        <v>2791</v>
      </c>
      <c r="F65">
        <v>4</v>
      </c>
      <c r="I65" t="s">
        <v>1993</v>
      </c>
      <c r="J65" s="51">
        <v>40752</v>
      </c>
      <c r="K65" t="s">
        <v>27</v>
      </c>
      <c r="L65" t="s">
        <v>1888</v>
      </c>
      <c r="M65">
        <v>3</v>
      </c>
      <c r="N65" t="str">
        <f>L65</f>
        <v>NAM\MA7784</v>
      </c>
      <c r="O65" s="51">
        <f>J65</f>
        <v>40752</v>
      </c>
      <c r="P65" s="51" t="str">
        <f>C65</f>
        <v>~/cdd/olddocs/Instructivos/CNWI-ENGI/CNWI-ENGI-0060 Despojado de Jacket en Maquina Schleuniger Modelo JS-8300.pdf</v>
      </c>
      <c r="Q65" s="51" t="str">
        <f>E65</f>
        <v>pdf</v>
      </c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G65" t="s">
        <v>28</v>
      </c>
      <c r="AH65" s="51"/>
      <c r="AI65" s="51"/>
    </row>
    <row r="66" spans="2:35">
      <c r="B66" t="s">
        <v>1994</v>
      </c>
      <c r="C66" t="s">
        <v>3300</v>
      </c>
      <c r="D66">
        <v>4</v>
      </c>
      <c r="E66" t="s">
        <v>2791</v>
      </c>
      <c r="F66">
        <v>4</v>
      </c>
      <c r="I66" t="s">
        <v>1995</v>
      </c>
      <c r="J66" s="51">
        <v>40739</v>
      </c>
      <c r="K66" t="s">
        <v>27</v>
      </c>
      <c r="L66" t="s">
        <v>1888</v>
      </c>
      <c r="M66">
        <v>3</v>
      </c>
      <c r="N66" t="str">
        <f>L66</f>
        <v>NAM\MA7784</v>
      </c>
      <c r="O66" s="51">
        <f>J66</f>
        <v>40739</v>
      </c>
      <c r="P66" s="51" t="str">
        <f>C66</f>
        <v>~/cdd/olddocs/Instructivos/CNWI-ENGI/CNWI-ENGI-0061 Secar Humedad a Resina en el Sistema de filtros Conair.pdf</v>
      </c>
      <c r="Q66" s="51" t="str">
        <f>E66</f>
        <v>pdf</v>
      </c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G66" t="s">
        <v>28</v>
      </c>
      <c r="AH66" s="51"/>
      <c r="AI66" s="51"/>
    </row>
    <row r="67" spans="2:35">
      <c r="B67" t="s">
        <v>1996</v>
      </c>
      <c r="C67" t="s">
        <v>3301</v>
      </c>
      <c r="D67">
        <v>4</v>
      </c>
      <c r="E67" t="s">
        <v>2791</v>
      </c>
      <c r="F67">
        <v>4</v>
      </c>
      <c r="I67" t="s">
        <v>1997</v>
      </c>
      <c r="J67" s="51">
        <v>40752</v>
      </c>
      <c r="K67" t="s">
        <v>27</v>
      </c>
      <c r="L67" t="s">
        <v>1888</v>
      </c>
      <c r="M67">
        <v>3</v>
      </c>
      <c r="N67" t="str">
        <f>L67</f>
        <v>NAM\MA7784</v>
      </c>
      <c r="O67" s="51">
        <f>J67</f>
        <v>40752</v>
      </c>
      <c r="P67" s="51" t="str">
        <f>C67</f>
        <v>~/cdd/olddocs/Instructivos/CNWI-ENGI/CNWI-ENGI-0062 Remachado de cables en maquina.pdf</v>
      </c>
      <c r="Q67" s="51" t="str">
        <f>E67</f>
        <v>pdf</v>
      </c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G67" t="s">
        <v>28</v>
      </c>
      <c r="AH67" s="51"/>
      <c r="AI67" s="51"/>
    </row>
    <row r="68" spans="2:35">
      <c r="B68" t="s">
        <v>1998</v>
      </c>
      <c r="C68" t="s">
        <v>3302</v>
      </c>
      <c r="D68">
        <v>4</v>
      </c>
      <c r="E68" t="s">
        <v>2791</v>
      </c>
      <c r="F68">
        <v>4</v>
      </c>
      <c r="I68" t="s">
        <v>1999</v>
      </c>
      <c r="J68" s="51">
        <v>40752</v>
      </c>
      <c r="K68" t="s">
        <v>27</v>
      </c>
      <c r="L68" t="s">
        <v>1888</v>
      </c>
      <c r="M68">
        <v>3</v>
      </c>
      <c r="N68" t="str">
        <f>L68</f>
        <v>NAM\MA7784</v>
      </c>
      <c r="O68" s="51">
        <f>J68</f>
        <v>40752</v>
      </c>
      <c r="P68" s="51" t="str">
        <f>C68</f>
        <v>~/cdd/olddocs/Instructivos/CNWI-ENGI/CNWI-ENGI-0063  Maquina Cable Coiler 500.pdf</v>
      </c>
      <c r="Q68" s="51" t="str">
        <f>E68</f>
        <v>pdf</v>
      </c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G68" t="s">
        <v>28</v>
      </c>
      <c r="AH68" s="51"/>
      <c r="AI68" s="51"/>
    </row>
    <row r="69" spans="2:35">
      <c r="B69" t="s">
        <v>2000</v>
      </c>
      <c r="C69" t="s">
        <v>3303</v>
      </c>
      <c r="D69">
        <v>4</v>
      </c>
      <c r="E69" t="s">
        <v>2791</v>
      </c>
      <c r="F69">
        <v>4</v>
      </c>
      <c r="I69" t="s">
        <v>2001</v>
      </c>
      <c r="J69" s="51">
        <v>40739</v>
      </c>
      <c r="K69" t="s">
        <v>27</v>
      </c>
      <c r="L69" t="s">
        <v>1888</v>
      </c>
      <c r="M69">
        <v>3</v>
      </c>
      <c r="N69" t="str">
        <f>L69</f>
        <v>NAM\MA7784</v>
      </c>
      <c r="O69" s="51">
        <f>J69</f>
        <v>40739</v>
      </c>
      <c r="P69" s="51" t="str">
        <f>C69</f>
        <v>~/cdd/olddocs/Instructivos/CNWI-ENGI/CNWI-ENGI-0064 Despoje de cables en máquina Shleuniger Modelo 2015.pdf</v>
      </c>
      <c r="Q69" s="51" t="str">
        <f>E69</f>
        <v>pdf</v>
      </c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G69" t="s">
        <v>28</v>
      </c>
      <c r="AH69" s="51"/>
      <c r="AI69" s="51"/>
    </row>
    <row r="70" spans="2:35">
      <c r="B70" t="s">
        <v>2002</v>
      </c>
      <c r="C70" t="s">
        <v>3304</v>
      </c>
      <c r="D70">
        <v>4</v>
      </c>
      <c r="E70" t="s">
        <v>2791</v>
      </c>
      <c r="F70">
        <v>4</v>
      </c>
      <c r="I70" t="s">
        <v>2003</v>
      </c>
      <c r="J70" s="51">
        <v>40801</v>
      </c>
      <c r="K70" t="s">
        <v>27</v>
      </c>
      <c r="L70" t="s">
        <v>1888</v>
      </c>
      <c r="M70">
        <v>3</v>
      </c>
      <c r="N70" t="str">
        <f>L70</f>
        <v>NAM\MA7784</v>
      </c>
      <c r="O70" s="51">
        <f>J70</f>
        <v>40801</v>
      </c>
      <c r="P70" s="51" t="str">
        <f>C70</f>
        <v>~/cdd/olddocs/Instructivos/CNWI-ENGI/CNWI-ENGI-0065 Máquina Automática IFS.pdf</v>
      </c>
      <c r="Q70" s="51" t="str">
        <f>E70</f>
        <v>pdf</v>
      </c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G70" t="s">
        <v>28</v>
      </c>
      <c r="AH70" s="51"/>
      <c r="AI70" s="51"/>
    </row>
    <row r="71" spans="2:35">
      <c r="B71" t="s">
        <v>2004</v>
      </c>
      <c r="C71" t="s">
        <v>3305</v>
      </c>
      <c r="D71">
        <v>4</v>
      </c>
      <c r="E71" t="s">
        <v>2791</v>
      </c>
      <c r="F71">
        <v>4</v>
      </c>
      <c r="I71" t="s">
        <v>2005</v>
      </c>
      <c r="J71" s="51">
        <v>40752</v>
      </c>
      <c r="K71" t="s">
        <v>27</v>
      </c>
      <c r="L71" t="s">
        <v>1888</v>
      </c>
      <c r="M71">
        <v>3</v>
      </c>
      <c r="N71" t="str">
        <f>L71</f>
        <v>NAM\MA7784</v>
      </c>
      <c r="O71" s="51">
        <f>J71</f>
        <v>40752</v>
      </c>
      <c r="P71" s="51" t="str">
        <f>C71</f>
        <v>~/cdd/olddocs/Instructivos/CNWI-ENGI/CNWI-ENGI-0066 Secar Humedad a material en el Sistema de filtros Novatec.pdf</v>
      </c>
      <c r="Q71" s="51" t="str">
        <f>E71</f>
        <v>pdf</v>
      </c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G71" t="s">
        <v>28</v>
      </c>
      <c r="AH71" s="51"/>
      <c r="AI71" s="51"/>
    </row>
    <row r="72" spans="2:35">
      <c r="B72" t="s">
        <v>2006</v>
      </c>
      <c r="C72" t="s">
        <v>3306</v>
      </c>
      <c r="D72">
        <v>4</v>
      </c>
      <c r="E72" t="s">
        <v>2791</v>
      </c>
      <c r="F72">
        <v>4</v>
      </c>
      <c r="I72" t="s">
        <v>2007</v>
      </c>
      <c r="J72" s="51">
        <v>40752</v>
      </c>
      <c r="K72" t="s">
        <v>27</v>
      </c>
      <c r="L72" t="s">
        <v>1888</v>
      </c>
      <c r="M72">
        <v>3</v>
      </c>
      <c r="N72" t="str">
        <f>L72</f>
        <v>NAM\MA7784</v>
      </c>
      <c r="O72" s="51">
        <f>J72</f>
        <v>40752</v>
      </c>
      <c r="P72" s="51" t="str">
        <f>C72</f>
        <v>~/cdd/olddocs/Instructivos/CNWI-ENGI/CNWI-ENGI-0067 Enfriador de material  Movin-Cool.pdf</v>
      </c>
      <c r="Q72" s="51" t="str">
        <f>E72</f>
        <v>pdf</v>
      </c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G72" t="s">
        <v>28</v>
      </c>
      <c r="AH72" s="51"/>
      <c r="AI72" s="51"/>
    </row>
    <row r="73" spans="2:35">
      <c r="B73" t="s">
        <v>2008</v>
      </c>
      <c r="C73" t="s">
        <v>3307</v>
      </c>
      <c r="D73">
        <v>4</v>
      </c>
      <c r="E73" t="s">
        <v>2791</v>
      </c>
      <c r="F73">
        <v>4</v>
      </c>
      <c r="I73" t="s">
        <v>2009</v>
      </c>
      <c r="J73" s="51">
        <v>40770</v>
      </c>
      <c r="K73" t="s">
        <v>27</v>
      </c>
      <c r="L73" t="s">
        <v>1888</v>
      </c>
      <c r="M73">
        <v>3</v>
      </c>
      <c r="N73" t="str">
        <f>L73</f>
        <v>NAM\MA7784</v>
      </c>
      <c r="O73" s="51">
        <f>J73</f>
        <v>40770</v>
      </c>
      <c r="P73" s="51" t="str">
        <f>C73</f>
        <v>~/cdd/olddocs/Instructivos/CNWI-ENGI/CNWI-ENGI-0068 SECADOR ARID-X  .pdf</v>
      </c>
      <c r="Q73" s="51" t="str">
        <f>E73</f>
        <v>pdf</v>
      </c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G73" t="s">
        <v>28</v>
      </c>
      <c r="AH73" s="51"/>
      <c r="AI73" s="51"/>
    </row>
    <row r="74" spans="2:35">
      <c r="B74" t="s">
        <v>2010</v>
      </c>
      <c r="C74" t="s">
        <v>3308</v>
      </c>
      <c r="D74">
        <v>4</v>
      </c>
      <c r="E74" t="s">
        <v>2791</v>
      </c>
      <c r="F74">
        <v>4</v>
      </c>
      <c r="I74" t="s">
        <v>2011</v>
      </c>
      <c r="J74" s="51">
        <v>40767</v>
      </c>
      <c r="K74" t="s">
        <v>27</v>
      </c>
      <c r="L74" t="s">
        <v>1888</v>
      </c>
      <c r="M74">
        <v>3</v>
      </c>
      <c r="N74" t="str">
        <f>L74</f>
        <v>NAM\MA7784</v>
      </c>
      <c r="O74" s="51">
        <f>J74</f>
        <v>40767</v>
      </c>
      <c r="P74" s="51" t="str">
        <f>C74</f>
        <v>~/cdd/olddocs/Instructivos/CNWI-ENGI/CNWI-ENGI-0069 Remachado de contactos en Maquina Salem.pdf</v>
      </c>
      <c r="Q74" s="51" t="str">
        <f>E74</f>
        <v>pdf</v>
      </c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  <c r="AG74" t="s">
        <v>28</v>
      </c>
      <c r="AH74" s="51"/>
      <c r="AI74" s="51"/>
    </row>
    <row r="75" spans="2:35">
      <c r="B75" t="s">
        <v>1154</v>
      </c>
      <c r="C75" t="s">
        <v>3309</v>
      </c>
      <c r="D75">
        <v>4</v>
      </c>
      <c r="E75" t="s">
        <v>2791</v>
      </c>
      <c r="F75">
        <v>4</v>
      </c>
      <c r="I75" t="s">
        <v>1155</v>
      </c>
      <c r="J75" s="51">
        <v>40949</v>
      </c>
      <c r="K75" t="s">
        <v>159</v>
      </c>
      <c r="L75" t="s">
        <v>1157</v>
      </c>
      <c r="M75">
        <v>3</v>
      </c>
      <c r="N75" t="str">
        <f>L75</f>
        <v>NAM\F13B6</v>
      </c>
      <c r="O75" s="51">
        <f>J75</f>
        <v>40949</v>
      </c>
      <c r="P75" s="51" t="str">
        <f>C75</f>
        <v>~/cdd/olddocs/Instructivos/CNWI-ENGI/CNWI-ENGI-0070 Test plan for solar.pdf</v>
      </c>
      <c r="Q75" s="51" t="str">
        <f>E75</f>
        <v>pdf</v>
      </c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G75" t="s">
        <v>28</v>
      </c>
      <c r="AH75" s="51"/>
      <c r="AI75" s="51"/>
    </row>
    <row r="76" spans="2:35">
      <c r="B76" t="s">
        <v>2012</v>
      </c>
      <c r="C76" t="s">
        <v>3310</v>
      </c>
      <c r="D76">
        <v>4</v>
      </c>
      <c r="E76" t="s">
        <v>2791</v>
      </c>
      <c r="F76">
        <v>4</v>
      </c>
      <c r="I76" t="s">
        <v>2013</v>
      </c>
      <c r="J76" s="51">
        <v>40753</v>
      </c>
      <c r="K76" t="s">
        <v>27</v>
      </c>
      <c r="L76" t="s">
        <v>1888</v>
      </c>
      <c r="M76">
        <v>3</v>
      </c>
      <c r="N76" t="str">
        <f>L76</f>
        <v>NAM\MA7784</v>
      </c>
      <c r="O76" s="51">
        <f>J76</f>
        <v>40753</v>
      </c>
      <c r="P76" s="51" t="str">
        <f>C76</f>
        <v>~/cdd/olddocs/Instructivos/CNWI-ENGI/CNWI-ENGI-0071 Maquina para sellar Banda a Snaplock.pdf</v>
      </c>
      <c r="Q76" s="51" t="str">
        <f>E76</f>
        <v>pdf</v>
      </c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G76" t="s">
        <v>28</v>
      </c>
      <c r="AH76" s="51"/>
      <c r="AI76" s="51"/>
    </row>
    <row r="77" spans="2:35">
      <c r="B77" t="s">
        <v>2014</v>
      </c>
      <c r="C77" t="s">
        <v>3311</v>
      </c>
      <c r="D77">
        <v>4</v>
      </c>
      <c r="E77" t="s">
        <v>2791</v>
      </c>
      <c r="F77">
        <v>4</v>
      </c>
      <c r="I77" t="s">
        <v>2015</v>
      </c>
      <c r="J77" s="51">
        <v>40757</v>
      </c>
      <c r="K77" t="s">
        <v>27</v>
      </c>
      <c r="L77" t="s">
        <v>1888</v>
      </c>
      <c r="M77">
        <v>3</v>
      </c>
      <c r="N77" t="str">
        <f>L77</f>
        <v>NAM\MA7784</v>
      </c>
      <c r="O77" s="51">
        <f>J77</f>
        <v>40757</v>
      </c>
      <c r="P77" s="51" t="str">
        <f>C77</f>
        <v>~/cdd/olddocs/Instructivos/CNWI-ENGI/CNWI-ENGI-0072 Maquina para Emparejar cables.pdf</v>
      </c>
      <c r="Q77" s="51" t="str">
        <f>E77</f>
        <v>pdf</v>
      </c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G77" t="s">
        <v>28</v>
      </c>
      <c r="AH77" s="51"/>
      <c r="AI77" s="51"/>
    </row>
    <row r="78" spans="2:35">
      <c r="B78" t="s">
        <v>2016</v>
      </c>
      <c r="C78" t="s">
        <v>3312</v>
      </c>
      <c r="D78">
        <v>4</v>
      </c>
      <c r="E78" t="s">
        <v>2791</v>
      </c>
      <c r="F78">
        <v>4</v>
      </c>
      <c r="I78" t="s">
        <v>2017</v>
      </c>
      <c r="J78" s="51">
        <v>40785</v>
      </c>
      <c r="K78" t="s">
        <v>27</v>
      </c>
      <c r="L78" t="s">
        <v>1888</v>
      </c>
      <c r="M78">
        <v>3</v>
      </c>
      <c r="N78" t="str">
        <f>L78</f>
        <v>NAM\MA7784</v>
      </c>
      <c r="O78" s="51">
        <f>J78</f>
        <v>40785</v>
      </c>
      <c r="P78" s="51" t="str">
        <f>C78</f>
        <v>~/cdd/olddocs/Instructivos/CNWI-ENGI/CNWI-ENGI-0073 Prueba Eléctrica en Equipo Megohmmeter.pdf</v>
      </c>
      <c r="Q78" s="51" t="str">
        <f>E78</f>
        <v>pdf</v>
      </c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G78" t="s">
        <v>28</v>
      </c>
      <c r="AH78" s="51"/>
      <c r="AI78" s="51"/>
    </row>
    <row r="79" spans="2:35">
      <c r="B79" t="s">
        <v>2018</v>
      </c>
      <c r="C79" t="s">
        <v>3900</v>
      </c>
      <c r="D79">
        <v>4</v>
      </c>
      <c r="E79" t="s">
        <v>2797</v>
      </c>
      <c r="F79">
        <v>4</v>
      </c>
      <c r="I79" t="s">
        <v>2019</v>
      </c>
      <c r="J79" s="51">
        <v>41145</v>
      </c>
      <c r="K79" t="s">
        <v>27</v>
      </c>
      <c r="L79" t="s">
        <v>1888</v>
      </c>
      <c r="M79">
        <v>3</v>
      </c>
      <c r="N79" t="str">
        <f>L79</f>
        <v>NAM\MA7784</v>
      </c>
      <c r="O79" s="51">
        <f>J79</f>
        <v>41145</v>
      </c>
      <c r="P79" s="51" t="str">
        <f>C79</f>
        <v>~cdd/olddocs/Instructivos/CNWI-ENGI/CNWI-ENGI-0074 Rev. A Prueba de Resistencia 129-0029-001, 002, 003 docx.docx</v>
      </c>
      <c r="Q79" s="51" t="str">
        <f>E79</f>
        <v>docx</v>
      </c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G79" t="s">
        <v>28</v>
      </c>
      <c r="AH79" s="51"/>
      <c r="AI79" s="51"/>
    </row>
    <row r="80" spans="2:35">
      <c r="B80" t="s">
        <v>602</v>
      </c>
      <c r="C80" t="s">
        <v>3901</v>
      </c>
      <c r="D80">
        <v>4</v>
      </c>
      <c r="E80" t="s">
        <v>2791</v>
      </c>
      <c r="F80">
        <v>4</v>
      </c>
      <c r="I80" t="s">
        <v>603</v>
      </c>
      <c r="J80" s="51">
        <v>41094</v>
      </c>
      <c r="K80" t="s">
        <v>27</v>
      </c>
      <c r="L80" t="s">
        <v>605</v>
      </c>
      <c r="M80">
        <v>3</v>
      </c>
      <c r="N80" t="str">
        <f>L80</f>
        <v>NA/MB1049</v>
      </c>
      <c r="O80" s="51">
        <f>J80</f>
        <v>41094</v>
      </c>
      <c r="P80" s="51" t="str">
        <f>C80</f>
        <v>~cdd/olddocs/Instructivos/CNWI-ENGI/CNWI-ENGI-0075  Documentacion de Produccion.pdf</v>
      </c>
      <c r="Q80" s="51" t="str">
        <f>E80</f>
        <v>pdf</v>
      </c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G80" t="s">
        <v>28</v>
      </c>
      <c r="AH80" s="51"/>
      <c r="AI80" s="51"/>
    </row>
    <row r="81" spans="2:35">
      <c r="B81" t="s">
        <v>606</v>
      </c>
      <c r="C81" t="s">
        <v>3313</v>
      </c>
      <c r="D81">
        <v>4</v>
      </c>
      <c r="E81" t="s">
        <v>2791</v>
      </c>
      <c r="F81">
        <v>4</v>
      </c>
      <c r="I81" t="s">
        <v>607</v>
      </c>
      <c r="J81" s="51">
        <v>41163</v>
      </c>
      <c r="K81" t="s">
        <v>27</v>
      </c>
      <c r="L81" t="s">
        <v>605</v>
      </c>
      <c r="M81">
        <v>3</v>
      </c>
      <c r="N81" t="str">
        <f>L81</f>
        <v>NA/MB1049</v>
      </c>
      <c r="O81" s="51">
        <f>J81</f>
        <v>41163</v>
      </c>
      <c r="P81" s="51" t="str">
        <f>C81</f>
        <v>~/cdd/olddocs/Instructivos/CNWI-ENGI/CNWI-ENGI-0076  Procedimiento Maquina Komax Kappa 220225.pdf</v>
      </c>
      <c r="Q81" s="51" t="str">
        <f>E81</f>
        <v>pdf</v>
      </c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1"/>
      <c r="AG81" t="s">
        <v>28</v>
      </c>
      <c r="AH81" s="51"/>
      <c r="AI81" s="51"/>
    </row>
    <row r="82" spans="2:35">
      <c r="B82" t="s">
        <v>2020</v>
      </c>
      <c r="C82" t="s">
        <v>3314</v>
      </c>
      <c r="D82">
        <v>4</v>
      </c>
      <c r="E82" t="s">
        <v>2791</v>
      </c>
      <c r="F82">
        <v>4</v>
      </c>
      <c r="I82" t="s">
        <v>2021</v>
      </c>
      <c r="J82" s="51">
        <v>40779</v>
      </c>
      <c r="K82" t="s">
        <v>27</v>
      </c>
      <c r="L82" t="s">
        <v>1888</v>
      </c>
      <c r="M82">
        <v>3</v>
      </c>
      <c r="N82" t="str">
        <f>L82</f>
        <v>NAM\MA7784</v>
      </c>
      <c r="O82" s="51">
        <f>J82</f>
        <v>40779</v>
      </c>
      <c r="P82" s="51" t="str">
        <f>C82</f>
        <v>~/cdd/olddocs/Instructivos/CNWI-ENGI/CNWI-ENGI-0077 Maquina remachadora para aplastar cable .pdf</v>
      </c>
      <c r="Q82" s="51" t="str">
        <f>E82</f>
        <v>pdf</v>
      </c>
      <c r="R82" s="51"/>
      <c r="S82" s="51"/>
      <c r="T82" s="51"/>
      <c r="U82" s="51"/>
      <c r="V82" s="51"/>
      <c r="W82" s="51"/>
      <c r="X82" s="51"/>
      <c r="Y82" s="51"/>
      <c r="Z82" s="51"/>
      <c r="AA82" s="51"/>
      <c r="AB82" s="51"/>
      <c r="AC82" s="51"/>
      <c r="AD82" s="51"/>
      <c r="AG82" t="s">
        <v>28</v>
      </c>
      <c r="AH82" s="51"/>
      <c r="AI82" s="51"/>
    </row>
    <row r="83" spans="2:35">
      <c r="B83" t="s">
        <v>2022</v>
      </c>
      <c r="C83" t="s">
        <v>3315</v>
      </c>
      <c r="D83">
        <v>4</v>
      </c>
      <c r="E83" t="s">
        <v>2791</v>
      </c>
      <c r="F83">
        <v>4</v>
      </c>
      <c r="I83" t="s">
        <v>2023</v>
      </c>
      <c r="J83" s="51">
        <v>40780</v>
      </c>
      <c r="K83" t="s">
        <v>27</v>
      </c>
      <c r="L83" t="s">
        <v>1888</v>
      </c>
      <c r="M83">
        <v>3</v>
      </c>
      <c r="N83" t="str">
        <f>L83</f>
        <v>NAM\MA7784</v>
      </c>
      <c r="O83" s="51">
        <f>J83</f>
        <v>40780</v>
      </c>
      <c r="P83" s="51" t="str">
        <f>C83</f>
        <v>~/cdd/olddocs/Instructivos/CNWI-ENGI/CNWI-ENGI-0078 Máquina para pintar Shell.pdf</v>
      </c>
      <c r="Q83" s="51" t="str">
        <f>E83</f>
        <v>pdf</v>
      </c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  <c r="AG83" t="s">
        <v>28</v>
      </c>
      <c r="AH83" s="51"/>
      <c r="AI83" s="51"/>
    </row>
    <row r="84" spans="2:35">
      <c r="B84" t="s">
        <v>2024</v>
      </c>
      <c r="C84" t="s">
        <v>3316</v>
      </c>
      <c r="D84">
        <v>4</v>
      </c>
      <c r="E84" t="s">
        <v>2791</v>
      </c>
      <c r="F84">
        <v>4</v>
      </c>
      <c r="I84" t="s">
        <v>2025</v>
      </c>
      <c r="J84" s="51">
        <v>40779</v>
      </c>
      <c r="K84" t="s">
        <v>27</v>
      </c>
      <c r="L84" t="s">
        <v>1888</v>
      </c>
      <c r="M84">
        <v>3</v>
      </c>
      <c r="N84" t="str">
        <f>L84</f>
        <v>NAM\MA7784</v>
      </c>
      <c r="O84" s="51">
        <f>J84</f>
        <v>40779</v>
      </c>
      <c r="P84" s="51" t="str">
        <f>C84</f>
        <v>~/cdd/olddocs/Instructivos/CNWI-ENGI/CNWI-ENGI-0079 Soldar contactos con Cautín de pinza HOTIP-H10A.pdf</v>
      </c>
      <c r="Q84" s="51" t="str">
        <f>E84</f>
        <v>pdf</v>
      </c>
      <c r="R84" s="51"/>
      <c r="S84" s="51"/>
      <c r="T84" s="51"/>
      <c r="U84" s="51"/>
      <c r="V84" s="51"/>
      <c r="W84" s="51"/>
      <c r="X84" s="51"/>
      <c r="Y84" s="51"/>
      <c r="Z84" s="51"/>
      <c r="AA84" s="51"/>
      <c r="AB84" s="51"/>
      <c r="AC84" s="51"/>
      <c r="AD84" s="51"/>
      <c r="AG84" t="s">
        <v>28</v>
      </c>
      <c r="AH84" s="51"/>
      <c r="AI84" s="51"/>
    </row>
    <row r="85" spans="2:35">
      <c r="B85" t="s">
        <v>2026</v>
      </c>
      <c r="C85" t="s">
        <v>3317</v>
      </c>
      <c r="D85">
        <v>4</v>
      </c>
      <c r="E85" t="s">
        <v>2791</v>
      </c>
      <c r="F85">
        <v>4</v>
      </c>
      <c r="I85" t="s">
        <v>2027</v>
      </c>
      <c r="J85" s="51">
        <v>40814</v>
      </c>
      <c r="K85" t="s">
        <v>27</v>
      </c>
      <c r="L85" t="s">
        <v>1888</v>
      </c>
      <c r="M85">
        <v>3</v>
      </c>
      <c r="N85" t="str">
        <f>L85</f>
        <v>NAM\MA7784</v>
      </c>
      <c r="O85" s="51">
        <f>J85</f>
        <v>40814</v>
      </c>
      <c r="P85" s="51" t="str">
        <f>C85</f>
        <v>~/cdd/olddocs/Instructivos/CNWI-ENGI/CNWI-ENGI-0080 Remachadora de Banda a Shell.pdf</v>
      </c>
      <c r="Q85" s="51" t="str">
        <f>E85</f>
        <v>pdf</v>
      </c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  <c r="AG85" t="s">
        <v>28</v>
      </c>
      <c r="AH85" s="51"/>
      <c r="AI85" s="51"/>
    </row>
    <row r="86" spans="2:35">
      <c r="B86" t="s">
        <v>608</v>
      </c>
      <c r="C86" t="s">
        <v>3902</v>
      </c>
      <c r="D86">
        <v>4</v>
      </c>
      <c r="E86" t="s">
        <v>2791</v>
      </c>
      <c r="F86">
        <v>4</v>
      </c>
      <c r="I86" t="s">
        <v>609</v>
      </c>
      <c r="J86" s="51">
        <v>41137</v>
      </c>
      <c r="K86" t="s">
        <v>46</v>
      </c>
      <c r="L86" t="s">
        <v>605</v>
      </c>
      <c r="M86">
        <v>3</v>
      </c>
      <c r="N86" t="str">
        <f>L86</f>
        <v>NA/MB1049</v>
      </c>
      <c r="O86" s="51">
        <f>J86</f>
        <v>41137</v>
      </c>
      <c r="P86" s="51" t="str">
        <f>C86</f>
        <v>~cdd/olddocs/Instructivos/CNWI-ENGI/CNWI-ENGI-0081 Procedimiento cautines.pdf</v>
      </c>
      <c r="Q86" s="51" t="str">
        <f>E86</f>
        <v>pdf</v>
      </c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t="s">
        <v>610</v>
      </c>
      <c r="AF86" t="s">
        <v>611</v>
      </c>
      <c r="AG86" t="s">
        <v>28</v>
      </c>
      <c r="AH86" s="51"/>
      <c r="AI86" s="51"/>
    </row>
    <row r="87" spans="2:35">
      <c r="B87" t="s">
        <v>2028</v>
      </c>
      <c r="C87" t="s">
        <v>3318</v>
      </c>
      <c r="D87">
        <v>4</v>
      </c>
      <c r="E87" t="s">
        <v>2791</v>
      </c>
      <c r="F87">
        <v>4</v>
      </c>
      <c r="I87" t="s">
        <v>2029</v>
      </c>
      <c r="J87" s="51">
        <v>40785</v>
      </c>
      <c r="K87" t="s">
        <v>27</v>
      </c>
      <c r="L87" t="s">
        <v>1888</v>
      </c>
      <c r="M87">
        <v>3</v>
      </c>
      <c r="N87" t="str">
        <f>L87</f>
        <v>NAM\MA7784</v>
      </c>
      <c r="O87" s="51">
        <f>J87</f>
        <v>40785</v>
      </c>
      <c r="P87" s="51" t="str">
        <f>C87</f>
        <v>~/cdd/olddocs/Instructivos/CNWI-ENGI/CNWI-ENGI-0083 Impresoras  Zebra Z4MPLUS ZM600.pdf</v>
      </c>
      <c r="Q87" s="51" t="str">
        <f>E87</f>
        <v>pdf</v>
      </c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  <c r="AG87" t="s">
        <v>28</v>
      </c>
      <c r="AH87" s="51"/>
      <c r="AI87" s="51"/>
    </row>
    <row r="88" spans="2:35">
      <c r="B88" t="s">
        <v>2030</v>
      </c>
      <c r="C88" t="s">
        <v>3319</v>
      </c>
      <c r="D88">
        <v>4</v>
      </c>
      <c r="E88" t="s">
        <v>2791</v>
      </c>
      <c r="F88">
        <v>4</v>
      </c>
      <c r="I88" t="s">
        <v>2031</v>
      </c>
      <c r="J88" s="51">
        <v>40849</v>
      </c>
      <c r="K88" t="s">
        <v>27</v>
      </c>
      <c r="L88" t="s">
        <v>1888</v>
      </c>
      <c r="M88">
        <v>3</v>
      </c>
      <c r="N88" t="str">
        <f>L88</f>
        <v>NAM\MA7784</v>
      </c>
      <c r="O88" s="51">
        <f>J88</f>
        <v>40849</v>
      </c>
      <c r="P88" s="51" t="str">
        <f>C88</f>
        <v>~/cdd/olddocs/Instructivos/CNWI-ENGI/CNWI-ENGI-0084 Sistema Andón área ITRON.pdf</v>
      </c>
      <c r="Q88" s="51" t="str">
        <f>E88</f>
        <v>pdf</v>
      </c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G88" t="s">
        <v>28</v>
      </c>
      <c r="AH88" s="51"/>
      <c r="AI88" s="51"/>
    </row>
    <row r="89" spans="2:35">
      <c r="B89" t="s">
        <v>68</v>
      </c>
      <c r="C89" t="s">
        <v>3320</v>
      </c>
      <c r="D89">
        <v>4</v>
      </c>
      <c r="E89" t="s">
        <v>2791</v>
      </c>
      <c r="F89">
        <v>4</v>
      </c>
      <c r="I89" t="s">
        <v>69</v>
      </c>
      <c r="J89" s="51">
        <v>40821</v>
      </c>
      <c r="K89" t="s">
        <v>27</v>
      </c>
      <c r="L89" t="s">
        <v>63</v>
      </c>
      <c r="M89">
        <v>3</v>
      </c>
      <c r="N89" t="str">
        <f>L89</f>
        <v>NAM\D6B1B</v>
      </c>
      <c r="O89" s="51">
        <f>J89</f>
        <v>40821</v>
      </c>
      <c r="P89" s="51" t="str">
        <f>C89</f>
        <v>~/cdd/olddocs/Instructivos/CNWI-ENGI/CNWI-ENGI-0086 Elaboracion de BOM.pdf</v>
      </c>
      <c r="Q89" s="51" t="str">
        <f>E89</f>
        <v>pdf</v>
      </c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G89" t="s">
        <v>28</v>
      </c>
      <c r="AH89" s="51"/>
      <c r="AI89" s="51"/>
    </row>
    <row r="90" spans="2:35">
      <c r="B90" t="s">
        <v>133</v>
      </c>
      <c r="C90" t="s">
        <v>3321</v>
      </c>
      <c r="D90">
        <v>4</v>
      </c>
      <c r="E90" t="s">
        <v>2791</v>
      </c>
      <c r="F90">
        <v>4</v>
      </c>
      <c r="I90" t="s">
        <v>134</v>
      </c>
      <c r="J90" s="51">
        <v>40869</v>
      </c>
      <c r="K90" t="s">
        <v>27</v>
      </c>
      <c r="L90" t="s">
        <v>135</v>
      </c>
      <c r="M90">
        <v>3</v>
      </c>
      <c r="N90" t="str">
        <f>L90</f>
        <v>NAM\MB0617</v>
      </c>
      <c r="O90" s="51">
        <f>J90</f>
        <v>40869</v>
      </c>
      <c r="P90" s="51" t="str">
        <f>C90</f>
        <v>~/cdd/olddocs/Instructivos/CNWI-ENGI/CNWI-ENGI-0087 Instruccion de Impresión de etiquetas de embarque de Solar.pdf</v>
      </c>
      <c r="Q90" s="51" t="str">
        <f>E90</f>
        <v>pdf</v>
      </c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G90" t="s">
        <v>28</v>
      </c>
      <c r="AH90" s="51"/>
      <c r="AI90" s="51"/>
    </row>
    <row r="91" spans="2:35">
      <c r="B91" t="s">
        <v>588</v>
      </c>
      <c r="C91" t="s">
        <v>3322</v>
      </c>
      <c r="D91">
        <v>4</v>
      </c>
      <c r="E91" t="s">
        <v>2791</v>
      </c>
      <c r="F91">
        <v>5</v>
      </c>
      <c r="G91">
        <v>33</v>
      </c>
      <c r="H91">
        <v>28</v>
      </c>
      <c r="I91" t="s">
        <v>590</v>
      </c>
      <c r="J91" s="51">
        <v>40897</v>
      </c>
      <c r="K91" t="s">
        <v>27</v>
      </c>
      <c r="L91" t="s">
        <v>592</v>
      </c>
      <c r="M91">
        <v>3</v>
      </c>
      <c r="N91" t="str">
        <f>L91</f>
        <v>NAM\MB0616</v>
      </c>
      <c r="O91" s="51">
        <f>J91</f>
        <v>40897</v>
      </c>
      <c r="P91" s="51" t="str">
        <f>C91</f>
        <v>~/cdd/olddocs/Instructivos/CNWI-ENGI/CNWI-ENGI-0088 Maquina Jalapines.pdf</v>
      </c>
      <c r="Q91" s="51" t="str">
        <f>E91</f>
        <v>pdf</v>
      </c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G91" t="s">
        <v>28</v>
      </c>
      <c r="AH91" s="51"/>
      <c r="AI91" s="51"/>
    </row>
    <row r="92" spans="2:35">
      <c r="B92" t="s">
        <v>593</v>
      </c>
      <c r="C92" t="s">
        <v>3323</v>
      </c>
      <c r="D92">
        <v>4</v>
      </c>
      <c r="E92" t="s">
        <v>2791</v>
      </c>
      <c r="F92">
        <v>5</v>
      </c>
      <c r="G92">
        <v>33</v>
      </c>
      <c r="H92">
        <v>28</v>
      </c>
      <c r="I92" t="s">
        <v>594</v>
      </c>
      <c r="J92" s="51">
        <v>40932</v>
      </c>
      <c r="K92" t="s">
        <v>27</v>
      </c>
      <c r="L92" t="s">
        <v>592</v>
      </c>
      <c r="M92">
        <v>3</v>
      </c>
      <c r="N92" t="str">
        <f>L92</f>
        <v>NAM\MB0616</v>
      </c>
      <c r="O92" s="51">
        <f>J92</f>
        <v>40932</v>
      </c>
      <c r="P92" s="51" t="str">
        <f>C92</f>
        <v>~/cdd/olddocs/Instructivos/CNWI-ENGI/CNWI-ENGI-0090 EB 1147.pdf</v>
      </c>
      <c r="Q92" s="51" t="str">
        <f>E92</f>
        <v>pdf</v>
      </c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G92" t="s">
        <v>28</v>
      </c>
      <c r="AH92" s="51"/>
      <c r="AI92" s="51"/>
    </row>
    <row r="93" spans="2:35">
      <c r="B93" t="s">
        <v>227</v>
      </c>
      <c r="C93" t="s">
        <v>2935</v>
      </c>
      <c r="D93">
        <v>5</v>
      </c>
      <c r="E93" t="s">
        <v>2792</v>
      </c>
      <c r="F93">
        <v>4</v>
      </c>
      <c r="I93" t="s">
        <v>228</v>
      </c>
      <c r="J93" s="51">
        <v>40590</v>
      </c>
      <c r="K93" t="s">
        <v>27</v>
      </c>
      <c r="L93" t="s">
        <v>222</v>
      </c>
      <c r="M93">
        <v>3</v>
      </c>
      <c r="N93" t="str">
        <f>L93</f>
        <v>NAM\MA9769</v>
      </c>
      <c r="O93" s="51">
        <f>J93</f>
        <v>40590</v>
      </c>
      <c r="P93" s="51" t="str">
        <f>C93</f>
        <v>~/cdd/olddocs/Formas/CNWI-ENGI (Ingenieria)/CNWI-ENGI-F004 Registros control doc. Engi.xls</v>
      </c>
      <c r="Q93" s="51" t="str">
        <f>E93</f>
        <v>xls</v>
      </c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G93" t="s">
        <v>28</v>
      </c>
      <c r="AH93" s="51"/>
      <c r="AI93" s="51"/>
    </row>
    <row r="94" spans="2:35">
      <c r="B94" t="s">
        <v>229</v>
      </c>
      <c r="C94" t="s">
        <v>2936</v>
      </c>
      <c r="D94">
        <v>5</v>
      </c>
      <c r="E94" t="s">
        <v>2790</v>
      </c>
      <c r="F94">
        <v>4</v>
      </c>
      <c r="I94" t="s">
        <v>230</v>
      </c>
      <c r="J94" s="51" t="s">
        <v>231</v>
      </c>
      <c r="K94" t="s">
        <v>27</v>
      </c>
      <c r="L94" t="s">
        <v>222</v>
      </c>
      <c r="M94">
        <v>3</v>
      </c>
      <c r="N94" t="str">
        <f>L94</f>
        <v>NAM\MA9769</v>
      </c>
      <c r="O94" s="51" t="str">
        <f>J94</f>
        <v>22/02/2/11</v>
      </c>
      <c r="P94" s="51" t="str">
        <f>C94</f>
        <v>~/cdd/olddocs/Formas/CNWI-ENGI (Ingenieria)/CNWI-ENGI-F005 Registro de ayudas visuales entregadas a produccion.xlsx</v>
      </c>
      <c r="Q94" s="51" t="str">
        <f>E94</f>
        <v>xlsx</v>
      </c>
      <c r="R94" s="51"/>
      <c r="S94" s="51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1"/>
      <c r="AG94" t="s">
        <v>28</v>
      </c>
      <c r="AH94" s="51"/>
      <c r="AI94" s="51"/>
    </row>
    <row r="95" spans="2:35">
      <c r="B95" t="s">
        <v>434</v>
      </c>
      <c r="C95" t="s">
        <v>2937</v>
      </c>
      <c r="D95">
        <v>5</v>
      </c>
      <c r="E95" t="s">
        <v>2790</v>
      </c>
      <c r="F95">
        <v>4</v>
      </c>
      <c r="I95" t="s">
        <v>435</v>
      </c>
      <c r="J95" s="51" t="s">
        <v>436</v>
      </c>
      <c r="K95" t="s">
        <v>46</v>
      </c>
      <c r="L95" t="s">
        <v>438</v>
      </c>
      <c r="M95">
        <v>3</v>
      </c>
      <c r="N95" t="str">
        <f>L95</f>
        <v>NAM\D24B6</v>
      </c>
      <c r="O95" s="51" t="str">
        <f>J95</f>
        <v>28/02/2/11</v>
      </c>
      <c r="P95" s="51" t="str">
        <f>C95</f>
        <v>~/cdd/olddocs/Formas/CNWI-ENGI (Ingenieria)/CNWI-ENGI-F006 Ajuste de Parametros.xlsx</v>
      </c>
      <c r="Q95" s="51" t="str">
        <f>E95</f>
        <v>xlsx</v>
      </c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G95" t="s">
        <v>28</v>
      </c>
      <c r="AH95" s="51"/>
      <c r="AI95" s="51"/>
    </row>
    <row r="96" spans="2:35">
      <c r="B96" t="s">
        <v>232</v>
      </c>
      <c r="C96" t="s">
        <v>2938</v>
      </c>
      <c r="D96">
        <v>5</v>
      </c>
      <c r="E96" t="s">
        <v>2790</v>
      </c>
      <c r="F96">
        <v>4</v>
      </c>
      <c r="I96" t="s">
        <v>233</v>
      </c>
      <c r="J96" s="51">
        <v>40604</v>
      </c>
      <c r="K96" t="s">
        <v>27</v>
      </c>
      <c r="L96" t="s">
        <v>222</v>
      </c>
      <c r="M96">
        <v>3</v>
      </c>
      <c r="N96" t="str">
        <f>L96</f>
        <v>NAM\MA9769</v>
      </c>
      <c r="O96" s="51">
        <f>J96</f>
        <v>40604</v>
      </c>
      <c r="P96" s="51" t="str">
        <f>C96</f>
        <v>~/cdd/olddocs/Formas/CNWI-ENGI (Ingenieria)/CNWI-ENGI-F007 estatus ayudas visuales.xlsx</v>
      </c>
      <c r="Q96" s="51" t="str">
        <f>E96</f>
        <v>xlsx</v>
      </c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1"/>
      <c r="AG96" t="s">
        <v>28</v>
      </c>
      <c r="AH96" s="51"/>
      <c r="AI96" s="51"/>
    </row>
    <row r="97" spans="2:35">
      <c r="B97" t="s">
        <v>234</v>
      </c>
      <c r="C97" t="s">
        <v>2939</v>
      </c>
      <c r="D97">
        <v>5</v>
      </c>
      <c r="E97" t="s">
        <v>2792</v>
      </c>
      <c r="F97">
        <v>4</v>
      </c>
      <c r="I97" t="s">
        <v>235</v>
      </c>
      <c r="J97" s="51">
        <v>40819</v>
      </c>
      <c r="K97" t="s">
        <v>27</v>
      </c>
      <c r="L97" t="s">
        <v>222</v>
      </c>
      <c r="M97">
        <v>3</v>
      </c>
      <c r="N97" t="str">
        <f>L97</f>
        <v>NAM\MA9769</v>
      </c>
      <c r="O97" s="51">
        <f>J97</f>
        <v>40819</v>
      </c>
      <c r="P97" s="51" t="str">
        <f>C97</f>
        <v>~/cdd/olddocs/Formas/CNWI-ENGI (Ingenieria)/CNWI-ENGI-F009 Relacion de Planos controlados Externos- Internos.xls</v>
      </c>
      <c r="Q97" s="51" t="str">
        <f>E97</f>
        <v>xls</v>
      </c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G97" t="s">
        <v>28</v>
      </c>
      <c r="AH97" s="51"/>
      <c r="AI97" s="51"/>
    </row>
    <row r="98" spans="2:35">
      <c r="B98" t="s">
        <v>2281</v>
      </c>
      <c r="C98" t="s">
        <v>2940</v>
      </c>
      <c r="D98">
        <v>5</v>
      </c>
      <c r="E98" t="s">
        <v>2790</v>
      </c>
      <c r="F98">
        <v>4</v>
      </c>
      <c r="I98" t="s">
        <v>2282</v>
      </c>
      <c r="J98" s="51">
        <v>40850</v>
      </c>
      <c r="K98" t="s">
        <v>27</v>
      </c>
      <c r="L98" t="s">
        <v>2284</v>
      </c>
      <c r="M98">
        <v>3</v>
      </c>
      <c r="N98" t="str">
        <f>L98</f>
        <v>NAM\MA6689</v>
      </c>
      <c r="O98" s="51">
        <f>J98</f>
        <v>40850</v>
      </c>
      <c r="P98" s="51" t="str">
        <f>C98</f>
        <v>~/cdd/olddocs/Formas/CNWI-ENGI (Ingenieria)/CNWI-ENGI-F011 Lista de empaques.xlsx</v>
      </c>
      <c r="Q98" s="51" t="str">
        <f>E98</f>
        <v>xlsx</v>
      </c>
      <c r="R98" s="51"/>
      <c r="S98" s="51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1"/>
      <c r="AG98" t="s">
        <v>28</v>
      </c>
      <c r="AH98" s="51"/>
      <c r="AI98" s="51"/>
    </row>
    <row r="99" spans="2:35">
      <c r="B99" t="s">
        <v>236</v>
      </c>
      <c r="C99" t="s">
        <v>2941</v>
      </c>
      <c r="D99">
        <v>5</v>
      </c>
      <c r="E99" t="s">
        <v>2792</v>
      </c>
      <c r="F99">
        <v>4</v>
      </c>
      <c r="I99" t="s">
        <v>237</v>
      </c>
      <c r="J99" s="51">
        <v>40616</v>
      </c>
      <c r="K99" t="s">
        <v>27</v>
      </c>
      <c r="L99" t="s">
        <v>222</v>
      </c>
      <c r="M99">
        <v>3</v>
      </c>
      <c r="N99" t="str">
        <f>L99</f>
        <v>NAM\MA9769</v>
      </c>
      <c r="O99" s="51">
        <f>J99</f>
        <v>40616</v>
      </c>
      <c r="P99" s="51" t="str">
        <f>C99</f>
        <v>~/cdd/olddocs/Formas/CNWI-ENGI (Ingenieria)/CNWI-ENGI-F012 Relacion de Planos controlados Internos.xls</v>
      </c>
      <c r="Q99" s="51" t="str">
        <f>E99</f>
        <v>xls</v>
      </c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G99" t="s">
        <v>28</v>
      </c>
      <c r="AH99" s="51"/>
      <c r="AI99" s="51"/>
    </row>
    <row r="100" spans="2:35">
      <c r="B100" t="s">
        <v>238</v>
      </c>
      <c r="C100" t="s">
        <v>2942</v>
      </c>
      <c r="D100">
        <v>5</v>
      </c>
      <c r="E100" t="s">
        <v>2792</v>
      </c>
      <c r="F100">
        <v>4</v>
      </c>
      <c r="I100" t="s">
        <v>239</v>
      </c>
      <c r="J100" s="51">
        <v>40616</v>
      </c>
      <c r="K100" t="s">
        <v>27</v>
      </c>
      <c r="L100" t="s">
        <v>222</v>
      </c>
      <c r="M100">
        <v>3</v>
      </c>
      <c r="N100" t="str">
        <f>L100</f>
        <v>NAM\MA9769</v>
      </c>
      <c r="O100" s="51">
        <f>J100</f>
        <v>40616</v>
      </c>
      <c r="P100" s="51" t="str">
        <f>C100</f>
        <v>~/cdd/olddocs/Formas/CNWI-ENGI (Ingenieria)/CNWI-ENGI-F013 Relacion de Planos Obsoletos.xls</v>
      </c>
      <c r="Q100" s="51" t="str">
        <f>E100</f>
        <v>xls</v>
      </c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G100" t="s">
        <v>28</v>
      </c>
      <c r="AH100" s="51"/>
      <c r="AI100" s="51"/>
    </row>
    <row r="101" spans="2:35">
      <c r="B101" t="s">
        <v>2285</v>
      </c>
      <c r="C101" t="s">
        <v>2943</v>
      </c>
      <c r="D101">
        <v>5</v>
      </c>
      <c r="E101" t="s">
        <v>2794</v>
      </c>
      <c r="F101">
        <v>4</v>
      </c>
      <c r="I101" t="s">
        <v>2286</v>
      </c>
      <c r="J101" s="51">
        <v>40616</v>
      </c>
      <c r="K101" t="s">
        <v>27</v>
      </c>
      <c r="L101" t="s">
        <v>2284</v>
      </c>
      <c r="M101">
        <v>3</v>
      </c>
      <c r="N101" t="str">
        <f>L101</f>
        <v>NAM\MA6689</v>
      </c>
      <c r="O101" s="51">
        <f>J101</f>
        <v>40616</v>
      </c>
      <c r="P101" s="51" t="str">
        <f>C101</f>
        <v>~/cdd/olddocs/Formas/CNWI-ENGI (Ingenieria)/CNWI-ENGI-F014 Identificacion de material en proceso .doc</v>
      </c>
      <c r="Q101" s="51" t="str">
        <f>E101</f>
        <v>doc</v>
      </c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G101" t="s">
        <v>28</v>
      </c>
      <c r="AH101" s="51"/>
      <c r="AI101" s="51"/>
    </row>
    <row r="102" spans="2:35">
      <c r="B102" t="s">
        <v>2287</v>
      </c>
      <c r="C102" t="s">
        <v>2944</v>
      </c>
      <c r="D102">
        <v>5</v>
      </c>
      <c r="E102" t="s">
        <v>2792</v>
      </c>
      <c r="F102">
        <v>4</v>
      </c>
      <c r="I102" t="s">
        <v>2288</v>
      </c>
      <c r="J102" s="51">
        <v>40617</v>
      </c>
      <c r="K102" t="s">
        <v>27</v>
      </c>
      <c r="L102" t="s">
        <v>2284</v>
      </c>
      <c r="M102">
        <v>3</v>
      </c>
      <c r="N102" t="str">
        <f>L102</f>
        <v>NAM\MA6689</v>
      </c>
      <c r="O102" s="51">
        <f>J102</f>
        <v>40617</v>
      </c>
      <c r="P102" s="51" t="str">
        <f>C102</f>
        <v>~/cdd/olddocs/Formas/CNWI-ENGI (Ingenieria)/CNWI-ENGI-F015 forma para caducidad de la goma (chemlok).xls</v>
      </c>
      <c r="Q102" s="51" t="str">
        <f>E102</f>
        <v>xls</v>
      </c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G102" t="s">
        <v>28</v>
      </c>
      <c r="AH102" s="51"/>
      <c r="AI102" s="51"/>
    </row>
    <row r="103" spans="2:35">
      <c r="B103" t="s">
        <v>2289</v>
      </c>
      <c r="C103" t="s">
        <v>2945</v>
      </c>
      <c r="D103">
        <v>5</v>
      </c>
      <c r="E103" t="s">
        <v>2792</v>
      </c>
      <c r="F103">
        <v>4</v>
      </c>
      <c r="I103" t="s">
        <v>2290</v>
      </c>
      <c r="J103" s="51">
        <v>40619</v>
      </c>
      <c r="K103" t="s">
        <v>27</v>
      </c>
      <c r="L103" t="s">
        <v>2284</v>
      </c>
      <c r="M103">
        <v>3</v>
      </c>
      <c r="N103" t="str">
        <f>L103</f>
        <v>NAM\MA6689</v>
      </c>
      <c r="O103" s="51">
        <f>J103</f>
        <v>40619</v>
      </c>
      <c r="P103" s="51" t="str">
        <f>C103</f>
        <v>~/cdd/olddocs/Formas/CNWI-ENGI (Ingenieria)/CNWI-ENGI-F016 Tabla de codigo de los medidores.xls</v>
      </c>
      <c r="Q103" s="51" t="str">
        <f>E103</f>
        <v>xls</v>
      </c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G103" t="s">
        <v>28</v>
      </c>
      <c r="AH103" s="51"/>
      <c r="AI103" s="51"/>
    </row>
    <row r="104" spans="2:35">
      <c r="B104" t="s">
        <v>2291</v>
      </c>
      <c r="C104" t="s">
        <v>2946</v>
      </c>
      <c r="D104">
        <v>5</v>
      </c>
      <c r="E104" t="s">
        <v>2792</v>
      </c>
      <c r="F104">
        <v>4</v>
      </c>
      <c r="I104" t="s">
        <v>2292</v>
      </c>
      <c r="J104" s="51">
        <v>40620</v>
      </c>
      <c r="K104" t="s">
        <v>27</v>
      </c>
      <c r="L104" t="s">
        <v>2284</v>
      </c>
      <c r="M104">
        <v>3</v>
      </c>
      <c r="N104" t="str">
        <f>L104</f>
        <v>NAM\MA6689</v>
      </c>
      <c r="O104" s="51">
        <f>J104</f>
        <v>40620</v>
      </c>
      <c r="P104" s="51" t="str">
        <f>C104</f>
        <v>~/cdd/olddocs/Formas/CNWI-ENGI (Ingenieria)/CNWI-ENGI-F017 Lista de posicionadores.xls</v>
      </c>
      <c r="Q104" s="51" t="str">
        <f>E104</f>
        <v>xls</v>
      </c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G104" t="s">
        <v>28</v>
      </c>
      <c r="AH104" s="51"/>
      <c r="AI104" s="51"/>
    </row>
    <row r="105" spans="2:35">
      <c r="B105" t="s">
        <v>2293</v>
      </c>
      <c r="C105" t="s">
        <v>2947</v>
      </c>
      <c r="D105">
        <v>5</v>
      </c>
      <c r="E105" t="s">
        <v>2792</v>
      </c>
      <c r="F105">
        <v>4</v>
      </c>
      <c r="I105" t="s">
        <v>2294</v>
      </c>
      <c r="J105" s="51">
        <v>40631</v>
      </c>
      <c r="K105" t="s">
        <v>27</v>
      </c>
      <c r="L105" t="s">
        <v>2284</v>
      </c>
      <c r="M105">
        <v>3</v>
      </c>
      <c r="N105" t="str">
        <f>L105</f>
        <v>NAM\MA6689</v>
      </c>
      <c r="O105" s="51">
        <f>J105</f>
        <v>40631</v>
      </c>
      <c r="P105" s="51" t="str">
        <f>C105</f>
        <v>~/cdd/olddocs/Formas/CNWI-ENGI (Ingenieria)/CNWI-ENGI-F018 Copia controlada a incoming inspection.xls</v>
      </c>
      <c r="Q105" s="51" t="str">
        <f>E105</f>
        <v>xls</v>
      </c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G105" t="s">
        <v>28</v>
      </c>
      <c r="AH105" s="51"/>
      <c r="AI105" s="51"/>
    </row>
    <row r="106" spans="2:35">
      <c r="B106" t="s">
        <v>2295</v>
      </c>
      <c r="C106" t="s">
        <v>2948</v>
      </c>
      <c r="D106">
        <v>5</v>
      </c>
      <c r="E106" t="s">
        <v>2790</v>
      </c>
      <c r="F106">
        <v>4</v>
      </c>
      <c r="I106" t="s">
        <v>2296</v>
      </c>
      <c r="J106" s="51">
        <v>40912</v>
      </c>
      <c r="K106" t="s">
        <v>46</v>
      </c>
      <c r="L106" t="s">
        <v>2284</v>
      </c>
      <c r="M106">
        <v>3</v>
      </c>
      <c r="N106" t="str">
        <f>L106</f>
        <v>NAM\MA6689</v>
      </c>
      <c r="O106" s="51">
        <f>J106</f>
        <v>40912</v>
      </c>
      <c r="P106" s="51" t="str">
        <f>C106</f>
        <v>~/cdd/olddocs/Formas/CNWI-ENGI (Ingenieria)/CNWI-ENGI-F019 Especificaciones de empaque.xlsx</v>
      </c>
      <c r="Q106" s="51" t="str">
        <f>E106</f>
        <v>xlsx</v>
      </c>
      <c r="R106" s="51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G106" t="s">
        <v>28</v>
      </c>
      <c r="AH106" s="51"/>
      <c r="AI106" s="51"/>
    </row>
    <row r="107" spans="2:35">
      <c r="B107" t="s">
        <v>2297</v>
      </c>
      <c r="C107" t="s">
        <v>2949</v>
      </c>
      <c r="D107">
        <v>5</v>
      </c>
      <c r="E107" t="s">
        <v>2801</v>
      </c>
      <c r="F107">
        <v>4</v>
      </c>
      <c r="I107" t="s">
        <v>2298</v>
      </c>
      <c r="J107" s="51">
        <v>40632</v>
      </c>
      <c r="K107" t="s">
        <v>27</v>
      </c>
      <c r="L107" t="s">
        <v>2284</v>
      </c>
      <c r="M107">
        <v>3</v>
      </c>
      <c r="N107" t="str">
        <f>L107</f>
        <v>NAM\MA6689</v>
      </c>
      <c r="O107" s="51">
        <f>J107</f>
        <v>40632</v>
      </c>
      <c r="P107" s="51" t="str">
        <f>C107</f>
        <v>~/cdd/olddocs/Formas/CNWI-ENGI (Ingenieria)/CNWI-ENGI-F020 QRB PRINTABLE.PUB</v>
      </c>
      <c r="Q107" s="51" t="str">
        <f>E107</f>
        <v>PUB</v>
      </c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G107" t="s">
        <v>28</v>
      </c>
      <c r="AH107" s="51"/>
      <c r="AI107" s="51"/>
    </row>
    <row r="108" spans="2:35">
      <c r="B108" t="s">
        <v>2299</v>
      </c>
      <c r="C108" t="s">
        <v>2950</v>
      </c>
      <c r="D108">
        <v>5</v>
      </c>
      <c r="E108" t="s">
        <v>2795</v>
      </c>
      <c r="F108">
        <v>4</v>
      </c>
      <c r="I108" t="s">
        <v>2300</v>
      </c>
      <c r="J108" s="51">
        <v>40632</v>
      </c>
      <c r="K108" t="s">
        <v>27</v>
      </c>
      <c r="L108" t="s">
        <v>2284</v>
      </c>
      <c r="M108">
        <v>3</v>
      </c>
      <c r="N108" t="str">
        <f>L108</f>
        <v>NAM\MA6689</v>
      </c>
      <c r="O108" s="51">
        <f>J108</f>
        <v>40632</v>
      </c>
      <c r="P108" s="51" t="str">
        <f>C108</f>
        <v>~/cdd/olddocs/Formas/CNWI-ENGI (Ingenieria)/CNWI-ENGI-F021 SQDC CHARTS (PLANT) PRINTABLE.pub</v>
      </c>
      <c r="Q108" s="51" t="str">
        <f>E108</f>
        <v>pub</v>
      </c>
      <c r="R108" s="51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  <c r="AG108" t="s">
        <v>28</v>
      </c>
      <c r="AH108" s="51"/>
      <c r="AI108" s="51"/>
    </row>
    <row r="109" spans="2:35">
      <c r="B109" t="s">
        <v>2301</v>
      </c>
      <c r="C109" t="s">
        <v>2951</v>
      </c>
      <c r="D109">
        <v>5</v>
      </c>
      <c r="E109" t="s">
        <v>2795</v>
      </c>
      <c r="F109">
        <v>4</v>
      </c>
      <c r="I109" t="s">
        <v>2302</v>
      </c>
      <c r="J109" s="51">
        <v>40632</v>
      </c>
      <c r="K109" t="s">
        <v>27</v>
      </c>
      <c r="L109" t="s">
        <v>2284</v>
      </c>
      <c r="M109">
        <v>3</v>
      </c>
      <c r="N109" t="str">
        <f>L109</f>
        <v>NAM\MA6689</v>
      </c>
      <c r="O109" s="51">
        <f>J109</f>
        <v>40632</v>
      </c>
      <c r="P109" s="51" t="str">
        <f>C109</f>
        <v>~/cdd/olddocs/Formas/CNWI-ENGI (Ingenieria)/CNWI-ENGI-F024 SQDC CHARTS PRINTABLE.pub</v>
      </c>
      <c r="Q109" s="51" t="str">
        <f>E109</f>
        <v>pub</v>
      </c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G109" t="s">
        <v>28</v>
      </c>
      <c r="AH109" s="51"/>
      <c r="AI109" s="51"/>
    </row>
    <row r="110" spans="2:35">
      <c r="B110" t="s">
        <v>2303</v>
      </c>
      <c r="C110" t="s">
        <v>2952</v>
      </c>
      <c r="D110">
        <v>5</v>
      </c>
      <c r="E110" t="s">
        <v>2792</v>
      </c>
      <c r="F110">
        <v>4</v>
      </c>
      <c r="I110" t="s">
        <v>2304</v>
      </c>
      <c r="J110" s="51">
        <v>40648</v>
      </c>
      <c r="K110" t="s">
        <v>27</v>
      </c>
      <c r="L110" t="s">
        <v>2284</v>
      </c>
      <c r="M110">
        <v>3</v>
      </c>
      <c r="N110" t="str">
        <f>L110</f>
        <v>NAM\MA6689</v>
      </c>
      <c r="O110" s="51">
        <f>J110</f>
        <v>40648</v>
      </c>
      <c r="P110" s="51" t="str">
        <f>C110</f>
        <v>~/cdd/olddocs/Formas/CNWI-ENGI (Ingenieria)/CNWI-ENGI-F028 Control 15 Hoja 1.xls</v>
      </c>
      <c r="Q110" s="51" t="str">
        <f>E110</f>
        <v>xls</v>
      </c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G110" t="s">
        <v>28</v>
      </c>
      <c r="AH110" s="51"/>
      <c r="AI110" s="51"/>
    </row>
    <row r="111" spans="2:35">
      <c r="B111" t="s">
        <v>2305</v>
      </c>
      <c r="C111" t="s">
        <v>2953</v>
      </c>
      <c r="D111">
        <v>5</v>
      </c>
      <c r="E111" t="s">
        <v>2792</v>
      </c>
      <c r="F111">
        <v>4</v>
      </c>
      <c r="I111" t="s">
        <v>2306</v>
      </c>
      <c r="J111" s="51">
        <v>40648</v>
      </c>
      <c r="K111" t="s">
        <v>27</v>
      </c>
      <c r="L111" t="s">
        <v>2284</v>
      </c>
      <c r="M111">
        <v>3</v>
      </c>
      <c r="N111" t="str">
        <f>L111</f>
        <v>NAM\MA6689</v>
      </c>
      <c r="O111" s="51">
        <f>J111</f>
        <v>40648</v>
      </c>
      <c r="P111" s="51" t="str">
        <f>C111</f>
        <v>~/cdd/olddocs/Formas/CNWI-ENGI (Ingenieria)/CNWI-ENGI-F029 Transference check list.xls</v>
      </c>
      <c r="Q111" s="51" t="str">
        <f>E111</f>
        <v>xls</v>
      </c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G111" t="s">
        <v>28</v>
      </c>
      <c r="AH111" s="51"/>
      <c r="AI111" s="51"/>
    </row>
    <row r="112" spans="2:35">
      <c r="B112" t="s">
        <v>240</v>
      </c>
      <c r="C112" t="s">
        <v>2954</v>
      </c>
      <c r="D112">
        <v>5</v>
      </c>
      <c r="E112" t="s">
        <v>2792</v>
      </c>
      <c r="F112">
        <v>4</v>
      </c>
      <c r="I112" t="s">
        <v>241</v>
      </c>
      <c r="J112" s="51">
        <v>40653</v>
      </c>
      <c r="K112" t="s">
        <v>27</v>
      </c>
      <c r="L112" t="s">
        <v>222</v>
      </c>
      <c r="M112">
        <v>3</v>
      </c>
      <c r="N112" t="str">
        <f>L112</f>
        <v>NAM\MA9769</v>
      </c>
      <c r="O112" s="51">
        <f>J112</f>
        <v>40653</v>
      </c>
      <c r="P112" s="51" t="str">
        <f>C112</f>
        <v>~/cdd/olddocs/Formas/CNWI-ENGI (Ingenieria)/CNWI-ENGI-F030 Lista de distribuccion de especificaciones de corte.xls</v>
      </c>
      <c r="Q112" s="51" t="str">
        <f>E112</f>
        <v>xls</v>
      </c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G112" t="s">
        <v>28</v>
      </c>
      <c r="AH112" s="51"/>
      <c r="AI112" s="51"/>
    </row>
    <row r="113" spans="2:35">
      <c r="B113" t="s">
        <v>439</v>
      </c>
      <c r="C113" t="s">
        <v>2955</v>
      </c>
      <c r="D113">
        <v>5</v>
      </c>
      <c r="E113" t="s">
        <v>2792</v>
      </c>
      <c r="F113">
        <v>4</v>
      </c>
      <c r="I113" t="s">
        <v>440</v>
      </c>
      <c r="J113" s="51">
        <v>40653</v>
      </c>
      <c r="K113" t="s">
        <v>27</v>
      </c>
      <c r="L113" t="s">
        <v>438</v>
      </c>
      <c r="M113">
        <v>3</v>
      </c>
      <c r="N113" t="str">
        <f>L113</f>
        <v>NAM\D24B6</v>
      </c>
      <c r="O113" s="51">
        <f>J113</f>
        <v>40653</v>
      </c>
      <c r="P113" s="51" t="str">
        <f>C113</f>
        <v>~/cdd/olddocs/Formas/CNWI-ENGI (Ingenieria)/CNWI-ENGI-F031 Arburg set-up sheet.xls</v>
      </c>
      <c r="Q113" s="51" t="str">
        <f>E113</f>
        <v>xls</v>
      </c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G113" t="s">
        <v>28</v>
      </c>
      <c r="AH113" s="51"/>
      <c r="AI113" s="51"/>
    </row>
    <row r="114" spans="2:35">
      <c r="B114" t="s">
        <v>2307</v>
      </c>
      <c r="C114" t="s">
        <v>2956</v>
      </c>
      <c r="D114">
        <v>5</v>
      </c>
      <c r="E114" t="s">
        <v>2792</v>
      </c>
      <c r="F114">
        <v>4</v>
      </c>
      <c r="I114" t="s">
        <v>2308</v>
      </c>
      <c r="J114" s="51">
        <v>40659</v>
      </c>
      <c r="K114" t="s">
        <v>27</v>
      </c>
      <c r="L114" t="s">
        <v>2284</v>
      </c>
      <c r="M114">
        <v>3</v>
      </c>
      <c r="N114" t="str">
        <f>L114</f>
        <v>NAM\MA6689</v>
      </c>
      <c r="O114" s="51">
        <f>J114</f>
        <v>40659</v>
      </c>
      <c r="P114" s="51" t="str">
        <f>C114</f>
        <v>~/cdd/olddocs/Formas/CNWI-ENGI (Ingenieria)/CNWI-ENGI-F032 INSTRUCCION DE RETRABAJO.xls</v>
      </c>
      <c r="Q114" s="51" t="str">
        <f>E114</f>
        <v>xls</v>
      </c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G114" t="s">
        <v>28</v>
      </c>
      <c r="AH114" s="51"/>
      <c r="AI114" s="51"/>
    </row>
    <row r="115" spans="2:35">
      <c r="B115" t="s">
        <v>2309</v>
      </c>
      <c r="C115" t="s">
        <v>2957</v>
      </c>
      <c r="D115">
        <v>5</v>
      </c>
      <c r="E115" t="s">
        <v>2792</v>
      </c>
      <c r="F115">
        <v>4</v>
      </c>
      <c r="I115" t="s">
        <v>2310</v>
      </c>
      <c r="J115" s="51">
        <v>40668</v>
      </c>
      <c r="K115" t="s">
        <v>46</v>
      </c>
      <c r="L115" t="s">
        <v>2284</v>
      </c>
      <c r="M115">
        <v>3</v>
      </c>
      <c r="N115" t="str">
        <f>L115</f>
        <v>NAM\MA6689</v>
      </c>
      <c r="O115" s="51">
        <f>J115</f>
        <v>40668</v>
      </c>
      <c r="P115" s="51" t="str">
        <f>C115</f>
        <v>~/cdd/olddocs/Formas/CNWI-ENGI (Ingenieria)/CNWI-ENGI-F033 Estudios de Tiempo.xls</v>
      </c>
      <c r="Q115" s="51" t="str">
        <f>E115</f>
        <v>xls</v>
      </c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G115" t="s">
        <v>28</v>
      </c>
      <c r="AH115" s="51"/>
      <c r="AI115" s="51"/>
    </row>
    <row r="116" spans="2:35">
      <c r="B116" t="s">
        <v>441</v>
      </c>
      <c r="C116" t="s">
        <v>2958</v>
      </c>
      <c r="D116">
        <v>5</v>
      </c>
      <c r="E116" t="s">
        <v>2792</v>
      </c>
      <c r="F116">
        <v>4</v>
      </c>
      <c r="I116" t="s">
        <v>442</v>
      </c>
      <c r="J116" s="51">
        <v>40668</v>
      </c>
      <c r="K116" t="s">
        <v>27</v>
      </c>
      <c r="L116" t="s">
        <v>438</v>
      </c>
      <c r="M116">
        <v>3</v>
      </c>
      <c r="N116" t="str">
        <f>L116</f>
        <v>NAM\D24B6</v>
      </c>
      <c r="O116" s="51">
        <f>J116</f>
        <v>40668</v>
      </c>
      <c r="P116" s="51" t="str">
        <f>C116</f>
        <v>~/cdd/olddocs/Formas/CNWI-ENGI (Ingenieria)/CNWI-ENGI-F034 Registro de Tiempos de Purga y Set-Up de Moldeadoras.xls</v>
      </c>
      <c r="Q116" s="51" t="str">
        <f>E116</f>
        <v>xls</v>
      </c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G116" t="s">
        <v>28</v>
      </c>
      <c r="AH116" s="51"/>
      <c r="AI116" s="51"/>
    </row>
    <row r="117" spans="2:35">
      <c r="B117" t="s">
        <v>2311</v>
      </c>
      <c r="C117" t="s">
        <v>2959</v>
      </c>
      <c r="D117">
        <v>5</v>
      </c>
      <c r="E117" t="s">
        <v>2792</v>
      </c>
      <c r="F117">
        <v>4</v>
      </c>
      <c r="I117" t="s">
        <v>2312</v>
      </c>
      <c r="J117" s="51">
        <v>40669</v>
      </c>
      <c r="K117" t="s">
        <v>27</v>
      </c>
      <c r="L117" t="s">
        <v>2284</v>
      </c>
      <c r="M117">
        <v>3</v>
      </c>
      <c r="N117" t="str">
        <f>L117</f>
        <v>NAM\MA6689</v>
      </c>
      <c r="O117" s="51">
        <f>J117</f>
        <v>40669</v>
      </c>
      <c r="P117" s="51" t="str">
        <f>C117</f>
        <v>~/cdd/olddocs/Formas/CNWI-ENGI (Ingenieria)/CNWI-ENGI-F035 Equipment Transfer Sheet.xls</v>
      </c>
      <c r="Q117" s="51" t="str">
        <f>E117</f>
        <v>xls</v>
      </c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G117" t="s">
        <v>28</v>
      </c>
      <c r="AH117" s="51"/>
      <c r="AI117" s="51"/>
    </row>
    <row r="118" spans="2:35">
      <c r="B118" t="s">
        <v>443</v>
      </c>
      <c r="C118" t="s">
        <v>2960</v>
      </c>
      <c r="D118">
        <v>5</v>
      </c>
      <c r="E118" t="s">
        <v>2792</v>
      </c>
      <c r="F118">
        <v>4</v>
      </c>
      <c r="I118" t="s">
        <v>444</v>
      </c>
      <c r="J118" s="51">
        <v>40709</v>
      </c>
      <c r="K118" t="s">
        <v>27</v>
      </c>
      <c r="L118" t="s">
        <v>438</v>
      </c>
      <c r="M118">
        <v>3</v>
      </c>
      <c r="N118" t="str">
        <f>L118</f>
        <v>NAM\D24B6</v>
      </c>
      <c r="O118" s="51">
        <f>J118</f>
        <v>40709</v>
      </c>
      <c r="P118" s="51" t="str">
        <f>C118</f>
        <v>~/cdd/olddocs/Formas/CNWI-ENGI (Ingenieria)/CNWI-ENGI-F036 Log de ordenes de insert.xls</v>
      </c>
      <c r="Q118" s="51" t="str">
        <f>E118</f>
        <v>xls</v>
      </c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G118" t="s">
        <v>28</v>
      </c>
      <c r="AH118" s="51"/>
      <c r="AI118" s="51"/>
    </row>
    <row r="119" spans="2:35">
      <c r="B119" t="s">
        <v>2313</v>
      </c>
      <c r="C119" t="s">
        <v>2961</v>
      </c>
      <c r="D119">
        <v>5</v>
      </c>
      <c r="E119" t="s">
        <v>2794</v>
      </c>
      <c r="F119">
        <v>4</v>
      </c>
      <c r="I119" t="s">
        <v>2314</v>
      </c>
      <c r="J119" s="51">
        <v>40716</v>
      </c>
      <c r="K119" t="s">
        <v>27</v>
      </c>
      <c r="L119" t="s">
        <v>2284</v>
      </c>
      <c r="M119">
        <v>3</v>
      </c>
      <c r="N119" t="str">
        <f>L119</f>
        <v>NAM\MA6689</v>
      </c>
      <c r="O119" s="51">
        <f>J119</f>
        <v>40716</v>
      </c>
      <c r="P119" s="51" t="str">
        <f>C119</f>
        <v>~/cdd/olddocs/Formas/CNWI-ENGI (Ingenieria)/CNWI-ENGI-F037 Id de Ingenieria.doc</v>
      </c>
      <c r="Q119" s="51" t="str">
        <f>E119</f>
        <v>doc</v>
      </c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G119" t="s">
        <v>28</v>
      </c>
      <c r="AH119" s="51"/>
      <c r="AI119" s="51"/>
    </row>
    <row r="120" spans="2:35">
      <c r="B120" t="s">
        <v>445</v>
      </c>
      <c r="C120" t="s">
        <v>2962</v>
      </c>
      <c r="D120">
        <v>5</v>
      </c>
      <c r="E120" t="s">
        <v>2791</v>
      </c>
      <c r="F120">
        <v>4</v>
      </c>
      <c r="I120" t="s">
        <v>446</v>
      </c>
      <c r="J120" s="51">
        <v>40730</v>
      </c>
      <c r="K120" t="s">
        <v>27</v>
      </c>
      <c r="L120" t="s">
        <v>438</v>
      </c>
      <c r="M120">
        <v>3</v>
      </c>
      <c r="N120" t="str">
        <f>L120</f>
        <v>NAM\D24B6</v>
      </c>
      <c r="O120" s="51">
        <f>J120</f>
        <v>40730</v>
      </c>
      <c r="P120" s="51" t="str">
        <f>C120</f>
        <v>~/cdd/olddocs/Formas/CNWI-ENGI (Ingenieria)/CNWI-ENGI-F038 Ajustes de parametros.pdf</v>
      </c>
      <c r="Q120" s="51" t="str">
        <f>E120</f>
        <v>pdf</v>
      </c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G120" t="s">
        <v>28</v>
      </c>
      <c r="AH120" s="51"/>
      <c r="AI120" s="51"/>
    </row>
    <row r="121" spans="2:35">
      <c r="B121" t="s">
        <v>447</v>
      </c>
      <c r="C121" t="s">
        <v>2963</v>
      </c>
      <c r="D121">
        <v>5</v>
      </c>
      <c r="E121" t="s">
        <v>2792</v>
      </c>
      <c r="F121">
        <v>4</v>
      </c>
      <c r="I121" t="s">
        <v>448</v>
      </c>
      <c r="J121" s="51">
        <v>40735</v>
      </c>
      <c r="K121" t="s">
        <v>27</v>
      </c>
      <c r="L121" t="s">
        <v>438</v>
      </c>
      <c r="M121">
        <v>3</v>
      </c>
      <c r="N121" t="str">
        <f>L121</f>
        <v>NAM\D24B6</v>
      </c>
      <c r="O121" s="51">
        <f>J121</f>
        <v>40735</v>
      </c>
      <c r="P121" s="51" t="str">
        <f>C121</f>
        <v>~/cdd/olddocs/Formas/CNWI-ENGI (Ingenieria)/CNWI-ENGI-F039 Parametros de termperatura y humedad.xls</v>
      </c>
      <c r="Q121" s="51" t="str">
        <f>E121</f>
        <v>xls</v>
      </c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G121" t="s">
        <v>28</v>
      </c>
      <c r="AH121" s="51"/>
      <c r="AI121" s="51"/>
    </row>
    <row r="122" spans="2:35">
      <c r="B122" t="s">
        <v>449</v>
      </c>
      <c r="C122" t="s">
        <v>2964</v>
      </c>
      <c r="D122">
        <v>5</v>
      </c>
      <c r="E122" t="s">
        <v>2792</v>
      </c>
      <c r="F122">
        <v>4</v>
      </c>
      <c r="I122" t="s">
        <v>450</v>
      </c>
      <c r="J122" s="51">
        <v>40735</v>
      </c>
      <c r="K122" t="s">
        <v>27</v>
      </c>
      <c r="L122" t="s">
        <v>438</v>
      </c>
      <c r="M122">
        <v>3</v>
      </c>
      <c r="N122" t="str">
        <f>L122</f>
        <v>NAM\D24B6</v>
      </c>
      <c r="O122" s="51">
        <f>J122</f>
        <v>40735</v>
      </c>
      <c r="P122" s="51" t="str">
        <f>C122</f>
        <v>~/cdd/olddocs/Formas/CNWI-ENGI (Ingenieria)/CNWI-ENGI-F040 Reporte de tiempos y temperaturas.xls</v>
      </c>
      <c r="Q122" s="51" t="str">
        <f>E122</f>
        <v>xls</v>
      </c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G122" t="s">
        <v>28</v>
      </c>
      <c r="AH122" s="51"/>
      <c r="AI122" s="51"/>
    </row>
    <row r="123" spans="2:35">
      <c r="B123" t="s">
        <v>2315</v>
      </c>
      <c r="C123" t="s">
        <v>2965</v>
      </c>
      <c r="D123">
        <v>5</v>
      </c>
      <c r="E123" t="s">
        <v>2790</v>
      </c>
      <c r="F123">
        <v>4</v>
      </c>
      <c r="I123" t="s">
        <v>128</v>
      </c>
      <c r="J123" s="51">
        <v>40737</v>
      </c>
      <c r="K123" t="s">
        <v>27</v>
      </c>
      <c r="L123" t="s">
        <v>2284</v>
      </c>
      <c r="M123">
        <v>3</v>
      </c>
      <c r="N123" t="str">
        <f>L123</f>
        <v>NAM\MA6689</v>
      </c>
      <c r="O123" s="51">
        <f>J123</f>
        <v>40737</v>
      </c>
      <c r="P123" s="51" t="str">
        <f>C123</f>
        <v>~/cdd/olddocs/Formas/CNWI-ENGI (Ingenieria)/CNWI-ENGI-F041 Especificaciones de insercion.xlsx</v>
      </c>
      <c r="Q123" s="51" t="str">
        <f>E123</f>
        <v>xlsx</v>
      </c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G123" t="s">
        <v>28</v>
      </c>
      <c r="AH123" s="51"/>
      <c r="AI123" s="51"/>
    </row>
    <row r="124" spans="2:35">
      <c r="B124" t="s">
        <v>2316</v>
      </c>
      <c r="C124" t="s">
        <v>2966</v>
      </c>
      <c r="D124">
        <v>5</v>
      </c>
      <c r="E124" t="s">
        <v>2790</v>
      </c>
      <c r="F124">
        <v>4</v>
      </c>
      <c r="I124" t="s">
        <v>2317</v>
      </c>
      <c r="J124" s="51">
        <v>41154</v>
      </c>
      <c r="K124" t="s">
        <v>27</v>
      </c>
      <c r="L124" t="s">
        <v>2284</v>
      </c>
      <c r="M124">
        <v>3</v>
      </c>
      <c r="N124" t="str">
        <f>L124</f>
        <v>NAM\MA6689</v>
      </c>
      <c r="O124" s="51">
        <f>J124</f>
        <v>41154</v>
      </c>
      <c r="P124" s="51" t="str">
        <f>C124</f>
        <v>~/cdd/olddocs/Formas/CNWI-ENGI (Ingenieria)/CNWI-ENGI-F042 Especificaciones de despoje de chaqueta.xlsx</v>
      </c>
      <c r="Q124" s="51" t="str">
        <f>E124</f>
        <v>xlsx</v>
      </c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G124" t="s">
        <v>28</v>
      </c>
      <c r="AH124" s="51"/>
      <c r="AI124" s="51"/>
    </row>
    <row r="125" spans="2:35">
      <c r="B125" t="s">
        <v>2318</v>
      </c>
      <c r="C125" t="s">
        <v>2967</v>
      </c>
      <c r="D125">
        <v>5</v>
      </c>
      <c r="E125" t="s">
        <v>2790</v>
      </c>
      <c r="F125">
        <v>4</v>
      </c>
      <c r="I125" t="s">
        <v>2319</v>
      </c>
      <c r="J125" s="51">
        <v>40737</v>
      </c>
      <c r="K125" t="s">
        <v>27</v>
      </c>
      <c r="L125" t="s">
        <v>2284</v>
      </c>
      <c r="M125">
        <v>3</v>
      </c>
      <c r="N125" t="str">
        <f>L125</f>
        <v>NAM\MA6689</v>
      </c>
      <c r="O125" s="51">
        <f>J125</f>
        <v>40737</v>
      </c>
      <c r="P125" s="51" t="str">
        <f>C125</f>
        <v>~/cdd/olddocs/Formas/CNWI-ENGI (Ingenieria)/CNWI-ENGI-F043 Especificaciones de despoje de conductores.xlsx</v>
      </c>
      <c r="Q125" s="51" t="str">
        <f>E125</f>
        <v>xlsx</v>
      </c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G125" t="s">
        <v>28</v>
      </c>
      <c r="AH125" s="51"/>
      <c r="AI125" s="51"/>
    </row>
    <row r="126" spans="2:35">
      <c r="B126" t="s">
        <v>1158</v>
      </c>
      <c r="C126" t="s">
        <v>2968</v>
      </c>
      <c r="D126">
        <v>5</v>
      </c>
      <c r="E126" t="s">
        <v>2790</v>
      </c>
      <c r="F126">
        <v>4</v>
      </c>
      <c r="I126" t="s">
        <v>1159</v>
      </c>
      <c r="J126" s="51">
        <v>40793</v>
      </c>
      <c r="K126" t="s">
        <v>27</v>
      </c>
      <c r="L126" t="s">
        <v>1157</v>
      </c>
      <c r="M126">
        <v>3</v>
      </c>
      <c r="N126" t="str">
        <f>L126</f>
        <v>NAM\F13B6</v>
      </c>
      <c r="O126" s="51">
        <f>J126</f>
        <v>40793</v>
      </c>
      <c r="P126" s="51" t="str">
        <f>C126</f>
        <v>~/cdd/olddocs/Formas/CNWI-ENGI (Ingenieria)/CNWI-ENGI-F044 Corrida Muestra.xlsx</v>
      </c>
      <c r="Q126" s="51" t="str">
        <f>E126</f>
        <v>xlsx</v>
      </c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G126" t="s">
        <v>28</v>
      </c>
      <c r="AH126" s="51"/>
      <c r="AI126" s="51"/>
    </row>
    <row r="127" spans="2:35">
      <c r="B127" t="s">
        <v>242</v>
      </c>
      <c r="C127" t="s">
        <v>2969</v>
      </c>
      <c r="D127">
        <v>5</v>
      </c>
      <c r="E127" t="s">
        <v>2792</v>
      </c>
      <c r="F127">
        <v>4</v>
      </c>
      <c r="I127" t="s">
        <v>243</v>
      </c>
      <c r="J127" s="51">
        <v>40828</v>
      </c>
      <c r="K127" t="s">
        <v>27</v>
      </c>
      <c r="L127" t="s">
        <v>222</v>
      </c>
      <c r="M127">
        <v>3</v>
      </c>
      <c r="N127" t="str">
        <f>L127</f>
        <v>NAM\MA9769</v>
      </c>
      <c r="O127" s="51">
        <f>J127</f>
        <v>40828</v>
      </c>
      <c r="P127" s="51" t="str">
        <f>C127</f>
        <v>~/cdd/olddocs/Formas/CNWI-ENGI (Ingenieria)/CNWI-ENGI-F045 Drawing Change Notification.xls</v>
      </c>
      <c r="Q127" s="51" t="str">
        <f>E127</f>
        <v>xls</v>
      </c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G127" t="s">
        <v>28</v>
      </c>
      <c r="AH127" s="51"/>
      <c r="AI127" s="51"/>
    </row>
    <row r="128" spans="2:35">
      <c r="B128" t="s">
        <v>451</v>
      </c>
      <c r="C128" t="s">
        <v>2970</v>
      </c>
      <c r="D128">
        <v>5</v>
      </c>
      <c r="E128" t="s">
        <v>2792</v>
      </c>
      <c r="F128">
        <v>4</v>
      </c>
      <c r="I128" t="s">
        <v>452</v>
      </c>
      <c r="J128" s="51">
        <v>40834</v>
      </c>
      <c r="K128" t="s">
        <v>27</v>
      </c>
      <c r="L128" t="s">
        <v>438</v>
      </c>
      <c r="M128">
        <v>3</v>
      </c>
      <c r="N128" t="str">
        <f>L128</f>
        <v>NAM\D24B6</v>
      </c>
      <c r="O128" s="51">
        <f>J128</f>
        <v>40834</v>
      </c>
      <c r="P128" s="51" t="str">
        <f>C128</f>
        <v>~/cdd/olddocs/Formas/CNWI-ENGI (Ingenieria)/CNWI-ENGI-F046 Temperaturas de moldeado.xls</v>
      </c>
      <c r="Q128" s="51" t="str">
        <f>E128</f>
        <v>xls</v>
      </c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G128" t="s">
        <v>28</v>
      </c>
      <c r="AH128" s="51"/>
      <c r="AI128" s="51"/>
    </row>
    <row r="129" spans="2:35">
      <c r="B129" t="s">
        <v>453</v>
      </c>
      <c r="C129" t="s">
        <v>2971</v>
      </c>
      <c r="D129">
        <v>5</v>
      </c>
      <c r="E129" t="s">
        <v>2794</v>
      </c>
      <c r="F129">
        <v>4</v>
      </c>
      <c r="I129" t="s">
        <v>454</v>
      </c>
      <c r="J129" s="51">
        <v>40836</v>
      </c>
      <c r="K129" t="s">
        <v>27</v>
      </c>
      <c r="L129" t="s">
        <v>438</v>
      </c>
      <c r="M129">
        <v>3</v>
      </c>
      <c r="N129" t="str">
        <f>L129</f>
        <v>NAM\D24B6</v>
      </c>
      <c r="O129" s="51">
        <f>J129</f>
        <v>40836</v>
      </c>
      <c r="P129" s="51" t="str">
        <f>C129</f>
        <v>~/cdd/olddocs/Formas/CNWI-ENGI (Ingenieria)/CNWI-ENGI-F047 Check list de montaje y desmontaje.doc</v>
      </c>
      <c r="Q129" s="51" t="str">
        <f>E129</f>
        <v>doc</v>
      </c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G129" t="s">
        <v>28</v>
      </c>
      <c r="AH129" s="51"/>
      <c r="AI129" s="51"/>
    </row>
    <row r="130" spans="2:35">
      <c r="B130" t="s">
        <v>455</v>
      </c>
      <c r="C130" t="s">
        <v>2972</v>
      </c>
      <c r="D130">
        <v>5</v>
      </c>
      <c r="E130" t="s">
        <v>2790</v>
      </c>
      <c r="F130">
        <v>4</v>
      </c>
      <c r="I130" t="s">
        <v>456</v>
      </c>
      <c r="J130" s="51">
        <v>40855</v>
      </c>
      <c r="K130" t="s">
        <v>46</v>
      </c>
      <c r="L130" t="s">
        <v>438</v>
      </c>
      <c r="M130">
        <v>3</v>
      </c>
      <c r="N130" t="str">
        <f>L130</f>
        <v>NAM\D24B6</v>
      </c>
      <c r="O130" s="51">
        <f>J130</f>
        <v>40855</v>
      </c>
      <c r="P130" s="51" t="str">
        <f>C130</f>
        <v>~/cdd/olddocs/Formas/CNWI-ENGI (Ingenieria)/CNWI-ENGI-F048 HOJA_DE_PARAMETROS MOORPARK.xlsx</v>
      </c>
      <c r="Q130" s="51" t="str">
        <f>E130</f>
        <v>xlsx</v>
      </c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G130" t="s">
        <v>28</v>
      </c>
      <c r="AH130" s="51"/>
      <c r="AI130" s="51"/>
    </row>
    <row r="131" spans="2:35">
      <c r="B131" t="s">
        <v>244</v>
      </c>
      <c r="C131" t="s">
        <v>2973</v>
      </c>
      <c r="D131">
        <v>5</v>
      </c>
      <c r="E131" t="s">
        <v>2792</v>
      </c>
      <c r="F131">
        <v>4</v>
      </c>
      <c r="I131" t="s">
        <v>245</v>
      </c>
      <c r="J131" s="51">
        <v>40850</v>
      </c>
      <c r="K131" t="s">
        <v>27</v>
      </c>
      <c r="L131" t="s">
        <v>222</v>
      </c>
      <c r="M131">
        <v>3</v>
      </c>
      <c r="N131" t="str">
        <f>L131</f>
        <v>NAM\MA9769</v>
      </c>
      <c r="O131" s="51">
        <f>J131</f>
        <v>40850</v>
      </c>
      <c r="P131" s="51" t="str">
        <f>C131</f>
        <v>~/cdd/olddocs/Formas/CNWI-ENGI (Ingenieria)/CNWI-ENGI-F049 Itron Part Number Cross Reference.xls</v>
      </c>
      <c r="Q131" s="51" t="str">
        <f>E131</f>
        <v>xls</v>
      </c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G131" t="s">
        <v>28</v>
      </c>
      <c r="AH131" s="51"/>
      <c r="AI131" s="51"/>
    </row>
    <row r="132" spans="2:35">
      <c r="B132" t="s">
        <v>246</v>
      </c>
      <c r="C132" t="s">
        <v>2974</v>
      </c>
      <c r="D132">
        <v>5</v>
      </c>
      <c r="E132" t="s">
        <v>2799</v>
      </c>
      <c r="F132">
        <v>4</v>
      </c>
      <c r="I132" t="s">
        <v>247</v>
      </c>
      <c r="J132" s="51">
        <v>40850</v>
      </c>
      <c r="K132" t="s">
        <v>27</v>
      </c>
      <c r="L132" t="s">
        <v>222</v>
      </c>
      <c r="M132">
        <v>3</v>
      </c>
      <c r="N132" t="str">
        <f>L132</f>
        <v>NAM\MA9769</v>
      </c>
      <c r="O132" s="51">
        <f>J132</f>
        <v>40850</v>
      </c>
      <c r="P132" s="51" t="str">
        <f>C132</f>
        <v>~/cdd/olddocs/Formas/CNWI-ENGI (Ingenieria)/CNWI-ENGI-F050 Varios PART NUMBERS CROSS REFERENCE..xlsm</v>
      </c>
      <c r="Q132" s="51" t="str">
        <f>E132</f>
        <v>xlsm</v>
      </c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G132" t="s">
        <v>28</v>
      </c>
      <c r="AH132" s="51"/>
      <c r="AI132" s="51"/>
    </row>
    <row r="133" spans="2:35">
      <c r="B133" t="s">
        <v>248</v>
      </c>
      <c r="C133" t="s">
        <v>2975</v>
      </c>
      <c r="D133">
        <v>5</v>
      </c>
      <c r="E133" t="s">
        <v>2792</v>
      </c>
      <c r="F133">
        <v>4</v>
      </c>
      <c r="I133" t="s">
        <v>249</v>
      </c>
      <c r="J133" s="51">
        <v>40851</v>
      </c>
      <c r="K133" t="s">
        <v>27</v>
      </c>
      <c r="L133" t="s">
        <v>222</v>
      </c>
      <c r="M133">
        <v>3</v>
      </c>
      <c r="N133" t="str">
        <f>L133</f>
        <v>NAM\MA9769</v>
      </c>
      <c r="O133" s="51">
        <f>J133</f>
        <v>40851</v>
      </c>
      <c r="P133" s="51" t="str">
        <f>C133</f>
        <v>~/cdd/olddocs/Formas/CNWI-ENGI (Ingenieria)/CNWI-ENGI-F051 Cross Reference Amsafe.xls</v>
      </c>
      <c r="Q133" s="51" t="str">
        <f>E133</f>
        <v>xls</v>
      </c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  <c r="AG133" t="s">
        <v>28</v>
      </c>
      <c r="AH133" s="51"/>
      <c r="AI133" s="51"/>
    </row>
    <row r="134" spans="2:35">
      <c r="B134" t="s">
        <v>457</v>
      </c>
      <c r="C134" t="s">
        <v>2976</v>
      </c>
      <c r="D134">
        <v>5</v>
      </c>
      <c r="E134" t="s">
        <v>2792</v>
      </c>
      <c r="F134">
        <v>4</v>
      </c>
      <c r="I134" t="s">
        <v>458</v>
      </c>
      <c r="J134" s="51">
        <v>40898</v>
      </c>
      <c r="K134" t="s">
        <v>46</v>
      </c>
      <c r="L134" t="s">
        <v>438</v>
      </c>
      <c r="M134">
        <v>3</v>
      </c>
      <c r="N134" t="str">
        <f>L134</f>
        <v>NAM\D24B6</v>
      </c>
      <c r="O134" s="51">
        <f>J134</f>
        <v>40898</v>
      </c>
      <c r="P134" s="51" t="str">
        <f>C134</f>
        <v>~/cdd/olddocs/Formas/CNWI-ENGI (Ingenieria)/CNWI-ENGI-F052 Inspection report.xls</v>
      </c>
      <c r="Q134" s="51" t="str">
        <f>E134</f>
        <v>xls</v>
      </c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  <c r="AG134" t="s">
        <v>28</v>
      </c>
      <c r="AH134" s="51"/>
      <c r="AI134" s="51"/>
    </row>
    <row r="135" spans="2:35">
      <c r="B135" t="s">
        <v>250</v>
      </c>
      <c r="C135" t="s">
        <v>2977</v>
      </c>
      <c r="D135">
        <v>5</v>
      </c>
      <c r="E135" t="s">
        <v>2792</v>
      </c>
      <c r="F135">
        <v>4</v>
      </c>
      <c r="I135" t="s">
        <v>251</v>
      </c>
      <c r="J135" s="51">
        <v>40931</v>
      </c>
      <c r="K135" t="s">
        <v>27</v>
      </c>
      <c r="L135" t="s">
        <v>222</v>
      </c>
      <c r="M135">
        <v>3</v>
      </c>
      <c r="N135" t="str">
        <f>L135</f>
        <v>NAM\MA9769</v>
      </c>
      <c r="O135" s="51">
        <f>J135</f>
        <v>40931</v>
      </c>
      <c r="P135" s="51" t="str">
        <f>C135</f>
        <v>~/cdd/olddocs/Formas/CNWI-ENGI (Ingenieria)/CNWI-ENGI-F054 Cambios de reviciones.xls</v>
      </c>
      <c r="Q135" s="51" t="str">
        <f>E135</f>
        <v>xls</v>
      </c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G135" t="s">
        <v>28</v>
      </c>
      <c r="AH135" s="51"/>
      <c r="AI135" s="51"/>
    </row>
    <row r="136" spans="2:35">
      <c r="B136" t="s">
        <v>2320</v>
      </c>
      <c r="C136" t="s">
        <v>2978</v>
      </c>
      <c r="D136">
        <v>5</v>
      </c>
      <c r="E136" t="s">
        <v>2790</v>
      </c>
      <c r="F136">
        <v>4</v>
      </c>
      <c r="I136" t="s">
        <v>2321</v>
      </c>
      <c r="J136" s="51">
        <v>40925</v>
      </c>
      <c r="K136" t="s">
        <v>27</v>
      </c>
      <c r="L136" t="s">
        <v>2284</v>
      </c>
      <c r="M136">
        <v>3</v>
      </c>
      <c r="N136" t="str">
        <f>L136</f>
        <v>NAM\MA6689</v>
      </c>
      <c r="O136" s="51">
        <f>J136</f>
        <v>40925</v>
      </c>
      <c r="P136" s="51" t="str">
        <f>C136</f>
        <v>~/cdd/olddocs/Formas/CNWI-ENGI (Ingenieria)/CNWI-ENGI-F055 MATRIZ DE EMPAQUE.xlsx</v>
      </c>
      <c r="Q136" s="51" t="str">
        <f>E136</f>
        <v>xlsx</v>
      </c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  <c r="AG136" t="s">
        <v>28</v>
      </c>
      <c r="AH136" s="51"/>
      <c r="AI136" s="51"/>
    </row>
    <row r="137" spans="2:35">
      <c r="B137" t="s">
        <v>2322</v>
      </c>
      <c r="C137" t="s">
        <v>2979</v>
      </c>
      <c r="D137">
        <v>5</v>
      </c>
      <c r="E137" t="s">
        <v>2792</v>
      </c>
      <c r="F137">
        <v>4</v>
      </c>
      <c r="I137" t="s">
        <v>2323</v>
      </c>
      <c r="J137" s="51">
        <v>40938</v>
      </c>
      <c r="K137" t="s">
        <v>27</v>
      </c>
      <c r="L137" t="s">
        <v>2284</v>
      </c>
      <c r="M137">
        <v>3</v>
      </c>
      <c r="N137" t="str">
        <f>L137</f>
        <v>NAM\MA6689</v>
      </c>
      <c r="O137" s="51">
        <f>J137</f>
        <v>40938</v>
      </c>
      <c r="P137" s="51" t="str">
        <f>C137</f>
        <v>~/cdd/olddocs/Formas/CNWI-ENGI (Ingenieria)/CNWI-ENGI-F056 RESUMEN CAMBIOS COOPER NOGALES.xls</v>
      </c>
      <c r="Q137" s="51" t="str">
        <f>E137</f>
        <v>xls</v>
      </c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G137" t="s">
        <v>28</v>
      </c>
      <c r="AH137" s="51"/>
      <c r="AI137" s="51"/>
    </row>
    <row r="138" spans="2:35">
      <c r="B138" t="s">
        <v>459</v>
      </c>
      <c r="C138" t="s">
        <v>2980</v>
      </c>
      <c r="D138">
        <v>5</v>
      </c>
      <c r="E138" t="s">
        <v>2790</v>
      </c>
      <c r="F138">
        <v>4</v>
      </c>
      <c r="I138" t="s">
        <v>460</v>
      </c>
      <c r="J138" s="51">
        <v>40991</v>
      </c>
      <c r="K138" t="s">
        <v>46</v>
      </c>
      <c r="L138" t="s">
        <v>438</v>
      </c>
      <c r="M138">
        <v>3</v>
      </c>
      <c r="N138" t="str">
        <f>L138</f>
        <v>NAM\D24B6</v>
      </c>
      <c r="O138" s="51">
        <f>J138</f>
        <v>40991</v>
      </c>
      <c r="P138" s="51" t="str">
        <f>C138</f>
        <v>~/cdd/olddocs/Formas/CNWI-ENGI (Ingenieria)/CNWI-ENGI-F059 Hoja de parametros prueba AHI-Top.xlsx</v>
      </c>
      <c r="Q138" s="51" t="str">
        <f>E138</f>
        <v>xlsx</v>
      </c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G138" t="s">
        <v>28</v>
      </c>
      <c r="AH138" s="51"/>
      <c r="AI138" s="51"/>
    </row>
    <row r="139" spans="2:35">
      <c r="B139" t="s">
        <v>70</v>
      </c>
      <c r="C139" t="s">
        <v>2981</v>
      </c>
      <c r="D139">
        <v>5</v>
      </c>
      <c r="E139" t="s">
        <v>2792</v>
      </c>
      <c r="F139">
        <v>4</v>
      </c>
      <c r="I139" t="s">
        <v>71</v>
      </c>
      <c r="J139" s="51">
        <v>40988</v>
      </c>
      <c r="K139" t="s">
        <v>27</v>
      </c>
      <c r="L139" t="s">
        <v>63</v>
      </c>
      <c r="M139">
        <v>3</v>
      </c>
      <c r="N139" t="str">
        <f>L139</f>
        <v>NAM\D6B1B</v>
      </c>
      <c r="O139" s="51">
        <f>J139</f>
        <v>40988</v>
      </c>
      <c r="P139" s="51" t="str">
        <f>C139</f>
        <v>~/cdd/olddocs/Formas/CNWI-ENGI (Ingenieria)/CNWI-ENGI-F060 NPI Scorecard.xls</v>
      </c>
      <c r="Q139" s="51" t="str">
        <f>E139</f>
        <v>xls</v>
      </c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51"/>
      <c r="AC139" s="51"/>
      <c r="AD139" s="51"/>
      <c r="AG139" t="s">
        <v>28</v>
      </c>
      <c r="AH139" s="51"/>
      <c r="AI139" s="51"/>
    </row>
    <row r="140" spans="2:35">
      <c r="B140" t="s">
        <v>252</v>
      </c>
      <c r="C140" t="s">
        <v>3947</v>
      </c>
      <c r="D140">
        <v>5</v>
      </c>
      <c r="E140" t="s">
        <v>2790</v>
      </c>
      <c r="F140">
        <v>4</v>
      </c>
      <c r="I140" t="s">
        <v>253</v>
      </c>
      <c r="J140" s="51">
        <v>41009</v>
      </c>
      <c r="K140" t="s">
        <v>27</v>
      </c>
      <c r="L140" t="s">
        <v>222</v>
      </c>
      <c r="M140">
        <v>3</v>
      </c>
      <c r="N140" t="str">
        <f>L140</f>
        <v>NAM\MA9769</v>
      </c>
      <c r="O140" s="51">
        <f>J140</f>
        <v>41009</v>
      </c>
      <c r="P140" s="51" t="str">
        <f>C140</f>
        <v>~/cdd/olddocs/Temporales/CNWI-ENGI-F061 Check list para implementacion de ECN.xlsx</v>
      </c>
      <c r="Q140" s="51" t="str">
        <f>E140</f>
        <v>xlsx</v>
      </c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51"/>
      <c r="AC140" s="51"/>
      <c r="AD140" s="51"/>
      <c r="AG140" t="s">
        <v>28</v>
      </c>
      <c r="AH140" s="51"/>
      <c r="AI140" s="51"/>
    </row>
    <row r="141" spans="2:35">
      <c r="B141" t="s">
        <v>72</v>
      </c>
      <c r="C141" t="s">
        <v>2982</v>
      </c>
      <c r="D141">
        <v>5</v>
      </c>
      <c r="E141" t="s">
        <v>2792</v>
      </c>
      <c r="F141">
        <v>4</v>
      </c>
      <c r="I141" t="s">
        <v>73</v>
      </c>
      <c r="J141" s="51">
        <v>41010</v>
      </c>
      <c r="K141" t="s">
        <v>27</v>
      </c>
      <c r="L141" t="s">
        <v>63</v>
      </c>
      <c r="M141">
        <v>3</v>
      </c>
      <c r="N141" t="str">
        <f>L141</f>
        <v>NAM\D6B1B</v>
      </c>
      <c r="O141" s="51">
        <f>J141</f>
        <v>41010</v>
      </c>
      <c r="P141" s="51" t="str">
        <f>C141</f>
        <v>~/cdd/olddocs/Formas/CNWI-ENGI (Ingenieria)/CNWI-ENGI-F062 Especificacion de corte de cable en Solar.xls</v>
      </c>
      <c r="Q141" s="51" t="str">
        <f>E141</f>
        <v>xls</v>
      </c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51"/>
      <c r="AC141" s="51"/>
      <c r="AD141" s="51"/>
      <c r="AG141" t="s">
        <v>28</v>
      </c>
      <c r="AH141" s="51"/>
      <c r="AI141" s="51"/>
    </row>
    <row r="142" spans="2:35">
      <c r="B142" t="s">
        <v>74</v>
      </c>
      <c r="C142" t="s">
        <v>2983</v>
      </c>
      <c r="D142">
        <v>5</v>
      </c>
      <c r="E142" t="s">
        <v>2792</v>
      </c>
      <c r="F142">
        <v>4</v>
      </c>
      <c r="I142" t="s">
        <v>75</v>
      </c>
      <c r="J142" s="51">
        <v>41060</v>
      </c>
      <c r="K142" t="s">
        <v>27</v>
      </c>
      <c r="L142" t="s">
        <v>63</v>
      </c>
      <c r="M142">
        <v>3</v>
      </c>
      <c r="N142" t="str">
        <f>L142</f>
        <v>NAM\D6B1B</v>
      </c>
      <c r="O142" s="51">
        <f>J142</f>
        <v>41060</v>
      </c>
      <c r="P142" s="51" t="str">
        <f>C142</f>
        <v>~/cdd/olddocs/Formas/CNWI-ENGI (Ingenieria)/CNWI-ENGI-F063 Check list empaque solar.xls</v>
      </c>
      <c r="Q142" s="51" t="str">
        <f>E142</f>
        <v>xls</v>
      </c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51"/>
      <c r="AC142" s="51"/>
      <c r="AD142" s="51"/>
      <c r="AG142" t="s">
        <v>28</v>
      </c>
      <c r="AH142" s="51"/>
      <c r="AI142" s="51"/>
    </row>
    <row r="143" spans="2:35">
      <c r="B143" t="s">
        <v>76</v>
      </c>
      <c r="C143" t="s">
        <v>3857</v>
      </c>
      <c r="D143">
        <v>5</v>
      </c>
      <c r="E143" t="s">
        <v>2792</v>
      </c>
      <c r="F143">
        <v>4</v>
      </c>
      <c r="I143" t="s">
        <v>77</v>
      </c>
      <c r="J143" s="51">
        <v>41060</v>
      </c>
      <c r="K143" t="s">
        <v>27</v>
      </c>
      <c r="L143" t="s">
        <v>63</v>
      </c>
      <c r="M143">
        <v>3</v>
      </c>
      <c r="N143" t="str">
        <f>L143</f>
        <v>NAM\D6B1B</v>
      </c>
      <c r="O143" s="51">
        <f>J143</f>
        <v>41060</v>
      </c>
      <c r="P143" s="51" t="str">
        <f>C143</f>
        <v>~cdd/olddocs/Formas/CNWI-ENGI (Ingenieria)/CNWI-ENGI-F064 Check list set up first solar.xls</v>
      </c>
      <c r="Q143" s="51" t="str">
        <f>E143</f>
        <v>xls</v>
      </c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51"/>
      <c r="AC143" s="51"/>
      <c r="AD143" s="51"/>
      <c r="AG143" t="s">
        <v>28</v>
      </c>
      <c r="AH143" s="51"/>
      <c r="AI143" s="51"/>
    </row>
    <row r="144" spans="2:35">
      <c r="B144" t="s">
        <v>78</v>
      </c>
      <c r="C144" t="s">
        <v>3858</v>
      </c>
      <c r="D144">
        <v>5</v>
      </c>
      <c r="E144" t="s">
        <v>2794</v>
      </c>
      <c r="F144">
        <v>4</v>
      </c>
      <c r="I144" t="s">
        <v>79</v>
      </c>
      <c r="J144" s="51">
        <v>41065</v>
      </c>
      <c r="K144" t="s">
        <v>27</v>
      </c>
      <c r="L144" t="s">
        <v>63</v>
      </c>
      <c r="M144">
        <v>3</v>
      </c>
      <c r="N144" t="str">
        <f>L144</f>
        <v>NAM\D6B1B</v>
      </c>
      <c r="O144" s="51">
        <f>J144</f>
        <v>41065</v>
      </c>
      <c r="P144" s="51" t="str">
        <f>C144</f>
        <v>~cdd/olddocs/Formas/CNWI-ENGI (Ingenieria)/CNWI-ENGI-F065 Rev. A Presentacion de conectores que se utilizan en Solar.doc</v>
      </c>
      <c r="Q144" s="51" t="str">
        <f>E144</f>
        <v>doc</v>
      </c>
      <c r="R144" s="51"/>
      <c r="S144" s="51"/>
      <c r="T144" s="51"/>
      <c r="U144" s="51"/>
      <c r="V144" s="51"/>
      <c r="W144" s="51"/>
      <c r="X144" s="51"/>
      <c r="Y144" s="51"/>
      <c r="Z144" s="51"/>
      <c r="AA144" s="51"/>
      <c r="AB144" s="51"/>
      <c r="AC144" s="51"/>
      <c r="AD144" s="51"/>
      <c r="AG144" t="s">
        <v>28</v>
      </c>
      <c r="AH144" s="51"/>
      <c r="AI144" s="51"/>
    </row>
    <row r="145" spans="2:35">
      <c r="B145" t="s">
        <v>80</v>
      </c>
      <c r="C145" t="s">
        <v>3859</v>
      </c>
      <c r="D145">
        <v>5</v>
      </c>
      <c r="E145" t="s">
        <v>2792</v>
      </c>
      <c r="F145">
        <v>4</v>
      </c>
      <c r="I145" t="s">
        <v>81</v>
      </c>
      <c r="J145" s="51">
        <v>41067</v>
      </c>
      <c r="K145" t="s">
        <v>27</v>
      </c>
      <c r="L145" t="s">
        <v>63</v>
      </c>
      <c r="M145">
        <v>3</v>
      </c>
      <c r="N145" t="str">
        <f>L145</f>
        <v>NAM\D6B1B</v>
      </c>
      <c r="O145" s="51">
        <f>J145</f>
        <v>41067</v>
      </c>
      <c r="P145" s="51" t="str">
        <f>C145</f>
        <v>~cdd/olddocs/Formas/CNWI-ENGI (Ingenieria)/CNWI-ENGI-F066 Parametros para maquina Branson Solar.xls</v>
      </c>
      <c r="Q145" s="51" t="str">
        <f>E145</f>
        <v>xls</v>
      </c>
      <c r="R145" s="51"/>
      <c r="S145" s="51"/>
      <c r="T145" s="51"/>
      <c r="U145" s="51"/>
      <c r="V145" s="51"/>
      <c r="W145" s="51"/>
      <c r="X145" s="51"/>
      <c r="Y145" s="51"/>
      <c r="Z145" s="51"/>
      <c r="AA145" s="51"/>
      <c r="AB145" s="51"/>
      <c r="AC145" s="51"/>
      <c r="AD145" s="51"/>
      <c r="AG145" t="s">
        <v>28</v>
      </c>
      <c r="AH145" s="51"/>
      <c r="AI145" s="51"/>
    </row>
    <row r="146" spans="2:35">
      <c r="B146" t="s">
        <v>612</v>
      </c>
      <c r="C146" t="s">
        <v>3860</v>
      </c>
      <c r="D146">
        <v>5</v>
      </c>
      <c r="E146" t="s">
        <v>2790</v>
      </c>
      <c r="F146">
        <v>4</v>
      </c>
      <c r="I146" t="s">
        <v>613</v>
      </c>
      <c r="J146" s="51">
        <v>41071</v>
      </c>
      <c r="K146" t="s">
        <v>27</v>
      </c>
      <c r="L146" t="s">
        <v>605</v>
      </c>
      <c r="M146">
        <v>3</v>
      </c>
      <c r="N146" t="str">
        <f>L146</f>
        <v>NA/MB1049</v>
      </c>
      <c r="O146" s="51">
        <f>J146</f>
        <v>41071</v>
      </c>
      <c r="P146" s="51" t="str">
        <f>C146</f>
        <v>~cdd/olddocs/Formas/CNWI-ENGI (Ingenieria)/CNWI-ENGI-F067 Control de impresion de etiquetas.xlsx</v>
      </c>
      <c r="Q146" s="51" t="str">
        <f>E146</f>
        <v>xlsx</v>
      </c>
      <c r="R146" s="51"/>
      <c r="S146" s="51"/>
      <c r="T146" s="51"/>
      <c r="U146" s="51"/>
      <c r="V146" s="51"/>
      <c r="W146" s="51"/>
      <c r="X146" s="51"/>
      <c r="Y146" s="51"/>
      <c r="Z146" s="51"/>
      <c r="AA146" s="51"/>
      <c r="AB146" s="51"/>
      <c r="AC146" s="51"/>
      <c r="AD146" s="51"/>
      <c r="AG146" t="s">
        <v>28</v>
      </c>
      <c r="AH146" s="51"/>
      <c r="AI146" s="51"/>
    </row>
    <row r="147" spans="2:35">
      <c r="B147" t="s">
        <v>461</v>
      </c>
      <c r="C147" t="s">
        <v>3861</v>
      </c>
      <c r="D147">
        <v>5</v>
      </c>
      <c r="E147" t="s">
        <v>2790</v>
      </c>
      <c r="F147">
        <v>4</v>
      </c>
      <c r="I147" t="s">
        <v>462</v>
      </c>
      <c r="J147" s="51">
        <v>41150</v>
      </c>
      <c r="K147" t="s">
        <v>27</v>
      </c>
      <c r="L147" t="s">
        <v>438</v>
      </c>
      <c r="M147">
        <v>3</v>
      </c>
      <c r="N147" t="str">
        <f>L147</f>
        <v>NAM\D24B6</v>
      </c>
      <c r="O147" s="51">
        <f>J147</f>
        <v>41150</v>
      </c>
      <c r="P147" s="51" t="str">
        <f>C147</f>
        <v>~cdd/olddocs/Formas/CNWI-ENGI (Ingenieria)/CNWI-ENGI-F068 Rev.A  Check list moorpark.xlsx</v>
      </c>
      <c r="Q147" s="51" t="str">
        <f>E147</f>
        <v>xlsx</v>
      </c>
      <c r="R147" s="51"/>
      <c r="S147" s="51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  <c r="AG147" t="s">
        <v>28</v>
      </c>
      <c r="AH147" s="51"/>
      <c r="AI147" s="51"/>
    </row>
    <row r="148" spans="2:35">
      <c r="B148" t="s">
        <v>2060</v>
      </c>
      <c r="C148" t="s">
        <v>3862</v>
      </c>
      <c r="D148">
        <v>5</v>
      </c>
      <c r="E148" t="s">
        <v>2797</v>
      </c>
      <c r="F148">
        <v>4</v>
      </c>
      <c r="I148" t="s">
        <v>2061</v>
      </c>
      <c r="J148" s="51">
        <v>41173</v>
      </c>
      <c r="K148" t="s">
        <v>27</v>
      </c>
      <c r="L148" t="s">
        <v>2063</v>
      </c>
      <c r="M148">
        <v>3</v>
      </c>
      <c r="N148" t="str">
        <f>L148</f>
        <v>NAM\MB2117</v>
      </c>
      <c r="O148" s="51">
        <f>J148</f>
        <v>41173</v>
      </c>
      <c r="P148" s="51" t="str">
        <f>C148</f>
        <v>~cdd/olddocs/Formas/CNWI-ENGI (Ingenieria)/CNWI-ENGI-F069 Rev. A Packaging Data Form.docx</v>
      </c>
      <c r="Q148" s="51" t="str">
        <f>E148</f>
        <v>docx</v>
      </c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G148" t="s">
        <v>28</v>
      </c>
      <c r="AH148" s="51"/>
      <c r="AI148" s="51"/>
    </row>
    <row r="149" spans="2:35">
      <c r="B149" t="s">
        <v>1462</v>
      </c>
      <c r="C149" t="s">
        <v>3863</v>
      </c>
      <c r="D149">
        <v>5</v>
      </c>
      <c r="E149" t="s">
        <v>2790</v>
      </c>
      <c r="F149">
        <v>4</v>
      </c>
      <c r="I149" t="s">
        <v>1463</v>
      </c>
      <c r="J149" s="51">
        <v>41178</v>
      </c>
      <c r="K149" t="s">
        <v>27</v>
      </c>
      <c r="L149" t="s">
        <v>1461</v>
      </c>
      <c r="M149">
        <v>3</v>
      </c>
      <c r="N149" t="str">
        <f>L149</f>
        <v>NAM\MB1297</v>
      </c>
      <c r="O149" s="51">
        <f>J149</f>
        <v>41178</v>
      </c>
      <c r="P149" s="51" t="str">
        <f>C149</f>
        <v>~cdd/olddocs/Formas/CNWI-ENGI (Ingenieria)/CNWI-ENGI-F070 Rev. A Chek list de Nuevos Productos .xlsx</v>
      </c>
      <c r="Q149" s="51" t="str">
        <f>E149</f>
        <v>xlsx</v>
      </c>
      <c r="R149" s="51"/>
      <c r="S149" s="51"/>
      <c r="T149" s="51"/>
      <c r="U149" s="51"/>
      <c r="V149" s="51"/>
      <c r="W149" s="51"/>
      <c r="X149" s="51"/>
      <c r="Y149" s="51"/>
      <c r="Z149" s="51"/>
      <c r="AA149" s="51"/>
      <c r="AB149" s="51"/>
      <c r="AC149" s="51"/>
      <c r="AD149" s="51"/>
      <c r="AG149" t="s">
        <v>28</v>
      </c>
      <c r="AH149" s="51"/>
      <c r="AI149" s="51"/>
    </row>
    <row r="150" spans="2:35">
      <c r="B150" t="s">
        <v>1464</v>
      </c>
      <c r="C150" t="s">
        <v>3864</v>
      </c>
      <c r="D150">
        <v>5</v>
      </c>
      <c r="E150" t="s">
        <v>2790</v>
      </c>
      <c r="F150">
        <v>4</v>
      </c>
      <c r="I150" t="s">
        <v>1465</v>
      </c>
      <c r="J150" s="51">
        <v>41172</v>
      </c>
      <c r="K150" t="s">
        <v>27</v>
      </c>
      <c r="L150" t="s">
        <v>1461</v>
      </c>
      <c r="M150">
        <v>3</v>
      </c>
      <c r="N150" t="str">
        <f>L150</f>
        <v>NAM\MB1297</v>
      </c>
      <c r="O150" s="51">
        <f>J150</f>
        <v>41172</v>
      </c>
      <c r="P150" s="51" t="str">
        <f>C150</f>
        <v>~cdd/olddocs/Formas/CNWI-ENGI (Ingenieria)/CNWI-ENGI-F071 Rev  A Registro de productos terminados NPI.xlsx</v>
      </c>
      <c r="Q150" s="51" t="str">
        <f>E150</f>
        <v>xlsx</v>
      </c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G150" t="s">
        <v>28</v>
      </c>
      <c r="AH150" s="51"/>
      <c r="AI150" s="51"/>
    </row>
    <row r="151" spans="2:35">
      <c r="B151" t="s">
        <v>463</v>
      </c>
      <c r="C151" t="s">
        <v>3865</v>
      </c>
      <c r="D151">
        <v>5</v>
      </c>
      <c r="E151" t="s">
        <v>2790</v>
      </c>
      <c r="F151">
        <v>4</v>
      </c>
      <c r="I151" t="s">
        <v>464</v>
      </c>
      <c r="J151" s="51">
        <v>41199</v>
      </c>
      <c r="K151" t="s">
        <v>27</v>
      </c>
      <c r="L151" t="s">
        <v>438</v>
      </c>
      <c r="M151">
        <v>3</v>
      </c>
      <c r="N151" t="str">
        <f>L151</f>
        <v>NAM\D24B6</v>
      </c>
      <c r="O151" s="51">
        <f>J151</f>
        <v>41199</v>
      </c>
      <c r="P151" s="51" t="str">
        <f>C151</f>
        <v>~cdd/olddocs/Formas/CNWI-ENGI (Ingenieria)/CNWI-ENGI-F072 Rev. A Ajuste de parámetros para moldeadora autojector.xlsx</v>
      </c>
      <c r="Q151" s="51" t="str">
        <f>E151</f>
        <v>xlsx</v>
      </c>
      <c r="R151" s="51"/>
      <c r="S151" s="51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  <c r="AG151" t="s">
        <v>28</v>
      </c>
      <c r="AH151" s="51"/>
      <c r="AI151" s="51"/>
    </row>
    <row r="152" spans="2:35">
      <c r="B152" t="s">
        <v>2277</v>
      </c>
      <c r="C152" t="s">
        <v>3324</v>
      </c>
      <c r="D152">
        <v>4</v>
      </c>
      <c r="E152" t="s">
        <v>2791</v>
      </c>
      <c r="F152">
        <v>13</v>
      </c>
      <c r="I152" t="s">
        <v>2278</v>
      </c>
      <c r="J152" s="51">
        <v>40990</v>
      </c>
      <c r="K152" t="s">
        <v>27</v>
      </c>
      <c r="L152" t="s">
        <v>2280</v>
      </c>
      <c r="M152">
        <v>3</v>
      </c>
      <c r="N152" t="str">
        <f>L152</f>
        <v>NAM\ma8489</v>
      </c>
      <c r="O152" s="51">
        <f>J152</f>
        <v>40990</v>
      </c>
      <c r="P152" s="51" t="str">
        <f>C152</f>
        <v>~/cdd/olddocs/Instructivos/CNWI-FNCS/CNWI-FNCS-0001 Rev. A Conteo Ciclico.pdf</v>
      </c>
      <c r="Q152" s="51" t="str">
        <f>E152</f>
        <v>pdf</v>
      </c>
      <c r="R152" s="51"/>
      <c r="S152" s="51"/>
      <c r="T152" s="51"/>
      <c r="U152" s="51"/>
      <c r="V152" s="51"/>
      <c r="W152" s="51"/>
      <c r="X152" s="51"/>
      <c r="Y152" s="51"/>
      <c r="Z152" s="51"/>
      <c r="AA152" s="51"/>
      <c r="AB152" s="51"/>
      <c r="AC152" s="51"/>
      <c r="AD152" s="51"/>
      <c r="AG152" t="s">
        <v>28</v>
      </c>
      <c r="AH152" s="51"/>
      <c r="AI152" s="51"/>
    </row>
    <row r="153" spans="2:35">
      <c r="B153" t="s">
        <v>852</v>
      </c>
      <c r="C153" t="s">
        <v>3903</v>
      </c>
      <c r="D153">
        <v>4</v>
      </c>
      <c r="E153" t="s">
        <v>2791</v>
      </c>
      <c r="F153">
        <v>7</v>
      </c>
      <c r="I153" t="s">
        <v>853</v>
      </c>
      <c r="J153" s="51">
        <v>41129</v>
      </c>
      <c r="K153" t="s">
        <v>742</v>
      </c>
      <c r="L153" t="s">
        <v>855</v>
      </c>
      <c r="M153">
        <v>3</v>
      </c>
      <c r="N153" t="str">
        <f>L153</f>
        <v>NAM\MB0433</v>
      </c>
      <c r="O153" s="51">
        <f>J153</f>
        <v>41129</v>
      </c>
      <c r="P153" s="51" t="str">
        <f>C153</f>
        <v>~cdd/olddocs/Instructivos/CNWI-HMRS/CNWI-HMRS-0001  Procedimiento de Desarrollo de Habilidades y Competencias.pdf</v>
      </c>
      <c r="Q153" s="51" t="str">
        <f>E153</f>
        <v>pdf</v>
      </c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G153" t="s">
        <v>28</v>
      </c>
      <c r="AH153" s="51"/>
      <c r="AI153" s="51"/>
    </row>
    <row r="154" spans="2:35">
      <c r="B154" t="s">
        <v>548</v>
      </c>
      <c r="C154" t="s">
        <v>3325</v>
      </c>
      <c r="D154">
        <v>4</v>
      </c>
      <c r="E154" t="s">
        <v>2791</v>
      </c>
      <c r="F154">
        <v>7</v>
      </c>
      <c r="I154" t="s">
        <v>550</v>
      </c>
      <c r="J154" s="51">
        <v>40637</v>
      </c>
      <c r="K154" t="s">
        <v>27</v>
      </c>
      <c r="L154" t="s">
        <v>552</v>
      </c>
      <c r="M154">
        <v>3</v>
      </c>
      <c r="N154" t="str">
        <f>L154</f>
        <v>NAM\MA9710</v>
      </c>
      <c r="O154" s="51">
        <f>J154</f>
        <v>40637</v>
      </c>
      <c r="P154" s="51" t="str">
        <f>C154</f>
        <v>~/cdd/olddocs/Instructivos/CNWI-HMRS/CNWI-HMRS-0002 Procediminento de solicitud de capacitacion.pdf</v>
      </c>
      <c r="Q154" s="51" t="str">
        <f>E154</f>
        <v>pdf</v>
      </c>
      <c r="R154" s="51"/>
      <c r="S154" s="51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  <c r="AD154" s="51"/>
      <c r="AG154" t="s">
        <v>28</v>
      </c>
      <c r="AH154" s="51"/>
      <c r="AI154" s="51"/>
    </row>
    <row r="155" spans="2:35">
      <c r="B155" t="s">
        <v>553</v>
      </c>
      <c r="C155" t="s">
        <v>3904</v>
      </c>
      <c r="D155">
        <v>4</v>
      </c>
      <c r="E155" t="s">
        <v>2797</v>
      </c>
      <c r="F155">
        <v>7</v>
      </c>
      <c r="I155" t="s">
        <v>554</v>
      </c>
      <c r="J155" s="51">
        <v>41206</v>
      </c>
      <c r="K155" t="s">
        <v>46</v>
      </c>
      <c r="L155" t="s">
        <v>552</v>
      </c>
      <c r="M155">
        <v>3</v>
      </c>
      <c r="N155" t="str">
        <f>L155</f>
        <v>NAM\MA9710</v>
      </c>
      <c r="O155" s="51">
        <f>J155</f>
        <v>41206</v>
      </c>
      <c r="P155" s="51" t="str">
        <f>C155</f>
        <v>~cdd/olddocs/Instructivos/CNWI-HMRS/CNWI-HMRS-0003   Rev B Procedimiento de reclutamiento  seleccion y contratacion.docx</v>
      </c>
      <c r="Q155" s="51" t="str">
        <f>E155</f>
        <v>docx</v>
      </c>
      <c r="R155" s="51"/>
      <c r="S155" s="51"/>
      <c r="T155" s="51"/>
      <c r="U155" s="51"/>
      <c r="V155" s="51"/>
      <c r="W155" s="51"/>
      <c r="X155" s="51"/>
      <c r="Y155" s="51"/>
      <c r="Z155" s="51"/>
      <c r="AA155" s="51"/>
      <c r="AB155" s="51"/>
      <c r="AC155" s="51"/>
      <c r="AD155" s="51"/>
      <c r="AG155" t="s">
        <v>28</v>
      </c>
      <c r="AH155" s="51"/>
      <c r="AI155" s="51"/>
    </row>
    <row r="156" spans="2:35">
      <c r="B156" t="s">
        <v>555</v>
      </c>
      <c r="C156" t="s">
        <v>3905</v>
      </c>
      <c r="D156">
        <v>4</v>
      </c>
      <c r="E156" t="s">
        <v>2797</v>
      </c>
      <c r="F156">
        <v>7</v>
      </c>
      <c r="I156" t="s">
        <v>556</v>
      </c>
      <c r="J156" s="51">
        <v>41185</v>
      </c>
      <c r="K156" t="s">
        <v>27</v>
      </c>
      <c r="L156" t="s">
        <v>552</v>
      </c>
      <c r="M156">
        <v>3</v>
      </c>
      <c r="N156" t="str">
        <f>L156</f>
        <v>NAM\MA9710</v>
      </c>
      <c r="O156" s="51">
        <f>J156</f>
        <v>41185</v>
      </c>
      <c r="P156" s="51" t="str">
        <f>C156</f>
        <v>~cdd/olddocs/Instructivos/CNWI-HMRS/CNWI-HMRS-0004 Rev. A  Politica de Comunicacion.docx</v>
      </c>
      <c r="Q156" s="51" t="str">
        <f>E156</f>
        <v>docx</v>
      </c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G156" t="s">
        <v>28</v>
      </c>
      <c r="AH156" s="51"/>
      <c r="AI156" s="51"/>
    </row>
    <row r="157" spans="2:35">
      <c r="B157" t="s">
        <v>856</v>
      </c>
      <c r="C157" t="s">
        <v>2984</v>
      </c>
      <c r="D157">
        <v>5</v>
      </c>
      <c r="E157" t="s">
        <v>2791</v>
      </c>
      <c r="F157">
        <v>5</v>
      </c>
      <c r="G157">
        <v>12</v>
      </c>
      <c r="H157">
        <v>4</v>
      </c>
      <c r="I157" t="s">
        <v>857</v>
      </c>
      <c r="J157" s="51">
        <v>41130</v>
      </c>
      <c r="K157" t="s">
        <v>159</v>
      </c>
      <c r="L157" t="s">
        <v>855</v>
      </c>
      <c r="M157">
        <v>3</v>
      </c>
      <c r="N157" t="str">
        <f>L157</f>
        <v>NAM\MB0433</v>
      </c>
      <c r="O157" s="51">
        <f>J157</f>
        <v>41130</v>
      </c>
      <c r="P157" s="51" t="str">
        <f>C157</f>
        <v>~/cdd/olddocs/Formas/CNWI-HMRS (Recursos Humanos)/CNWI-HMRS-F001 Lista de Asistencia y Entrenamiento .pdf</v>
      </c>
      <c r="Q157" s="51" t="str">
        <f>E157</f>
        <v>pdf</v>
      </c>
      <c r="R157" s="51"/>
      <c r="S157" s="51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  <c r="AG157" t="s">
        <v>28</v>
      </c>
      <c r="AH157" s="51"/>
      <c r="AI157" s="51"/>
    </row>
    <row r="158" spans="2:35">
      <c r="B158" t="s">
        <v>557</v>
      </c>
      <c r="C158" t="s">
        <v>2985</v>
      </c>
      <c r="D158">
        <v>5</v>
      </c>
      <c r="E158" t="s">
        <v>2790</v>
      </c>
      <c r="F158">
        <v>5</v>
      </c>
      <c r="G158">
        <v>12</v>
      </c>
      <c r="H158">
        <v>4</v>
      </c>
      <c r="I158" t="s">
        <v>559</v>
      </c>
      <c r="J158" s="51">
        <v>41049</v>
      </c>
      <c r="K158" t="s">
        <v>159</v>
      </c>
      <c r="L158" t="s">
        <v>552</v>
      </c>
      <c r="M158">
        <v>3</v>
      </c>
      <c r="N158" t="str">
        <f>L158</f>
        <v>NAM\MA9710</v>
      </c>
      <c r="O158" s="51">
        <f>J158</f>
        <v>41049</v>
      </c>
      <c r="P158" s="51" t="str">
        <f>C158</f>
        <v>~/cdd/olddocs/Formas/CNWI-HMRS (Recursos Humanos)/CNWI-HMRS-F002 Matriz de Flexibilidad.xlsx</v>
      </c>
      <c r="Q158" s="51" t="str">
        <f>E158</f>
        <v>xlsx</v>
      </c>
      <c r="R158" s="51"/>
      <c r="S158" s="51"/>
      <c r="T158" s="51"/>
      <c r="U158" s="51"/>
      <c r="V158" s="51"/>
      <c r="W158" s="51"/>
      <c r="X158" s="51"/>
      <c r="Y158" s="51"/>
      <c r="Z158" s="51"/>
      <c r="AA158" s="51"/>
      <c r="AB158" s="51"/>
      <c r="AC158" s="51"/>
      <c r="AD158" s="51"/>
      <c r="AG158" t="s">
        <v>28</v>
      </c>
      <c r="AH158" s="51"/>
      <c r="AI158" s="51"/>
    </row>
    <row r="159" spans="2:35">
      <c r="B159" t="s">
        <v>560</v>
      </c>
      <c r="C159" t="s">
        <v>2986</v>
      </c>
      <c r="D159">
        <v>5</v>
      </c>
      <c r="E159" t="s">
        <v>2790</v>
      </c>
      <c r="F159">
        <v>5</v>
      </c>
      <c r="G159">
        <v>12</v>
      </c>
      <c r="H159">
        <v>4</v>
      </c>
      <c r="I159" t="s">
        <v>561</v>
      </c>
      <c r="J159" s="51">
        <v>41034</v>
      </c>
      <c r="K159" t="s">
        <v>261</v>
      </c>
      <c r="L159" t="s">
        <v>552</v>
      </c>
      <c r="M159">
        <v>3</v>
      </c>
      <c r="N159" t="str">
        <f>L159</f>
        <v>NAM\MA9710</v>
      </c>
      <c r="O159" s="51">
        <f>J159</f>
        <v>41034</v>
      </c>
      <c r="P159" s="51" t="str">
        <f>C159</f>
        <v>~/cdd/olddocs/Formas/CNWI-HMRS (Recursos Humanos)/CNWI-HMRS-F003 Evaluación Práctica del Entrenamiento.xlsx</v>
      </c>
      <c r="Q159" s="51" t="str">
        <f>E159</f>
        <v>xlsx</v>
      </c>
      <c r="R159" s="51"/>
      <c r="S159" s="51"/>
      <c r="T159" s="51"/>
      <c r="U159" s="51"/>
      <c r="V159" s="51"/>
      <c r="W159" s="51"/>
      <c r="X159" s="51"/>
      <c r="Y159" s="51"/>
      <c r="Z159" s="51"/>
      <c r="AA159" s="51"/>
      <c r="AB159" s="51"/>
      <c r="AC159" s="51"/>
      <c r="AD159" s="51"/>
      <c r="AG159" t="s">
        <v>28</v>
      </c>
      <c r="AH159" s="51"/>
      <c r="AI159" s="51"/>
    </row>
    <row r="160" spans="2:35">
      <c r="B160" t="s">
        <v>562</v>
      </c>
      <c r="C160" t="s">
        <v>2987</v>
      </c>
      <c r="D160">
        <v>5</v>
      </c>
      <c r="E160" t="s">
        <v>2794</v>
      </c>
      <c r="F160">
        <v>5</v>
      </c>
      <c r="G160">
        <v>12</v>
      </c>
      <c r="H160">
        <v>4</v>
      </c>
      <c r="I160" t="s">
        <v>563</v>
      </c>
      <c r="J160" s="51">
        <v>40988</v>
      </c>
      <c r="K160" t="s">
        <v>46</v>
      </c>
      <c r="L160" t="s">
        <v>552</v>
      </c>
      <c r="M160">
        <v>3</v>
      </c>
      <c r="N160" t="str">
        <f>L160</f>
        <v>NAM\MA9710</v>
      </c>
      <c r="O160" s="51">
        <f>J160</f>
        <v>40988</v>
      </c>
      <c r="P160" s="51" t="str">
        <f>C160</f>
        <v>~/cdd/olddocs/Formas/CNWI-HMRS (Recursos Humanos)/CNWI-HMRS-F004 Descripcion de PuestoDoc..doc</v>
      </c>
      <c r="Q160" s="51" t="str">
        <f>E160</f>
        <v>doc</v>
      </c>
      <c r="R160" s="51"/>
      <c r="S160" s="51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G160" t="s">
        <v>28</v>
      </c>
      <c r="AH160" s="51"/>
      <c r="AI160" s="51"/>
    </row>
    <row r="161" spans="2:35">
      <c r="B161" t="s">
        <v>564</v>
      </c>
      <c r="C161" t="s">
        <v>2988</v>
      </c>
      <c r="D161">
        <v>5</v>
      </c>
      <c r="E161" t="s">
        <v>2792</v>
      </c>
      <c r="F161">
        <v>5</v>
      </c>
      <c r="G161">
        <v>12</v>
      </c>
      <c r="H161">
        <v>4</v>
      </c>
      <c r="I161" t="s">
        <v>565</v>
      </c>
      <c r="J161" s="51">
        <v>40618</v>
      </c>
      <c r="K161" t="s">
        <v>27</v>
      </c>
      <c r="L161" t="s">
        <v>552</v>
      </c>
      <c r="M161">
        <v>3</v>
      </c>
      <c r="N161" t="str">
        <f>L161</f>
        <v>NAM\MA9710</v>
      </c>
      <c r="O161" s="51">
        <f>J161</f>
        <v>40618</v>
      </c>
      <c r="P161" s="51" t="str">
        <f>C161</f>
        <v>~/cdd/olddocs/Formas/CNWI-HMRS (Recursos Humanos)/CNWI-HMRS-F005 Examen Teorico.xls</v>
      </c>
      <c r="Q161" s="51" t="str">
        <f>E161</f>
        <v>xls</v>
      </c>
      <c r="R161" s="51"/>
      <c r="S161" s="51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G161" t="s">
        <v>28</v>
      </c>
      <c r="AH161" s="51"/>
      <c r="AI161" s="51"/>
    </row>
    <row r="162" spans="2:35">
      <c r="B162" t="s">
        <v>566</v>
      </c>
      <c r="C162" t="s">
        <v>2989</v>
      </c>
      <c r="D162">
        <v>5</v>
      </c>
      <c r="E162" t="s">
        <v>2792</v>
      </c>
      <c r="F162">
        <v>5</v>
      </c>
      <c r="G162">
        <v>12</v>
      </c>
      <c r="H162">
        <v>16</v>
      </c>
      <c r="I162" t="s">
        <v>568</v>
      </c>
      <c r="J162" s="51">
        <v>40627</v>
      </c>
      <c r="K162" t="s">
        <v>27</v>
      </c>
      <c r="L162" t="s">
        <v>552</v>
      </c>
      <c r="M162">
        <v>3</v>
      </c>
      <c r="N162" t="str">
        <f>L162</f>
        <v>NAM\MA9710</v>
      </c>
      <c r="O162" s="51">
        <f>J162</f>
        <v>40627</v>
      </c>
      <c r="P162" s="51" t="str">
        <f>C162</f>
        <v>~/cdd/olddocs/Formas/CNWI-HMRS (Recursos Humanos)/CNWI-HMRS-F006 Solicitud de capacitacion.xls</v>
      </c>
      <c r="Q162" s="51" t="str">
        <f>E162</f>
        <v>xls</v>
      </c>
      <c r="R162" s="51"/>
      <c r="S162" s="51"/>
      <c r="T162" s="51"/>
      <c r="U162" s="51"/>
      <c r="V162" s="51"/>
      <c r="W162" s="51"/>
      <c r="X162" s="51"/>
      <c r="Y162" s="51"/>
      <c r="Z162" s="51"/>
      <c r="AA162" s="51"/>
      <c r="AB162" s="51"/>
      <c r="AC162" s="51"/>
      <c r="AD162" s="51"/>
      <c r="AG162" t="s">
        <v>28</v>
      </c>
      <c r="AH162" s="51"/>
      <c r="AI162" s="51"/>
    </row>
    <row r="163" spans="2:35">
      <c r="B163" t="s">
        <v>858</v>
      </c>
      <c r="C163" t="s">
        <v>2990</v>
      </c>
      <c r="D163">
        <v>5</v>
      </c>
      <c r="E163" t="s">
        <v>2790</v>
      </c>
      <c r="F163">
        <v>5</v>
      </c>
      <c r="G163">
        <v>12</v>
      </c>
      <c r="H163">
        <v>16</v>
      </c>
      <c r="I163" t="s">
        <v>859</v>
      </c>
      <c r="J163" s="51">
        <v>41197</v>
      </c>
      <c r="K163" t="s">
        <v>159</v>
      </c>
      <c r="L163" t="s">
        <v>855</v>
      </c>
      <c r="M163">
        <v>3</v>
      </c>
      <c r="N163" t="str">
        <f>L163</f>
        <v>NAM\MB0433</v>
      </c>
      <c r="O163" s="51">
        <f>J163</f>
        <v>41197</v>
      </c>
      <c r="P163" s="51" t="str">
        <f>C163</f>
        <v>~/cdd/olddocs/Formas/CNWI-HMRS (Recursos Humanos)/CNWI-HMRS-F007 Rev  C FORMATO TIEMPO EXTRA.xlsx</v>
      </c>
      <c r="Q163" s="51" t="str">
        <f>E163</f>
        <v>xlsx</v>
      </c>
      <c r="R163" s="51"/>
      <c r="S163" s="51"/>
      <c r="T163" s="51"/>
      <c r="U163" s="51"/>
      <c r="V163" s="51"/>
      <c r="W163" s="51"/>
      <c r="X163" s="51"/>
      <c r="Y163" s="51"/>
      <c r="Z163" s="51"/>
      <c r="AA163" s="51"/>
      <c r="AB163" s="51"/>
      <c r="AC163" s="51"/>
      <c r="AD163" s="51"/>
      <c r="AG163" t="s">
        <v>28</v>
      </c>
      <c r="AH163" s="51"/>
      <c r="AI163" s="51"/>
    </row>
    <row r="164" spans="2:35">
      <c r="B164" t="s">
        <v>569</v>
      </c>
      <c r="C164" t="s">
        <v>2991</v>
      </c>
      <c r="D164">
        <v>5</v>
      </c>
      <c r="E164" t="s">
        <v>2792</v>
      </c>
      <c r="F164">
        <v>5</v>
      </c>
      <c r="G164">
        <v>12</v>
      </c>
      <c r="H164">
        <v>16</v>
      </c>
      <c r="I164" t="s">
        <v>570</v>
      </c>
      <c r="J164" s="51">
        <v>40648</v>
      </c>
      <c r="K164" t="s">
        <v>27</v>
      </c>
      <c r="L164" t="s">
        <v>552</v>
      </c>
      <c r="M164">
        <v>3</v>
      </c>
      <c r="N164" t="str">
        <f>L164</f>
        <v>NAM\MA9710</v>
      </c>
      <c r="O164" s="51">
        <f>J164</f>
        <v>40648</v>
      </c>
      <c r="P164" s="51" t="str">
        <f>C164</f>
        <v>~/cdd/olddocs/Formas/CNWI-HMRS (Recursos Humanos)/CNWI-HMRS-F008 Permiso al personal .xls</v>
      </c>
      <c r="Q164" s="51" t="str">
        <f>E164</f>
        <v>xls</v>
      </c>
      <c r="R164" s="51"/>
      <c r="S164" s="51"/>
      <c r="T164" s="51"/>
      <c r="U164" s="51"/>
      <c r="V164" s="51"/>
      <c r="W164" s="51"/>
      <c r="X164" s="51"/>
      <c r="Y164" s="51"/>
      <c r="Z164" s="51"/>
      <c r="AA164" s="51"/>
      <c r="AB164" s="51"/>
      <c r="AC164" s="51"/>
      <c r="AD164" s="51"/>
      <c r="AG164" t="s">
        <v>28</v>
      </c>
      <c r="AH164" s="51"/>
      <c r="AI164" s="51"/>
    </row>
    <row r="165" spans="2:35">
      <c r="B165" t="s">
        <v>571</v>
      </c>
      <c r="C165" t="s">
        <v>2992</v>
      </c>
      <c r="D165">
        <v>5</v>
      </c>
      <c r="E165" t="s">
        <v>2794</v>
      </c>
      <c r="F165">
        <v>5</v>
      </c>
      <c r="G165">
        <v>12</v>
      </c>
      <c r="H165">
        <v>16</v>
      </c>
      <c r="I165" t="s">
        <v>572</v>
      </c>
      <c r="J165" s="51" t="s">
        <v>573</v>
      </c>
      <c r="K165" t="s">
        <v>27</v>
      </c>
      <c r="L165" t="s">
        <v>552</v>
      </c>
      <c r="M165">
        <v>3</v>
      </c>
      <c r="N165" t="str">
        <f>L165</f>
        <v>NAM\MA9710</v>
      </c>
      <c r="O165" s="51" t="str">
        <f>J165</f>
        <v>04/25/2011</v>
      </c>
      <c r="P165" s="51" t="str">
        <f>C165</f>
        <v>~/cdd/olddocs/Formas/CNWI-HMRS (Recursos Humanos)/CNWI-HMRS-F009 Control de Herramienta.doc</v>
      </c>
      <c r="Q165" s="51" t="str">
        <f>E165</f>
        <v>doc</v>
      </c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G165" t="s">
        <v>28</v>
      </c>
      <c r="AH165" s="51"/>
      <c r="AI165" s="51"/>
    </row>
    <row r="166" spans="2:35">
      <c r="B166" t="s">
        <v>574</v>
      </c>
      <c r="C166" t="s">
        <v>2993</v>
      </c>
      <c r="D166">
        <v>5</v>
      </c>
      <c r="E166" t="s">
        <v>2794</v>
      </c>
      <c r="F166">
        <v>5</v>
      </c>
      <c r="G166">
        <v>12</v>
      </c>
      <c r="H166">
        <v>16</v>
      </c>
      <c r="I166" t="s">
        <v>575</v>
      </c>
      <c r="J166" s="51" t="s">
        <v>573</v>
      </c>
      <c r="K166" t="s">
        <v>27</v>
      </c>
      <c r="L166" t="s">
        <v>552</v>
      </c>
      <c r="M166">
        <v>3</v>
      </c>
      <c r="N166" t="str">
        <f>L166</f>
        <v>NAM\MA9710</v>
      </c>
      <c r="O166" s="51" t="str">
        <f>J166</f>
        <v>04/25/2011</v>
      </c>
      <c r="P166" s="51" t="str">
        <f>C166</f>
        <v>~/cdd/olddocs/Formas/CNWI-HMRS (Recursos Humanos)/CNWI-HMRS-F010 Control Credencial.doc</v>
      </c>
      <c r="Q166" s="51" t="str">
        <f>E166</f>
        <v>doc</v>
      </c>
      <c r="R166" s="51"/>
      <c r="S166" s="51"/>
      <c r="T166" s="51"/>
      <c r="U166" s="51"/>
      <c r="V166" s="51"/>
      <c r="W166" s="51"/>
      <c r="X166" s="51"/>
      <c r="Y166" s="51"/>
      <c r="Z166" s="51"/>
      <c r="AA166" s="51"/>
      <c r="AB166" s="51"/>
      <c r="AC166" s="51"/>
      <c r="AD166" s="51"/>
      <c r="AG166" t="s">
        <v>28</v>
      </c>
      <c r="AH166" s="51"/>
      <c r="AI166" s="51"/>
    </row>
    <row r="167" spans="2:35">
      <c r="B167" t="s">
        <v>860</v>
      </c>
      <c r="C167" t="s">
        <v>3946</v>
      </c>
      <c r="D167">
        <v>5</v>
      </c>
      <c r="E167" t="s">
        <v>2790</v>
      </c>
      <c r="F167">
        <v>5</v>
      </c>
      <c r="G167">
        <v>12</v>
      </c>
      <c r="H167">
        <v>16</v>
      </c>
      <c r="I167" t="s">
        <v>861</v>
      </c>
      <c r="J167" s="51">
        <v>41171</v>
      </c>
      <c r="K167" t="s">
        <v>38</v>
      </c>
      <c r="L167" t="s">
        <v>855</v>
      </c>
      <c r="M167">
        <v>3</v>
      </c>
      <c r="N167" t="str">
        <f>L167</f>
        <v>NAM\MB0433</v>
      </c>
      <c r="O167" s="51">
        <f>J167</f>
        <v>41171</v>
      </c>
      <c r="P167" s="51" t="str">
        <f>C167</f>
        <v>~/cdd/olddocs/CN-HMRS (Recursos Humanos)/FORMAS/CNWI-HMRS-F011 Rev. D Requisicion de Personal .xlsx</v>
      </c>
      <c r="Q167" s="51" t="str">
        <f>E167</f>
        <v>xlsx</v>
      </c>
      <c r="R167" s="51"/>
      <c r="S167" s="51"/>
      <c r="T167" s="51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  <c r="AG167" t="s">
        <v>28</v>
      </c>
      <c r="AH167" s="51"/>
      <c r="AI167" s="51"/>
    </row>
    <row r="168" spans="2:35">
      <c r="B168" t="s">
        <v>576</v>
      </c>
      <c r="C168" t="s">
        <v>2994</v>
      </c>
      <c r="D168">
        <v>5</v>
      </c>
      <c r="E168" t="s">
        <v>2790</v>
      </c>
      <c r="F168">
        <v>5</v>
      </c>
      <c r="G168">
        <v>12</v>
      </c>
      <c r="H168">
        <v>16</v>
      </c>
      <c r="I168" t="s">
        <v>577</v>
      </c>
      <c r="J168" s="51">
        <v>40739</v>
      </c>
      <c r="K168" t="s">
        <v>27</v>
      </c>
      <c r="L168" t="s">
        <v>552</v>
      </c>
      <c r="M168">
        <v>3</v>
      </c>
      <c r="N168" t="str">
        <f>L168</f>
        <v>NAM\MA9710</v>
      </c>
      <c r="O168" s="51">
        <f>J168</f>
        <v>40739</v>
      </c>
      <c r="P168" s="51" t="str">
        <f>C168</f>
        <v>~/cdd/olddocs/Formas/CNWI-HMRS (Recursos Humanos)/CNWI-HMRS-F012 Inventario de Capacitacion de proceso.xlsx</v>
      </c>
      <c r="Q168" s="51" t="str">
        <f>E168</f>
        <v>xlsx</v>
      </c>
      <c r="R168" s="51"/>
      <c r="S168" s="51"/>
      <c r="T168" s="51"/>
      <c r="U168" s="51"/>
      <c r="V168" s="51"/>
      <c r="W168" s="51"/>
      <c r="X168" s="51"/>
      <c r="Y168" s="51"/>
      <c r="Z168" s="51"/>
      <c r="AA168" s="51"/>
      <c r="AB168" s="51"/>
      <c r="AC168" s="51"/>
      <c r="AD168" s="51"/>
      <c r="AG168" t="s">
        <v>28</v>
      </c>
      <c r="AH168" s="51"/>
      <c r="AI168" s="51"/>
    </row>
    <row r="169" spans="2:35">
      <c r="B169" t="s">
        <v>578</v>
      </c>
      <c r="C169" t="s">
        <v>2995</v>
      </c>
      <c r="D169">
        <v>5</v>
      </c>
      <c r="E169" t="s">
        <v>2792</v>
      </c>
      <c r="F169">
        <v>5</v>
      </c>
      <c r="G169">
        <v>12</v>
      </c>
      <c r="H169">
        <v>16</v>
      </c>
      <c r="I169" t="s">
        <v>579</v>
      </c>
      <c r="J169" s="51">
        <v>40785</v>
      </c>
      <c r="K169" t="s">
        <v>27</v>
      </c>
      <c r="L169" t="s">
        <v>552</v>
      </c>
      <c r="M169">
        <v>3</v>
      </c>
      <c r="N169" t="str">
        <f>L169</f>
        <v>NAM\MA9710</v>
      </c>
      <c r="O169" s="51">
        <f>J169</f>
        <v>40785</v>
      </c>
      <c r="P169" s="51" t="str">
        <f>C169</f>
        <v>~/cdd/olddocs/Formas/CNWI-HMRS (Recursos Humanos)/CNWI-HMRS-F013 Formato de MODIFICACION AL PERSONAL.xls</v>
      </c>
      <c r="Q169" s="51" t="str">
        <f>E169</f>
        <v>xls</v>
      </c>
      <c r="R169" s="51"/>
      <c r="S169" s="51"/>
      <c r="T169" s="51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  <c r="AG169" t="s">
        <v>28</v>
      </c>
      <c r="AH169" s="51"/>
      <c r="AI169" s="51"/>
    </row>
    <row r="170" spans="2:35">
      <c r="B170" t="s">
        <v>580</v>
      </c>
      <c r="C170" t="s">
        <v>2996</v>
      </c>
      <c r="D170">
        <v>5</v>
      </c>
      <c r="E170" t="s">
        <v>2797</v>
      </c>
      <c r="F170">
        <v>5</v>
      </c>
      <c r="G170">
        <v>12</v>
      </c>
      <c r="H170">
        <v>16</v>
      </c>
      <c r="I170" t="s">
        <v>581</v>
      </c>
      <c r="J170" s="51">
        <v>40836</v>
      </c>
      <c r="K170" t="s">
        <v>27</v>
      </c>
      <c r="L170" t="s">
        <v>552</v>
      </c>
      <c r="M170">
        <v>3</v>
      </c>
      <c r="N170" t="str">
        <f>L170</f>
        <v>NAM\MA9710</v>
      </c>
      <c r="O170" s="51">
        <f>J170</f>
        <v>40836</v>
      </c>
      <c r="P170" s="51" t="str">
        <f>C170</f>
        <v>~/cdd/olddocs/Formas/CNWI-HMRS (Recursos Humanos)/CNWI-HMRS-F014 REGISTRO DE AMONESTACION VERBAL.docx</v>
      </c>
      <c r="Q170" s="51" t="str">
        <f>E170</f>
        <v>docx</v>
      </c>
      <c r="R170" s="51"/>
      <c r="S170" s="51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G170" t="s">
        <v>28</v>
      </c>
      <c r="AH170" s="51"/>
      <c r="AI170" s="51"/>
    </row>
    <row r="171" spans="2:35">
      <c r="B171" t="s">
        <v>582</v>
      </c>
      <c r="C171" t="s">
        <v>2997</v>
      </c>
      <c r="D171">
        <v>5</v>
      </c>
      <c r="E171" t="s">
        <v>2790</v>
      </c>
      <c r="F171">
        <v>5</v>
      </c>
      <c r="G171">
        <v>12</v>
      </c>
      <c r="H171">
        <v>18</v>
      </c>
      <c r="I171" t="s">
        <v>583</v>
      </c>
      <c r="J171" s="51">
        <v>40903</v>
      </c>
      <c r="K171" t="s">
        <v>27</v>
      </c>
      <c r="L171" t="s">
        <v>552</v>
      </c>
      <c r="M171">
        <v>3</v>
      </c>
      <c r="N171" t="str">
        <f>L171</f>
        <v>NAM\MA9710</v>
      </c>
      <c r="O171" s="51">
        <f>J171</f>
        <v>40903</v>
      </c>
      <c r="P171" s="51" t="str">
        <f>C171</f>
        <v>~/cdd/olddocs/Formas/CNWI-HMRS (Recursos Humanos)/CNWI-HMRS-F015 Formato  DNC.xlsx</v>
      </c>
      <c r="Q171" s="51" t="str">
        <f>E171</f>
        <v>xlsx</v>
      </c>
      <c r="R171" s="51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G171" t="s">
        <v>28</v>
      </c>
      <c r="AH171" s="51"/>
      <c r="AI171" s="51"/>
    </row>
    <row r="172" spans="2:35">
      <c r="B172" t="s">
        <v>584</v>
      </c>
      <c r="C172" t="s">
        <v>2998</v>
      </c>
      <c r="D172">
        <v>5</v>
      </c>
      <c r="E172" t="s">
        <v>2790</v>
      </c>
      <c r="F172">
        <v>5</v>
      </c>
      <c r="G172">
        <v>12</v>
      </c>
      <c r="H172">
        <v>18</v>
      </c>
      <c r="I172" t="s">
        <v>585</v>
      </c>
      <c r="J172" s="51">
        <v>40925</v>
      </c>
      <c r="K172" t="s">
        <v>27</v>
      </c>
      <c r="L172" t="s">
        <v>552</v>
      </c>
      <c r="M172">
        <v>3</v>
      </c>
      <c r="N172" t="str">
        <f>L172</f>
        <v>NAM\MA9710</v>
      </c>
      <c r="O172" s="51">
        <f>J172</f>
        <v>40925</v>
      </c>
      <c r="P172" s="51" t="str">
        <f>C172</f>
        <v>~/cdd/olddocs/Formas/CNWI-HMRS (Recursos Humanos)/CNWI-HMRS-F016 Formato  Evaluación Operadores.xlsx</v>
      </c>
      <c r="Q172" s="51" t="str">
        <f>E172</f>
        <v>xlsx</v>
      </c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G172" t="s">
        <v>28</v>
      </c>
      <c r="AH172" s="51"/>
      <c r="AI172" s="51"/>
    </row>
    <row r="173" spans="2:35">
      <c r="B173" t="s">
        <v>586</v>
      </c>
      <c r="C173" t="s">
        <v>2999</v>
      </c>
      <c r="D173">
        <v>5</v>
      </c>
      <c r="E173" t="s">
        <v>2790</v>
      </c>
      <c r="F173">
        <v>5</v>
      </c>
      <c r="G173">
        <v>12</v>
      </c>
      <c r="H173">
        <v>18</v>
      </c>
      <c r="I173" t="s">
        <v>587</v>
      </c>
      <c r="J173" s="51">
        <v>40955</v>
      </c>
      <c r="K173" t="s">
        <v>27</v>
      </c>
      <c r="L173" t="s">
        <v>552</v>
      </c>
      <c r="M173">
        <v>3</v>
      </c>
      <c r="N173" t="str">
        <f>L173</f>
        <v>NAM\MA9710</v>
      </c>
      <c r="O173" s="51">
        <f>J173</f>
        <v>40955</v>
      </c>
      <c r="P173" s="51" t="str">
        <f>C173</f>
        <v>~/cdd/olddocs/Formas/CNWI-HMRS (Recursos Humanos)/CNWI-HMRS-F017 Constancia de entrenamiento.xlsx</v>
      </c>
      <c r="Q173" s="51" t="str">
        <f>E173</f>
        <v>xlsx</v>
      </c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G173" t="s">
        <v>28</v>
      </c>
      <c r="AH173" s="51"/>
      <c r="AI173" s="51"/>
    </row>
    <row r="174" spans="2:35">
      <c r="B174" t="s">
        <v>862</v>
      </c>
      <c r="C174" t="s">
        <v>3000</v>
      </c>
      <c r="D174">
        <v>5</v>
      </c>
      <c r="E174" t="s">
        <v>2790</v>
      </c>
      <c r="F174">
        <v>5</v>
      </c>
      <c r="G174">
        <v>12</v>
      </c>
      <c r="H174">
        <v>18</v>
      </c>
      <c r="I174" t="s">
        <v>863</v>
      </c>
      <c r="J174" s="51">
        <v>41038</v>
      </c>
      <c r="K174" t="s">
        <v>27</v>
      </c>
      <c r="L174" t="s">
        <v>855</v>
      </c>
      <c r="M174">
        <v>3</v>
      </c>
      <c r="N174" t="str">
        <f>L174</f>
        <v>NAM\MB0433</v>
      </c>
      <c r="O174" s="51">
        <f>J174</f>
        <v>41038</v>
      </c>
      <c r="P174" s="51" t="str">
        <f>C174</f>
        <v>~/cdd/olddocs/Formas/CNWI-HMRS (Recursos Humanos)/CNWI-HMRS-F018 Matriz de entrenamiento.xlsx</v>
      </c>
      <c r="Q174" s="51" t="str">
        <f>E174</f>
        <v>xlsx</v>
      </c>
      <c r="R174" s="51"/>
      <c r="S174" s="51"/>
      <c r="T174" s="51"/>
      <c r="U174" s="51"/>
      <c r="V174" s="51"/>
      <c r="W174" s="51"/>
      <c r="X174" s="51"/>
      <c r="Y174" s="51"/>
      <c r="Z174" s="51"/>
      <c r="AA174" s="51"/>
      <c r="AB174" s="51"/>
      <c r="AC174" s="51"/>
      <c r="AD174" s="51"/>
      <c r="AG174" t="s">
        <v>28</v>
      </c>
      <c r="AH174" s="51"/>
      <c r="AI174" s="51"/>
    </row>
    <row r="175" spans="2:35">
      <c r="B175" t="s">
        <v>864</v>
      </c>
      <c r="C175" t="s">
        <v>3867</v>
      </c>
      <c r="D175">
        <v>5</v>
      </c>
      <c r="E175" t="s">
        <v>2793</v>
      </c>
      <c r="F175">
        <v>5</v>
      </c>
      <c r="G175">
        <v>12</v>
      </c>
      <c r="H175">
        <v>18</v>
      </c>
      <c r="I175" t="s">
        <v>865</v>
      </c>
      <c r="J175" s="51">
        <v>41171</v>
      </c>
      <c r="K175" t="s">
        <v>27</v>
      </c>
      <c r="L175" t="s">
        <v>855</v>
      </c>
      <c r="M175">
        <v>3</v>
      </c>
      <c r="N175" t="str">
        <f>L175</f>
        <v>NAM\MB0433</v>
      </c>
      <c r="O175" s="51">
        <f>J175</f>
        <v>41171</v>
      </c>
      <c r="P175" s="51" t="str">
        <f>C175</f>
        <v>~cdd/olddocs/Formas/CNWI-HMRS (Recursos Humanos)/CNWI-HMRS-F019 Rev. A Organigrama.pptx</v>
      </c>
      <c r="Q175" s="51" t="str">
        <f>E175</f>
        <v>pptx</v>
      </c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G175" t="s">
        <v>28</v>
      </c>
      <c r="AH175" s="51"/>
      <c r="AI175" s="51"/>
    </row>
    <row r="176" spans="2:35">
      <c r="B176" t="s">
        <v>866</v>
      </c>
      <c r="C176" t="s">
        <v>3923</v>
      </c>
      <c r="D176">
        <v>5</v>
      </c>
      <c r="E176" t="s">
        <v>2790</v>
      </c>
      <c r="F176">
        <v>5</v>
      </c>
      <c r="G176">
        <v>12</v>
      </c>
      <c r="H176">
        <v>18</v>
      </c>
      <c r="I176" t="s">
        <v>867</v>
      </c>
      <c r="J176" s="51">
        <v>41171</v>
      </c>
      <c r="K176" t="s">
        <v>27</v>
      </c>
      <c r="L176" t="s">
        <v>855</v>
      </c>
      <c r="M176">
        <v>3</v>
      </c>
      <c r="N176" t="str">
        <f>L176</f>
        <v>NAM\MB0433</v>
      </c>
      <c r="O176" s="51">
        <f>J176</f>
        <v>41171</v>
      </c>
      <c r="P176" s="51" t="str">
        <f>C176</f>
        <v>~/cdd/olddocs/CN-HMRS (Recursos Humanos)/FORMAS/CNWI-HMRS-F020 Rev. A Evaluación de Entrevistas.xlsx</v>
      </c>
      <c r="Q176" s="51" t="str">
        <f>E176</f>
        <v>xlsx</v>
      </c>
      <c r="R176" s="51"/>
      <c r="S176" s="51"/>
      <c r="T176" s="51"/>
      <c r="U176" s="51"/>
      <c r="V176" s="51"/>
      <c r="W176" s="51"/>
      <c r="X176" s="51"/>
      <c r="Y176" s="51"/>
      <c r="Z176" s="51"/>
      <c r="AA176" s="51"/>
      <c r="AB176" s="51"/>
      <c r="AC176" s="51"/>
      <c r="AD176" s="51"/>
      <c r="AG176" t="s">
        <v>28</v>
      </c>
      <c r="AH176" s="51"/>
      <c r="AI176" s="51"/>
    </row>
    <row r="177" spans="2:35">
      <c r="B177" t="s">
        <v>868</v>
      </c>
      <c r="C177" t="s">
        <v>3924</v>
      </c>
      <c r="D177">
        <v>5</v>
      </c>
      <c r="E177" t="s">
        <v>2790</v>
      </c>
      <c r="F177">
        <v>5</v>
      </c>
      <c r="G177">
        <v>12</v>
      </c>
      <c r="H177">
        <v>18</v>
      </c>
      <c r="I177" t="s">
        <v>869</v>
      </c>
      <c r="J177" s="51">
        <v>41171</v>
      </c>
      <c r="K177" t="s">
        <v>27</v>
      </c>
      <c r="L177" t="s">
        <v>855</v>
      </c>
      <c r="M177">
        <v>3</v>
      </c>
      <c r="N177" t="str">
        <f>L177</f>
        <v>NAM\MB0433</v>
      </c>
      <c r="O177" s="51">
        <f>J177</f>
        <v>41171</v>
      </c>
      <c r="P177" s="51" t="str">
        <f>C177</f>
        <v>~/cdd/olddocs/CN-HMRS (Recursos Humanos)/FORMAS/CNWI-HMRS-F021 Rev. A Solicitud de aplicacion para vacante ineterna.xlsx</v>
      </c>
      <c r="Q177" s="51" t="str">
        <f>E177</f>
        <v>xlsx</v>
      </c>
      <c r="R177" s="51"/>
      <c r="S177" s="51"/>
      <c r="T177" s="51"/>
      <c r="U177" s="51"/>
      <c r="V177" s="51"/>
      <c r="W177" s="51"/>
      <c r="X177" s="51"/>
      <c r="Y177" s="51"/>
      <c r="Z177" s="51"/>
      <c r="AA177" s="51"/>
      <c r="AB177" s="51"/>
      <c r="AC177" s="51"/>
      <c r="AD177" s="51"/>
      <c r="AG177" t="s">
        <v>28</v>
      </c>
      <c r="AH177" s="51"/>
      <c r="AI177" s="51"/>
    </row>
    <row r="178" spans="2:35">
      <c r="B178" t="s">
        <v>870</v>
      </c>
      <c r="C178" t="s">
        <v>3925</v>
      </c>
      <c r="D178">
        <v>5</v>
      </c>
      <c r="E178" t="s">
        <v>2790</v>
      </c>
      <c r="F178">
        <v>5</v>
      </c>
      <c r="G178">
        <v>12</v>
      </c>
      <c r="H178">
        <v>18</v>
      </c>
      <c r="I178" t="s">
        <v>871</v>
      </c>
      <c r="J178" s="51">
        <v>41192</v>
      </c>
      <c r="K178" t="s">
        <v>27</v>
      </c>
      <c r="L178" t="s">
        <v>855</v>
      </c>
      <c r="M178">
        <v>3</v>
      </c>
      <c r="N178" t="str">
        <f>L178</f>
        <v>NAM\MB0433</v>
      </c>
      <c r="O178" s="51">
        <f>J178</f>
        <v>41192</v>
      </c>
      <c r="P178" s="51" t="str">
        <f>C178</f>
        <v>~/cdd/olddocs/CN-HMRS (Recursos Humanos)/FORMAS/CNWI-HMRS-F022 Rev. A HOJA DE VERIFICACION DE RENUNCIA TERMINACION.xlsx</v>
      </c>
      <c r="Q178" s="51" t="str">
        <f>E178</f>
        <v>xlsx</v>
      </c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G178" t="s">
        <v>28</v>
      </c>
      <c r="AH178" s="51"/>
      <c r="AI178" s="51"/>
    </row>
    <row r="179" spans="2:35">
      <c r="B179" t="s">
        <v>1499</v>
      </c>
      <c r="C179" t="s">
        <v>3326</v>
      </c>
      <c r="D179">
        <v>4</v>
      </c>
      <c r="E179" t="s">
        <v>2791</v>
      </c>
      <c r="F179">
        <v>17</v>
      </c>
      <c r="I179" t="s">
        <v>1502</v>
      </c>
      <c r="J179" s="51">
        <v>41197</v>
      </c>
      <c r="K179" t="s">
        <v>46</v>
      </c>
      <c r="L179" t="s">
        <v>1504</v>
      </c>
      <c r="M179">
        <v>3</v>
      </c>
      <c r="N179" t="str">
        <f>L179</f>
        <v>NAM\MB5781</v>
      </c>
      <c r="O179" s="51">
        <f>J179</f>
        <v>41197</v>
      </c>
      <c r="P179" s="51" t="str">
        <f>C179</f>
        <v>~/cdd/olddocs/Instructivos/CNWI-LEAN/CNWI-LEAN-0001 Proceso de mejora continua.pdf</v>
      </c>
      <c r="Q179" s="51" t="str">
        <f>E179</f>
        <v>pdf</v>
      </c>
      <c r="R179" s="51"/>
      <c r="S179" s="51"/>
      <c r="T179" s="51"/>
      <c r="U179" s="51"/>
      <c r="V179" s="51"/>
      <c r="W179" s="51"/>
      <c r="X179" s="51"/>
      <c r="Y179" s="51"/>
      <c r="Z179" s="51"/>
      <c r="AA179" s="51"/>
      <c r="AB179" s="51"/>
      <c r="AC179" s="51"/>
      <c r="AD179" s="51"/>
      <c r="AG179" t="s">
        <v>28</v>
      </c>
      <c r="AH179" s="51"/>
      <c r="AI179" s="51"/>
    </row>
    <row r="180" spans="2:35">
      <c r="B180" t="s">
        <v>1517</v>
      </c>
      <c r="C180" t="s">
        <v>3906</v>
      </c>
      <c r="D180">
        <v>4</v>
      </c>
      <c r="E180" t="s">
        <v>2791</v>
      </c>
      <c r="F180">
        <v>14</v>
      </c>
      <c r="I180" t="s">
        <v>1518</v>
      </c>
      <c r="J180" s="51">
        <v>41099</v>
      </c>
      <c r="K180" t="s">
        <v>742</v>
      </c>
      <c r="L180" t="s">
        <v>1520</v>
      </c>
      <c r="M180">
        <v>3</v>
      </c>
      <c r="N180" t="str">
        <f>L180</f>
        <v>NAM\A09DF</v>
      </c>
      <c r="O180" s="51">
        <f>J180</f>
        <v>41099</v>
      </c>
      <c r="P180" s="51" t="str">
        <f>C180</f>
        <v>~cdd/olddocs/Instructivos/CNWI-MTTO/CNWI-MTTO-0001 Procedimiento de Mantenimiento.pdf</v>
      </c>
      <c r="Q180" s="51" t="str">
        <f>E180</f>
        <v>pdf</v>
      </c>
      <c r="R180" s="51"/>
      <c r="S180" s="51"/>
      <c r="T180" s="51"/>
      <c r="U180" s="51"/>
      <c r="V180" s="51"/>
      <c r="W180" s="51"/>
      <c r="X180" s="51"/>
      <c r="Y180" s="51"/>
      <c r="Z180" s="51"/>
      <c r="AA180" s="51"/>
      <c r="AB180" s="51"/>
      <c r="AC180" s="51"/>
      <c r="AD180" s="51"/>
      <c r="AG180" t="s">
        <v>28</v>
      </c>
      <c r="AH180" s="51"/>
      <c r="AI180" s="51"/>
    </row>
    <row r="181" spans="2:35">
      <c r="B181" t="s">
        <v>1521</v>
      </c>
      <c r="C181" t="s">
        <v>3907</v>
      </c>
      <c r="D181">
        <v>4</v>
      </c>
      <c r="E181" t="s">
        <v>2791</v>
      </c>
      <c r="F181">
        <v>14</v>
      </c>
      <c r="I181" t="s">
        <v>1522</v>
      </c>
      <c r="J181" s="51">
        <v>40984</v>
      </c>
      <c r="K181" t="s">
        <v>38</v>
      </c>
      <c r="L181" t="s">
        <v>1520</v>
      </c>
      <c r="M181">
        <v>3</v>
      </c>
      <c r="N181" t="str">
        <f>L181</f>
        <v>NAM\A09DF</v>
      </c>
      <c r="O181" s="51">
        <f>J181</f>
        <v>40984</v>
      </c>
      <c r="P181" s="51" t="str">
        <f>C181</f>
        <v>~cdd/olddocs/Instructivos/CNWI-MTTO/CNWI-MTTO-0002 Almacen de refacicones y suplementos.pdf</v>
      </c>
      <c r="Q181" s="51" t="str">
        <f>E181</f>
        <v>pdf</v>
      </c>
      <c r="R181" s="51"/>
      <c r="S181" s="51"/>
      <c r="T181" s="51"/>
      <c r="U181" s="51"/>
      <c r="V181" s="51"/>
      <c r="W181" s="51"/>
      <c r="X181" s="51"/>
      <c r="Y181" s="51"/>
      <c r="Z181" s="51"/>
      <c r="AA181" s="51"/>
      <c r="AB181" s="51"/>
      <c r="AC181" s="51"/>
      <c r="AD181" s="51"/>
      <c r="AG181" t="s">
        <v>28</v>
      </c>
      <c r="AH181" s="51"/>
      <c r="AI181" s="51"/>
    </row>
    <row r="182" spans="2:35">
      <c r="B182" t="s">
        <v>1523</v>
      </c>
      <c r="C182" t="s">
        <v>3908</v>
      </c>
      <c r="D182">
        <v>4</v>
      </c>
      <c r="E182" t="s">
        <v>2794</v>
      </c>
      <c r="F182">
        <v>14</v>
      </c>
      <c r="I182" t="s">
        <v>1524</v>
      </c>
      <c r="J182" s="51">
        <v>41088</v>
      </c>
      <c r="K182" t="s">
        <v>27</v>
      </c>
      <c r="L182" t="s">
        <v>1520</v>
      </c>
      <c r="M182">
        <v>3</v>
      </c>
      <c r="N182" t="str">
        <f>L182</f>
        <v>NAM\A09DF</v>
      </c>
      <c r="O182" s="51">
        <f>J182</f>
        <v>41088</v>
      </c>
      <c r="P182" s="51" t="str">
        <f>C182</f>
        <v>~cdd/olddocs/Instructivos/CNWI-MTTO/CNWI-MTTO-0003 Rev. A Mantenimiento atonomo.doc</v>
      </c>
      <c r="Q182" s="51" t="str">
        <f>E182</f>
        <v>doc</v>
      </c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G182" t="s">
        <v>28</v>
      </c>
      <c r="AH182" s="51"/>
      <c r="AI182" s="51"/>
    </row>
    <row r="183" spans="2:35">
      <c r="B183" t="s">
        <v>1536</v>
      </c>
      <c r="C183" t="s">
        <v>3001</v>
      </c>
      <c r="D183">
        <v>5</v>
      </c>
      <c r="E183" t="s">
        <v>2794</v>
      </c>
      <c r="F183">
        <v>5</v>
      </c>
      <c r="G183">
        <v>12</v>
      </c>
      <c r="H183">
        <v>18</v>
      </c>
      <c r="I183" t="s">
        <v>1537</v>
      </c>
      <c r="J183" s="51">
        <v>40582</v>
      </c>
      <c r="K183" t="s">
        <v>27</v>
      </c>
      <c r="L183" t="s">
        <v>1520</v>
      </c>
      <c r="M183">
        <v>3</v>
      </c>
      <c r="N183" t="str">
        <f>L183</f>
        <v>NAM\A09DF</v>
      </c>
      <c r="O183" s="51">
        <f>J183</f>
        <v>40582</v>
      </c>
      <c r="P183" s="51" t="str">
        <f>C183</f>
        <v>~/cdd/olddocs/Formas/CNWI-MTTO (Mantenimiento)/CNWI-MTTO-F001 Boleta de Control de equipo.doc</v>
      </c>
      <c r="Q183" s="51" t="str">
        <f>E183</f>
        <v>doc</v>
      </c>
      <c r="R183" s="51"/>
      <c r="S183" s="51"/>
      <c r="T183" s="51"/>
      <c r="U183" s="51"/>
      <c r="V183" s="51"/>
      <c r="W183" s="51"/>
      <c r="X183" s="51"/>
      <c r="Y183" s="51"/>
      <c r="Z183" s="51"/>
      <c r="AA183" s="51"/>
      <c r="AB183" s="51"/>
      <c r="AC183" s="51"/>
      <c r="AD183" s="51"/>
      <c r="AG183" t="s">
        <v>28</v>
      </c>
      <c r="AH183" s="51"/>
      <c r="AI183" s="51"/>
    </row>
    <row r="184" spans="2:35">
      <c r="B184" t="s">
        <v>1538</v>
      </c>
      <c r="C184" t="s">
        <v>3002</v>
      </c>
      <c r="D184">
        <v>5</v>
      </c>
      <c r="E184" t="s">
        <v>2792</v>
      </c>
      <c r="F184">
        <v>5</v>
      </c>
      <c r="G184">
        <v>12</v>
      </c>
      <c r="H184">
        <v>18</v>
      </c>
      <c r="I184" t="s">
        <v>1539</v>
      </c>
      <c r="J184" s="51">
        <v>40788</v>
      </c>
      <c r="K184" t="s">
        <v>27</v>
      </c>
      <c r="L184" t="s">
        <v>1520</v>
      </c>
      <c r="M184">
        <v>3</v>
      </c>
      <c r="N184" t="str">
        <f>L184</f>
        <v>NAM\A09DF</v>
      </c>
      <c r="O184" s="51">
        <f>J184</f>
        <v>40788</v>
      </c>
      <c r="P184" s="51" t="str">
        <f>C184</f>
        <v>~/cdd/olddocs/Formas/CNWI-MTTO (Mantenimiento)/CNWI-MTTO-F002 inventario de moldes.xls</v>
      </c>
      <c r="Q184" s="51" t="str">
        <f>E184</f>
        <v>xls</v>
      </c>
      <c r="R184" s="51"/>
      <c r="S184" s="51"/>
      <c r="T184" s="51"/>
      <c r="U184" s="51"/>
      <c r="V184" s="51"/>
      <c r="W184" s="51"/>
      <c r="X184" s="51"/>
      <c r="Y184" s="51"/>
      <c r="Z184" s="51"/>
      <c r="AA184" s="51"/>
      <c r="AB184" s="51"/>
      <c r="AC184" s="51"/>
      <c r="AD184" s="51"/>
      <c r="AG184" t="s">
        <v>28</v>
      </c>
      <c r="AH184" s="51"/>
      <c r="AI184" s="51"/>
    </row>
    <row r="185" spans="2:35">
      <c r="B185" t="s">
        <v>1540</v>
      </c>
      <c r="C185" t="s">
        <v>3003</v>
      </c>
      <c r="D185">
        <v>5</v>
      </c>
      <c r="E185" t="s">
        <v>2792</v>
      </c>
      <c r="F185">
        <v>5</v>
      </c>
      <c r="G185">
        <v>12</v>
      </c>
      <c r="H185">
        <v>18</v>
      </c>
      <c r="I185" t="s">
        <v>1541</v>
      </c>
      <c r="J185" s="51">
        <v>40788</v>
      </c>
      <c r="K185" t="s">
        <v>27</v>
      </c>
      <c r="L185" t="s">
        <v>1520</v>
      </c>
      <c r="M185">
        <v>3</v>
      </c>
      <c r="N185" t="str">
        <f>L185</f>
        <v>NAM\A09DF</v>
      </c>
      <c r="O185" s="51">
        <f>J185</f>
        <v>40788</v>
      </c>
      <c r="P185" s="51" t="str">
        <f>C185</f>
        <v>~/cdd/olddocs/Formas/CNWI-MTTO (Mantenimiento)/CNWI-MTTO-F003 LISTADO DE MAQUINAS.xls</v>
      </c>
      <c r="Q185" s="51" t="str">
        <f>E185</f>
        <v>xls</v>
      </c>
      <c r="R185" s="51"/>
      <c r="S185" s="51"/>
      <c r="T185" s="51"/>
      <c r="U185" s="51"/>
      <c r="V185" s="51"/>
      <c r="W185" s="51"/>
      <c r="X185" s="51"/>
      <c r="Y185" s="51"/>
      <c r="Z185" s="51"/>
      <c r="AA185" s="51"/>
      <c r="AB185" s="51"/>
      <c r="AC185" s="51"/>
      <c r="AD185" s="51"/>
      <c r="AG185" t="s">
        <v>28</v>
      </c>
      <c r="AH185" s="51"/>
      <c r="AI185" s="51"/>
    </row>
    <row r="186" spans="2:35">
      <c r="B186" t="s">
        <v>1542</v>
      </c>
      <c r="C186" t="s">
        <v>3004</v>
      </c>
      <c r="D186">
        <v>5</v>
      </c>
      <c r="E186" t="s">
        <v>2792</v>
      </c>
      <c r="F186">
        <v>5</v>
      </c>
      <c r="G186">
        <v>12</v>
      </c>
      <c r="H186">
        <v>18</v>
      </c>
      <c r="I186" t="s">
        <v>1543</v>
      </c>
      <c r="J186" s="51">
        <v>40788</v>
      </c>
      <c r="K186" t="s">
        <v>27</v>
      </c>
      <c r="L186" t="s">
        <v>1520</v>
      </c>
      <c r="M186">
        <v>3</v>
      </c>
      <c r="N186" t="str">
        <f>L186</f>
        <v>NAM\A09DF</v>
      </c>
      <c r="O186" s="51">
        <f>J186</f>
        <v>40788</v>
      </c>
      <c r="P186" s="51" t="str">
        <f>C186</f>
        <v>~/cdd/olddocs/Formas/CNWI-MTTO (Mantenimiento)/CNWI-MTTO-F004  Calendario Anual de Mantenimiento Preventivo.xls</v>
      </c>
      <c r="Q186" s="51" t="str">
        <f>E186</f>
        <v>xls</v>
      </c>
      <c r="R186" s="51"/>
      <c r="S186" s="51"/>
      <c r="T186" s="51"/>
      <c r="U186" s="51"/>
      <c r="V186" s="51"/>
      <c r="W186" s="51"/>
      <c r="X186" s="51"/>
      <c r="Y186" s="51"/>
      <c r="Z186" s="51"/>
      <c r="AA186" s="51"/>
      <c r="AB186" s="51"/>
      <c r="AC186" s="51"/>
      <c r="AD186" s="51"/>
      <c r="AG186" t="s">
        <v>28</v>
      </c>
      <c r="AH186" s="51"/>
      <c r="AI186" s="51"/>
    </row>
    <row r="187" spans="2:35">
      <c r="B187" t="s">
        <v>1544</v>
      </c>
      <c r="C187" t="s">
        <v>3005</v>
      </c>
      <c r="D187">
        <v>5</v>
      </c>
      <c r="E187" t="s">
        <v>2792</v>
      </c>
      <c r="F187">
        <v>5</v>
      </c>
      <c r="G187">
        <v>12</v>
      </c>
      <c r="H187">
        <v>18</v>
      </c>
      <c r="I187" t="s">
        <v>1545</v>
      </c>
      <c r="J187" s="51" t="s">
        <v>1546</v>
      </c>
      <c r="K187" t="s">
        <v>27</v>
      </c>
      <c r="L187" t="s">
        <v>1520</v>
      </c>
      <c r="M187">
        <v>3</v>
      </c>
      <c r="N187" t="str">
        <f>L187</f>
        <v>NAM\A09DF</v>
      </c>
      <c r="O187" s="51" t="str">
        <f>J187</f>
        <v>22/2/2011</v>
      </c>
      <c r="P187" s="51" t="str">
        <f>C187</f>
        <v>~/cdd/olddocs/Formas/CNWI-MTTO (Mantenimiento)/CNWI-MTTO-F006 LISTADO DE SUPLEM Y PARTES.xls</v>
      </c>
      <c r="Q187" s="51" t="str">
        <f>E187</f>
        <v>xls</v>
      </c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G187" t="s">
        <v>28</v>
      </c>
      <c r="AH187" s="51"/>
      <c r="AI187" s="51"/>
    </row>
    <row r="188" spans="2:35">
      <c r="B188" t="s">
        <v>1547</v>
      </c>
      <c r="C188" t="s">
        <v>3006</v>
      </c>
      <c r="D188">
        <v>5</v>
      </c>
      <c r="E188" t="s">
        <v>2792</v>
      </c>
      <c r="F188">
        <v>5</v>
      </c>
      <c r="G188">
        <v>12</v>
      </c>
      <c r="H188">
        <v>18</v>
      </c>
      <c r="I188" t="s">
        <v>1548</v>
      </c>
      <c r="J188" s="51">
        <v>40725</v>
      </c>
      <c r="K188" t="s">
        <v>159</v>
      </c>
      <c r="L188" t="s">
        <v>1520</v>
      </c>
      <c r="M188">
        <v>3</v>
      </c>
      <c r="N188" t="str">
        <f>L188</f>
        <v>NAM\A09DF</v>
      </c>
      <c r="O188" s="51">
        <f>J188</f>
        <v>40725</v>
      </c>
      <c r="P188" s="51" t="str">
        <f>C188</f>
        <v>~/cdd/olddocs/Formas/CNWI-MTTO (Mantenimiento)/CNWI-MTTO-F008 Orden de Trabajo para Mantenimineto.xls</v>
      </c>
      <c r="Q188" s="51" t="str">
        <f>E188</f>
        <v>xls</v>
      </c>
      <c r="R188" s="51"/>
      <c r="S188" s="51"/>
      <c r="T188" s="51"/>
      <c r="U188" s="51"/>
      <c r="V188" s="51"/>
      <c r="W188" s="51"/>
      <c r="X188" s="51"/>
      <c r="Y188" s="51"/>
      <c r="Z188" s="51"/>
      <c r="AA188" s="51"/>
      <c r="AB188" s="51"/>
      <c r="AC188" s="51"/>
      <c r="AD188" s="51"/>
      <c r="AG188" t="s">
        <v>28</v>
      </c>
      <c r="AH188" s="51"/>
      <c r="AI188" s="51"/>
    </row>
    <row r="189" spans="2:35">
      <c r="B189" t="s">
        <v>1549</v>
      </c>
      <c r="C189" t="s">
        <v>3007</v>
      </c>
      <c r="D189">
        <v>5</v>
      </c>
      <c r="E189" t="s">
        <v>2794</v>
      </c>
      <c r="F189">
        <v>5</v>
      </c>
      <c r="G189">
        <v>12</v>
      </c>
      <c r="H189">
        <v>18</v>
      </c>
      <c r="I189" t="s">
        <v>1550</v>
      </c>
      <c r="J189" s="51" t="s">
        <v>1546</v>
      </c>
      <c r="K189" t="s">
        <v>27</v>
      </c>
      <c r="L189" t="s">
        <v>1520</v>
      </c>
      <c r="M189">
        <v>3</v>
      </c>
      <c r="N189" t="str">
        <f>L189</f>
        <v>NAM\A09DF</v>
      </c>
      <c r="O189" s="51" t="str">
        <f>J189</f>
        <v>22/2/2011</v>
      </c>
      <c r="P189" s="51" t="str">
        <f>C189</f>
        <v>~/cdd/olddocs/Formas/CNWI-MTTO (Mantenimiento)/CNWI-MTTO-F010 Etiqueta de Mantenimiento.doc</v>
      </c>
      <c r="Q189" s="51" t="str">
        <f>E189</f>
        <v>doc</v>
      </c>
      <c r="R189" s="51"/>
      <c r="S189" s="51"/>
      <c r="T189" s="51"/>
      <c r="U189" s="51"/>
      <c r="V189" s="51"/>
      <c r="W189" s="51"/>
      <c r="X189" s="51"/>
      <c r="Y189" s="51"/>
      <c r="Z189" s="51"/>
      <c r="AA189" s="51"/>
      <c r="AB189" s="51"/>
      <c r="AC189" s="51"/>
      <c r="AD189" s="51"/>
      <c r="AG189" t="s">
        <v>28</v>
      </c>
      <c r="AH189" s="51"/>
      <c r="AI189" s="51"/>
    </row>
    <row r="190" spans="2:35">
      <c r="B190" t="s">
        <v>1551</v>
      </c>
      <c r="C190" t="s">
        <v>3008</v>
      </c>
      <c r="D190">
        <v>5</v>
      </c>
      <c r="E190" t="s">
        <v>2792</v>
      </c>
      <c r="F190">
        <v>5</v>
      </c>
      <c r="G190">
        <v>12</v>
      </c>
      <c r="H190">
        <v>18</v>
      </c>
      <c r="I190" t="s">
        <v>1552</v>
      </c>
      <c r="J190" s="51">
        <v>40653</v>
      </c>
      <c r="K190" t="s">
        <v>27</v>
      </c>
      <c r="L190" t="s">
        <v>1520</v>
      </c>
      <c r="M190">
        <v>3</v>
      </c>
      <c r="N190" t="str">
        <f>L190</f>
        <v>NAM\A09DF</v>
      </c>
      <c r="O190" s="51">
        <f>J190</f>
        <v>40653</v>
      </c>
      <c r="P190" s="51" t="str">
        <f>C190</f>
        <v>~/cdd/olddocs/Formas/CNWI-MTTO (Mantenimiento)/CNWI-MTTO-F011 Registro de Mantenimiento Preventivo.xls</v>
      </c>
      <c r="Q190" s="51" t="str">
        <f>E190</f>
        <v>xls</v>
      </c>
      <c r="R190" s="51"/>
      <c r="S190" s="51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  <c r="AG190" t="s">
        <v>28</v>
      </c>
      <c r="AH190" s="51"/>
      <c r="AI190" s="51"/>
    </row>
    <row r="191" spans="2:35">
      <c r="B191" t="s">
        <v>1553</v>
      </c>
      <c r="C191" t="s">
        <v>3009</v>
      </c>
      <c r="D191">
        <v>5</v>
      </c>
      <c r="E191" t="s">
        <v>2792</v>
      </c>
      <c r="F191">
        <v>5</v>
      </c>
      <c r="G191">
        <v>12</v>
      </c>
      <c r="H191">
        <v>20</v>
      </c>
      <c r="I191" t="s">
        <v>1554</v>
      </c>
      <c r="J191" s="51">
        <v>40660</v>
      </c>
      <c r="K191" t="s">
        <v>27</v>
      </c>
      <c r="L191" t="s">
        <v>1520</v>
      </c>
      <c r="M191">
        <v>3</v>
      </c>
      <c r="N191" t="str">
        <f>L191</f>
        <v>NAM\A09DF</v>
      </c>
      <c r="O191" s="51">
        <f>J191</f>
        <v>40660</v>
      </c>
      <c r="P191" s="51" t="str">
        <f>C191</f>
        <v>~/cdd/olddocs/Formas/CNWI-MTTO (Mantenimiento)/CNWI-MTTO-F012 suplementos y partes.xls</v>
      </c>
      <c r="Q191" s="51" t="str">
        <f>E191</f>
        <v>xls</v>
      </c>
      <c r="R191" s="51"/>
      <c r="S191" s="51"/>
      <c r="T191" s="51"/>
      <c r="U191" s="51"/>
      <c r="V191" s="51"/>
      <c r="W191" s="51"/>
      <c r="X191" s="51"/>
      <c r="Y191" s="51"/>
      <c r="Z191" s="51"/>
      <c r="AA191" s="51"/>
      <c r="AB191" s="51"/>
      <c r="AC191" s="51"/>
      <c r="AD191" s="51"/>
      <c r="AG191" t="s">
        <v>28</v>
      </c>
      <c r="AH191" s="51"/>
      <c r="AI191" s="51"/>
    </row>
    <row r="192" spans="2:35">
      <c r="B192" t="s">
        <v>1555</v>
      </c>
      <c r="C192" t="s">
        <v>3010</v>
      </c>
      <c r="D192">
        <v>5</v>
      </c>
      <c r="E192" t="s">
        <v>2794</v>
      </c>
      <c r="F192">
        <v>5</v>
      </c>
      <c r="G192">
        <v>12</v>
      </c>
      <c r="H192">
        <v>20</v>
      </c>
      <c r="I192" t="s">
        <v>1556</v>
      </c>
      <c r="J192" s="51">
        <v>40596</v>
      </c>
      <c r="K192" t="s">
        <v>27</v>
      </c>
      <c r="L192" t="s">
        <v>1520</v>
      </c>
      <c r="M192">
        <v>3</v>
      </c>
      <c r="N192" t="str">
        <f>L192</f>
        <v>NAM\A09DF</v>
      </c>
      <c r="O192" s="51">
        <f>J192</f>
        <v>40596</v>
      </c>
      <c r="P192" s="51" t="str">
        <f>C192</f>
        <v>~/cdd/olddocs/Formas/CNWI-MTTO (Mantenimiento)/CNWI-MTTO-F013 Boleta de Control de Materiales.doc</v>
      </c>
      <c r="Q192" s="51" t="str">
        <f>E192</f>
        <v>doc</v>
      </c>
      <c r="R192" s="51"/>
      <c r="S192" s="51"/>
      <c r="T192" s="51"/>
      <c r="U192" s="51"/>
      <c r="V192" s="51"/>
      <c r="W192" s="51"/>
      <c r="X192" s="51"/>
      <c r="Y192" s="51"/>
      <c r="Z192" s="51"/>
      <c r="AA192" s="51"/>
      <c r="AB192" s="51"/>
      <c r="AC192" s="51"/>
      <c r="AD192" s="51"/>
      <c r="AG192" t="s">
        <v>28</v>
      </c>
      <c r="AH192" s="51"/>
      <c r="AI192" s="51"/>
    </row>
    <row r="193" spans="2:35">
      <c r="B193" t="s">
        <v>1557</v>
      </c>
      <c r="C193" t="s">
        <v>3011</v>
      </c>
      <c r="D193">
        <v>5</v>
      </c>
      <c r="E193" t="s">
        <v>2792</v>
      </c>
      <c r="F193">
        <v>5</v>
      </c>
      <c r="G193">
        <v>6</v>
      </c>
      <c r="H193">
        <v>14</v>
      </c>
      <c r="I193" t="s">
        <v>1558</v>
      </c>
      <c r="J193" s="51">
        <v>40792</v>
      </c>
      <c r="K193" t="s">
        <v>159</v>
      </c>
      <c r="L193" t="s">
        <v>1520</v>
      </c>
      <c r="M193">
        <v>3</v>
      </c>
      <c r="N193" t="str">
        <f>L193</f>
        <v>NAM\A09DF</v>
      </c>
      <c r="O193" s="51">
        <f>J193</f>
        <v>40792</v>
      </c>
      <c r="P193" s="51" t="str">
        <f>C193</f>
        <v>~/cdd/olddocs/Formas/CNWI-MTTO (Mantenimiento)/CNWI-MTTO-F014 Inventario de Quimicos.xls</v>
      </c>
      <c r="Q193" s="51" t="str">
        <f>E193</f>
        <v>xls</v>
      </c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G193" t="s">
        <v>28</v>
      </c>
      <c r="AH193" s="51"/>
      <c r="AI193" s="51"/>
    </row>
    <row r="194" spans="2:35">
      <c r="B194" t="s">
        <v>1559</v>
      </c>
      <c r="C194" t="s">
        <v>3012</v>
      </c>
      <c r="D194">
        <v>5</v>
      </c>
      <c r="E194" t="s">
        <v>2792</v>
      </c>
      <c r="F194">
        <v>5</v>
      </c>
      <c r="G194">
        <v>6</v>
      </c>
      <c r="H194">
        <v>14</v>
      </c>
      <c r="I194" t="s">
        <v>1560</v>
      </c>
      <c r="J194" s="51">
        <v>40777</v>
      </c>
      <c r="K194" t="s">
        <v>46</v>
      </c>
      <c r="L194" t="s">
        <v>1520</v>
      </c>
      <c r="M194">
        <v>3</v>
      </c>
      <c r="N194" t="str">
        <f>L194</f>
        <v>NAM\A09DF</v>
      </c>
      <c r="O194" s="51">
        <f>J194</f>
        <v>40777</v>
      </c>
      <c r="P194" s="51" t="str">
        <f>C194</f>
        <v>~/cdd/olddocs/Formas/CNWI-MTTO (Mantenimiento)/CNWI-MTTO-F015 Revicion de temperatura Quimicos.xls</v>
      </c>
      <c r="Q194" s="51" t="str">
        <f>E194</f>
        <v>xls</v>
      </c>
      <c r="R194" s="51"/>
      <c r="S194" s="51"/>
      <c r="T194" s="51"/>
      <c r="U194" s="51"/>
      <c r="V194" s="51"/>
      <c r="W194" s="51"/>
      <c r="X194" s="51"/>
      <c r="Y194" s="51"/>
      <c r="Z194" s="51"/>
      <c r="AA194" s="51"/>
      <c r="AB194" s="51"/>
      <c r="AC194" s="51"/>
      <c r="AD194" s="51"/>
      <c r="AG194" t="s">
        <v>28</v>
      </c>
      <c r="AH194" s="51"/>
      <c r="AI194" s="51"/>
    </row>
    <row r="195" spans="2:35">
      <c r="B195" t="s">
        <v>1561</v>
      </c>
      <c r="C195" t="s">
        <v>3013</v>
      </c>
      <c r="D195">
        <v>5</v>
      </c>
      <c r="E195" t="s">
        <v>2792</v>
      </c>
      <c r="F195">
        <v>5</v>
      </c>
      <c r="G195">
        <v>6</v>
      </c>
      <c r="H195">
        <v>14</v>
      </c>
      <c r="I195" t="s">
        <v>1562</v>
      </c>
      <c r="J195" s="51">
        <v>40772</v>
      </c>
      <c r="K195" t="s">
        <v>27</v>
      </c>
      <c r="L195" t="s">
        <v>1520</v>
      </c>
      <c r="M195">
        <v>3</v>
      </c>
      <c r="N195" t="str">
        <f>L195</f>
        <v>NAM\A09DF</v>
      </c>
      <c r="O195" s="51">
        <f>J195</f>
        <v>40772</v>
      </c>
      <c r="P195" s="51" t="str">
        <f>C195</f>
        <v>~/cdd/olddocs/Formas/CNWI-MTTO (Mantenimiento)/CNWI-MTTO-F016 Mantenimiento Preventivo a Moldes.xls</v>
      </c>
      <c r="Q195" s="51" t="str">
        <f>E195</f>
        <v>xls</v>
      </c>
      <c r="R195" s="51"/>
      <c r="S195" s="51"/>
      <c r="T195" s="51"/>
      <c r="U195" s="51"/>
      <c r="V195" s="51"/>
      <c r="W195" s="51"/>
      <c r="X195" s="51"/>
      <c r="Y195" s="51"/>
      <c r="Z195" s="51"/>
      <c r="AA195" s="51"/>
      <c r="AB195" s="51"/>
      <c r="AC195" s="51"/>
      <c r="AD195" s="51"/>
      <c r="AG195" t="s">
        <v>28</v>
      </c>
      <c r="AH195" s="51"/>
      <c r="AI195" s="51"/>
    </row>
    <row r="196" spans="2:35">
      <c r="B196" t="s">
        <v>1563</v>
      </c>
      <c r="C196" t="s">
        <v>3014</v>
      </c>
      <c r="D196">
        <v>5</v>
      </c>
      <c r="E196" t="s">
        <v>2792</v>
      </c>
      <c r="F196">
        <v>5</v>
      </c>
      <c r="G196">
        <v>6</v>
      </c>
      <c r="H196">
        <v>14</v>
      </c>
      <c r="I196" t="s">
        <v>1564</v>
      </c>
      <c r="J196" s="51">
        <v>40938</v>
      </c>
      <c r="K196" t="s">
        <v>27</v>
      </c>
      <c r="L196" t="s">
        <v>1520</v>
      </c>
      <c r="M196">
        <v>3</v>
      </c>
      <c r="N196" t="str">
        <f>L196</f>
        <v>NAM\A09DF</v>
      </c>
      <c r="O196" s="51">
        <f>J196</f>
        <v>40938</v>
      </c>
      <c r="P196" s="51" t="str">
        <f>C196</f>
        <v>~/cdd/olddocs/Formas/CNWI-MTTO (Mantenimiento)/CNWI-MTTO-F017 Inventario Mensual de Suplementos y Partes.xls</v>
      </c>
      <c r="Q196" s="51" t="str">
        <f>E196</f>
        <v>xls</v>
      </c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G196" t="s">
        <v>28</v>
      </c>
      <c r="AH196" s="51"/>
      <c r="AI196" s="51"/>
    </row>
    <row r="197" spans="2:35">
      <c r="B197" t="s">
        <v>1565</v>
      </c>
      <c r="C197" t="s">
        <v>3015</v>
      </c>
      <c r="D197">
        <v>5</v>
      </c>
      <c r="E197" t="s">
        <v>2792</v>
      </c>
      <c r="F197">
        <v>5</v>
      </c>
      <c r="G197">
        <v>6</v>
      </c>
      <c r="H197">
        <v>14</v>
      </c>
      <c r="I197" t="s">
        <v>1566</v>
      </c>
      <c r="J197" s="51">
        <v>40939</v>
      </c>
      <c r="K197" t="s">
        <v>27</v>
      </c>
      <c r="L197" t="s">
        <v>1520</v>
      </c>
      <c r="M197">
        <v>3</v>
      </c>
      <c r="N197" t="str">
        <f>L197</f>
        <v>NAM\A09DF</v>
      </c>
      <c r="O197" s="51">
        <f>J197</f>
        <v>40939</v>
      </c>
      <c r="P197" s="51" t="str">
        <f>C197</f>
        <v>~/cdd/olddocs/Formas/CNWI-MTTO (Mantenimiento)/CNWI-MTTO-F018 Inspeccion de Montacargas Electrico.xls</v>
      </c>
      <c r="Q197" s="51" t="str">
        <f>E197</f>
        <v>xls</v>
      </c>
      <c r="R197" s="51"/>
      <c r="S197" s="51"/>
      <c r="T197" s="51"/>
      <c r="U197" s="51"/>
      <c r="V197" s="51"/>
      <c r="W197" s="51"/>
      <c r="X197" s="51"/>
      <c r="Y197" s="51"/>
      <c r="Z197" s="51"/>
      <c r="AA197" s="51"/>
      <c r="AB197" s="51"/>
      <c r="AC197" s="51"/>
      <c r="AD197" s="51"/>
      <c r="AG197" t="s">
        <v>28</v>
      </c>
      <c r="AH197" s="51"/>
      <c r="AI197" s="51"/>
    </row>
    <row r="198" spans="2:35">
      <c r="B198" t="s">
        <v>1567</v>
      </c>
      <c r="C198" t="s">
        <v>3016</v>
      </c>
      <c r="D198">
        <v>5</v>
      </c>
      <c r="E198" t="s">
        <v>2792</v>
      </c>
      <c r="F198">
        <v>5</v>
      </c>
      <c r="G198">
        <v>6</v>
      </c>
      <c r="H198">
        <v>14</v>
      </c>
      <c r="I198" t="s">
        <v>1568</v>
      </c>
      <c r="J198" s="51">
        <v>40974</v>
      </c>
      <c r="K198" t="s">
        <v>46</v>
      </c>
      <c r="L198" t="s">
        <v>1520</v>
      </c>
      <c r="M198">
        <v>3</v>
      </c>
      <c r="N198" t="str">
        <f>L198</f>
        <v>NAM\A09DF</v>
      </c>
      <c r="O198" s="51">
        <f>J198</f>
        <v>40974</v>
      </c>
      <c r="P198" s="51" t="str">
        <f>C198</f>
        <v>~/cdd/olddocs/Formas/CNWI-MTTO (Mantenimiento)/CNWI-MTTO-F019 REGISTRO DE TEMPERATURA DE ALMACENAMIENTO DE QUIMICOS.xls</v>
      </c>
      <c r="Q198" s="51" t="str">
        <f>E198</f>
        <v>xls</v>
      </c>
      <c r="R198" s="51"/>
      <c r="S198" s="51"/>
      <c r="T198" s="51"/>
      <c r="U198" s="51"/>
      <c r="V198" s="51"/>
      <c r="W198" s="51"/>
      <c r="X198" s="51"/>
      <c r="Y198" s="51"/>
      <c r="Z198" s="51"/>
      <c r="AA198" s="51"/>
      <c r="AB198" s="51"/>
      <c r="AC198" s="51"/>
      <c r="AD198" s="51"/>
      <c r="AG198" t="s">
        <v>28</v>
      </c>
      <c r="AH198" s="51"/>
      <c r="AI198" s="51"/>
    </row>
    <row r="199" spans="2:35">
      <c r="B199" t="s">
        <v>1569</v>
      </c>
      <c r="C199" t="s">
        <v>3017</v>
      </c>
      <c r="D199">
        <v>5</v>
      </c>
      <c r="E199" t="s">
        <v>2792</v>
      </c>
      <c r="F199">
        <v>5</v>
      </c>
      <c r="G199">
        <v>6</v>
      </c>
      <c r="H199">
        <v>14</v>
      </c>
      <c r="I199" t="s">
        <v>1570</v>
      </c>
      <c r="J199" s="51">
        <v>40941</v>
      </c>
      <c r="K199" t="s">
        <v>27</v>
      </c>
      <c r="L199" t="s">
        <v>1520</v>
      </c>
      <c r="M199">
        <v>3</v>
      </c>
      <c r="N199" t="str">
        <f>L199</f>
        <v>NAM\A09DF</v>
      </c>
      <c r="O199" s="51">
        <f>J199</f>
        <v>40941</v>
      </c>
      <c r="P199" s="51" t="str">
        <f>C199</f>
        <v>~/cdd/olddocs/Formas/CNWI-MTTO (Mantenimiento)/CNWI-MTTO-F020 Inspeccion de Plataforma elevadora.xls</v>
      </c>
      <c r="Q199" s="51" t="str">
        <f>E199</f>
        <v>xls</v>
      </c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G199" t="s">
        <v>28</v>
      </c>
      <c r="AH199" s="51"/>
      <c r="AI199" s="51"/>
    </row>
    <row r="200" spans="2:35">
      <c r="B200" t="s">
        <v>1571</v>
      </c>
      <c r="C200" t="s">
        <v>3018</v>
      </c>
      <c r="D200">
        <v>5</v>
      </c>
      <c r="E200" t="s">
        <v>2792</v>
      </c>
      <c r="F200">
        <v>5</v>
      </c>
      <c r="G200">
        <v>6</v>
      </c>
      <c r="H200">
        <v>14</v>
      </c>
      <c r="I200" t="s">
        <v>1572</v>
      </c>
      <c r="J200" s="51">
        <v>40970</v>
      </c>
      <c r="K200" t="s">
        <v>27</v>
      </c>
      <c r="L200" t="s">
        <v>1520</v>
      </c>
      <c r="M200">
        <v>3</v>
      </c>
      <c r="N200" t="str">
        <f>L200</f>
        <v>NAM\A09DF</v>
      </c>
      <c r="O200" s="51">
        <f>J200</f>
        <v>40970</v>
      </c>
      <c r="P200" s="51" t="str">
        <f>C200</f>
        <v>~/cdd/olddocs/Formas/CNWI-MTTO (Mantenimiento)/CNWI-MTTO-F021 Plan de actividades Mecanicos.xls</v>
      </c>
      <c r="Q200" s="51" t="str">
        <f>E200</f>
        <v>xls</v>
      </c>
      <c r="R200" s="51"/>
      <c r="S200" s="51"/>
      <c r="T200" s="51"/>
      <c r="U200" s="51"/>
      <c r="V200" s="51"/>
      <c r="W200" s="51"/>
      <c r="X200" s="51"/>
      <c r="Y200" s="51"/>
      <c r="Z200" s="51"/>
      <c r="AA200" s="51"/>
      <c r="AB200" s="51"/>
      <c r="AC200" s="51"/>
      <c r="AD200" s="51"/>
      <c r="AG200" t="s">
        <v>28</v>
      </c>
      <c r="AH200" s="51"/>
      <c r="AI200" s="51"/>
    </row>
    <row r="201" spans="2:35">
      <c r="B201" t="s">
        <v>1573</v>
      </c>
      <c r="C201" t="s">
        <v>3019</v>
      </c>
      <c r="D201">
        <v>5</v>
      </c>
      <c r="E201" t="s">
        <v>2793</v>
      </c>
      <c r="F201">
        <v>5</v>
      </c>
      <c r="G201">
        <v>6</v>
      </c>
      <c r="H201">
        <v>14</v>
      </c>
      <c r="I201" t="s">
        <v>1574</v>
      </c>
      <c r="J201" s="51">
        <v>40982</v>
      </c>
      <c r="K201" t="s">
        <v>27</v>
      </c>
      <c r="L201" t="s">
        <v>1520</v>
      </c>
      <c r="M201">
        <v>3</v>
      </c>
      <c r="N201" t="str">
        <f>L201</f>
        <v>NAM\A09DF</v>
      </c>
      <c r="O201" s="51">
        <f>J201</f>
        <v>40982</v>
      </c>
      <c r="P201" s="51" t="str">
        <f>C201</f>
        <v>~/cdd/olddocs/Formas/CNWI-MTTO (Mantenimiento)/CNWI-MTTO-F022 Rev. A ETIQUETA DE IDENTIFICACION PARA  EQUIPO EN REPARACION.pptx</v>
      </c>
      <c r="Q201" s="51" t="str">
        <f>E201</f>
        <v>pptx</v>
      </c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/>
      <c r="AC201" s="51"/>
      <c r="AD201" s="51"/>
      <c r="AG201" t="s">
        <v>28</v>
      </c>
      <c r="AH201" s="51"/>
      <c r="AI201" s="51"/>
    </row>
    <row r="202" spans="2:35">
      <c r="B202" t="s">
        <v>499</v>
      </c>
      <c r="C202" t="s">
        <v>3868</v>
      </c>
      <c r="D202">
        <v>5</v>
      </c>
      <c r="E202" t="s">
        <v>2790</v>
      </c>
      <c r="F202">
        <v>5</v>
      </c>
      <c r="G202">
        <v>6</v>
      </c>
      <c r="H202">
        <v>14</v>
      </c>
      <c r="I202" t="s">
        <v>500</v>
      </c>
      <c r="J202" s="51">
        <v>41037</v>
      </c>
      <c r="K202" t="s">
        <v>27</v>
      </c>
      <c r="L202" t="s">
        <v>438</v>
      </c>
      <c r="M202">
        <v>3</v>
      </c>
      <c r="N202" t="str">
        <f>L202</f>
        <v>NAM\D24B6</v>
      </c>
      <c r="O202" s="51">
        <f>J202</f>
        <v>41037</v>
      </c>
      <c r="P202" s="51" t="str">
        <f>C202</f>
        <v>~cdd/olddocs/Formas/CNWI-MTTO (Mantenimiento)/CNWI-MTTO-F023 Set up de moldes Moorpark.xlsx</v>
      </c>
      <c r="Q202" s="51" t="str">
        <f>E202</f>
        <v>xlsx</v>
      </c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G202" t="s">
        <v>28</v>
      </c>
      <c r="AH202" s="51"/>
      <c r="AI202" s="51"/>
    </row>
    <row r="203" spans="2:35">
      <c r="B203" t="s">
        <v>465</v>
      </c>
      <c r="C203" t="s">
        <v>3869</v>
      </c>
      <c r="D203">
        <v>5</v>
      </c>
      <c r="E203" t="s">
        <v>2790</v>
      </c>
      <c r="F203">
        <v>14</v>
      </c>
      <c r="I203" t="s">
        <v>467</v>
      </c>
      <c r="J203" s="51">
        <v>41037</v>
      </c>
      <c r="K203" t="s">
        <v>27</v>
      </c>
      <c r="L203" t="s">
        <v>438</v>
      </c>
      <c r="M203">
        <v>3</v>
      </c>
      <c r="N203" t="str">
        <f>L203</f>
        <v>NAM\D24B6</v>
      </c>
      <c r="O203" s="51">
        <f>J203</f>
        <v>41037</v>
      </c>
      <c r="P203" s="51" t="str">
        <f>C203</f>
        <v>~cdd/olddocs/Formas/CNWI-MTTO (Mantenimiento)/CNWI-MTTO-F024 Set up de moldes de Micromini.xlsx</v>
      </c>
      <c r="Q203" s="51" t="str">
        <f>E203</f>
        <v>xlsx</v>
      </c>
      <c r="R203" s="51"/>
      <c r="S203" s="51"/>
      <c r="T203" s="51"/>
      <c r="U203" s="51"/>
      <c r="V203" s="51"/>
      <c r="W203" s="51"/>
      <c r="X203" s="51"/>
      <c r="Y203" s="51"/>
      <c r="Z203" s="51"/>
      <c r="AA203" s="51"/>
      <c r="AB203" s="51"/>
      <c r="AC203" s="51"/>
      <c r="AD203" s="51"/>
      <c r="AG203" t="s">
        <v>28</v>
      </c>
      <c r="AH203" s="51"/>
      <c r="AI203" s="51"/>
    </row>
    <row r="204" spans="2:35">
      <c r="B204" t="s">
        <v>2410</v>
      </c>
      <c r="C204" t="s">
        <v>3020</v>
      </c>
      <c r="D204">
        <v>5</v>
      </c>
      <c r="E204" t="s">
        <v>2790</v>
      </c>
      <c r="F204">
        <v>14</v>
      </c>
      <c r="I204" t="s">
        <v>2411</v>
      </c>
      <c r="J204" s="51">
        <v>41039</v>
      </c>
      <c r="K204" t="s">
        <v>27</v>
      </c>
      <c r="L204" t="s">
        <v>2412</v>
      </c>
      <c r="M204">
        <v>3</v>
      </c>
      <c r="N204" t="str">
        <f>L204</f>
        <v>NAM\MB4451</v>
      </c>
      <c r="O204" s="51">
        <f>J204</f>
        <v>41039</v>
      </c>
      <c r="P204" s="51" t="str">
        <f>C204</f>
        <v>~/cdd/olddocs/Formas/CNWI-MTTO (Mantenimiento)/CNWI-MTTO-F025 Tarjetas rojas y verdes.xlsx</v>
      </c>
      <c r="Q204" s="51" t="str">
        <f>E204</f>
        <v>xlsx</v>
      </c>
      <c r="R204" s="51"/>
      <c r="S204" s="51"/>
      <c r="T204" s="51"/>
      <c r="U204" s="51"/>
      <c r="V204" s="51"/>
      <c r="W204" s="51"/>
      <c r="X204" s="51"/>
      <c r="Y204" s="51"/>
      <c r="Z204" s="51"/>
      <c r="AA204" s="51"/>
      <c r="AB204" s="51"/>
      <c r="AC204" s="51"/>
      <c r="AD204" s="51"/>
      <c r="AG204" t="s">
        <v>28</v>
      </c>
      <c r="AH204" s="51"/>
      <c r="AI204" s="51"/>
    </row>
    <row r="205" spans="2:35">
      <c r="B205" t="s">
        <v>2413</v>
      </c>
      <c r="C205" t="s">
        <v>3870</v>
      </c>
      <c r="D205">
        <v>5</v>
      </c>
      <c r="E205" t="s">
        <v>2790</v>
      </c>
      <c r="F205">
        <v>14</v>
      </c>
      <c r="I205" t="s">
        <v>2414</v>
      </c>
      <c r="J205" s="51">
        <v>41060</v>
      </c>
      <c r="K205" t="s">
        <v>27</v>
      </c>
      <c r="L205" t="s">
        <v>2412</v>
      </c>
      <c r="M205">
        <v>3</v>
      </c>
      <c r="N205" t="str">
        <f>L205</f>
        <v>NAM\MB4451</v>
      </c>
      <c r="O205" s="51">
        <f>J205</f>
        <v>41060</v>
      </c>
      <c r="P205" s="51" t="str">
        <f>C205</f>
        <v>~cdd/olddocs/Formas/CNWI-MTTO (Mantenimiento)/CNWI-MTTO-F026 Rev. A Tarjetas rojas.xlsx</v>
      </c>
      <c r="Q205" s="51" t="str">
        <f>E205</f>
        <v>xlsx</v>
      </c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G205" t="s">
        <v>28</v>
      </c>
      <c r="AH205" s="51"/>
      <c r="AI205" s="51"/>
    </row>
    <row r="206" spans="2:35">
      <c r="B206" t="s">
        <v>1525</v>
      </c>
      <c r="C206" t="s">
        <v>3871</v>
      </c>
      <c r="D206">
        <v>5</v>
      </c>
      <c r="E206" t="s">
        <v>2790</v>
      </c>
      <c r="F206">
        <v>14</v>
      </c>
      <c r="I206" t="s">
        <v>1526</v>
      </c>
      <c r="J206" s="51">
        <v>41072</v>
      </c>
      <c r="K206" t="s">
        <v>27</v>
      </c>
      <c r="L206" t="s">
        <v>1520</v>
      </c>
      <c r="M206">
        <v>3</v>
      </c>
      <c r="N206" t="str">
        <f>L206</f>
        <v>NAM\A09DF</v>
      </c>
      <c r="O206" s="51">
        <f>J206</f>
        <v>41072</v>
      </c>
      <c r="P206" s="51" t="str">
        <f>C206</f>
        <v>~cdd/olddocs/Formas/CNWI-MTTO (Mantenimiento)/CNWI-MTTO-F027 Parametros de referencia para moldeadora AHI TOP 3 y 4.xlsx</v>
      </c>
      <c r="Q206" s="51" t="str">
        <f>E206</f>
        <v>xlsx</v>
      </c>
      <c r="R206" s="51"/>
      <c r="S206" s="51"/>
      <c r="T206" s="51"/>
      <c r="U206" s="51"/>
      <c r="V206" s="51"/>
      <c r="W206" s="51"/>
      <c r="X206" s="51"/>
      <c r="Y206" s="51"/>
      <c r="Z206" s="51"/>
      <c r="AA206" s="51"/>
      <c r="AB206" s="51"/>
      <c r="AC206" s="51"/>
      <c r="AD206" s="51"/>
      <c r="AG206" t="s">
        <v>28</v>
      </c>
      <c r="AH206" s="51"/>
      <c r="AI206" s="51"/>
    </row>
    <row r="207" spans="2:35">
      <c r="B207" t="s">
        <v>2415</v>
      </c>
      <c r="C207" t="s">
        <v>3872</v>
      </c>
      <c r="D207">
        <v>5</v>
      </c>
      <c r="E207" t="s">
        <v>2792</v>
      </c>
      <c r="F207">
        <v>14</v>
      </c>
      <c r="I207" t="s">
        <v>2416</v>
      </c>
      <c r="J207" s="51">
        <v>41086</v>
      </c>
      <c r="K207" t="s">
        <v>27</v>
      </c>
      <c r="L207" t="s">
        <v>2412</v>
      </c>
      <c r="M207">
        <v>3</v>
      </c>
      <c r="N207" t="str">
        <f>L207</f>
        <v>NAM\MB4451</v>
      </c>
      <c r="O207" s="51">
        <f>J207</f>
        <v>41086</v>
      </c>
      <c r="P207" s="51" t="str">
        <f>C207</f>
        <v>~cdd/olddocs/Formas/CNWI-MTTO (Mantenimiento)/CNWI-MTTO-F028 Rev A  TPM universal.xls</v>
      </c>
      <c r="Q207" s="51" t="str">
        <f>E207</f>
        <v>xls</v>
      </c>
      <c r="R207" s="51"/>
      <c r="S207" s="51"/>
      <c r="T207" s="51"/>
      <c r="U207" s="51"/>
      <c r="V207" s="51"/>
      <c r="W207" s="51"/>
      <c r="X207" s="51"/>
      <c r="Y207" s="51"/>
      <c r="Z207" s="51"/>
      <c r="AA207" s="51"/>
      <c r="AB207" s="51"/>
      <c r="AC207" s="51"/>
      <c r="AD207" s="51"/>
      <c r="AG207" t="s">
        <v>28</v>
      </c>
      <c r="AH207" s="51"/>
      <c r="AI207" s="51"/>
    </row>
    <row r="208" spans="2:35">
      <c r="B208" t="s">
        <v>1527</v>
      </c>
      <c r="C208" t="s">
        <v>3021</v>
      </c>
      <c r="D208">
        <v>5</v>
      </c>
      <c r="E208" t="s">
        <v>2791</v>
      </c>
      <c r="F208">
        <v>14</v>
      </c>
      <c r="I208" t="s">
        <v>1528</v>
      </c>
      <c r="J208" s="51">
        <v>41115</v>
      </c>
      <c r="K208" t="s">
        <v>27</v>
      </c>
      <c r="L208" t="s">
        <v>1520</v>
      </c>
      <c r="M208">
        <v>3</v>
      </c>
      <c r="N208" t="str">
        <f>L208</f>
        <v>NAM\A09DF</v>
      </c>
      <c r="O208" s="51">
        <f>J208</f>
        <v>41115</v>
      </c>
      <c r="P208" s="51" t="str">
        <f>C208</f>
        <v>~/cdd/olddocs/Formas/CNWI-MTTO (Mantenimiento)/CNWI-MTTO-F029 Revisión de despojadoras Schleuniger.pdf</v>
      </c>
      <c r="Q208" s="51" t="str">
        <f>E208</f>
        <v>pdf</v>
      </c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G208" t="s">
        <v>28</v>
      </c>
      <c r="AH208" s="51"/>
      <c r="AI208" s="51"/>
    </row>
    <row r="209" spans="2:35">
      <c r="B209" t="s">
        <v>1529</v>
      </c>
      <c r="C209" t="s">
        <v>3873</v>
      </c>
      <c r="D209">
        <v>5</v>
      </c>
      <c r="E209" t="s">
        <v>2791</v>
      </c>
      <c r="F209">
        <v>14</v>
      </c>
      <c r="I209" t="s">
        <v>1530</v>
      </c>
      <c r="J209" s="51">
        <v>41145</v>
      </c>
      <c r="K209" t="s">
        <v>27</v>
      </c>
      <c r="L209" t="s">
        <v>1520</v>
      </c>
      <c r="M209">
        <v>3</v>
      </c>
      <c r="N209" t="str">
        <f>L209</f>
        <v>NAM\A09DF</v>
      </c>
      <c r="O209" s="51">
        <f>J209</f>
        <v>41145</v>
      </c>
      <c r="P209" s="51" t="str">
        <f>C209</f>
        <v>~cdd/olddocs/Formas/CNWI-MTTO (Mantenimiento)/CNWI-MTTO-F030 Entregas tool crip.pdf</v>
      </c>
      <c r="Q209" s="51" t="str">
        <f>E209</f>
        <v>pdf</v>
      </c>
      <c r="R209" s="51"/>
      <c r="S209" s="51"/>
      <c r="T209" s="51"/>
      <c r="U209" s="51"/>
      <c r="V209" s="51"/>
      <c r="W209" s="51"/>
      <c r="X209" s="51"/>
      <c r="Y209" s="51"/>
      <c r="Z209" s="51"/>
      <c r="AA209" s="51"/>
      <c r="AB209" s="51"/>
      <c r="AC209" s="51"/>
      <c r="AD209" s="51"/>
      <c r="AG209" t="s">
        <v>28</v>
      </c>
      <c r="AH209" s="51"/>
      <c r="AI209" s="51"/>
    </row>
    <row r="210" spans="2:35">
      <c r="B210" t="s">
        <v>614</v>
      </c>
      <c r="C210" t="s">
        <v>3022</v>
      </c>
      <c r="D210">
        <v>5</v>
      </c>
      <c r="E210" t="s">
        <v>2791</v>
      </c>
      <c r="F210">
        <v>14</v>
      </c>
      <c r="I210" t="s">
        <v>615</v>
      </c>
      <c r="J210" s="51">
        <v>41155</v>
      </c>
      <c r="K210" t="s">
        <v>27</v>
      </c>
      <c r="L210" t="s">
        <v>605</v>
      </c>
      <c r="M210">
        <v>3</v>
      </c>
      <c r="N210" t="str">
        <f>L210</f>
        <v>NA/MB1049</v>
      </c>
      <c r="O210" s="51">
        <f>J210</f>
        <v>41155</v>
      </c>
      <c r="P210" s="51" t="str">
        <f>C210</f>
        <v>~/cdd/olddocs/Formas/CNWI-MTTO (Mantenimiento)/CNWI-MTTO-F031 Entrega y recibo de moldes.pdf</v>
      </c>
      <c r="Q210" s="51" t="str">
        <f>E210</f>
        <v>pdf</v>
      </c>
      <c r="R210" s="51"/>
      <c r="S210" s="51"/>
      <c r="T210" s="51"/>
      <c r="U210" s="51"/>
      <c r="V210" s="51"/>
      <c r="W210" s="51"/>
      <c r="X210" s="51"/>
      <c r="Y210" s="51"/>
      <c r="Z210" s="51"/>
      <c r="AA210" s="51"/>
      <c r="AB210" s="51"/>
      <c r="AC210" s="51"/>
      <c r="AD210" s="51"/>
      <c r="AG210" t="s">
        <v>28</v>
      </c>
      <c r="AH210" s="51"/>
      <c r="AI210" s="51"/>
    </row>
    <row r="211" spans="2:35">
      <c r="B211" t="s">
        <v>527</v>
      </c>
      <c r="C211" t="s">
        <v>3909</v>
      </c>
      <c r="D211">
        <v>4</v>
      </c>
      <c r="E211" t="s">
        <v>2791</v>
      </c>
      <c r="F211">
        <v>6</v>
      </c>
      <c r="G211">
        <v>16</v>
      </c>
      <c r="I211" t="s">
        <v>530</v>
      </c>
      <c r="J211" s="51">
        <v>41122</v>
      </c>
      <c r="K211" t="s">
        <v>27</v>
      </c>
      <c r="L211" t="s">
        <v>532</v>
      </c>
      <c r="M211">
        <v>3</v>
      </c>
      <c r="N211" t="str">
        <f>L211</f>
        <v>NAM\MB0615</v>
      </c>
      <c r="O211" s="51">
        <f>J211</f>
        <v>41122</v>
      </c>
      <c r="P211" s="51" t="str">
        <f>C211</f>
        <v>~cdd/olddocs/Instructivos/CNWI-PLLN/CNWI-PLNN-0001 Running MRP On Sap doc.pdf</v>
      </c>
      <c r="Q211" s="51" t="str">
        <f>E211</f>
        <v>pdf</v>
      </c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G211" t="s">
        <v>28</v>
      </c>
      <c r="AH211" s="51"/>
      <c r="AI211" s="51"/>
    </row>
    <row r="212" spans="2:35">
      <c r="B212" t="s">
        <v>1575</v>
      </c>
      <c r="C212" t="s">
        <v>3023</v>
      </c>
      <c r="D212">
        <v>5</v>
      </c>
      <c r="E212" t="s">
        <v>2792</v>
      </c>
      <c r="F212">
        <v>6</v>
      </c>
      <c r="G212">
        <v>16</v>
      </c>
      <c r="I212" t="s">
        <v>1576</v>
      </c>
      <c r="J212" s="51">
        <v>40640</v>
      </c>
      <c r="K212" t="s">
        <v>27</v>
      </c>
      <c r="L212" t="s">
        <v>1578</v>
      </c>
      <c r="M212">
        <v>3</v>
      </c>
      <c r="N212" t="str">
        <f>L212</f>
        <v>NAM\C7NEP</v>
      </c>
      <c r="O212" s="51">
        <f>J212</f>
        <v>40640</v>
      </c>
      <c r="P212" s="51" t="str">
        <f>C212</f>
        <v>~/cdd/olddocs/Formas/CNWI-PLNN (Planeacion )/CNWI-PLNN-F001 CUST REQ  PGI REPORT .xls</v>
      </c>
      <c r="Q212" s="51" t="str">
        <f>E212</f>
        <v>xls</v>
      </c>
      <c r="R212" s="51"/>
      <c r="S212" s="51"/>
      <c r="T212" s="51"/>
      <c r="U212" s="51"/>
      <c r="V212" s="51"/>
      <c r="W212" s="51"/>
      <c r="X212" s="51"/>
      <c r="Y212" s="51"/>
      <c r="Z212" s="51"/>
      <c r="AA212" s="51"/>
      <c r="AB212" s="51"/>
      <c r="AC212" s="51"/>
      <c r="AD212" s="51"/>
      <c r="AE212">
        <v>40640</v>
      </c>
      <c r="AG212" t="s">
        <v>28</v>
      </c>
      <c r="AH212" s="51"/>
      <c r="AI212" s="51"/>
    </row>
    <row r="213" spans="2:35">
      <c r="B213" t="s">
        <v>1579</v>
      </c>
      <c r="C213" t="s">
        <v>3024</v>
      </c>
      <c r="D213">
        <v>5</v>
      </c>
      <c r="E213" t="s">
        <v>2790</v>
      </c>
      <c r="F213">
        <v>6</v>
      </c>
      <c r="G213">
        <v>16</v>
      </c>
      <c r="I213" t="s">
        <v>1580</v>
      </c>
      <c r="J213" s="51">
        <v>40640</v>
      </c>
      <c r="K213" t="s">
        <v>27</v>
      </c>
      <c r="L213" t="s">
        <v>1578</v>
      </c>
      <c r="M213">
        <v>3</v>
      </c>
      <c r="N213" t="str">
        <f>L213</f>
        <v>NAM\C7NEP</v>
      </c>
      <c r="O213" s="51">
        <f>J213</f>
        <v>40640</v>
      </c>
      <c r="P213" s="51" t="str">
        <f>C213</f>
        <v>~/cdd/olddocs/Formas/CNWI-PLNN (Planeacion )/CNWI-PLNN-F002 MasterSchedule.xlsx</v>
      </c>
      <c r="Q213" s="51" t="str">
        <f>E213</f>
        <v>xlsx</v>
      </c>
      <c r="R213" s="51"/>
      <c r="S213" s="51"/>
      <c r="T213" s="51"/>
      <c r="U213" s="51"/>
      <c r="V213" s="51"/>
      <c r="W213" s="51"/>
      <c r="X213" s="51"/>
      <c r="Y213" s="51"/>
      <c r="Z213" s="51"/>
      <c r="AA213" s="51"/>
      <c r="AB213" s="51"/>
      <c r="AC213" s="51"/>
      <c r="AD213" s="51"/>
      <c r="AG213" t="s">
        <v>28</v>
      </c>
      <c r="AH213" s="51"/>
      <c r="AI213" s="51"/>
    </row>
    <row r="214" spans="2:35">
      <c r="B214" t="s">
        <v>1474</v>
      </c>
      <c r="C214" t="s">
        <v>3327</v>
      </c>
      <c r="D214">
        <v>4</v>
      </c>
      <c r="E214" t="s">
        <v>2791</v>
      </c>
      <c r="F214">
        <v>6</v>
      </c>
      <c r="G214">
        <v>15</v>
      </c>
      <c r="I214" t="s">
        <v>1476</v>
      </c>
      <c r="J214" s="51">
        <v>40722</v>
      </c>
      <c r="K214" t="s">
        <v>46</v>
      </c>
      <c r="L214" t="s">
        <v>1478</v>
      </c>
      <c r="M214">
        <v>3</v>
      </c>
      <c r="N214" t="str">
        <f>L214</f>
        <v>NAM\DEB51</v>
      </c>
      <c r="O214" s="51">
        <f>J214</f>
        <v>40722</v>
      </c>
      <c r="P214" s="51" t="str">
        <f>C214</f>
        <v>~/cdd/olddocs/Instructivos/CNWI-PRCS/CNWI-PRCS-0001 Compras MRO nogales.pdf</v>
      </c>
      <c r="Q214" s="51" t="str">
        <f>E214</f>
        <v>pdf</v>
      </c>
      <c r="R214" s="51"/>
      <c r="S214" s="51"/>
      <c r="T214" s="51"/>
      <c r="U214" s="51"/>
      <c r="V214" s="51"/>
      <c r="W214" s="51"/>
      <c r="X214" s="51"/>
      <c r="Y214" s="51"/>
      <c r="Z214" s="51"/>
      <c r="AA214" s="51"/>
      <c r="AB214" s="51"/>
      <c r="AC214" s="51"/>
      <c r="AD214" s="51"/>
      <c r="AG214" t="s">
        <v>28</v>
      </c>
      <c r="AH214" s="51"/>
      <c r="AI214" s="51"/>
    </row>
    <row r="215" spans="2:35">
      <c r="B215" t="s">
        <v>1867</v>
      </c>
      <c r="C215" t="s">
        <v>3328</v>
      </c>
      <c r="D215">
        <v>4</v>
      </c>
      <c r="E215" t="s">
        <v>2791</v>
      </c>
      <c r="F215">
        <v>6</v>
      </c>
      <c r="G215">
        <v>15</v>
      </c>
      <c r="I215" t="s">
        <v>1868</v>
      </c>
      <c r="J215" s="51">
        <v>40640</v>
      </c>
      <c r="K215" t="s">
        <v>27</v>
      </c>
      <c r="L215" t="s">
        <v>1870</v>
      </c>
      <c r="M215">
        <v>3</v>
      </c>
      <c r="N215" t="str">
        <f>L215</f>
        <v>NAM\BD5C8</v>
      </c>
      <c r="O215" s="51">
        <f>J215</f>
        <v>40640</v>
      </c>
      <c r="P215" s="51" t="str">
        <f>C215</f>
        <v>~/cdd/olddocs/Instructivos/CNWI-PRCS/CNWI-PRCS-0002 Fabricacion de orden del cliente.pdf</v>
      </c>
      <c r="Q215" s="51" t="str">
        <f>E215</f>
        <v>pdf</v>
      </c>
      <c r="R215" s="51"/>
      <c r="S215" s="51"/>
      <c r="T215" s="51"/>
      <c r="U215" s="51"/>
      <c r="V215" s="51"/>
      <c r="W215" s="51"/>
      <c r="X215" s="51"/>
      <c r="Y215" s="51"/>
      <c r="Z215" s="51"/>
      <c r="AA215" s="51"/>
      <c r="AB215" s="51"/>
      <c r="AC215" s="51"/>
      <c r="AD215" s="51"/>
      <c r="AG215" t="s">
        <v>28</v>
      </c>
      <c r="AH215" s="51"/>
      <c r="AI215" s="51"/>
    </row>
    <row r="216" spans="2:35">
      <c r="B216" t="s">
        <v>1871</v>
      </c>
      <c r="C216" t="s">
        <v>3329</v>
      </c>
      <c r="D216">
        <v>4</v>
      </c>
      <c r="E216" t="s">
        <v>2791</v>
      </c>
      <c r="F216">
        <v>6</v>
      </c>
      <c r="G216">
        <v>15</v>
      </c>
      <c r="I216" t="s">
        <v>1872</v>
      </c>
      <c r="J216" s="51">
        <v>40697</v>
      </c>
      <c r="K216" t="s">
        <v>27</v>
      </c>
      <c r="L216" t="s">
        <v>1870</v>
      </c>
      <c r="M216">
        <v>3</v>
      </c>
      <c r="N216" t="str">
        <f>L216</f>
        <v>NAM\BD5C8</v>
      </c>
      <c r="O216" s="51">
        <f>J216</f>
        <v>40697</v>
      </c>
      <c r="P216" s="51" t="str">
        <f>C216</f>
        <v>~/cdd/olddocs/Instructivos/CNWI-PRCS/CNWI-PRCS-0003 Instructivo de compras.pdf</v>
      </c>
      <c r="Q216" s="51" t="str">
        <f>E216</f>
        <v>pdf</v>
      </c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G216" t="s">
        <v>28</v>
      </c>
      <c r="AH216" s="51"/>
      <c r="AI216" s="51"/>
    </row>
    <row r="217" spans="2:35">
      <c r="B217" t="s">
        <v>1873</v>
      </c>
      <c r="C217" t="s">
        <v>3329</v>
      </c>
      <c r="D217">
        <v>4</v>
      </c>
      <c r="E217" t="s">
        <v>2791</v>
      </c>
      <c r="F217">
        <v>6</v>
      </c>
      <c r="G217">
        <v>15</v>
      </c>
      <c r="I217" t="s">
        <v>1874</v>
      </c>
      <c r="J217" s="51">
        <v>41162</v>
      </c>
      <c r="K217" t="s">
        <v>27</v>
      </c>
      <c r="L217" t="s">
        <v>1870</v>
      </c>
      <c r="M217">
        <v>3</v>
      </c>
      <c r="N217" t="str">
        <f>L217</f>
        <v>NAM\BD5C8</v>
      </c>
      <c r="O217" s="51">
        <f>J217</f>
        <v>41162</v>
      </c>
      <c r="P217" s="51" t="str">
        <f>C217</f>
        <v>~/cdd/olddocs/Instructivos/CNWI-PRCS/CNWI-PRCS-0003 Instructivo de compras.pdf</v>
      </c>
      <c r="Q217" s="51" t="str">
        <f>E217</f>
        <v>pdf</v>
      </c>
      <c r="R217" s="51"/>
      <c r="S217" s="51"/>
      <c r="T217" s="51"/>
      <c r="U217" s="51"/>
      <c r="V217" s="51"/>
      <c r="W217" s="51"/>
      <c r="X217" s="51"/>
      <c r="Y217" s="51"/>
      <c r="Z217" s="51"/>
      <c r="AA217" s="51"/>
      <c r="AB217" s="51"/>
      <c r="AC217" s="51"/>
      <c r="AD217" s="51"/>
      <c r="AG217" t="s">
        <v>28</v>
      </c>
      <c r="AH217" s="51"/>
      <c r="AI217" s="51"/>
    </row>
    <row r="218" spans="2:35">
      <c r="B218" t="s">
        <v>1875</v>
      </c>
      <c r="C218" t="s">
        <v>3330</v>
      </c>
      <c r="D218">
        <v>4</v>
      </c>
      <c r="E218" t="s">
        <v>2791</v>
      </c>
      <c r="F218">
        <v>6</v>
      </c>
      <c r="G218">
        <v>15</v>
      </c>
      <c r="I218" t="s">
        <v>1876</v>
      </c>
      <c r="J218" s="51">
        <v>41162</v>
      </c>
      <c r="K218" t="s">
        <v>27</v>
      </c>
      <c r="L218" t="s">
        <v>1870</v>
      </c>
      <c r="M218">
        <v>3</v>
      </c>
      <c r="N218" t="str">
        <f>L218</f>
        <v>NAM\BD5C8</v>
      </c>
      <c r="O218" s="51">
        <f>J218</f>
        <v>41162</v>
      </c>
      <c r="P218" s="51" t="str">
        <f>C218</f>
        <v>~/cdd/olddocs/Instructivos/CNWI-PRCS/CNWI-PRCS-0005  Extender numeros de parte a 1016.pdf</v>
      </c>
      <c r="Q218" s="51" t="str">
        <f>E218</f>
        <v>pdf</v>
      </c>
      <c r="R218" s="51"/>
      <c r="S218" s="51"/>
      <c r="T218" s="51"/>
      <c r="U218" s="51"/>
      <c r="V218" s="51"/>
      <c r="W218" s="51"/>
      <c r="X218" s="51"/>
      <c r="Y218" s="51"/>
      <c r="Z218" s="51"/>
      <c r="AA218" s="51"/>
      <c r="AB218" s="51"/>
      <c r="AC218" s="51"/>
      <c r="AD218" s="51"/>
      <c r="AG218" t="s">
        <v>28</v>
      </c>
      <c r="AH218" s="51"/>
      <c r="AI218" s="51"/>
    </row>
    <row r="219" spans="2:35">
      <c r="B219" t="s">
        <v>1877</v>
      </c>
      <c r="C219" t="s">
        <v>3910</v>
      </c>
      <c r="D219">
        <v>4</v>
      </c>
      <c r="E219" t="s">
        <v>2797</v>
      </c>
      <c r="F219">
        <v>6</v>
      </c>
      <c r="G219">
        <v>15</v>
      </c>
      <c r="I219" t="s">
        <v>1878</v>
      </c>
      <c r="J219" s="51">
        <v>41148</v>
      </c>
      <c r="K219" t="s">
        <v>27</v>
      </c>
      <c r="L219" t="s">
        <v>1870</v>
      </c>
      <c r="M219">
        <v>3</v>
      </c>
      <c r="N219" t="str">
        <f>L219</f>
        <v>NAM\BD5C8</v>
      </c>
      <c r="O219" s="51">
        <f>J219</f>
        <v>41148</v>
      </c>
      <c r="P219" s="51" t="str">
        <f>C219</f>
        <v>~cdd/olddocs/Instructivos/CNWI-PRCS/CNWI-PRCS-0006   Rev. A  Mantenimiento de numeros de parte.docx</v>
      </c>
      <c r="Q219" s="51" t="str">
        <f>E219</f>
        <v>docx</v>
      </c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G219" t="s">
        <v>28</v>
      </c>
      <c r="AH219" s="51"/>
      <c r="AI219" s="51"/>
    </row>
    <row r="220" spans="2:35">
      <c r="B220" t="s">
        <v>1879</v>
      </c>
      <c r="C220" t="s">
        <v>3911</v>
      </c>
      <c r="D220">
        <v>4</v>
      </c>
      <c r="E220" t="s">
        <v>2797</v>
      </c>
      <c r="F220">
        <v>6</v>
      </c>
      <c r="G220">
        <v>15</v>
      </c>
      <c r="I220" t="s">
        <v>1880</v>
      </c>
      <c r="J220" s="51">
        <v>41148</v>
      </c>
      <c r="K220" t="s">
        <v>27</v>
      </c>
      <c r="L220" t="s">
        <v>1870</v>
      </c>
      <c r="M220">
        <v>3</v>
      </c>
      <c r="N220" t="str">
        <f>L220</f>
        <v>NAM\BD5C8</v>
      </c>
      <c r="O220" s="51">
        <f>J220</f>
        <v>41148</v>
      </c>
      <c r="P220" s="51" t="str">
        <f>C220</f>
        <v>~cdd/olddocs/Instructivos/CNWI-PRCS/CNWI-PRCS-0007  Rev. A  Generar orden de Materia Prima.docx</v>
      </c>
      <c r="Q220" s="51" t="str">
        <f>E220</f>
        <v>docx</v>
      </c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G220" t="s">
        <v>28</v>
      </c>
      <c r="AH220" s="51"/>
      <c r="AI220" s="51"/>
    </row>
    <row r="221" spans="2:35">
      <c r="B221" t="s">
        <v>1881</v>
      </c>
      <c r="C221" t="s">
        <v>3912</v>
      </c>
      <c r="D221">
        <v>4</v>
      </c>
      <c r="E221" t="s">
        <v>2797</v>
      </c>
      <c r="F221">
        <v>6</v>
      </c>
      <c r="G221">
        <v>15</v>
      </c>
      <c r="I221" t="s">
        <v>1882</v>
      </c>
      <c r="J221" s="51">
        <v>41207</v>
      </c>
      <c r="K221" t="s">
        <v>27</v>
      </c>
      <c r="L221" t="s">
        <v>1870</v>
      </c>
      <c r="M221">
        <v>3</v>
      </c>
      <c r="N221" t="str">
        <f>L221</f>
        <v>NAM\BD5C8</v>
      </c>
      <c r="O221" s="51">
        <f>J221</f>
        <v>41207</v>
      </c>
      <c r="P221" s="51" t="str">
        <f>C221</f>
        <v>~cdd/olddocs/Instructivos/CNWI-PRCS/CNWI-PRCS-0008  Rev.A Nogales Inbound Routing Guide - WI.docx</v>
      </c>
      <c r="Q221" s="51" t="str">
        <f>E221</f>
        <v>docx</v>
      </c>
      <c r="R221" s="51"/>
      <c r="S221" s="51"/>
      <c r="T221" s="51"/>
      <c r="U221" s="51"/>
      <c r="V221" s="51"/>
      <c r="W221" s="51"/>
      <c r="X221" s="51"/>
      <c r="Y221" s="51"/>
      <c r="Z221" s="51"/>
      <c r="AA221" s="51"/>
      <c r="AB221" s="51"/>
      <c r="AC221" s="51"/>
      <c r="AD221" s="51"/>
      <c r="AG221" t="s">
        <v>28</v>
      </c>
      <c r="AH221" s="51"/>
      <c r="AI221" s="51"/>
    </row>
    <row r="222" spans="2:35">
      <c r="B222" t="s">
        <v>1479</v>
      </c>
      <c r="C222" t="s">
        <v>3025</v>
      </c>
      <c r="D222">
        <v>5</v>
      </c>
      <c r="E222" t="s">
        <v>2792</v>
      </c>
      <c r="F222">
        <v>6</v>
      </c>
      <c r="G222">
        <v>15</v>
      </c>
      <c r="I222" t="s">
        <v>1480</v>
      </c>
      <c r="J222" s="51">
        <v>40563</v>
      </c>
      <c r="K222" t="s">
        <v>27</v>
      </c>
      <c r="L222" t="s">
        <v>1478</v>
      </c>
      <c r="M222">
        <v>3</v>
      </c>
      <c r="N222" t="str">
        <f>L222</f>
        <v>NAM\DEB51</v>
      </c>
      <c r="O222" s="51">
        <f>J222</f>
        <v>40563</v>
      </c>
      <c r="P222" s="51" t="str">
        <f>C222</f>
        <v>~/cdd/olddocs/Formas/CNWI-PRCS (compras)/CNWI-PRCS-F002 Formato de orden de compra .xls</v>
      </c>
      <c r="Q222" s="51" t="str">
        <f>E222</f>
        <v>xls</v>
      </c>
      <c r="R222" s="51"/>
      <c r="S222" s="51"/>
      <c r="T222" s="51"/>
      <c r="U222" s="51"/>
      <c r="V222" s="51"/>
      <c r="W222" s="51"/>
      <c r="X222" s="51"/>
      <c r="Y222" s="51"/>
      <c r="Z222" s="51"/>
      <c r="AA222" s="51"/>
      <c r="AB222" s="51"/>
      <c r="AC222" s="51"/>
      <c r="AD222" s="51"/>
      <c r="AG222" t="s">
        <v>28</v>
      </c>
      <c r="AH222" s="51"/>
      <c r="AI222" s="51"/>
    </row>
    <row r="223" spans="2:35">
      <c r="B223" t="s">
        <v>1481</v>
      </c>
      <c r="C223" t="s">
        <v>3026</v>
      </c>
      <c r="D223">
        <v>5</v>
      </c>
      <c r="E223" t="s">
        <v>2792</v>
      </c>
      <c r="F223">
        <v>6</v>
      </c>
      <c r="G223">
        <v>15</v>
      </c>
      <c r="I223" t="s">
        <v>1482</v>
      </c>
      <c r="J223" s="51">
        <v>40597</v>
      </c>
      <c r="K223" t="s">
        <v>27</v>
      </c>
      <c r="L223" t="s">
        <v>1478</v>
      </c>
      <c r="M223">
        <v>3</v>
      </c>
      <c r="N223" t="str">
        <f>L223</f>
        <v>NAM\DEB51</v>
      </c>
      <c r="O223" s="51">
        <f>J223</f>
        <v>40597</v>
      </c>
      <c r="P223" s="51" t="str">
        <f>C223</f>
        <v>~/cdd/olddocs/Formas/CNWI-PRCS (compras)/CNWI-PRCS-F003 Formato de Sol  de pago.xls</v>
      </c>
      <c r="Q223" s="51" t="str">
        <f>E223</f>
        <v>xls</v>
      </c>
      <c r="R223" s="51"/>
      <c r="S223" s="51"/>
      <c r="T223" s="51"/>
      <c r="U223" s="51"/>
      <c r="V223" s="51"/>
      <c r="W223" s="51"/>
      <c r="X223" s="51"/>
      <c r="Y223" s="51"/>
      <c r="Z223" s="51"/>
      <c r="AA223" s="51"/>
      <c r="AB223" s="51"/>
      <c r="AC223" s="51"/>
      <c r="AD223" s="51"/>
      <c r="AG223" t="s">
        <v>28</v>
      </c>
      <c r="AH223" s="51"/>
      <c r="AI223" s="51"/>
    </row>
    <row r="224" spans="2:35">
      <c r="B224" t="s">
        <v>1483</v>
      </c>
      <c r="C224" t="s">
        <v>3027</v>
      </c>
      <c r="D224">
        <v>5</v>
      </c>
      <c r="E224" t="s">
        <v>2798</v>
      </c>
      <c r="F224">
        <v>6</v>
      </c>
      <c r="G224">
        <v>15</v>
      </c>
      <c r="I224" t="s">
        <v>1484</v>
      </c>
      <c r="J224" s="51">
        <v>40610</v>
      </c>
      <c r="K224" t="s">
        <v>27</v>
      </c>
      <c r="L224" t="s">
        <v>1478</v>
      </c>
      <c r="M224">
        <v>3</v>
      </c>
      <c r="N224" t="str">
        <f>L224</f>
        <v>NAM\DEB51</v>
      </c>
      <c r="O224" s="51">
        <f>J224</f>
        <v>40610</v>
      </c>
      <c r="P224" s="51" t="str">
        <f>C224</f>
        <v>~/cdd/olddocs/Formas/CNWI-PRCS (compras)/CNWI-PRCS-F004 Alta Proveedores .XLS</v>
      </c>
      <c r="Q224" s="51" t="str">
        <f>E224</f>
        <v>XLS</v>
      </c>
      <c r="R224" s="51"/>
      <c r="S224" s="51"/>
      <c r="T224" s="51"/>
      <c r="U224" s="51"/>
      <c r="V224" s="51"/>
      <c r="W224" s="51"/>
      <c r="X224" s="51"/>
      <c r="Y224" s="51"/>
      <c r="Z224" s="51"/>
      <c r="AA224" s="51"/>
      <c r="AB224" s="51"/>
      <c r="AC224" s="51"/>
      <c r="AD224" s="51"/>
      <c r="AG224" t="s">
        <v>28</v>
      </c>
      <c r="AH224" s="51"/>
      <c r="AI224" s="51"/>
    </row>
    <row r="225" spans="2:35">
      <c r="B225" t="s">
        <v>1485</v>
      </c>
      <c r="C225" t="s">
        <v>3028</v>
      </c>
      <c r="D225">
        <v>5</v>
      </c>
      <c r="E225" t="s">
        <v>2797</v>
      </c>
      <c r="F225">
        <v>6</v>
      </c>
      <c r="G225">
        <v>15</v>
      </c>
      <c r="I225" t="s">
        <v>1486</v>
      </c>
      <c r="J225" s="51">
        <v>40631</v>
      </c>
      <c r="K225" t="s">
        <v>27</v>
      </c>
      <c r="L225" t="s">
        <v>1478</v>
      </c>
      <c r="M225">
        <v>3</v>
      </c>
      <c r="N225" t="str">
        <f>L225</f>
        <v>NAM\DEB51</v>
      </c>
      <c r="O225" s="51">
        <f>J225</f>
        <v>40631</v>
      </c>
      <c r="P225" s="51" t="str">
        <f>C225</f>
        <v>~/cdd/olddocs/Formas/CNWI-PRCS (compras)/CNWI-PRCS-F005 QUALITY CLAUSES.docx</v>
      </c>
      <c r="Q225" s="51" t="str">
        <f>E225</f>
        <v>docx</v>
      </c>
      <c r="R225" s="51"/>
      <c r="S225" s="51"/>
      <c r="T225" s="51"/>
      <c r="U225" s="51"/>
      <c r="V225" s="51"/>
      <c r="W225" s="51"/>
      <c r="X225" s="51"/>
      <c r="Y225" s="51"/>
      <c r="Z225" s="51"/>
      <c r="AA225" s="51"/>
      <c r="AB225" s="51"/>
      <c r="AC225" s="51"/>
      <c r="AD225" s="51"/>
      <c r="AG225" t="s">
        <v>28</v>
      </c>
      <c r="AH225" s="51"/>
      <c r="AI225" s="51"/>
    </row>
    <row r="226" spans="2:35">
      <c r="B226" t="s">
        <v>1487</v>
      </c>
      <c r="C226" t="s">
        <v>3029</v>
      </c>
      <c r="D226">
        <v>5</v>
      </c>
      <c r="E226" t="s">
        <v>2792</v>
      </c>
      <c r="F226">
        <v>6</v>
      </c>
      <c r="G226">
        <v>15</v>
      </c>
      <c r="I226" t="s">
        <v>1488</v>
      </c>
      <c r="J226" s="51">
        <v>40658</v>
      </c>
      <c r="K226" t="s">
        <v>27</v>
      </c>
      <c r="L226" t="s">
        <v>1478</v>
      </c>
      <c r="M226">
        <v>3</v>
      </c>
      <c r="N226" t="str">
        <f>L226</f>
        <v>NAM\DEB51</v>
      </c>
      <c r="O226" s="51">
        <f>J226</f>
        <v>40658</v>
      </c>
      <c r="P226" s="51" t="str">
        <f>C226</f>
        <v>~/cdd/olddocs/Formas/CNWI-PRCS (compras)/CNWI-PRCS-F006 Vendors autorizados.xls</v>
      </c>
      <c r="Q226" s="51" t="str">
        <f>E226</f>
        <v>xls</v>
      </c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G226" t="s">
        <v>28</v>
      </c>
      <c r="AH226" s="51"/>
      <c r="AI226" s="51"/>
    </row>
    <row r="227" spans="2:35">
      <c r="B227" t="s">
        <v>1489</v>
      </c>
      <c r="C227" t="s">
        <v>3030</v>
      </c>
      <c r="D227">
        <v>5</v>
      </c>
      <c r="E227" t="s">
        <v>2791</v>
      </c>
      <c r="F227">
        <v>6</v>
      </c>
      <c r="G227">
        <v>15</v>
      </c>
      <c r="I227" t="s">
        <v>1490</v>
      </c>
      <c r="J227" s="51">
        <v>40631</v>
      </c>
      <c r="K227" t="s">
        <v>27</v>
      </c>
      <c r="L227" t="s">
        <v>1478</v>
      </c>
      <c r="M227">
        <v>3</v>
      </c>
      <c r="N227" t="str">
        <f>L227</f>
        <v>NAM\DEB51</v>
      </c>
      <c r="O227" s="51">
        <f>J227</f>
        <v>40631</v>
      </c>
      <c r="P227" s="51" t="str">
        <f>C227</f>
        <v>~/cdd/olddocs/Formas/CNWI-PRCS (compras)/CNWI-PRCS-F007 Proveedores Aprovados MRO.pdf</v>
      </c>
      <c r="Q227" s="51" t="str">
        <f>E227</f>
        <v>pdf</v>
      </c>
      <c r="R227" s="51"/>
      <c r="S227" s="51"/>
      <c r="T227" s="51"/>
      <c r="U227" s="51"/>
      <c r="V227" s="51"/>
      <c r="W227" s="51"/>
      <c r="X227" s="51"/>
      <c r="Y227" s="51"/>
      <c r="Z227" s="51"/>
      <c r="AA227" s="51"/>
      <c r="AB227" s="51"/>
      <c r="AC227" s="51"/>
      <c r="AD227" s="51"/>
      <c r="AG227" t="s">
        <v>28</v>
      </c>
      <c r="AH227" s="51"/>
      <c r="AI227" s="51"/>
    </row>
    <row r="228" spans="2:35">
      <c r="B228" t="s">
        <v>1491</v>
      </c>
      <c r="C228" t="s">
        <v>3031</v>
      </c>
      <c r="D228">
        <v>5</v>
      </c>
      <c r="E228" t="s">
        <v>2792</v>
      </c>
      <c r="F228">
        <v>6</v>
      </c>
      <c r="G228">
        <v>15</v>
      </c>
      <c r="I228" t="s">
        <v>1492</v>
      </c>
      <c r="J228" s="51">
        <v>40940</v>
      </c>
      <c r="K228" t="s">
        <v>27</v>
      </c>
      <c r="L228" t="s">
        <v>1478</v>
      </c>
      <c r="M228">
        <v>3</v>
      </c>
      <c r="N228" t="str">
        <f>L228</f>
        <v>NAM\DEB51</v>
      </c>
      <c r="O228" s="51">
        <f>J228</f>
        <v>40940</v>
      </c>
      <c r="P228" s="51" t="str">
        <f>C228</f>
        <v>~/cdd/olddocs/Formas/CNWI-PRCS (compras)/CNWI-PRCS-F008 Evaluacion de Proveedores MRO.xls</v>
      </c>
      <c r="Q228" s="51" t="str">
        <f>E228</f>
        <v>xls</v>
      </c>
      <c r="R228" s="51"/>
      <c r="S228" s="51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  <c r="AG228" t="s">
        <v>28</v>
      </c>
      <c r="AH228" s="51"/>
      <c r="AI228" s="51"/>
    </row>
    <row r="229" spans="2:35">
      <c r="B229" t="s">
        <v>1493</v>
      </c>
      <c r="C229" t="s">
        <v>3032</v>
      </c>
      <c r="D229">
        <v>5</v>
      </c>
      <c r="E229" t="s">
        <v>2792</v>
      </c>
      <c r="F229">
        <v>6</v>
      </c>
      <c r="G229">
        <v>15</v>
      </c>
      <c r="I229" t="s">
        <v>1494</v>
      </c>
      <c r="J229" s="51">
        <v>40940</v>
      </c>
      <c r="K229" t="s">
        <v>27</v>
      </c>
      <c r="L229" t="s">
        <v>1478</v>
      </c>
      <c r="M229">
        <v>3</v>
      </c>
      <c r="N229" t="str">
        <f>L229</f>
        <v>NAM\DEB51</v>
      </c>
      <c r="O229" s="51">
        <f>J229</f>
        <v>40940</v>
      </c>
      <c r="P229" s="51" t="str">
        <f>C229</f>
        <v>~/cdd/olddocs/Formas/CNWI-PRCS (compras)/CNWI-PRCS-F009 Listado de evaluacion de proveedores MRO.xls</v>
      </c>
      <c r="Q229" s="51" t="str">
        <f>E229</f>
        <v>xls</v>
      </c>
      <c r="R229" s="51"/>
      <c r="S229" s="51"/>
      <c r="T229" s="51"/>
      <c r="U229" s="51"/>
      <c r="V229" s="51"/>
      <c r="W229" s="51"/>
      <c r="X229" s="51"/>
      <c r="Y229" s="51"/>
      <c r="Z229" s="51"/>
      <c r="AA229" s="51"/>
      <c r="AB229" s="51"/>
      <c r="AC229" s="51"/>
      <c r="AD229" s="51"/>
      <c r="AG229" t="s">
        <v>28</v>
      </c>
      <c r="AH229" s="51"/>
      <c r="AI229" s="51"/>
    </row>
    <row r="230" spans="2:35">
      <c r="B230" t="s">
        <v>1495</v>
      </c>
      <c r="C230" t="s">
        <v>3033</v>
      </c>
      <c r="D230">
        <v>5</v>
      </c>
      <c r="E230" t="s">
        <v>2792</v>
      </c>
      <c r="F230">
        <v>6</v>
      </c>
      <c r="G230">
        <v>15</v>
      </c>
      <c r="I230" t="s">
        <v>1496</v>
      </c>
      <c r="J230" s="51">
        <v>40813</v>
      </c>
      <c r="K230" t="s">
        <v>27</v>
      </c>
      <c r="L230" t="s">
        <v>1478</v>
      </c>
      <c r="M230">
        <v>3</v>
      </c>
      <c r="N230" t="str">
        <f>L230</f>
        <v>NAM\DEB51</v>
      </c>
      <c r="O230" s="51">
        <f>J230</f>
        <v>40813</v>
      </c>
      <c r="P230" s="51" t="str">
        <f>C230</f>
        <v>~/cdd/olddocs/Formas/CNWI-PRCS (compras)/CNWI-PRCS-F010  Inventory Approval Process.xls</v>
      </c>
      <c r="Q230" s="51" t="str">
        <f>E230</f>
        <v>xls</v>
      </c>
      <c r="R230" s="51"/>
      <c r="S230" s="51"/>
      <c r="T230" s="51"/>
      <c r="U230" s="51"/>
      <c r="V230" s="51"/>
      <c r="W230" s="51"/>
      <c r="X230" s="51"/>
      <c r="Y230" s="51"/>
      <c r="Z230" s="51"/>
      <c r="AA230" s="51"/>
      <c r="AB230" s="51"/>
      <c r="AC230" s="51"/>
      <c r="AD230" s="51"/>
      <c r="AG230" t="s">
        <v>28</v>
      </c>
      <c r="AH230" s="51"/>
      <c r="AI230" s="51"/>
    </row>
    <row r="231" spans="2:35">
      <c r="B231" t="s">
        <v>2324</v>
      </c>
      <c r="C231" t="s">
        <v>3034</v>
      </c>
      <c r="D231">
        <v>5</v>
      </c>
      <c r="E231" t="s">
        <v>2792</v>
      </c>
      <c r="F231">
        <v>5</v>
      </c>
      <c r="I231" t="s">
        <v>2326</v>
      </c>
      <c r="J231" s="51">
        <v>41053</v>
      </c>
      <c r="K231" t="s">
        <v>38</v>
      </c>
      <c r="L231" t="s">
        <v>2284</v>
      </c>
      <c r="M231">
        <v>3</v>
      </c>
      <c r="N231" t="str">
        <f>L231</f>
        <v>NAM\MA6689</v>
      </c>
      <c r="O231" s="51">
        <f>J231</f>
        <v>41053</v>
      </c>
      <c r="P231" s="51" t="str">
        <f>C231</f>
        <v>~/cdd/olddocs/Formas/CNWI-PROD ( Produccion )/CNWI-PROD-F001 Curado de partes de Horneado.xls</v>
      </c>
      <c r="Q231" s="51" t="str">
        <f>E231</f>
        <v>xls</v>
      </c>
      <c r="R231" s="51"/>
      <c r="S231" s="51"/>
      <c r="T231" s="51"/>
      <c r="U231" s="51"/>
      <c r="V231" s="51"/>
      <c r="W231" s="51"/>
      <c r="X231" s="51"/>
      <c r="Y231" s="51"/>
      <c r="Z231" s="51"/>
      <c r="AA231" s="51"/>
      <c r="AB231" s="51"/>
      <c r="AC231" s="51"/>
      <c r="AD231" s="51"/>
      <c r="AG231" t="s">
        <v>28</v>
      </c>
      <c r="AH231" s="51"/>
      <c r="AI231" s="51"/>
    </row>
    <row r="232" spans="2:35">
      <c r="B232" t="s">
        <v>2327</v>
      </c>
      <c r="C232" t="s">
        <v>3036</v>
      </c>
      <c r="D232">
        <v>5</v>
      </c>
      <c r="E232" t="s">
        <v>2792</v>
      </c>
      <c r="F232">
        <v>5</v>
      </c>
      <c r="I232" t="s">
        <v>2328</v>
      </c>
      <c r="J232" s="51">
        <v>40645</v>
      </c>
      <c r="K232" t="s">
        <v>27</v>
      </c>
      <c r="L232" t="s">
        <v>2284</v>
      </c>
      <c r="M232">
        <v>3</v>
      </c>
      <c r="N232" t="str">
        <f>L232</f>
        <v>NAM\MA6689</v>
      </c>
      <c r="O232" s="51">
        <f>J232</f>
        <v>40645</v>
      </c>
      <c r="P232" s="51" t="str">
        <f>C232</f>
        <v>~/cdd/olddocs/Formas/CNWI-PROD ( Produccion )/CNWI-PROD-F002 ETIQUETA ITRON .xls</v>
      </c>
      <c r="Q232" s="51" t="str">
        <f>E232</f>
        <v>xls</v>
      </c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G232" t="s">
        <v>28</v>
      </c>
      <c r="AH232" s="51"/>
      <c r="AI232" s="51"/>
    </row>
    <row r="233" spans="2:35">
      <c r="B233" t="s">
        <v>2329</v>
      </c>
      <c r="C233" t="s">
        <v>3037</v>
      </c>
      <c r="D233">
        <v>5</v>
      </c>
      <c r="E233" t="s">
        <v>2792</v>
      </c>
      <c r="F233">
        <v>5</v>
      </c>
      <c r="I233" t="s">
        <v>2330</v>
      </c>
      <c r="J233" s="51">
        <v>40645</v>
      </c>
      <c r="K233" t="s">
        <v>27</v>
      </c>
      <c r="L233" t="s">
        <v>2284</v>
      </c>
      <c r="M233">
        <v>3</v>
      </c>
      <c r="N233" t="str">
        <f>L233</f>
        <v>NAM\MA6689</v>
      </c>
      <c r="O233" s="51">
        <f>J233</f>
        <v>40645</v>
      </c>
      <c r="P233" s="51" t="str">
        <f>C233</f>
        <v>~/cdd/olddocs/Formas/CNWI-PROD ( Produccion )/CNWI-PROD-F003 ETIQUETAS AMSAFE.xls</v>
      </c>
      <c r="Q233" s="51" t="str">
        <f>E233</f>
        <v>xls</v>
      </c>
      <c r="R233" s="51"/>
      <c r="S233" s="51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  <c r="AG233" t="s">
        <v>28</v>
      </c>
      <c r="AH233" s="51"/>
      <c r="AI233" s="51"/>
    </row>
    <row r="234" spans="2:35">
      <c r="B234" t="s">
        <v>2331</v>
      </c>
      <c r="C234" t="s">
        <v>3038</v>
      </c>
      <c r="D234">
        <v>5</v>
      </c>
      <c r="E234" t="s">
        <v>2794</v>
      </c>
      <c r="F234">
        <v>5</v>
      </c>
      <c r="I234" t="s">
        <v>2332</v>
      </c>
      <c r="J234" s="51">
        <v>40651</v>
      </c>
      <c r="K234" t="s">
        <v>27</v>
      </c>
      <c r="L234" t="s">
        <v>2284</v>
      </c>
      <c r="M234">
        <v>3</v>
      </c>
      <c r="N234" t="str">
        <f>L234</f>
        <v>NAM\MA6689</v>
      </c>
      <c r="O234" s="51">
        <f>J234</f>
        <v>40651</v>
      </c>
      <c r="P234" s="51" t="str">
        <f>C234</f>
        <v>~/cdd/olddocs/Formas/CNWI-PROD ( Produccion )/CNWI-PROD-F004 lot control traveler.doc</v>
      </c>
      <c r="Q234" s="51" t="str">
        <f>E234</f>
        <v>doc</v>
      </c>
      <c r="R234" s="51"/>
      <c r="S234" s="51"/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  <c r="AG234" t="s">
        <v>28</v>
      </c>
      <c r="AH234" s="51"/>
      <c r="AI234" s="51"/>
    </row>
    <row r="235" spans="2:35">
      <c r="B235" t="s">
        <v>2333</v>
      </c>
      <c r="C235" t="s">
        <v>3039</v>
      </c>
      <c r="D235">
        <v>5</v>
      </c>
      <c r="E235" t="s">
        <v>2792</v>
      </c>
      <c r="F235">
        <v>5</v>
      </c>
      <c r="I235" t="s">
        <v>2334</v>
      </c>
      <c r="J235" s="51" t="s">
        <v>503</v>
      </c>
      <c r="K235" t="s">
        <v>46</v>
      </c>
      <c r="L235" t="s">
        <v>2284</v>
      </c>
      <c r="M235">
        <v>3</v>
      </c>
      <c r="N235" t="str">
        <f>L235</f>
        <v>NAM\MA6689</v>
      </c>
      <c r="O235" s="51" t="str">
        <f>J235</f>
        <v>04/21/2011</v>
      </c>
      <c r="P235" s="51" t="str">
        <f>C235</f>
        <v>~/cdd/olddocs/Formas/CNWI-PROD ( Produccion )/CNWI-PROD-F005 Wire pro viking division.xls</v>
      </c>
      <c r="Q235" s="51" t="str">
        <f>E235</f>
        <v>xls</v>
      </c>
      <c r="R235" s="51"/>
      <c r="S235" s="51"/>
      <c r="T235" s="51"/>
      <c r="U235" s="51"/>
      <c r="V235" s="51"/>
      <c r="W235" s="51"/>
      <c r="X235" s="51"/>
      <c r="Y235" s="51"/>
      <c r="Z235" s="51"/>
      <c r="AA235" s="51"/>
      <c r="AB235" s="51"/>
      <c r="AC235" s="51"/>
      <c r="AD235" s="51"/>
      <c r="AG235" t="s">
        <v>28</v>
      </c>
      <c r="AH235" s="51"/>
      <c r="AI235" s="51"/>
    </row>
    <row r="236" spans="2:35">
      <c r="B236" t="s">
        <v>2335</v>
      </c>
      <c r="C236" t="s">
        <v>3040</v>
      </c>
      <c r="D236">
        <v>5</v>
      </c>
      <c r="E236" t="s">
        <v>2792</v>
      </c>
      <c r="F236">
        <v>5</v>
      </c>
      <c r="I236" t="s">
        <v>2336</v>
      </c>
      <c r="J236" s="51">
        <v>41057</v>
      </c>
      <c r="K236" t="s">
        <v>159</v>
      </c>
      <c r="L236" t="s">
        <v>2284</v>
      </c>
      <c r="M236">
        <v>3</v>
      </c>
      <c r="N236" t="str">
        <f>L236</f>
        <v>NAM\MA6689</v>
      </c>
      <c r="O236" s="51">
        <f>J236</f>
        <v>41057</v>
      </c>
      <c r="P236" s="51" t="str">
        <f>C236</f>
        <v>~/cdd/olddocs/Formas/CNWI-PROD ( Produccion )/CNWI-PROD-F006 Temperatura y tiempos de curado.xls</v>
      </c>
      <c r="Q236" s="51" t="str">
        <f>E236</f>
        <v>xls</v>
      </c>
      <c r="R236" s="51"/>
      <c r="S236" s="51"/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51"/>
      <c r="AG236" t="s">
        <v>28</v>
      </c>
      <c r="AH236" s="51"/>
      <c r="AI236" s="51"/>
    </row>
    <row r="237" spans="2:35">
      <c r="B237" t="s">
        <v>2337</v>
      </c>
      <c r="C237" t="s">
        <v>3041</v>
      </c>
      <c r="D237">
        <v>5</v>
      </c>
      <c r="E237" t="s">
        <v>2792</v>
      </c>
      <c r="F237">
        <v>5</v>
      </c>
      <c r="I237" t="s">
        <v>2338</v>
      </c>
      <c r="J237" s="51" t="s">
        <v>573</v>
      </c>
      <c r="K237" t="s">
        <v>27</v>
      </c>
      <c r="L237" t="s">
        <v>2284</v>
      </c>
      <c r="M237">
        <v>3</v>
      </c>
      <c r="N237" t="str">
        <f>L237</f>
        <v>NAM\MA6689</v>
      </c>
      <c r="O237" s="51" t="str">
        <f>J237</f>
        <v>04/25/2011</v>
      </c>
      <c r="P237" s="51" t="str">
        <f>C237</f>
        <v>~/cdd/olddocs/Formas/CNWI-PROD ( Produccion )/CNWI-PROD-F007 Temperaturas de moldeado.xls</v>
      </c>
      <c r="Q237" s="51" t="str">
        <f>E237</f>
        <v>xls</v>
      </c>
      <c r="R237" s="51"/>
      <c r="S237" s="51"/>
      <c r="T237" s="51"/>
      <c r="U237" s="51"/>
      <c r="V237" s="51"/>
      <c r="W237" s="51"/>
      <c r="X237" s="51"/>
      <c r="Y237" s="51"/>
      <c r="Z237" s="51"/>
      <c r="AA237" s="51"/>
      <c r="AB237" s="51"/>
      <c r="AC237" s="51"/>
      <c r="AD237" s="51"/>
      <c r="AG237" t="s">
        <v>28</v>
      </c>
      <c r="AH237" s="51"/>
      <c r="AI237" s="51"/>
    </row>
    <row r="238" spans="2:35">
      <c r="B238" t="s">
        <v>2339</v>
      </c>
      <c r="C238" t="s">
        <v>3042</v>
      </c>
      <c r="D238">
        <v>5</v>
      </c>
      <c r="E238" t="s">
        <v>2792</v>
      </c>
      <c r="F238">
        <v>5</v>
      </c>
      <c r="I238" t="s">
        <v>2340</v>
      </c>
      <c r="J238" s="51">
        <v>40668</v>
      </c>
      <c r="K238" t="s">
        <v>27</v>
      </c>
      <c r="L238" t="s">
        <v>2284</v>
      </c>
      <c r="M238">
        <v>3</v>
      </c>
      <c r="N238" t="str">
        <f>L238</f>
        <v>NAM\MA6689</v>
      </c>
      <c r="O238" s="51">
        <f>J238</f>
        <v>40668</v>
      </c>
      <c r="P238" s="51" t="str">
        <f>C238</f>
        <v>~/cdd/olddocs/Formas/CNWI-PROD ( Produccion )/CNWI-PROD-F008 ETIQUETA bacc`s.xls</v>
      </c>
      <c r="Q238" s="51" t="str">
        <f>E238</f>
        <v>xls</v>
      </c>
      <c r="R238" s="51"/>
      <c r="S238" s="51"/>
      <c r="T238" s="51"/>
      <c r="U238" s="51"/>
      <c r="V238" s="51"/>
      <c r="W238" s="51"/>
      <c r="X238" s="51"/>
      <c r="Y238" s="51"/>
      <c r="Z238" s="51"/>
      <c r="AA238" s="51"/>
      <c r="AB238" s="51"/>
      <c r="AC238" s="51"/>
      <c r="AD238" s="51"/>
      <c r="AG238" t="s">
        <v>28</v>
      </c>
      <c r="AH238" s="51"/>
      <c r="AI238" s="51"/>
    </row>
    <row r="239" spans="2:35">
      <c r="B239" t="s">
        <v>2341</v>
      </c>
      <c r="C239" t="s">
        <v>3043</v>
      </c>
      <c r="D239">
        <v>5</v>
      </c>
      <c r="E239" t="s">
        <v>2792</v>
      </c>
      <c r="F239">
        <v>5</v>
      </c>
      <c r="I239" t="s">
        <v>2342</v>
      </c>
      <c r="J239" s="51">
        <v>40668</v>
      </c>
      <c r="K239" t="s">
        <v>27</v>
      </c>
      <c r="L239" t="s">
        <v>2284</v>
      </c>
      <c r="M239">
        <v>3</v>
      </c>
      <c r="N239" t="str">
        <f>L239</f>
        <v>NAM\MA6689</v>
      </c>
      <c r="O239" s="51">
        <f>J239</f>
        <v>40668</v>
      </c>
      <c r="P239" s="51" t="str">
        <f>C239</f>
        <v>~/cdd/olddocs/Formas/CNWI-PROD ( Produccion )/CNWI-PROD-F009 Etiqueta bacc´s 1.xls</v>
      </c>
      <c r="Q239" s="51" t="str">
        <f>E239</f>
        <v>xls</v>
      </c>
      <c r="R239" s="51"/>
      <c r="S239" s="51"/>
      <c r="T239" s="51"/>
      <c r="U239" s="51"/>
      <c r="V239" s="51"/>
      <c r="W239" s="51"/>
      <c r="X239" s="51"/>
      <c r="Y239" s="51"/>
      <c r="Z239" s="51"/>
      <c r="AA239" s="51"/>
      <c r="AB239" s="51"/>
      <c r="AC239" s="51"/>
      <c r="AD239" s="51"/>
      <c r="AG239" t="s">
        <v>28</v>
      </c>
      <c r="AH239" s="51"/>
      <c r="AI239" s="51"/>
    </row>
    <row r="240" spans="2:35">
      <c r="B240" t="s">
        <v>2343</v>
      </c>
      <c r="C240" t="s">
        <v>3044</v>
      </c>
      <c r="D240">
        <v>5</v>
      </c>
      <c r="E240" t="s">
        <v>2792</v>
      </c>
      <c r="F240">
        <v>5</v>
      </c>
      <c r="I240" t="s">
        <v>2344</v>
      </c>
      <c r="J240" s="51">
        <v>40668</v>
      </c>
      <c r="K240" t="s">
        <v>27</v>
      </c>
      <c r="L240" t="s">
        <v>2284</v>
      </c>
      <c r="M240">
        <v>3</v>
      </c>
      <c r="N240" t="str">
        <f>L240</f>
        <v>NAM\MA6689</v>
      </c>
      <c r="O240" s="51">
        <f>J240</f>
        <v>40668</v>
      </c>
      <c r="P240" s="51" t="str">
        <f>C240</f>
        <v>~/cdd/olddocs/Formas/CNWI-PROD ( Produccion )/CNWI-PROD-F010 ETIQUETA CONTACTO.xls</v>
      </c>
      <c r="Q240" s="51" t="str">
        <f>E240</f>
        <v>xls</v>
      </c>
      <c r="R240" s="51"/>
      <c r="S240" s="51"/>
      <c r="T240" s="51"/>
      <c r="U240" s="51"/>
      <c r="V240" s="51"/>
      <c r="W240" s="51"/>
      <c r="X240" s="51"/>
      <c r="Y240" s="51"/>
      <c r="Z240" s="51"/>
      <c r="AA240" s="51"/>
      <c r="AB240" s="51"/>
      <c r="AC240" s="51"/>
      <c r="AD240" s="51"/>
      <c r="AG240" t="s">
        <v>28</v>
      </c>
      <c r="AH240" s="51"/>
      <c r="AI240" s="51"/>
    </row>
    <row r="241" spans="2:35">
      <c r="B241" t="s">
        <v>2345</v>
      </c>
      <c r="C241" t="s">
        <v>3045</v>
      </c>
      <c r="D241">
        <v>5</v>
      </c>
      <c r="E241" t="s">
        <v>2792</v>
      </c>
      <c r="F241">
        <v>5</v>
      </c>
      <c r="I241" t="s">
        <v>2346</v>
      </c>
      <c r="J241" s="51">
        <v>40668</v>
      </c>
      <c r="K241" t="s">
        <v>27</v>
      </c>
      <c r="L241" t="s">
        <v>2284</v>
      </c>
      <c r="M241">
        <v>3</v>
      </c>
      <c r="N241" t="str">
        <f>L241</f>
        <v>NAM\MA6689</v>
      </c>
      <c r="O241" s="51">
        <f>J241</f>
        <v>40668</v>
      </c>
      <c r="P241" s="51" t="str">
        <f>C241</f>
        <v>~/cdd/olddocs/Formas/CNWI-PROD ( Produccion )/CNWI-PROD-F011 Etiqueta lighting 2370.xls</v>
      </c>
      <c r="Q241" s="51" t="str">
        <f>E241</f>
        <v>xls</v>
      </c>
      <c r="R241" s="51"/>
      <c r="S241" s="51"/>
      <c r="T241" s="51"/>
      <c r="U241" s="51"/>
      <c r="V241" s="51"/>
      <c r="W241" s="51"/>
      <c r="X241" s="51"/>
      <c r="Y241" s="51"/>
      <c r="Z241" s="51"/>
      <c r="AA241" s="51"/>
      <c r="AB241" s="51"/>
      <c r="AC241" s="51"/>
      <c r="AD241" s="51"/>
      <c r="AG241" t="s">
        <v>28</v>
      </c>
      <c r="AH241" s="51"/>
      <c r="AI241" s="51"/>
    </row>
    <row r="242" spans="2:35">
      <c r="B242" t="s">
        <v>2347</v>
      </c>
      <c r="C242" t="s">
        <v>3046</v>
      </c>
      <c r="D242">
        <v>5</v>
      </c>
      <c r="E242" t="s">
        <v>2790</v>
      </c>
      <c r="F242">
        <v>5</v>
      </c>
      <c r="I242" t="s">
        <v>2348</v>
      </c>
      <c r="J242" s="51">
        <v>40668</v>
      </c>
      <c r="K242" t="s">
        <v>46</v>
      </c>
      <c r="L242" t="s">
        <v>2284</v>
      </c>
      <c r="M242">
        <v>3</v>
      </c>
      <c r="N242" t="str">
        <f>L242</f>
        <v>NAM\MA6689</v>
      </c>
      <c r="O242" s="51">
        <f>J242</f>
        <v>40668</v>
      </c>
      <c r="P242" s="51" t="str">
        <f>C242</f>
        <v>~/cdd/olddocs/Formas/CNWI-PROD ( Produccion )/CNWI-PROD-F012 Etiqueta lighting 3004.xlsx</v>
      </c>
      <c r="Q242" s="51" t="str">
        <f>E242</f>
        <v>xlsx</v>
      </c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/>
      <c r="AC242" s="51"/>
      <c r="AD242" s="51"/>
      <c r="AG242" t="s">
        <v>28</v>
      </c>
      <c r="AH242" s="51"/>
      <c r="AI242" s="51"/>
    </row>
    <row r="243" spans="2:35">
      <c r="B243" t="s">
        <v>2349</v>
      </c>
      <c r="C243" t="s">
        <v>3047</v>
      </c>
      <c r="D243">
        <v>5</v>
      </c>
      <c r="E243" t="s">
        <v>2792</v>
      </c>
      <c r="F243">
        <v>5</v>
      </c>
      <c r="I243" t="s">
        <v>2350</v>
      </c>
      <c r="J243" s="51">
        <v>40668</v>
      </c>
      <c r="K243" t="s">
        <v>46</v>
      </c>
      <c r="L243" t="s">
        <v>2284</v>
      </c>
      <c r="M243">
        <v>3</v>
      </c>
      <c r="N243" t="str">
        <f>L243</f>
        <v>NAM\MA6689</v>
      </c>
      <c r="O243" s="51">
        <f>J243</f>
        <v>40668</v>
      </c>
      <c r="P243" s="51" t="str">
        <f>C243</f>
        <v>~/cdd/olddocs/Formas/CNWI-PROD ( Produccion )/CNWI-PROD-F013 Etiqueta macdonalds.xls</v>
      </c>
      <c r="Q243" s="51" t="str">
        <f>E243</f>
        <v>xls</v>
      </c>
      <c r="R243" s="51"/>
      <c r="S243" s="51"/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  <c r="AG243" t="s">
        <v>28</v>
      </c>
      <c r="AH243" s="51"/>
      <c r="AI243" s="51"/>
    </row>
    <row r="244" spans="2:35">
      <c r="B244" t="s">
        <v>2351</v>
      </c>
      <c r="C244" t="s">
        <v>3048</v>
      </c>
      <c r="D244">
        <v>5</v>
      </c>
      <c r="E244" t="s">
        <v>2792</v>
      </c>
      <c r="F244">
        <v>5</v>
      </c>
      <c r="I244" t="s">
        <v>2352</v>
      </c>
      <c r="J244" s="51">
        <v>40668</v>
      </c>
      <c r="K244" t="s">
        <v>46</v>
      </c>
      <c r="L244" t="s">
        <v>2284</v>
      </c>
      <c r="M244">
        <v>3</v>
      </c>
      <c r="N244" t="str">
        <f>L244</f>
        <v>NAM\MA6689</v>
      </c>
      <c r="O244" s="51">
        <f>J244</f>
        <v>40668</v>
      </c>
      <c r="P244" s="51" t="str">
        <f>C244</f>
        <v>~/cdd/olddocs/Formas/CNWI-PROD ( Produccion )/CNWI-PROD-F014 Etiqueta relays.xls</v>
      </c>
      <c r="Q244" s="51" t="str">
        <f>E244</f>
        <v>xls</v>
      </c>
      <c r="R244" s="51"/>
      <c r="S244" s="51"/>
      <c r="T244" s="51"/>
      <c r="U244" s="51"/>
      <c r="V244" s="51"/>
      <c r="W244" s="51"/>
      <c r="X244" s="51"/>
      <c r="Y244" s="51"/>
      <c r="Z244" s="51"/>
      <c r="AA244" s="51"/>
      <c r="AB244" s="51"/>
      <c r="AC244" s="51"/>
      <c r="AD244" s="51"/>
      <c r="AG244" t="s">
        <v>28</v>
      </c>
      <c r="AH244" s="51"/>
      <c r="AI244" s="51"/>
    </row>
    <row r="245" spans="2:35">
      <c r="B245" t="s">
        <v>2353</v>
      </c>
      <c r="C245" t="s">
        <v>3035</v>
      </c>
      <c r="D245">
        <v>5</v>
      </c>
      <c r="E245" t="s">
        <v>2792</v>
      </c>
      <c r="F245">
        <v>5</v>
      </c>
      <c r="I245" t="s">
        <v>2354</v>
      </c>
      <c r="J245" s="51">
        <v>40668</v>
      </c>
      <c r="K245" t="s">
        <v>46</v>
      </c>
      <c r="L245" t="s">
        <v>2284</v>
      </c>
      <c r="M245">
        <v>3</v>
      </c>
      <c r="N245" t="str">
        <f>L245</f>
        <v>NAM\MA6689</v>
      </c>
      <c r="O245" s="51">
        <f>J245</f>
        <v>40668</v>
      </c>
      <c r="P245" s="51" t="str">
        <f>C245</f>
        <v>~/cdd/olddocs/Formas/CNWI-PROD ( Produccion )/CNWI-PROD-F0015 Etiqueta relays1.xls</v>
      </c>
      <c r="Q245" s="51" t="str">
        <f>E245</f>
        <v>xls</v>
      </c>
      <c r="R245" s="51"/>
      <c r="S245" s="51"/>
      <c r="T245" s="51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  <c r="AG245" t="s">
        <v>28</v>
      </c>
      <c r="AH245" s="51"/>
      <c r="AI245" s="51"/>
    </row>
    <row r="246" spans="2:35">
      <c r="B246" t="s">
        <v>2355</v>
      </c>
      <c r="C246" t="s">
        <v>3049</v>
      </c>
      <c r="D246">
        <v>5</v>
      </c>
      <c r="E246" t="s">
        <v>2792</v>
      </c>
      <c r="F246">
        <v>5</v>
      </c>
      <c r="I246" t="s">
        <v>2356</v>
      </c>
      <c r="J246" s="51">
        <v>40668</v>
      </c>
      <c r="K246" t="s">
        <v>46</v>
      </c>
      <c r="L246" t="s">
        <v>2284</v>
      </c>
      <c r="M246">
        <v>3</v>
      </c>
      <c r="N246" t="str">
        <f>L246</f>
        <v>NAM\MA6689</v>
      </c>
      <c r="O246" s="51">
        <f>J246</f>
        <v>40668</v>
      </c>
      <c r="P246" s="51" t="str">
        <f>C246</f>
        <v>~/cdd/olddocs/Formas/CNWI-PROD ( Produccion )/CNWI-PROD-F016 Etiqueta relays 2.xls</v>
      </c>
      <c r="Q246" s="51" t="str">
        <f>E246</f>
        <v>xls</v>
      </c>
      <c r="R246" s="51"/>
      <c r="S246" s="51"/>
      <c r="T246" s="51"/>
      <c r="U246" s="51"/>
      <c r="V246" s="51"/>
      <c r="W246" s="51"/>
      <c r="X246" s="51"/>
      <c r="Y246" s="51"/>
      <c r="Z246" s="51"/>
      <c r="AA246" s="51"/>
      <c r="AB246" s="51"/>
      <c r="AC246" s="51"/>
      <c r="AD246" s="51"/>
      <c r="AG246" t="s">
        <v>28</v>
      </c>
      <c r="AH246" s="51"/>
      <c r="AI246" s="51"/>
    </row>
    <row r="247" spans="2:35">
      <c r="B247" t="s">
        <v>2357</v>
      </c>
      <c r="C247" t="s">
        <v>3050</v>
      </c>
      <c r="D247">
        <v>5</v>
      </c>
      <c r="E247" t="s">
        <v>2792</v>
      </c>
      <c r="F247">
        <v>5</v>
      </c>
      <c r="I247" t="s">
        <v>2358</v>
      </c>
      <c r="J247" s="51">
        <v>40668</v>
      </c>
      <c r="K247" t="s">
        <v>46</v>
      </c>
      <c r="L247" t="s">
        <v>2284</v>
      </c>
      <c r="M247">
        <v>3</v>
      </c>
      <c r="N247" t="str">
        <f>L247</f>
        <v>NAM\MA6689</v>
      </c>
      <c r="O247" s="51">
        <f>J247</f>
        <v>40668</v>
      </c>
      <c r="P247" s="51" t="str">
        <f>C247</f>
        <v>~/cdd/olddocs/Formas/CNWI-PROD ( Produccion )/CNWI-PROD-F017 Etiqueta relays 3.xls</v>
      </c>
      <c r="Q247" s="51" t="str">
        <f>E247</f>
        <v>xls</v>
      </c>
      <c r="R247" s="51"/>
      <c r="S247" s="51"/>
      <c r="T247" s="51"/>
      <c r="U247" s="51"/>
      <c r="V247" s="51"/>
      <c r="W247" s="51"/>
      <c r="X247" s="51"/>
      <c r="Y247" s="51"/>
      <c r="Z247" s="51"/>
      <c r="AA247" s="51"/>
      <c r="AB247" s="51"/>
      <c r="AC247" s="51"/>
      <c r="AD247" s="51"/>
      <c r="AG247" t="s">
        <v>28</v>
      </c>
      <c r="AH247" s="51"/>
      <c r="AI247" s="51"/>
    </row>
    <row r="248" spans="2:35">
      <c r="B248" t="s">
        <v>2359</v>
      </c>
      <c r="C248" t="s">
        <v>3051</v>
      </c>
      <c r="D248">
        <v>5</v>
      </c>
      <c r="E248" t="s">
        <v>2792</v>
      </c>
      <c r="F248">
        <v>5</v>
      </c>
      <c r="I248" t="s">
        <v>2360</v>
      </c>
      <c r="J248" s="51">
        <v>40668</v>
      </c>
      <c r="K248" t="s">
        <v>46</v>
      </c>
      <c r="L248" t="s">
        <v>2284</v>
      </c>
      <c r="M248">
        <v>3</v>
      </c>
      <c r="N248" t="str">
        <f>L248</f>
        <v>NAM\MA6689</v>
      </c>
      <c r="O248" s="51">
        <f>J248</f>
        <v>40668</v>
      </c>
      <c r="P248" s="51" t="str">
        <f>C248</f>
        <v>~/cdd/olddocs/Formas/CNWI-PROD ( Produccion )/CNWI-PROD-F018 Etiqueta relays 4.xls</v>
      </c>
      <c r="Q248" s="51" t="str">
        <f>E248</f>
        <v>xls</v>
      </c>
      <c r="R248" s="51"/>
      <c r="S248" s="51"/>
      <c r="T248" s="51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  <c r="AG248" t="s">
        <v>28</v>
      </c>
      <c r="AH248" s="51"/>
      <c r="AI248" s="51"/>
    </row>
    <row r="249" spans="2:35">
      <c r="B249" t="s">
        <v>2361</v>
      </c>
      <c r="C249" t="s">
        <v>3052</v>
      </c>
      <c r="D249">
        <v>5</v>
      </c>
      <c r="E249" t="s">
        <v>2792</v>
      </c>
      <c r="F249">
        <v>5</v>
      </c>
      <c r="I249" t="s">
        <v>2362</v>
      </c>
      <c r="J249" s="51">
        <v>40668</v>
      </c>
      <c r="K249" t="s">
        <v>46</v>
      </c>
      <c r="L249" t="s">
        <v>2284</v>
      </c>
      <c r="M249">
        <v>3</v>
      </c>
      <c r="N249" t="str">
        <f>L249</f>
        <v>NAM\MA6689</v>
      </c>
      <c r="O249" s="51">
        <f>J249</f>
        <v>40668</v>
      </c>
      <c r="P249" s="51" t="str">
        <f>C249</f>
        <v>~/cdd/olddocs/Formas/CNWI-PROD ( Produccion )/CNWI-PROD-F019 Etiqueta relays 5.xls</v>
      </c>
      <c r="Q249" s="51" t="str">
        <f>E249</f>
        <v>xls</v>
      </c>
      <c r="R249" s="51"/>
      <c r="S249" s="51"/>
      <c r="T249" s="51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  <c r="AG249" t="s">
        <v>28</v>
      </c>
      <c r="AH249" s="51"/>
      <c r="AI249" s="51"/>
    </row>
    <row r="250" spans="2:35">
      <c r="B250" t="s">
        <v>2363</v>
      </c>
      <c r="C250" t="s">
        <v>3053</v>
      </c>
      <c r="D250">
        <v>5</v>
      </c>
      <c r="E250" t="s">
        <v>2792</v>
      </c>
      <c r="F250">
        <v>5</v>
      </c>
      <c r="I250" t="s">
        <v>2364</v>
      </c>
      <c r="J250" s="51">
        <v>40668</v>
      </c>
      <c r="K250" t="s">
        <v>46</v>
      </c>
      <c r="L250" t="s">
        <v>2284</v>
      </c>
      <c r="M250">
        <v>3</v>
      </c>
      <c r="N250" t="str">
        <f>L250</f>
        <v>NAM\MA6689</v>
      </c>
      <c r="O250" s="51">
        <f>J250</f>
        <v>40668</v>
      </c>
      <c r="P250" s="51" t="str">
        <f>C250</f>
        <v>~/cdd/olddocs/Formas/CNWI-PROD ( Produccion )/CNWI-PROD-F020 Etiqueta relays 6.xls</v>
      </c>
      <c r="Q250" s="51" t="str">
        <f>E250</f>
        <v>xls</v>
      </c>
      <c r="R250" s="51"/>
      <c r="S250" s="51"/>
      <c r="T250" s="51"/>
      <c r="U250" s="51"/>
      <c r="V250" s="51"/>
      <c r="W250" s="51"/>
      <c r="X250" s="51"/>
      <c r="Y250" s="51"/>
      <c r="Z250" s="51"/>
      <c r="AA250" s="51"/>
      <c r="AB250" s="51"/>
      <c r="AC250" s="51"/>
      <c r="AD250" s="51"/>
      <c r="AG250" t="s">
        <v>28</v>
      </c>
      <c r="AH250" s="51"/>
      <c r="AI250" s="51"/>
    </row>
    <row r="251" spans="2:35">
      <c r="B251" t="s">
        <v>2365</v>
      </c>
      <c r="C251" t="s">
        <v>3054</v>
      </c>
      <c r="D251">
        <v>5</v>
      </c>
      <c r="E251" t="s">
        <v>2792</v>
      </c>
      <c r="F251">
        <v>5</v>
      </c>
      <c r="I251" t="s">
        <v>2366</v>
      </c>
      <c r="J251" s="51">
        <v>40668</v>
      </c>
      <c r="K251" t="s">
        <v>46</v>
      </c>
      <c r="L251" t="s">
        <v>2284</v>
      </c>
      <c r="M251">
        <v>3</v>
      </c>
      <c r="N251" t="str">
        <f>L251</f>
        <v>NAM\MA6689</v>
      </c>
      <c r="O251" s="51">
        <f>J251</f>
        <v>40668</v>
      </c>
      <c r="P251" s="51" t="str">
        <f>C251</f>
        <v>~/cdd/olddocs/Formas/CNWI-PROD ( Produccion )/CNWI-PROD-F021 Etiqueta relays 7.xls</v>
      </c>
      <c r="Q251" s="51" t="str">
        <f>E251</f>
        <v>xls</v>
      </c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G251" t="s">
        <v>28</v>
      </c>
      <c r="AH251" s="51"/>
      <c r="AI251" s="51"/>
    </row>
    <row r="252" spans="2:35">
      <c r="B252" t="s">
        <v>2367</v>
      </c>
      <c r="C252" t="s">
        <v>3055</v>
      </c>
      <c r="D252">
        <v>5</v>
      </c>
      <c r="E252" t="s">
        <v>2792</v>
      </c>
      <c r="F252">
        <v>5</v>
      </c>
      <c r="I252" t="s">
        <v>2368</v>
      </c>
      <c r="J252" s="51">
        <v>40668</v>
      </c>
      <c r="K252" t="s">
        <v>27</v>
      </c>
      <c r="L252" t="s">
        <v>2284</v>
      </c>
      <c r="M252">
        <v>3</v>
      </c>
      <c r="N252" t="str">
        <f>L252</f>
        <v>NAM\MA6689</v>
      </c>
      <c r="O252" s="51">
        <f>J252</f>
        <v>40668</v>
      </c>
      <c r="P252" s="51" t="str">
        <f>C252</f>
        <v>~/cdd/olddocs/Formas/CNWI-PROD ( Produccion )/CNWI-PROD-F022 Etiqueta relays 8.xls</v>
      </c>
      <c r="Q252" s="51" t="str">
        <f>E252</f>
        <v>xls</v>
      </c>
      <c r="R252" s="51"/>
      <c r="S252" s="51"/>
      <c r="T252" s="51"/>
      <c r="U252" s="51"/>
      <c r="V252" s="51"/>
      <c r="W252" s="51"/>
      <c r="X252" s="51"/>
      <c r="Y252" s="51"/>
      <c r="Z252" s="51"/>
      <c r="AA252" s="51"/>
      <c r="AB252" s="51"/>
      <c r="AC252" s="51"/>
      <c r="AD252" s="51"/>
      <c r="AG252" t="s">
        <v>28</v>
      </c>
      <c r="AH252" s="51"/>
      <c r="AI252" s="51"/>
    </row>
    <row r="253" spans="2:35">
      <c r="B253" t="s">
        <v>2369</v>
      </c>
      <c r="C253" t="s">
        <v>3056</v>
      </c>
      <c r="D253">
        <v>5</v>
      </c>
      <c r="E253" t="s">
        <v>2792</v>
      </c>
      <c r="F253">
        <v>5</v>
      </c>
      <c r="I253" t="s">
        <v>2370</v>
      </c>
      <c r="J253" s="51">
        <v>40668</v>
      </c>
      <c r="K253" t="s">
        <v>27</v>
      </c>
      <c r="L253" t="s">
        <v>2284</v>
      </c>
      <c r="M253">
        <v>3</v>
      </c>
      <c r="N253" t="str">
        <f>L253</f>
        <v>NAM\MA6689</v>
      </c>
      <c r="O253" s="51">
        <f>J253</f>
        <v>40668</v>
      </c>
      <c r="P253" s="51" t="str">
        <f>C253</f>
        <v>~/cdd/olddocs/Formas/CNWI-PROD ( Produccion )/CNWI-PROD-F023 Etiqueta relays 9.xls</v>
      </c>
      <c r="Q253" s="51" t="str">
        <f>E253</f>
        <v>xls</v>
      </c>
      <c r="R253" s="51"/>
      <c r="S253" s="51"/>
      <c r="T253" s="51"/>
      <c r="U253" s="51"/>
      <c r="V253" s="51"/>
      <c r="W253" s="51"/>
      <c r="X253" s="51"/>
      <c r="Y253" s="51"/>
      <c r="Z253" s="51"/>
      <c r="AA253" s="51"/>
      <c r="AB253" s="51"/>
      <c r="AC253" s="51"/>
      <c r="AD253" s="51"/>
      <c r="AG253" t="s">
        <v>28</v>
      </c>
      <c r="AH253" s="51"/>
      <c r="AI253" s="51"/>
    </row>
    <row r="254" spans="2:35">
      <c r="B254" t="s">
        <v>2371</v>
      </c>
      <c r="C254" t="s">
        <v>3057</v>
      </c>
      <c r="D254">
        <v>5</v>
      </c>
      <c r="E254" t="s">
        <v>2792</v>
      </c>
      <c r="F254">
        <v>5</v>
      </c>
      <c r="I254" t="s">
        <v>2372</v>
      </c>
      <c r="J254" s="51">
        <v>40668</v>
      </c>
      <c r="K254" t="s">
        <v>27</v>
      </c>
      <c r="L254" t="s">
        <v>2284</v>
      </c>
      <c r="M254">
        <v>3</v>
      </c>
      <c r="N254" t="str">
        <f>L254</f>
        <v>NAM\MA6689</v>
      </c>
      <c r="O254" s="51">
        <f>J254</f>
        <v>40668</v>
      </c>
      <c r="P254" s="51" t="str">
        <f>C254</f>
        <v>~/cdd/olddocs/Formas/CNWI-PROD ( Produccion )/CNWI-PROD-F024 Etiqueta salem.xls</v>
      </c>
      <c r="Q254" s="51" t="str">
        <f>E254</f>
        <v>xls</v>
      </c>
      <c r="R254" s="51"/>
      <c r="S254" s="51"/>
      <c r="T254" s="51"/>
      <c r="U254" s="51"/>
      <c r="V254" s="51"/>
      <c r="W254" s="51"/>
      <c r="X254" s="51"/>
      <c r="Y254" s="51"/>
      <c r="Z254" s="51"/>
      <c r="AA254" s="51"/>
      <c r="AB254" s="51"/>
      <c r="AC254" s="51"/>
      <c r="AD254" s="51"/>
      <c r="AG254" t="s">
        <v>28</v>
      </c>
      <c r="AH254" s="51"/>
      <c r="AI254" s="51"/>
    </row>
    <row r="255" spans="2:35">
      <c r="B255" t="s">
        <v>2373</v>
      </c>
      <c r="C255" t="s">
        <v>3058</v>
      </c>
      <c r="D255">
        <v>5</v>
      </c>
      <c r="E255" t="s">
        <v>2792</v>
      </c>
      <c r="F255">
        <v>5</v>
      </c>
      <c r="I255" t="s">
        <v>2374</v>
      </c>
      <c r="J255" s="51">
        <v>40668</v>
      </c>
      <c r="K255" t="s">
        <v>27</v>
      </c>
      <c r="L255" t="s">
        <v>2284</v>
      </c>
      <c r="M255">
        <v>3</v>
      </c>
      <c r="N255" t="str">
        <f>L255</f>
        <v>NAM\MA6689</v>
      </c>
      <c r="O255" s="51">
        <f>J255</f>
        <v>40668</v>
      </c>
      <c r="P255" s="51" t="str">
        <f>C255</f>
        <v>~/cdd/olddocs/Formas/CNWI-PROD ( Produccion )/CNWI-PROD-F025 Etiqueta single wire.xls</v>
      </c>
      <c r="Q255" s="51" t="str">
        <f>E255</f>
        <v>xls</v>
      </c>
      <c r="R255" s="51"/>
      <c r="S255" s="51"/>
      <c r="T255" s="51"/>
      <c r="U255" s="51"/>
      <c r="V255" s="51"/>
      <c r="W255" s="51"/>
      <c r="X255" s="51"/>
      <c r="Y255" s="51"/>
      <c r="Z255" s="51"/>
      <c r="AA255" s="51"/>
      <c r="AB255" s="51"/>
      <c r="AC255" s="51"/>
      <c r="AD255" s="51"/>
      <c r="AG255" t="s">
        <v>28</v>
      </c>
      <c r="AH255" s="51"/>
      <c r="AI255" s="51"/>
    </row>
    <row r="256" spans="2:35">
      <c r="B256" t="s">
        <v>2375</v>
      </c>
      <c r="C256" t="s">
        <v>3059</v>
      </c>
      <c r="D256">
        <v>5</v>
      </c>
      <c r="E256" t="s">
        <v>2792</v>
      </c>
      <c r="F256">
        <v>5</v>
      </c>
      <c r="I256" t="s">
        <v>2376</v>
      </c>
      <c r="J256" s="51">
        <v>40668</v>
      </c>
      <c r="K256" t="s">
        <v>27</v>
      </c>
      <c r="L256" t="s">
        <v>2284</v>
      </c>
      <c r="M256">
        <v>3</v>
      </c>
      <c r="N256" t="str">
        <f>L256</f>
        <v>NAM\MA6689</v>
      </c>
      <c r="O256" s="51">
        <f>J256</f>
        <v>40668</v>
      </c>
      <c r="P256" s="51" t="str">
        <f>C256</f>
        <v>~/cdd/olddocs/Formas/CNWI-PROD ( Produccion )/CNWI-PROD-F026 Etiqueta snap lock.xls</v>
      </c>
      <c r="Q256" s="51" t="str">
        <f>E256</f>
        <v>xls</v>
      </c>
      <c r="R256" s="51"/>
      <c r="S256" s="51"/>
      <c r="T256" s="51"/>
      <c r="U256" s="51"/>
      <c r="V256" s="51"/>
      <c r="W256" s="51"/>
      <c r="X256" s="51"/>
      <c r="Y256" s="51"/>
      <c r="Z256" s="51"/>
      <c r="AA256" s="51"/>
      <c r="AB256" s="51"/>
      <c r="AC256" s="51"/>
      <c r="AD256" s="51"/>
      <c r="AG256" t="s">
        <v>28</v>
      </c>
      <c r="AH256" s="51"/>
      <c r="AI256" s="51"/>
    </row>
    <row r="257" spans="2:35">
      <c r="B257" t="s">
        <v>2377</v>
      </c>
      <c r="C257" t="s">
        <v>3060</v>
      </c>
      <c r="D257">
        <v>5</v>
      </c>
      <c r="E257" t="s">
        <v>2792</v>
      </c>
      <c r="F257">
        <v>5</v>
      </c>
      <c r="I257" t="s">
        <v>2378</v>
      </c>
      <c r="J257" s="51">
        <v>40668</v>
      </c>
      <c r="K257" t="s">
        <v>27</v>
      </c>
      <c r="L257" t="s">
        <v>2284</v>
      </c>
      <c r="M257">
        <v>3</v>
      </c>
      <c r="N257" t="str">
        <f>L257</f>
        <v>NAM\MA6689</v>
      </c>
      <c r="O257" s="51">
        <f>J257</f>
        <v>40668</v>
      </c>
      <c r="P257" s="51" t="str">
        <f>C257</f>
        <v>~/cdd/olddocs/Formas/CNWI-PROD ( Produccion )/CNWI-PROD-F027 Etiqueta snap lock &amp; three wire splice.xls</v>
      </c>
      <c r="Q257" s="51" t="str">
        <f>E257</f>
        <v>xls</v>
      </c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G257" t="s">
        <v>28</v>
      </c>
      <c r="AH257" s="51"/>
      <c r="AI257" s="51"/>
    </row>
    <row r="258" spans="2:35">
      <c r="B258" t="s">
        <v>2379</v>
      </c>
      <c r="C258" t="s">
        <v>3061</v>
      </c>
      <c r="D258">
        <v>5</v>
      </c>
      <c r="E258" t="s">
        <v>2792</v>
      </c>
      <c r="F258">
        <v>5</v>
      </c>
      <c r="I258" t="s">
        <v>2380</v>
      </c>
      <c r="J258" s="51">
        <v>40668</v>
      </c>
      <c r="K258" t="s">
        <v>27</v>
      </c>
      <c r="L258" t="s">
        <v>2284</v>
      </c>
      <c r="M258">
        <v>3</v>
      </c>
      <c r="N258" t="str">
        <f>L258</f>
        <v>NAM\MA6689</v>
      </c>
      <c r="O258" s="51">
        <f>J258</f>
        <v>40668</v>
      </c>
      <c r="P258" s="51" t="str">
        <f>C258</f>
        <v>~/cdd/olddocs/Formas/CNWI-PROD ( Produccion )/CNWI-PROD-F028 Etiqueta thorkom.xls</v>
      </c>
      <c r="Q258" s="51" t="str">
        <f>E258</f>
        <v>xls</v>
      </c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G258" t="s">
        <v>28</v>
      </c>
      <c r="AH258" s="51"/>
      <c r="AI258" s="51"/>
    </row>
    <row r="259" spans="2:35">
      <c r="B259" t="s">
        <v>2381</v>
      </c>
      <c r="C259" t="s">
        <v>3062</v>
      </c>
      <c r="D259">
        <v>5</v>
      </c>
      <c r="E259" t="s">
        <v>2792</v>
      </c>
      <c r="F259">
        <v>5</v>
      </c>
      <c r="I259" t="s">
        <v>2382</v>
      </c>
      <c r="J259" s="51">
        <v>40668</v>
      </c>
      <c r="K259" t="s">
        <v>46</v>
      </c>
      <c r="L259" t="s">
        <v>2284</v>
      </c>
      <c r="M259">
        <v>3</v>
      </c>
      <c r="N259" t="str">
        <f>L259</f>
        <v>NAM\MA6689</v>
      </c>
      <c r="O259" s="51">
        <f>J259</f>
        <v>40668</v>
      </c>
      <c r="P259" s="51" t="str">
        <f>C259</f>
        <v>~/cdd/olddocs/Formas/CNWI-PROD ( Produccion )/CNWI-PROD-F029  Etiqueta tracks.xls</v>
      </c>
      <c r="Q259" s="51" t="str">
        <f>E259</f>
        <v>xls</v>
      </c>
      <c r="R259" s="51"/>
      <c r="S259" s="51"/>
      <c r="T259" s="51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  <c r="AG259" t="s">
        <v>28</v>
      </c>
      <c r="AH259" s="51"/>
      <c r="AI259" s="51"/>
    </row>
    <row r="260" spans="2:35">
      <c r="B260" t="s">
        <v>2383</v>
      </c>
      <c r="C260" t="s">
        <v>3063</v>
      </c>
      <c r="D260">
        <v>5</v>
      </c>
      <c r="E260" t="s">
        <v>2792</v>
      </c>
      <c r="F260">
        <v>5</v>
      </c>
      <c r="I260" t="s">
        <v>2384</v>
      </c>
      <c r="J260" s="51">
        <v>40668</v>
      </c>
      <c r="K260" t="s">
        <v>27</v>
      </c>
      <c r="L260" t="s">
        <v>2284</v>
      </c>
      <c r="M260">
        <v>3</v>
      </c>
      <c r="N260" t="str">
        <f>L260</f>
        <v>NAM\MA6689</v>
      </c>
      <c r="O260" s="51">
        <f>J260</f>
        <v>40668</v>
      </c>
      <c r="P260" s="51" t="str">
        <f>C260</f>
        <v>~/cdd/olddocs/Formas/CNWI-PROD ( Produccion )/CNWI-PROD-F030  Etiqueta tracks 1.xls</v>
      </c>
      <c r="Q260" s="51" t="str">
        <f>E260</f>
        <v>xls</v>
      </c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G260" t="s">
        <v>28</v>
      </c>
      <c r="AH260" s="51"/>
      <c r="AI260" s="51"/>
    </row>
    <row r="261" spans="2:35">
      <c r="B261" t="s">
        <v>2385</v>
      </c>
      <c r="C261" t="s">
        <v>3064</v>
      </c>
      <c r="D261">
        <v>5</v>
      </c>
      <c r="E261" t="s">
        <v>2792</v>
      </c>
      <c r="F261">
        <v>5</v>
      </c>
      <c r="I261" t="s">
        <v>2386</v>
      </c>
      <c r="J261" s="51">
        <v>40668</v>
      </c>
      <c r="K261" t="s">
        <v>27</v>
      </c>
      <c r="L261" t="s">
        <v>2284</v>
      </c>
      <c r="M261">
        <v>3</v>
      </c>
      <c r="N261" t="str">
        <f>L261</f>
        <v>NAM\MA6689</v>
      </c>
      <c r="O261" s="51">
        <f>J261</f>
        <v>40668</v>
      </c>
      <c r="P261" s="51" t="str">
        <f>C261</f>
        <v>~/cdd/olddocs/Formas/CNWI-PROD ( Produccion )/CNWI-PROD-F031 Etiqueta variado lifters,rieles.xls</v>
      </c>
      <c r="Q261" s="51" t="str">
        <f>E261</f>
        <v>xls</v>
      </c>
      <c r="R261" s="51"/>
      <c r="S261" s="51"/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  <c r="AG261" t="s">
        <v>28</v>
      </c>
      <c r="AH261" s="51"/>
      <c r="AI261" s="51"/>
    </row>
    <row r="262" spans="2:35">
      <c r="B262" t="s">
        <v>2387</v>
      </c>
      <c r="C262" t="s">
        <v>3065</v>
      </c>
      <c r="D262">
        <v>5</v>
      </c>
      <c r="E262" t="s">
        <v>2792</v>
      </c>
      <c r="F262">
        <v>5</v>
      </c>
      <c r="I262" t="s">
        <v>2388</v>
      </c>
      <c r="J262" s="51">
        <v>40668</v>
      </c>
      <c r="K262" t="s">
        <v>27</v>
      </c>
      <c r="L262" t="s">
        <v>2284</v>
      </c>
      <c r="M262">
        <v>3</v>
      </c>
      <c r="N262" t="str">
        <f>L262</f>
        <v>NAM\MA6689</v>
      </c>
      <c r="O262" s="51">
        <f>J262</f>
        <v>40668</v>
      </c>
      <c r="P262" s="51" t="str">
        <f>C262</f>
        <v>~/cdd/olddocs/Formas/CNWI-PROD ( Produccion )/CNWI-PROD-F032 ETIQUETAS 557`s.xls</v>
      </c>
      <c r="Q262" s="51" t="str">
        <f>E262</f>
        <v>xls</v>
      </c>
      <c r="R262" s="51"/>
      <c r="S262" s="51"/>
      <c r="T262" s="51"/>
      <c r="U262" s="51"/>
      <c r="V262" s="51"/>
      <c r="W262" s="51"/>
      <c r="X262" s="51"/>
      <c r="Y262" s="51"/>
      <c r="Z262" s="51"/>
      <c r="AA262" s="51"/>
      <c r="AB262" s="51"/>
      <c r="AC262" s="51"/>
      <c r="AD262" s="51"/>
      <c r="AG262" t="s">
        <v>28</v>
      </c>
      <c r="AH262" s="51"/>
      <c r="AI262" s="51"/>
    </row>
    <row r="263" spans="2:35">
      <c r="B263" t="s">
        <v>2389</v>
      </c>
      <c r="C263" t="s">
        <v>3066</v>
      </c>
      <c r="D263">
        <v>5</v>
      </c>
      <c r="E263" t="s">
        <v>2792</v>
      </c>
      <c r="F263">
        <v>5</v>
      </c>
      <c r="I263" t="s">
        <v>2390</v>
      </c>
      <c r="J263" s="51">
        <v>40852</v>
      </c>
      <c r="K263" t="s">
        <v>27</v>
      </c>
      <c r="L263" t="s">
        <v>2284</v>
      </c>
      <c r="M263">
        <v>3</v>
      </c>
      <c r="N263" t="str">
        <f>L263</f>
        <v>NAM\MA6689</v>
      </c>
      <c r="O263" s="51">
        <f>J263</f>
        <v>40852</v>
      </c>
      <c r="P263" s="51" t="str">
        <f>C263</f>
        <v>~/cdd/olddocs/Formas/CNWI-PROD ( Produccion )/CNWI-PROD-F033 Move Ticket.xls</v>
      </c>
      <c r="Q263" s="51" t="str">
        <f>E263</f>
        <v>xls</v>
      </c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G263" t="s">
        <v>28</v>
      </c>
      <c r="AH263" s="51"/>
      <c r="AI263" s="51"/>
    </row>
    <row r="264" spans="2:35">
      <c r="B264" t="s">
        <v>2391</v>
      </c>
      <c r="C264" t="s">
        <v>3067</v>
      </c>
      <c r="D264">
        <v>5</v>
      </c>
      <c r="E264" t="s">
        <v>2792</v>
      </c>
      <c r="F264">
        <v>5</v>
      </c>
      <c r="I264" t="s">
        <v>2392</v>
      </c>
      <c r="J264" s="51" t="s">
        <v>2393</v>
      </c>
      <c r="K264" t="s">
        <v>27</v>
      </c>
      <c r="L264" t="s">
        <v>2284</v>
      </c>
      <c r="M264">
        <v>3</v>
      </c>
      <c r="N264" t="str">
        <f>L264</f>
        <v>NAM\MA6689</v>
      </c>
      <c r="O264" s="51" t="str">
        <f>J264</f>
        <v>05/16/2011</v>
      </c>
      <c r="P264" s="51" t="str">
        <f>C264</f>
        <v>~/cdd/olddocs/Formas/CNWI-PROD ( Produccion )/CNWI-PROD-F034 tiempo retrabajo.xls</v>
      </c>
      <c r="Q264" s="51" t="str">
        <f>E264</f>
        <v>xls</v>
      </c>
      <c r="R264" s="51"/>
      <c r="S264" s="51"/>
      <c r="T264" s="51"/>
      <c r="U264" s="51"/>
      <c r="V264" s="51"/>
      <c r="W264" s="51"/>
      <c r="X264" s="51"/>
      <c r="Y264" s="51"/>
      <c r="Z264" s="51"/>
      <c r="AA264" s="51"/>
      <c r="AB264" s="51"/>
      <c r="AC264" s="51"/>
      <c r="AD264" s="51"/>
      <c r="AG264" t="s">
        <v>28</v>
      </c>
      <c r="AH264" s="51"/>
      <c r="AI264" s="51"/>
    </row>
    <row r="265" spans="2:35">
      <c r="B265" t="s">
        <v>2394</v>
      </c>
      <c r="C265" t="s">
        <v>3068</v>
      </c>
      <c r="D265">
        <v>5</v>
      </c>
      <c r="E265" t="s">
        <v>2792</v>
      </c>
      <c r="F265">
        <v>5</v>
      </c>
      <c r="I265" t="s">
        <v>2395</v>
      </c>
      <c r="J265" s="51">
        <v>40737</v>
      </c>
      <c r="K265" t="s">
        <v>27</v>
      </c>
      <c r="L265" t="s">
        <v>2284</v>
      </c>
      <c r="M265">
        <v>3</v>
      </c>
      <c r="N265" t="str">
        <f>L265</f>
        <v>NAM\MA6689</v>
      </c>
      <c r="O265" s="51">
        <f>J265</f>
        <v>40737</v>
      </c>
      <c r="P265" s="51" t="str">
        <f>C265</f>
        <v>~/cdd/olddocs/Formas/CNWI-PROD ( Produccion )/CNWI-PROD-F035 Pareto de informacion diaria.xls</v>
      </c>
      <c r="Q265" s="51" t="str">
        <f>E265</f>
        <v>xls</v>
      </c>
      <c r="R265" s="51"/>
      <c r="S265" s="51"/>
      <c r="T265" s="51"/>
      <c r="U265" s="51"/>
      <c r="V265" s="51"/>
      <c r="W265" s="51"/>
      <c r="X265" s="51"/>
      <c r="Y265" s="51"/>
      <c r="Z265" s="51"/>
      <c r="AA265" s="51"/>
      <c r="AB265" s="51"/>
      <c r="AC265" s="51"/>
      <c r="AD265" s="51"/>
      <c r="AG265" t="s">
        <v>28</v>
      </c>
      <c r="AH265" s="51"/>
      <c r="AI265" s="51"/>
    </row>
    <row r="266" spans="2:35">
      <c r="B266" t="s">
        <v>2396</v>
      </c>
      <c r="C266" t="s">
        <v>3069</v>
      </c>
      <c r="D266">
        <v>5</v>
      </c>
      <c r="E266" t="s">
        <v>2792</v>
      </c>
      <c r="F266">
        <v>5</v>
      </c>
      <c r="I266" t="s">
        <v>2397</v>
      </c>
      <c r="J266" s="51">
        <v>40752</v>
      </c>
      <c r="K266" t="s">
        <v>27</v>
      </c>
      <c r="L266" t="s">
        <v>2284</v>
      </c>
      <c r="M266">
        <v>3</v>
      </c>
      <c r="N266" t="str">
        <f>L266</f>
        <v>NAM\MA6689</v>
      </c>
      <c r="O266" s="51">
        <f>J266</f>
        <v>40752</v>
      </c>
      <c r="P266" s="51" t="str">
        <f>C266</f>
        <v>~/cdd/olddocs/Formas/CNWI-PROD ( Produccion )/CNWI-PROD-F036 REPORTE DE MICROMINI PROBLEMAS DIARIOS.xls</v>
      </c>
      <c r="Q266" s="51" t="str">
        <f>E266</f>
        <v>xls</v>
      </c>
      <c r="R266" s="51"/>
      <c r="S266" s="51"/>
      <c r="T266" s="51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  <c r="AG266" t="s">
        <v>28</v>
      </c>
      <c r="AH266" s="51"/>
      <c r="AI266" s="51"/>
    </row>
    <row r="267" spans="2:35">
      <c r="B267" t="s">
        <v>2398</v>
      </c>
      <c r="C267" t="s">
        <v>3070</v>
      </c>
      <c r="D267">
        <v>5</v>
      </c>
      <c r="E267" t="s">
        <v>2792</v>
      </c>
      <c r="F267">
        <v>5</v>
      </c>
      <c r="I267" t="s">
        <v>2399</v>
      </c>
      <c r="J267" s="51">
        <v>40820</v>
      </c>
      <c r="K267" t="s">
        <v>27</v>
      </c>
      <c r="L267" t="s">
        <v>2284</v>
      </c>
      <c r="M267">
        <v>3</v>
      </c>
      <c r="N267" t="str">
        <f>L267</f>
        <v>NAM\MA6689</v>
      </c>
      <c r="O267" s="51">
        <f>J267</f>
        <v>40820</v>
      </c>
      <c r="P267" s="51" t="str">
        <f>C267</f>
        <v>~/cdd/olddocs/Formas/CNWI-PROD ( Produccion )/CNWI-PROD-F037 Gemba walk.xls</v>
      </c>
      <c r="Q267" s="51" t="str">
        <f>E267</f>
        <v>xls</v>
      </c>
      <c r="R267" s="51"/>
      <c r="S267" s="51"/>
      <c r="T267" s="51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  <c r="AG267" t="s">
        <v>28</v>
      </c>
      <c r="AH267" s="51"/>
      <c r="AI267" s="51"/>
    </row>
    <row r="268" spans="2:35">
      <c r="B268" t="s">
        <v>2400</v>
      </c>
      <c r="C268" t="s">
        <v>3071</v>
      </c>
      <c r="D268">
        <v>5</v>
      </c>
      <c r="E268" t="s">
        <v>2790</v>
      </c>
      <c r="F268">
        <v>5</v>
      </c>
      <c r="I268" t="s">
        <v>2401</v>
      </c>
      <c r="J268" s="51">
        <v>40836</v>
      </c>
      <c r="K268" t="s">
        <v>27</v>
      </c>
      <c r="L268" t="s">
        <v>2284</v>
      </c>
      <c r="M268">
        <v>3</v>
      </c>
      <c r="N268" t="str">
        <f>L268</f>
        <v>NAM\MA6689</v>
      </c>
      <c r="O268" s="51">
        <f>J268</f>
        <v>40836</v>
      </c>
      <c r="P268" s="51" t="str">
        <f>C268</f>
        <v>~/cdd/olddocs/Formas/CNWI-PROD ( Produccion )/CNWI-PROD-F038 HORA X HORA Off .xlsx</v>
      </c>
      <c r="Q268" s="51" t="str">
        <f>E268</f>
        <v>xlsx</v>
      </c>
      <c r="R268" s="51"/>
      <c r="S268" s="51"/>
      <c r="T268" s="51"/>
      <c r="U268" s="51"/>
      <c r="V268" s="51"/>
      <c r="W268" s="51"/>
      <c r="X268" s="51"/>
      <c r="Y268" s="51"/>
      <c r="Z268" s="51"/>
      <c r="AA268" s="51"/>
      <c r="AB268" s="51"/>
      <c r="AC268" s="51"/>
      <c r="AD268" s="51"/>
      <c r="AG268" t="s">
        <v>28</v>
      </c>
      <c r="AH268" s="51"/>
      <c r="AI268" s="51"/>
    </row>
    <row r="269" spans="2:35">
      <c r="B269" t="s">
        <v>2402</v>
      </c>
      <c r="C269" t="s">
        <v>3072</v>
      </c>
      <c r="D269">
        <v>5</v>
      </c>
      <c r="E269" t="s">
        <v>2793</v>
      </c>
      <c r="F269">
        <v>5</v>
      </c>
      <c r="I269" t="s">
        <v>2403</v>
      </c>
      <c r="J269" s="51">
        <v>40836</v>
      </c>
      <c r="K269" t="s">
        <v>27</v>
      </c>
      <c r="L269" t="s">
        <v>2284</v>
      </c>
      <c r="M269">
        <v>3</v>
      </c>
      <c r="N269" t="str">
        <f>L269</f>
        <v>NAM\MA6689</v>
      </c>
      <c r="O269" s="51">
        <f>J269</f>
        <v>40836</v>
      </c>
      <c r="P269" s="51" t="str">
        <f>C269</f>
        <v>~/cdd/olddocs/Formas/CNWI-PROD ( Produccion )/CNWI-PROD-F039 FORMATO PRODUCTIVIDAD.pptx</v>
      </c>
      <c r="Q269" s="51" t="str">
        <f>E269</f>
        <v>pptx</v>
      </c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G269" t="s">
        <v>28</v>
      </c>
      <c r="AH269" s="51"/>
      <c r="AI269" s="51"/>
    </row>
    <row r="270" spans="2:35">
      <c r="B270" t="s">
        <v>2404</v>
      </c>
      <c r="C270" t="s">
        <v>3073</v>
      </c>
      <c r="D270">
        <v>5</v>
      </c>
      <c r="E270" t="s">
        <v>2792</v>
      </c>
      <c r="F270">
        <v>5</v>
      </c>
      <c r="I270" t="s">
        <v>2405</v>
      </c>
      <c r="J270" s="51">
        <v>40836</v>
      </c>
      <c r="K270" t="s">
        <v>27</v>
      </c>
      <c r="L270" t="s">
        <v>2284</v>
      </c>
      <c r="M270">
        <v>3</v>
      </c>
      <c r="N270" t="str">
        <f>L270</f>
        <v>NAM\MA6689</v>
      </c>
      <c r="O270" s="51">
        <f>J270</f>
        <v>40836</v>
      </c>
      <c r="P270" s="51" t="str">
        <f>C270</f>
        <v>~/cdd/olddocs/Formas/CNWI-PROD ( Produccion )/CNWI-PROD-F040 Past Due.xls</v>
      </c>
      <c r="Q270" s="51" t="str">
        <f>E270</f>
        <v>xls</v>
      </c>
      <c r="R270" s="51"/>
      <c r="S270" s="51"/>
      <c r="T270" s="51"/>
      <c r="U270" s="51"/>
      <c r="V270" s="51"/>
      <c r="W270" s="51"/>
      <c r="X270" s="51"/>
      <c r="Y270" s="51"/>
      <c r="Z270" s="51"/>
      <c r="AA270" s="51"/>
      <c r="AB270" s="51"/>
      <c r="AC270" s="51"/>
      <c r="AD270" s="51"/>
      <c r="AG270" t="s">
        <v>28</v>
      </c>
      <c r="AH270" s="51"/>
      <c r="AI270" s="51"/>
    </row>
    <row r="271" spans="2:35">
      <c r="B271" t="s">
        <v>278</v>
      </c>
      <c r="C271" t="s">
        <v>3331</v>
      </c>
      <c r="D271">
        <v>4</v>
      </c>
      <c r="E271" t="s">
        <v>2791</v>
      </c>
      <c r="F271">
        <v>9</v>
      </c>
      <c r="I271" t="s">
        <v>279</v>
      </c>
      <c r="J271" s="51">
        <v>40948</v>
      </c>
      <c r="K271" t="s">
        <v>46</v>
      </c>
      <c r="L271" t="s">
        <v>222</v>
      </c>
      <c r="M271">
        <v>3</v>
      </c>
      <c r="N271" t="str">
        <f>L271</f>
        <v>NAM\MA9769</v>
      </c>
      <c r="O271" s="51">
        <f>J271</f>
        <v>40948</v>
      </c>
      <c r="P271" s="51" t="str">
        <f>C271</f>
        <v>~/cdd/olddocs/Instructivos/CNWI-QAAS/CNWI-QAAS-0001 Responsabilidad Gerencial.pdf</v>
      </c>
      <c r="Q271" s="51" t="str">
        <f>E271</f>
        <v>pdf</v>
      </c>
      <c r="R271" s="51"/>
      <c r="S271" s="51"/>
      <c r="T271" s="51"/>
      <c r="U271" s="51"/>
      <c r="V271" s="51"/>
      <c r="W271" s="51"/>
      <c r="X271" s="51"/>
      <c r="Y271" s="51"/>
      <c r="Z271" s="51"/>
      <c r="AA271" s="51"/>
      <c r="AB271" s="51"/>
      <c r="AC271" s="51"/>
      <c r="AD271" s="51"/>
      <c r="AG271" t="s">
        <v>28</v>
      </c>
      <c r="AH271" s="51"/>
      <c r="AI271" s="51"/>
    </row>
    <row r="272" spans="2:35">
      <c r="B272" t="s">
        <v>2213</v>
      </c>
      <c r="C272" t="s">
        <v>3332</v>
      </c>
      <c r="D272">
        <v>4</v>
      </c>
      <c r="E272" t="s">
        <v>2791</v>
      </c>
      <c r="F272">
        <v>9</v>
      </c>
      <c r="I272" t="s">
        <v>2214</v>
      </c>
      <c r="J272" s="51">
        <v>41043</v>
      </c>
      <c r="K272" t="s">
        <v>27</v>
      </c>
      <c r="L272" t="s">
        <v>2063</v>
      </c>
      <c r="M272">
        <v>3</v>
      </c>
      <c r="N272" t="str">
        <f>L272</f>
        <v>NAM\MB2117</v>
      </c>
      <c r="O272" s="51">
        <f>J272</f>
        <v>41043</v>
      </c>
      <c r="P272" s="51" t="str">
        <f>C272</f>
        <v>~/cdd/olddocs/Instructivos/CNWI-QAAS/CNWI-QAAS-0002 Control de sellos auditores.pdf</v>
      </c>
      <c r="Q272" s="51" t="str">
        <f>E272</f>
        <v>pdf</v>
      </c>
      <c r="R272" s="51"/>
      <c r="S272" s="51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  <c r="AG272" t="s">
        <v>28</v>
      </c>
      <c r="AH272" s="51"/>
      <c r="AI272" s="51"/>
    </row>
    <row r="273" spans="2:35">
      <c r="B273" t="s">
        <v>1160</v>
      </c>
      <c r="C273" t="s">
        <v>3333</v>
      </c>
      <c r="D273">
        <v>4</v>
      </c>
      <c r="E273" t="s">
        <v>2791</v>
      </c>
      <c r="F273">
        <v>9</v>
      </c>
      <c r="I273" t="s">
        <v>1161</v>
      </c>
      <c r="J273" s="51">
        <v>40974</v>
      </c>
      <c r="K273" t="s">
        <v>159</v>
      </c>
      <c r="L273" t="s">
        <v>1157</v>
      </c>
      <c r="M273">
        <v>3</v>
      </c>
      <c r="N273" t="str">
        <f>L273</f>
        <v>NAM\F13B6</v>
      </c>
      <c r="O273" s="51">
        <f>J273</f>
        <v>40974</v>
      </c>
      <c r="P273" s="51" t="str">
        <f>C273</f>
        <v>~/cdd/olddocs/Instructivos/CNWI-QAAS/CNWI-QAAS-0003 Calibracion.pdf</v>
      </c>
      <c r="Q273" s="51" t="str">
        <f>E273</f>
        <v>pdf</v>
      </c>
      <c r="R273" s="51"/>
      <c r="S273" s="51"/>
      <c r="T273" s="51"/>
      <c r="U273" s="51"/>
      <c r="V273" s="51"/>
      <c r="W273" s="51"/>
      <c r="X273" s="51"/>
      <c r="Y273" s="51"/>
      <c r="Z273" s="51"/>
      <c r="AA273" s="51"/>
      <c r="AB273" s="51"/>
      <c r="AC273" s="51"/>
      <c r="AD273" s="51"/>
      <c r="AG273" t="s">
        <v>28</v>
      </c>
      <c r="AH273" s="51"/>
      <c r="AI273" s="51"/>
    </row>
    <row r="274" spans="2:35">
      <c r="B274" t="s">
        <v>280</v>
      </c>
      <c r="C274" t="s">
        <v>3334</v>
      </c>
      <c r="D274">
        <v>4</v>
      </c>
      <c r="E274" t="s">
        <v>2791</v>
      </c>
      <c r="F274">
        <v>9</v>
      </c>
      <c r="I274" t="s">
        <v>281</v>
      </c>
      <c r="J274" s="51">
        <v>41065</v>
      </c>
      <c r="K274" t="s">
        <v>38</v>
      </c>
      <c r="L274" t="s">
        <v>222</v>
      </c>
      <c r="M274">
        <v>3</v>
      </c>
      <c r="N274" t="str">
        <f>L274</f>
        <v>NAM\MA9769</v>
      </c>
      <c r="O274" s="51">
        <f>J274</f>
        <v>41065</v>
      </c>
      <c r="P274" s="51" t="str">
        <f>C274</f>
        <v>~/cdd/olddocs/Instructivos/CNWI-QAAS/CNWI-QAAS-0004 Protocolo de Validacion.pdf</v>
      </c>
      <c r="Q274" s="51" t="str">
        <f>E274</f>
        <v>pdf</v>
      </c>
      <c r="R274" s="51"/>
      <c r="S274" s="51"/>
      <c r="T274" s="51"/>
      <c r="U274" s="51"/>
      <c r="V274" s="51"/>
      <c r="W274" s="51"/>
      <c r="X274" s="51"/>
      <c r="Y274" s="51"/>
      <c r="Z274" s="51"/>
      <c r="AA274" s="51"/>
      <c r="AB274" s="51"/>
      <c r="AC274" s="51"/>
      <c r="AD274" s="51"/>
      <c r="AG274" t="s">
        <v>28</v>
      </c>
      <c r="AH274" s="51"/>
      <c r="AI274" s="51"/>
    </row>
    <row r="275" spans="2:35">
      <c r="B275" t="s">
        <v>517</v>
      </c>
      <c r="C275" t="s">
        <v>3335</v>
      </c>
      <c r="D275">
        <v>4</v>
      </c>
      <c r="E275" t="s">
        <v>2791</v>
      </c>
      <c r="F275">
        <v>9</v>
      </c>
      <c r="I275" t="s">
        <v>518</v>
      </c>
      <c r="J275" s="51">
        <v>40967</v>
      </c>
      <c r="K275" t="s">
        <v>27</v>
      </c>
      <c r="L275" t="s">
        <v>520</v>
      </c>
      <c r="M275">
        <v>3</v>
      </c>
      <c r="N275" t="str">
        <f>L275</f>
        <v>NAM\AD508</v>
      </c>
      <c r="O275" s="51">
        <f>J275</f>
        <v>40967</v>
      </c>
      <c r="P275" s="51" t="str">
        <f>C275</f>
        <v>~/cdd/olddocs/Instructivos/CNWI-QAAS/CNWI-QAAS-0005 Sistema Escalacion de problemas.pdf</v>
      </c>
      <c r="Q275" s="51" t="str">
        <f>E275</f>
        <v>pdf</v>
      </c>
      <c r="R275" s="51"/>
      <c r="S275" s="51"/>
      <c r="T275" s="51"/>
      <c r="U275" s="51"/>
      <c r="V275" s="51"/>
      <c r="W275" s="51"/>
      <c r="X275" s="51"/>
      <c r="Y275" s="51"/>
      <c r="Z275" s="51"/>
      <c r="AA275" s="51"/>
      <c r="AB275" s="51"/>
      <c r="AC275" s="51"/>
      <c r="AD275" s="51"/>
      <c r="AG275" t="s">
        <v>28</v>
      </c>
      <c r="AH275" s="51"/>
      <c r="AI275" s="51"/>
    </row>
    <row r="276" spans="2:35">
      <c r="B276" t="s">
        <v>1106</v>
      </c>
      <c r="C276" t="s">
        <v>3336</v>
      </c>
      <c r="D276">
        <v>4</v>
      </c>
      <c r="E276" t="s">
        <v>2791</v>
      </c>
      <c r="F276">
        <v>9</v>
      </c>
      <c r="I276" t="s">
        <v>1107</v>
      </c>
      <c r="J276" s="51">
        <v>41204</v>
      </c>
      <c r="K276" t="s">
        <v>38</v>
      </c>
      <c r="L276" t="s">
        <v>1109</v>
      </c>
      <c r="M276">
        <v>3</v>
      </c>
      <c r="N276" t="str">
        <f>L276</f>
        <v>NAM\MB2116</v>
      </c>
      <c r="O276" s="51">
        <f>J276</f>
        <v>41204</v>
      </c>
      <c r="P276" s="51" t="str">
        <f>C276</f>
        <v>~/cdd/olddocs/Instructivos/CNWI-QAAS/CNWI-QAAS-0006  Proceso de area de MRB.pdf</v>
      </c>
      <c r="Q276" s="51" t="str">
        <f>E276</f>
        <v>pdf</v>
      </c>
      <c r="R276" s="51"/>
      <c r="S276" s="51"/>
      <c r="T276" s="51"/>
      <c r="U276" s="51"/>
      <c r="V276" s="51"/>
      <c r="W276" s="51"/>
      <c r="X276" s="51"/>
      <c r="Y276" s="51"/>
      <c r="Z276" s="51"/>
      <c r="AA276" s="51"/>
      <c r="AB276" s="51"/>
      <c r="AC276" s="51"/>
      <c r="AD276" s="51"/>
      <c r="AG276" t="s">
        <v>28</v>
      </c>
      <c r="AH276" s="51"/>
      <c r="AI276" s="51"/>
    </row>
    <row r="277" spans="2:35">
      <c r="B277" t="s">
        <v>282</v>
      </c>
      <c r="C277" t="s">
        <v>3337</v>
      </c>
      <c r="D277">
        <v>4</v>
      </c>
      <c r="E277" t="s">
        <v>2791</v>
      </c>
      <c r="F277">
        <v>9</v>
      </c>
      <c r="I277" t="s">
        <v>283</v>
      </c>
      <c r="J277" s="51">
        <v>40968</v>
      </c>
      <c r="K277" t="s">
        <v>27</v>
      </c>
      <c r="L277" t="s">
        <v>222</v>
      </c>
      <c r="M277">
        <v>3</v>
      </c>
      <c r="N277" t="str">
        <f>L277</f>
        <v>NAM\MA9769</v>
      </c>
      <c r="O277" s="51">
        <f>J277</f>
        <v>40968</v>
      </c>
      <c r="P277" s="51" t="str">
        <f>C277</f>
        <v>~/cdd/olddocs/Instructivos/CNWI-QAAS/CNWI-QAAS-0008 Diagrama de tortugas.pdf</v>
      </c>
      <c r="Q277" s="51" t="str">
        <f>E277</f>
        <v>pdf</v>
      </c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G277" t="s">
        <v>28</v>
      </c>
      <c r="AH277" s="51"/>
      <c r="AI277" s="51"/>
    </row>
    <row r="278" spans="2:35">
      <c r="B278" t="s">
        <v>1110</v>
      </c>
      <c r="C278" t="s">
        <v>3338</v>
      </c>
      <c r="D278">
        <v>4</v>
      </c>
      <c r="E278" t="s">
        <v>2791</v>
      </c>
      <c r="F278">
        <v>9</v>
      </c>
      <c r="I278" t="s">
        <v>1111</v>
      </c>
      <c r="J278" s="51">
        <v>41204</v>
      </c>
      <c r="K278" t="s">
        <v>261</v>
      </c>
      <c r="L278" t="s">
        <v>1109</v>
      </c>
      <c r="M278">
        <v>3</v>
      </c>
      <c r="N278" t="str">
        <f>L278</f>
        <v>NAM\MB2116</v>
      </c>
      <c r="O278" s="51">
        <f>J278</f>
        <v>41204</v>
      </c>
      <c r="P278" s="51" t="str">
        <f>C278</f>
        <v>~/cdd/olddocs/Instructivos/CNWI-QAAS/CNWI-QAAS-0009  Inspeccion de Entrada.pdf</v>
      </c>
      <c r="Q278" s="51" t="str">
        <f>E278</f>
        <v>pdf</v>
      </c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G278" t="s">
        <v>28</v>
      </c>
      <c r="AH278" s="51"/>
      <c r="AI278" s="51"/>
    </row>
    <row r="279" spans="2:35">
      <c r="B279" t="s">
        <v>284</v>
      </c>
      <c r="C279" t="s">
        <v>3339</v>
      </c>
      <c r="D279">
        <v>4</v>
      </c>
      <c r="E279" t="s">
        <v>2791</v>
      </c>
      <c r="F279">
        <v>9</v>
      </c>
      <c r="I279" t="s">
        <v>285</v>
      </c>
      <c r="J279" s="51">
        <v>40961</v>
      </c>
      <c r="K279" t="s">
        <v>46</v>
      </c>
      <c r="L279" t="s">
        <v>222</v>
      </c>
      <c r="M279">
        <v>3</v>
      </c>
      <c r="N279" t="str">
        <f>L279</f>
        <v>NAM\MA9769</v>
      </c>
      <c r="O279" s="51">
        <f>J279</f>
        <v>40961</v>
      </c>
      <c r="P279" s="51" t="str">
        <f>C279</f>
        <v>~/cdd/olddocs/Instructivos/CNWI-QAAS/CNWI-QAAS-0010 Proc. gral de inspeccion.pdf</v>
      </c>
      <c r="Q279" s="51" t="str">
        <f>E279</f>
        <v>pdf</v>
      </c>
      <c r="R279" s="51"/>
      <c r="S279" s="51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G279" t="s">
        <v>28</v>
      </c>
      <c r="AH279" s="51"/>
      <c r="AI279" s="51"/>
    </row>
    <row r="280" spans="2:35">
      <c r="B280" t="s">
        <v>286</v>
      </c>
      <c r="C280" t="s">
        <v>3340</v>
      </c>
      <c r="D280">
        <v>4</v>
      </c>
      <c r="E280" t="s">
        <v>2791</v>
      </c>
      <c r="F280">
        <v>9</v>
      </c>
      <c r="I280" t="s">
        <v>287</v>
      </c>
      <c r="J280" s="51">
        <v>40837</v>
      </c>
      <c r="K280" t="s">
        <v>27</v>
      </c>
      <c r="L280" t="s">
        <v>222</v>
      </c>
      <c r="M280">
        <v>3</v>
      </c>
      <c r="N280" t="str">
        <f>L280</f>
        <v>NAM\MA9769</v>
      </c>
      <c r="O280" s="51">
        <f>J280</f>
        <v>40837</v>
      </c>
      <c r="P280" s="51" t="str">
        <f>C280</f>
        <v>~/cdd/olddocs/Instructivos/CNWI-QAAS/CNWI-QAAS-0011 Propiedad del cliente.pdf</v>
      </c>
      <c r="Q280" s="51" t="str">
        <f>E280</f>
        <v>pdf</v>
      </c>
      <c r="R280" s="51"/>
      <c r="S280" s="51"/>
      <c r="T280" s="51"/>
      <c r="U280" s="51"/>
      <c r="V280" s="51"/>
      <c r="W280" s="51"/>
      <c r="X280" s="51"/>
      <c r="Y280" s="51"/>
      <c r="Z280" s="51"/>
      <c r="AA280" s="51"/>
      <c r="AB280" s="51"/>
      <c r="AC280" s="51"/>
      <c r="AD280" s="51"/>
      <c r="AG280" t="s">
        <v>28</v>
      </c>
      <c r="AH280" s="51"/>
      <c r="AI280" s="51"/>
    </row>
    <row r="281" spans="2:35">
      <c r="B281" t="s">
        <v>288</v>
      </c>
      <c r="C281" t="s">
        <v>3341</v>
      </c>
      <c r="D281">
        <v>4</v>
      </c>
      <c r="E281" t="s">
        <v>2791</v>
      </c>
      <c r="F281">
        <v>9</v>
      </c>
      <c r="I281" t="s">
        <v>289</v>
      </c>
      <c r="J281" s="51">
        <v>40961</v>
      </c>
      <c r="K281" t="s">
        <v>46</v>
      </c>
      <c r="L281" t="s">
        <v>222</v>
      </c>
      <c r="M281">
        <v>3</v>
      </c>
      <c r="N281" t="str">
        <f>L281</f>
        <v>NAM\MA9769</v>
      </c>
      <c r="O281" s="51">
        <f>J281</f>
        <v>40961</v>
      </c>
      <c r="P281" s="51" t="str">
        <f>C281</f>
        <v>~/cdd/olddocs/Instructivos/CNWI-QAAS/CNWI-QAAS-0012 Flujo de Proceso de Inspeccion P-Itron RCPT  y PLUG.pdf</v>
      </c>
      <c r="Q281" s="51" t="str">
        <f>E281</f>
        <v>pdf</v>
      </c>
      <c r="R281" s="51"/>
      <c r="S281" s="51"/>
      <c r="T281" s="51"/>
      <c r="U281" s="51"/>
      <c r="V281" s="51"/>
      <c r="W281" s="51"/>
      <c r="X281" s="51"/>
      <c r="Y281" s="51"/>
      <c r="Z281" s="51"/>
      <c r="AA281" s="51"/>
      <c r="AB281" s="51"/>
      <c r="AC281" s="51"/>
      <c r="AD281" s="51"/>
      <c r="AG281" t="s">
        <v>28</v>
      </c>
      <c r="AH281" s="51"/>
      <c r="AI281" s="51"/>
    </row>
    <row r="282" spans="2:35">
      <c r="B282" t="s">
        <v>290</v>
      </c>
      <c r="C282" t="s">
        <v>3342</v>
      </c>
      <c r="D282">
        <v>4</v>
      </c>
      <c r="E282" t="s">
        <v>2791</v>
      </c>
      <c r="F282">
        <v>9</v>
      </c>
      <c r="I282" t="s">
        <v>291</v>
      </c>
      <c r="J282" s="51">
        <v>41057</v>
      </c>
      <c r="K282" t="s">
        <v>27</v>
      </c>
      <c r="L282" t="s">
        <v>222</v>
      </c>
      <c r="M282">
        <v>3</v>
      </c>
      <c r="N282" t="str">
        <f>L282</f>
        <v>NAM\MA9769</v>
      </c>
      <c r="O282" s="51">
        <f>J282</f>
        <v>41057</v>
      </c>
      <c r="P282" s="51" t="str">
        <f>C282</f>
        <v>~/cdd/olddocs/Instructivos/CNWI-QAAS/CNWI-QAAS-0013 Proceso de auditoria de productos UL.pdf</v>
      </c>
      <c r="Q282" s="51" t="str">
        <f>E282</f>
        <v>pdf</v>
      </c>
      <c r="R282" s="51"/>
      <c r="S282" s="51"/>
      <c r="T282" s="51"/>
      <c r="U282" s="51"/>
      <c r="V282" s="51"/>
      <c r="W282" s="51"/>
      <c r="X282" s="51"/>
      <c r="Y282" s="51"/>
      <c r="Z282" s="51"/>
      <c r="AA282" s="51"/>
      <c r="AB282" s="51"/>
      <c r="AC282" s="51"/>
      <c r="AD282" s="51"/>
      <c r="AG282" t="s">
        <v>28</v>
      </c>
      <c r="AH282" s="51"/>
      <c r="AI282" s="51"/>
    </row>
    <row r="283" spans="2:35">
      <c r="B283" t="s">
        <v>292</v>
      </c>
      <c r="C283" t="s">
        <v>3343</v>
      </c>
      <c r="D283">
        <v>4</v>
      </c>
      <c r="E283" t="s">
        <v>2791</v>
      </c>
      <c r="F283">
        <v>9</v>
      </c>
      <c r="I283" t="s">
        <v>293</v>
      </c>
      <c r="J283" s="51">
        <v>40995</v>
      </c>
      <c r="K283" t="s">
        <v>27</v>
      </c>
      <c r="L283" t="s">
        <v>222</v>
      </c>
      <c r="M283">
        <v>3</v>
      </c>
      <c r="N283" t="str">
        <f>L283</f>
        <v>NAM\MA9769</v>
      </c>
      <c r="O283" s="51">
        <f>J283</f>
        <v>40995</v>
      </c>
      <c r="P283" s="51" t="str">
        <f>C283</f>
        <v>~/cdd/olddocs/Instructivos/CNWI-QAAS/CNWI-QAAS-0014 Proceso outsourcing.pdf</v>
      </c>
      <c r="Q283" s="51" t="str">
        <f>E283</f>
        <v>pdf</v>
      </c>
      <c r="R283" s="51"/>
      <c r="S283" s="51"/>
      <c r="T283" s="51"/>
      <c r="U283" s="51"/>
      <c r="V283" s="51"/>
      <c r="W283" s="51"/>
      <c r="X283" s="51"/>
      <c r="Y283" s="51"/>
      <c r="Z283" s="51"/>
      <c r="AA283" s="51"/>
      <c r="AB283" s="51"/>
      <c r="AC283" s="51"/>
      <c r="AD283" s="51"/>
      <c r="AG283" t="s">
        <v>28</v>
      </c>
      <c r="AH283" s="51"/>
      <c r="AI283" s="51"/>
    </row>
    <row r="284" spans="2:35">
      <c r="B284" t="s">
        <v>294</v>
      </c>
      <c r="C284" t="s">
        <v>3913</v>
      </c>
      <c r="D284">
        <v>4</v>
      </c>
      <c r="E284" t="s">
        <v>2791</v>
      </c>
      <c r="F284">
        <v>9</v>
      </c>
      <c r="I284" t="s">
        <v>295</v>
      </c>
      <c r="J284" s="51">
        <v>40970</v>
      </c>
      <c r="K284" t="s">
        <v>27</v>
      </c>
      <c r="L284" t="s">
        <v>222</v>
      </c>
      <c r="M284">
        <v>3</v>
      </c>
      <c r="N284" t="str">
        <f>L284</f>
        <v>NAM\MA9769</v>
      </c>
      <c r="O284" s="51">
        <f>J284</f>
        <v>40970</v>
      </c>
      <c r="P284" s="51" t="str">
        <f>C284</f>
        <v>~cdd/olddocs/Instructivos/CNWI-QAAS/CNWI-QAAS-0015 Management Risks Process.pdf</v>
      </c>
      <c r="Q284" s="51" t="str">
        <f>E284</f>
        <v>pdf</v>
      </c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G284" t="s">
        <v>28</v>
      </c>
      <c r="AH284" s="51"/>
      <c r="AI284" s="51"/>
    </row>
    <row r="285" spans="2:35">
      <c r="B285" t="s">
        <v>296</v>
      </c>
      <c r="C285" t="s">
        <v>3344</v>
      </c>
      <c r="D285">
        <v>4</v>
      </c>
      <c r="E285" t="s">
        <v>2791</v>
      </c>
      <c r="F285">
        <v>9</v>
      </c>
      <c r="I285" t="s">
        <v>297</v>
      </c>
      <c r="J285" s="51">
        <v>40590</v>
      </c>
      <c r="K285" t="s">
        <v>27</v>
      </c>
      <c r="L285" t="s">
        <v>222</v>
      </c>
      <c r="M285">
        <v>3</v>
      </c>
      <c r="N285" t="str">
        <f>L285</f>
        <v>NAM\MA9769</v>
      </c>
      <c r="O285" s="51">
        <f>J285</f>
        <v>40590</v>
      </c>
      <c r="P285" s="51" t="str">
        <f>C285</f>
        <v>~/cdd/olddocs/Instructivos/CNWI-QAAS/CNWI-QAAS-0016 Captura de boletas Sistema SAP.pdf</v>
      </c>
      <c r="Q285" s="51" t="str">
        <f>E285</f>
        <v>pdf</v>
      </c>
      <c r="R285" s="51"/>
      <c r="S285" s="51"/>
      <c r="T285" s="51"/>
      <c r="U285" s="51"/>
      <c r="V285" s="51"/>
      <c r="W285" s="51"/>
      <c r="X285" s="51"/>
      <c r="Y285" s="51"/>
      <c r="Z285" s="51"/>
      <c r="AA285" s="51"/>
      <c r="AB285" s="51"/>
      <c r="AC285" s="51"/>
      <c r="AD285" s="51"/>
      <c r="AG285" t="s">
        <v>28</v>
      </c>
      <c r="AH285" s="51"/>
      <c r="AI285" s="51"/>
    </row>
    <row r="286" spans="2:35">
      <c r="B286" t="s">
        <v>1162</v>
      </c>
      <c r="C286" t="s">
        <v>3345</v>
      </c>
      <c r="D286">
        <v>4</v>
      </c>
      <c r="E286" t="s">
        <v>2791</v>
      </c>
      <c r="F286">
        <v>9</v>
      </c>
      <c r="I286" t="s">
        <v>1163</v>
      </c>
      <c r="J286" s="51">
        <v>40745</v>
      </c>
      <c r="K286" t="s">
        <v>27</v>
      </c>
      <c r="L286" t="s">
        <v>1157</v>
      </c>
      <c r="M286">
        <v>3</v>
      </c>
      <c r="N286" t="str">
        <f>L286</f>
        <v>NAM\F13B6</v>
      </c>
      <c r="O286" s="51">
        <f>J286</f>
        <v>40745</v>
      </c>
      <c r="P286" s="51" t="str">
        <f>C286</f>
        <v>~/cdd/olddocs/Instructivos/CNWI-QAAS/CNWI-QAAS-0017 Base de datos Calibracion.pdf</v>
      </c>
      <c r="Q286" s="51" t="str">
        <f>E286</f>
        <v>pdf</v>
      </c>
      <c r="R286" s="51"/>
      <c r="S286" s="51"/>
      <c r="T286" s="51"/>
      <c r="U286" s="51"/>
      <c r="V286" s="51"/>
      <c r="W286" s="51"/>
      <c r="X286" s="51"/>
      <c r="Y286" s="51"/>
      <c r="Z286" s="51"/>
      <c r="AA286" s="51"/>
      <c r="AB286" s="51"/>
      <c r="AC286" s="51"/>
      <c r="AD286" s="51"/>
      <c r="AG286" t="s">
        <v>28</v>
      </c>
      <c r="AH286" s="51"/>
      <c r="AI286" s="51"/>
    </row>
    <row r="287" spans="2:35">
      <c r="B287" t="s">
        <v>1164</v>
      </c>
      <c r="C287" t="s">
        <v>3346</v>
      </c>
      <c r="D287">
        <v>4</v>
      </c>
      <c r="E287" t="s">
        <v>2791</v>
      </c>
      <c r="F287">
        <v>9</v>
      </c>
      <c r="I287" t="s">
        <v>1165</v>
      </c>
      <c r="J287" s="51">
        <v>40745</v>
      </c>
      <c r="K287" t="s">
        <v>27</v>
      </c>
      <c r="L287" t="s">
        <v>1157</v>
      </c>
      <c r="M287">
        <v>3</v>
      </c>
      <c r="N287" t="str">
        <f>L287</f>
        <v>NAM\F13B6</v>
      </c>
      <c r="O287" s="51">
        <f>J287</f>
        <v>40745</v>
      </c>
      <c r="P287" s="51" t="str">
        <f>C287</f>
        <v>~/cdd/olddocs/Instructivos/CNWI-QAAS/CNWI-QAAS-0018 calibracion de basculas.pdf</v>
      </c>
      <c r="Q287" s="51" t="str">
        <f>E287</f>
        <v>pdf</v>
      </c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G287" t="s">
        <v>28</v>
      </c>
      <c r="AH287" s="51"/>
      <c r="AI287" s="51"/>
    </row>
    <row r="288" spans="2:35">
      <c r="B288" t="s">
        <v>1166</v>
      </c>
      <c r="C288" t="s">
        <v>3347</v>
      </c>
      <c r="D288">
        <v>4</v>
      </c>
      <c r="E288" t="s">
        <v>2791</v>
      </c>
      <c r="F288">
        <v>9</v>
      </c>
      <c r="I288" t="s">
        <v>1167</v>
      </c>
      <c r="J288" s="51">
        <v>40745</v>
      </c>
      <c r="K288" t="s">
        <v>27</v>
      </c>
      <c r="L288" t="s">
        <v>1157</v>
      </c>
      <c r="M288">
        <v>3</v>
      </c>
      <c r="N288" t="str">
        <f>L288</f>
        <v>NAM\F13B6</v>
      </c>
      <c r="O288" s="51">
        <f>J288</f>
        <v>40745</v>
      </c>
      <c r="P288" s="51" t="str">
        <f>C288</f>
        <v>~/cdd/olddocs/Instructivos/CNWI-QAAS/CNWI-QAAS-0019 Calibracion micrometros.pdf</v>
      </c>
      <c r="Q288" s="51" t="str">
        <f>E288</f>
        <v>pdf</v>
      </c>
      <c r="R288" s="51"/>
      <c r="S288" s="51"/>
      <c r="T288" s="51"/>
      <c r="U288" s="51"/>
      <c r="V288" s="51"/>
      <c r="W288" s="51"/>
      <c r="X288" s="51"/>
      <c r="Y288" s="51"/>
      <c r="Z288" s="51"/>
      <c r="AA288" s="51"/>
      <c r="AB288" s="51"/>
      <c r="AC288" s="51"/>
      <c r="AD288" s="51"/>
      <c r="AG288" t="s">
        <v>28</v>
      </c>
      <c r="AH288" s="51"/>
      <c r="AI288" s="51"/>
    </row>
    <row r="289" spans="2:35">
      <c r="B289" t="s">
        <v>1168</v>
      </c>
      <c r="C289" t="s">
        <v>3348</v>
      </c>
      <c r="D289">
        <v>4</v>
      </c>
      <c r="E289" t="s">
        <v>2791</v>
      </c>
      <c r="F289">
        <v>9</v>
      </c>
      <c r="I289" t="s">
        <v>1169</v>
      </c>
      <c r="J289" s="51">
        <v>40745</v>
      </c>
      <c r="K289" t="s">
        <v>27</v>
      </c>
      <c r="L289" t="s">
        <v>1157</v>
      </c>
      <c r="M289">
        <v>3</v>
      </c>
      <c r="N289" t="str">
        <f>L289</f>
        <v>NAM\F13B6</v>
      </c>
      <c r="O289" s="51">
        <f>J289</f>
        <v>40745</v>
      </c>
      <c r="P289" s="51" t="str">
        <f>C289</f>
        <v>~/cdd/olddocs/Instructivos/CNWI-QAAS/CNWI-QAAS-0020 calibracion Basculas.pdf</v>
      </c>
      <c r="Q289" s="51" t="str">
        <f>E289</f>
        <v>pdf</v>
      </c>
      <c r="R289" s="51"/>
      <c r="S289" s="51"/>
      <c r="T289" s="51"/>
      <c r="U289" s="51"/>
      <c r="V289" s="51"/>
      <c r="W289" s="51"/>
      <c r="X289" s="51"/>
      <c r="Y289" s="51"/>
      <c r="Z289" s="51"/>
      <c r="AA289" s="51"/>
      <c r="AB289" s="51"/>
      <c r="AC289" s="51"/>
      <c r="AD289" s="51"/>
      <c r="AG289" t="s">
        <v>28</v>
      </c>
      <c r="AH289" s="51"/>
      <c r="AI289" s="51"/>
    </row>
    <row r="290" spans="2:35">
      <c r="B290" t="s">
        <v>2034</v>
      </c>
      <c r="C290" t="s">
        <v>3349</v>
      </c>
      <c r="D290">
        <v>4</v>
      </c>
      <c r="E290" t="s">
        <v>2791</v>
      </c>
      <c r="F290">
        <v>9</v>
      </c>
      <c r="I290" t="s">
        <v>2035</v>
      </c>
      <c r="J290" s="51">
        <v>41057</v>
      </c>
      <c r="K290" t="s">
        <v>159</v>
      </c>
      <c r="L290" t="s">
        <v>1888</v>
      </c>
      <c r="M290">
        <v>3</v>
      </c>
      <c r="N290" t="str">
        <f>L290</f>
        <v>NAM\MA7784</v>
      </c>
      <c r="O290" s="51">
        <f>J290</f>
        <v>41057</v>
      </c>
      <c r="P290" s="51" t="str">
        <f>C290</f>
        <v>~/cdd/olddocs/Instructivos/CNWI-QAAS/CNWI-QAAS-0021  Procedimiento Scrap.pdf</v>
      </c>
      <c r="Q290" s="51" t="str">
        <f>E290</f>
        <v>pdf</v>
      </c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G290" t="s">
        <v>28</v>
      </c>
      <c r="AH290" s="51"/>
      <c r="AI290" s="51"/>
    </row>
    <row r="291" spans="2:35">
      <c r="B291" t="s">
        <v>2215</v>
      </c>
      <c r="C291" t="s">
        <v>3914</v>
      </c>
      <c r="D291">
        <v>4</v>
      </c>
      <c r="E291" t="s">
        <v>2791</v>
      </c>
      <c r="F291">
        <v>9</v>
      </c>
      <c r="I291" t="s">
        <v>2216</v>
      </c>
      <c r="J291" s="51">
        <v>41107</v>
      </c>
      <c r="K291" t="s">
        <v>38</v>
      </c>
      <c r="L291" t="s">
        <v>2063</v>
      </c>
      <c r="M291">
        <v>3</v>
      </c>
      <c r="N291" t="str">
        <f>L291</f>
        <v>NAM\MB2117</v>
      </c>
      <c r="O291" s="51">
        <f>J291</f>
        <v>41107</v>
      </c>
      <c r="P291" s="51" t="str">
        <f>C291</f>
        <v>~cdd/olddocs/Instructivos/CNWI-QAAS/CNWI-QAAS-0022  Instructivo de llenado Certificado.pdf</v>
      </c>
      <c r="Q291" s="51" t="str">
        <f>E291</f>
        <v>pdf</v>
      </c>
      <c r="R291" s="51"/>
      <c r="S291" s="51"/>
      <c r="T291" s="51"/>
      <c r="U291" s="51"/>
      <c r="V291" s="51"/>
      <c r="W291" s="51"/>
      <c r="X291" s="51"/>
      <c r="Y291" s="51"/>
      <c r="Z291" s="51"/>
      <c r="AA291" s="51"/>
      <c r="AB291" s="51"/>
      <c r="AC291" s="51"/>
      <c r="AD291" s="51"/>
      <c r="AG291" t="s">
        <v>28</v>
      </c>
      <c r="AH291" s="51"/>
      <c r="AI291" s="51"/>
    </row>
    <row r="292" spans="2:35">
      <c r="B292" t="s">
        <v>1112</v>
      </c>
      <c r="C292" t="s">
        <v>3350</v>
      </c>
      <c r="D292">
        <v>4</v>
      </c>
      <c r="E292" t="s">
        <v>2791</v>
      </c>
      <c r="F292">
        <v>9</v>
      </c>
      <c r="I292" t="s">
        <v>1113</v>
      </c>
      <c r="J292" s="51">
        <v>41201</v>
      </c>
      <c r="K292" t="s">
        <v>159</v>
      </c>
      <c r="L292" t="s">
        <v>1109</v>
      </c>
      <c r="M292">
        <v>3</v>
      </c>
      <c r="N292" t="str">
        <f>L292</f>
        <v>NAM\MB2116</v>
      </c>
      <c r="O292" s="51">
        <f>J292</f>
        <v>41201</v>
      </c>
      <c r="P292" s="51" t="str">
        <f>C292</f>
        <v>~/cdd/olddocs/Instructivos/CNWI-QAAS/CNWI-QAAS-0023  Instruccion de RMA's  _ Spanish _.pdf</v>
      </c>
      <c r="Q292" s="51" t="str">
        <f>E292</f>
        <v>pdf</v>
      </c>
      <c r="R292" s="51"/>
      <c r="S292" s="51"/>
      <c r="T292" s="51"/>
      <c r="U292" s="51"/>
      <c r="V292" s="51"/>
      <c r="W292" s="51"/>
      <c r="X292" s="51"/>
      <c r="Y292" s="51"/>
      <c r="Z292" s="51"/>
      <c r="AA292" s="51"/>
      <c r="AB292" s="51"/>
      <c r="AC292" s="51"/>
      <c r="AD292" s="51"/>
      <c r="AG292" t="s">
        <v>28</v>
      </c>
      <c r="AH292" s="51"/>
      <c r="AI292" s="51"/>
    </row>
    <row r="293" spans="2:35">
      <c r="B293" t="s">
        <v>1114</v>
      </c>
      <c r="C293" t="s">
        <v>3351</v>
      </c>
      <c r="D293">
        <v>4</v>
      </c>
      <c r="E293" t="s">
        <v>2791</v>
      </c>
      <c r="F293">
        <v>9</v>
      </c>
      <c r="I293" t="s">
        <v>1115</v>
      </c>
      <c r="J293" s="51">
        <v>41053</v>
      </c>
      <c r="K293" t="s">
        <v>27</v>
      </c>
      <c r="L293" t="s">
        <v>1109</v>
      </c>
      <c r="M293">
        <v>3</v>
      </c>
      <c r="N293" t="str">
        <f>L293</f>
        <v>NAM\MB2116</v>
      </c>
      <c r="O293" s="51">
        <f>J293</f>
        <v>41053</v>
      </c>
      <c r="P293" s="51" t="str">
        <f>C293</f>
        <v>~/cdd/olddocs/Instructivos/CNWI-QAAS/CNWI-QAAS-0024 Procedimiento para recall de productos.pdf</v>
      </c>
      <c r="Q293" s="51" t="str">
        <f>E293</f>
        <v>pdf</v>
      </c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G293" t="s">
        <v>28</v>
      </c>
      <c r="AH293" s="51"/>
      <c r="AI293" s="51"/>
    </row>
    <row r="294" spans="2:35">
      <c r="B294" t="s">
        <v>1116</v>
      </c>
      <c r="C294" t="s">
        <v>3352</v>
      </c>
      <c r="D294">
        <v>4</v>
      </c>
      <c r="E294" t="s">
        <v>2791</v>
      </c>
      <c r="F294">
        <v>9</v>
      </c>
      <c r="I294" t="s">
        <v>1117</v>
      </c>
      <c r="J294" s="51">
        <v>41204</v>
      </c>
      <c r="K294" t="s">
        <v>46</v>
      </c>
      <c r="L294" t="s">
        <v>1109</v>
      </c>
      <c r="M294">
        <v>3</v>
      </c>
      <c r="N294" t="str">
        <f>L294</f>
        <v>NAM\MB2116</v>
      </c>
      <c r="O294" s="51">
        <f>J294</f>
        <v>41204</v>
      </c>
      <c r="P294" s="51" t="str">
        <f>C294</f>
        <v>~/cdd/olddocs/Instructivos/CNWI-QAAS/CNWI-QAAS-0025  Validacion de componentes.pdf</v>
      </c>
      <c r="Q294" s="51" t="str">
        <f>E294</f>
        <v>pdf</v>
      </c>
      <c r="R294" s="51"/>
      <c r="S294" s="51"/>
      <c r="T294" s="51"/>
      <c r="U294" s="51"/>
      <c r="V294" s="51"/>
      <c r="W294" s="51"/>
      <c r="X294" s="51"/>
      <c r="Y294" s="51"/>
      <c r="Z294" s="51"/>
      <c r="AA294" s="51"/>
      <c r="AB294" s="51"/>
      <c r="AC294" s="51"/>
      <c r="AD294" s="51"/>
      <c r="AG294" t="s">
        <v>28</v>
      </c>
      <c r="AH294" s="51"/>
      <c r="AI294" s="51"/>
    </row>
    <row r="295" spans="2:35">
      <c r="B295" t="s">
        <v>298</v>
      </c>
      <c r="C295" t="s">
        <v>3353</v>
      </c>
      <c r="D295">
        <v>4</v>
      </c>
      <c r="E295" t="s">
        <v>2791</v>
      </c>
      <c r="F295">
        <v>9</v>
      </c>
      <c r="I295" t="s">
        <v>299</v>
      </c>
      <c r="J295" s="51">
        <v>40834</v>
      </c>
      <c r="K295" t="s">
        <v>27</v>
      </c>
      <c r="L295" t="s">
        <v>222</v>
      </c>
      <c r="M295">
        <v>3</v>
      </c>
      <c r="N295" t="str">
        <f>L295</f>
        <v>NAM\MA9769</v>
      </c>
      <c r="O295" s="51">
        <f>J295</f>
        <v>40834</v>
      </c>
      <c r="P295" s="51" t="str">
        <f>C295</f>
        <v>~/cdd/olddocs/Instructivos/CNWI-QAAS/CNWI-QAAS-0026 Identificacion y Rastreabilidad del producto.pdf</v>
      </c>
      <c r="Q295" s="51" t="str">
        <f>E295</f>
        <v>pdf</v>
      </c>
      <c r="R295" s="51"/>
      <c r="S295" s="51"/>
      <c r="T295" s="51"/>
      <c r="U295" s="51"/>
      <c r="V295" s="51"/>
      <c r="W295" s="51"/>
      <c r="X295" s="51"/>
      <c r="Y295" s="51"/>
      <c r="Z295" s="51"/>
      <c r="AA295" s="51"/>
      <c r="AB295" s="51"/>
      <c r="AC295" s="51"/>
      <c r="AD295" s="51"/>
      <c r="AG295" t="s">
        <v>28</v>
      </c>
      <c r="AH295" s="51"/>
      <c r="AI295" s="51"/>
    </row>
    <row r="296" spans="2:35">
      <c r="B296" t="s">
        <v>1170</v>
      </c>
      <c r="C296" t="s">
        <v>3354</v>
      </c>
      <c r="D296">
        <v>4</v>
      </c>
      <c r="E296" t="s">
        <v>2794</v>
      </c>
      <c r="F296">
        <v>9</v>
      </c>
      <c r="I296" t="s">
        <v>3779</v>
      </c>
      <c r="J296" s="51">
        <v>40856</v>
      </c>
      <c r="K296" t="s">
        <v>27</v>
      </c>
      <c r="L296" t="s">
        <v>1157</v>
      </c>
      <c r="M296">
        <v>3</v>
      </c>
      <c r="N296" t="str">
        <f>L296</f>
        <v>NAM\F13B6</v>
      </c>
      <c r="O296" s="51">
        <f>J296</f>
        <v>40856</v>
      </c>
      <c r="P296" s="51" t="str">
        <f>C296</f>
        <v>~/cdd/olddocs/Instructivos/CNWI-QAAS/CNWI-QAAS-0027 Rev. A Flujo de proceso de inspeccion de engomado bacc65xx.doc</v>
      </c>
      <c r="Q296" s="51" t="str">
        <f>E296</f>
        <v>doc</v>
      </c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G296" t="s">
        <v>28</v>
      </c>
      <c r="AH296" s="51"/>
      <c r="AI296" s="51"/>
    </row>
    <row r="297" spans="2:35">
      <c r="B297" t="s">
        <v>1172</v>
      </c>
      <c r="C297" t="s">
        <v>3355</v>
      </c>
      <c r="D297">
        <v>4</v>
      </c>
      <c r="E297" t="s">
        <v>2791</v>
      </c>
      <c r="F297">
        <v>9</v>
      </c>
      <c r="I297" t="s">
        <v>1173</v>
      </c>
      <c r="J297" s="51">
        <v>40849</v>
      </c>
      <c r="K297" t="s">
        <v>27</v>
      </c>
      <c r="L297" t="s">
        <v>1157</v>
      </c>
      <c r="M297">
        <v>3</v>
      </c>
      <c r="N297" t="str">
        <f>L297</f>
        <v>NAM\F13B6</v>
      </c>
      <c r="O297" s="51">
        <f>J297</f>
        <v>40849</v>
      </c>
      <c r="P297" s="51" t="str">
        <f>C297</f>
        <v>~/cdd/olddocs/Instructivos/CNWI-QAAS/CNWI-QAAS-0028 Flujo de Inspeccion en Ensamble.pdf</v>
      </c>
      <c r="Q297" s="51" t="str">
        <f>E297</f>
        <v>pdf</v>
      </c>
      <c r="R297" s="51"/>
      <c r="S297" s="51"/>
      <c r="T297" s="51"/>
      <c r="U297" s="51"/>
      <c r="V297" s="51"/>
      <c r="W297" s="51"/>
      <c r="X297" s="51"/>
      <c r="Y297" s="51"/>
      <c r="Z297" s="51"/>
      <c r="AA297" s="51"/>
      <c r="AB297" s="51"/>
      <c r="AC297" s="51"/>
      <c r="AD297" s="51"/>
      <c r="AG297" t="s">
        <v>28</v>
      </c>
      <c r="AH297" s="51"/>
      <c r="AI297" s="51"/>
    </row>
    <row r="298" spans="2:35">
      <c r="B298" t="s">
        <v>2036</v>
      </c>
      <c r="C298" t="s">
        <v>3942</v>
      </c>
      <c r="D298">
        <v>4</v>
      </c>
      <c r="E298" t="s">
        <v>2797</v>
      </c>
      <c r="F298">
        <v>9</v>
      </c>
      <c r="I298" t="s">
        <v>2037</v>
      </c>
      <c r="J298" s="51">
        <v>41065</v>
      </c>
      <c r="K298" t="s">
        <v>27</v>
      </c>
      <c r="L298" t="s">
        <v>1888</v>
      </c>
      <c r="M298">
        <v>3</v>
      </c>
      <c r="N298" t="str">
        <f>L298</f>
        <v>NAM\MA7784</v>
      </c>
      <c r="O298" s="51">
        <f>J298</f>
        <v>41065</v>
      </c>
      <c r="P298" s="51" t="str">
        <f>C298</f>
        <v>~/cdd/olddocs/CN-QAAS (Aseguranza de calidad)/WI/CNWI-QAAS-0029 Rev. A Procedimiento para cerrar en SAP las notificaciones de Customer Complaints.docx</v>
      </c>
      <c r="Q298" s="51" t="str">
        <f>E298</f>
        <v>docx</v>
      </c>
      <c r="R298" s="51"/>
      <c r="S298" s="51"/>
      <c r="T298" s="51"/>
      <c r="U298" s="51"/>
      <c r="V298" s="51"/>
      <c r="W298" s="51"/>
      <c r="X298" s="51"/>
      <c r="Y298" s="51"/>
      <c r="Z298" s="51"/>
      <c r="AA298" s="51"/>
      <c r="AB298" s="51"/>
      <c r="AC298" s="51"/>
      <c r="AD298" s="51"/>
      <c r="AG298" t="s">
        <v>28</v>
      </c>
      <c r="AH298" s="51"/>
      <c r="AI298" s="51"/>
    </row>
    <row r="299" spans="2:35">
      <c r="B299" t="s">
        <v>1174</v>
      </c>
      <c r="C299" t="s">
        <v>3356</v>
      </c>
      <c r="D299">
        <v>4</v>
      </c>
      <c r="E299" t="s">
        <v>2791</v>
      </c>
      <c r="F299">
        <v>9</v>
      </c>
      <c r="I299" t="s">
        <v>1175</v>
      </c>
      <c r="J299" s="51">
        <v>40850</v>
      </c>
      <c r="K299" t="s">
        <v>27</v>
      </c>
      <c r="L299" t="s">
        <v>1157</v>
      </c>
      <c r="M299">
        <v>3</v>
      </c>
      <c r="N299" t="str">
        <f>L299</f>
        <v>NAM\F13B6</v>
      </c>
      <c r="O299" s="51">
        <f>J299</f>
        <v>40850</v>
      </c>
      <c r="P299" s="51" t="str">
        <f>C299</f>
        <v>~/cdd/olddocs/Instructivos/CNWI-QAAS/CNWI-QAAS-0030 liberacion de equipo.pdf</v>
      </c>
      <c r="Q299" s="51" t="str">
        <f>E299</f>
        <v>pdf</v>
      </c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G299" t="s">
        <v>28</v>
      </c>
      <c r="AH299" s="51"/>
      <c r="AI299" s="51"/>
    </row>
    <row r="300" spans="2:35">
      <c r="B300" t="s">
        <v>1176</v>
      </c>
      <c r="C300" t="s">
        <v>3357</v>
      </c>
      <c r="D300">
        <v>4</v>
      </c>
      <c r="E300" t="s">
        <v>2791</v>
      </c>
      <c r="F300">
        <v>9</v>
      </c>
      <c r="I300" t="s">
        <v>1177</v>
      </c>
      <c r="J300" s="51">
        <v>40863</v>
      </c>
      <c r="K300" t="s">
        <v>27</v>
      </c>
      <c r="L300" t="s">
        <v>1157</v>
      </c>
      <c r="M300">
        <v>3</v>
      </c>
      <c r="N300" t="str">
        <f>L300</f>
        <v>NAM\F13B6</v>
      </c>
      <c r="O300" s="51">
        <f>J300</f>
        <v>40863</v>
      </c>
      <c r="P300" s="51" t="str">
        <f>C300</f>
        <v>~/cdd/olddocs/Instructivos/CNWI-QAAS/CNWI-QAAS-0031 Calibracion de Verniers.pdf</v>
      </c>
      <c r="Q300" s="51" t="str">
        <f>E300</f>
        <v>pdf</v>
      </c>
      <c r="R300" s="51"/>
      <c r="S300" s="51"/>
      <c r="T300" s="51"/>
      <c r="U300" s="51"/>
      <c r="V300" s="51"/>
      <c r="W300" s="51"/>
      <c r="X300" s="51"/>
      <c r="Y300" s="51"/>
      <c r="Z300" s="51"/>
      <c r="AA300" s="51"/>
      <c r="AB300" s="51"/>
      <c r="AC300" s="51"/>
      <c r="AD300" s="51"/>
      <c r="AG300" t="s">
        <v>28</v>
      </c>
      <c r="AH300" s="51"/>
      <c r="AI300" s="51"/>
    </row>
    <row r="301" spans="2:35">
      <c r="B301" t="s">
        <v>1178</v>
      </c>
      <c r="C301" t="s">
        <v>3358</v>
      </c>
      <c r="D301">
        <v>4</v>
      </c>
      <c r="E301" t="s">
        <v>2791</v>
      </c>
      <c r="F301">
        <v>9</v>
      </c>
      <c r="I301" t="s">
        <v>1179</v>
      </c>
      <c r="J301" s="51">
        <v>40871</v>
      </c>
      <c r="K301" t="s">
        <v>27</v>
      </c>
      <c r="L301" t="s">
        <v>1157</v>
      </c>
      <c r="M301">
        <v>3</v>
      </c>
      <c r="N301" t="str">
        <f>L301</f>
        <v>NAM\F13B6</v>
      </c>
      <c r="O301" s="51">
        <f>J301</f>
        <v>40871</v>
      </c>
      <c r="P301" s="51" t="str">
        <f>C301</f>
        <v>~/cdd/olddocs/Instructivos/CNWI-QAAS/CNWI-QAAS-0032 Instructivo de calibracion de  hornos.pdf</v>
      </c>
      <c r="Q301" s="51" t="str">
        <f>E301</f>
        <v>pdf</v>
      </c>
      <c r="R301" s="51"/>
      <c r="S301" s="51"/>
      <c r="T301" s="51"/>
      <c r="U301" s="51"/>
      <c r="V301" s="51"/>
      <c r="W301" s="51"/>
      <c r="X301" s="51"/>
      <c r="Y301" s="51"/>
      <c r="Z301" s="51"/>
      <c r="AA301" s="51"/>
      <c r="AB301" s="51"/>
      <c r="AC301" s="51"/>
      <c r="AD301" s="51"/>
      <c r="AG301" t="s">
        <v>28</v>
      </c>
      <c r="AH301" s="51"/>
      <c r="AI301" s="51"/>
    </row>
    <row r="302" spans="2:35">
      <c r="B302" t="s">
        <v>2038</v>
      </c>
      <c r="C302" t="s">
        <v>3943</v>
      </c>
      <c r="D302">
        <v>4</v>
      </c>
      <c r="E302" t="s">
        <v>2797</v>
      </c>
      <c r="F302">
        <v>9</v>
      </c>
      <c r="I302" t="s">
        <v>2039</v>
      </c>
      <c r="J302" s="51">
        <v>41248</v>
      </c>
      <c r="K302" t="s">
        <v>27</v>
      </c>
      <c r="L302" t="s">
        <v>1888</v>
      </c>
      <c r="M302">
        <v>3</v>
      </c>
      <c r="N302" t="str">
        <f>L302</f>
        <v>NAM\MA7784</v>
      </c>
      <c r="O302" s="51">
        <f>J302</f>
        <v>41248</v>
      </c>
      <c r="P302" s="51" t="str">
        <f>C302</f>
        <v>~/cdd/olddocs/CN-QAAS (Aseguranza de calidad)/WI/CNWI-QAAS-0033 Rev. A Customer satisfaction process.docx</v>
      </c>
      <c r="Q302" s="51" t="str">
        <f>E302</f>
        <v>docx</v>
      </c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G302" t="s">
        <v>28</v>
      </c>
      <c r="AH302" s="51"/>
      <c r="AI302" s="51"/>
    </row>
    <row r="303" spans="2:35">
      <c r="B303" t="s">
        <v>1180</v>
      </c>
      <c r="C303" t="s">
        <v>3359</v>
      </c>
      <c r="D303">
        <v>4</v>
      </c>
      <c r="E303" t="s">
        <v>2791</v>
      </c>
      <c r="F303">
        <v>9</v>
      </c>
      <c r="I303" t="s">
        <v>1181</v>
      </c>
      <c r="J303" s="51">
        <v>40884</v>
      </c>
      <c r="K303" t="s">
        <v>27</v>
      </c>
      <c r="L303" t="s">
        <v>1157</v>
      </c>
      <c r="M303">
        <v>3</v>
      </c>
      <c r="N303" t="str">
        <f>L303</f>
        <v>NAM\F13B6</v>
      </c>
      <c r="O303" s="51">
        <f>J303</f>
        <v>40884</v>
      </c>
      <c r="P303" s="51" t="str">
        <f>C303</f>
        <v>~/cdd/olddocs/Instructivos/CNWI-QAAS/CNWI-QAAS-0034 Calibracion de Indicadores.pdf</v>
      </c>
      <c r="Q303" s="51" t="str">
        <f>E303</f>
        <v>pdf</v>
      </c>
      <c r="R303" s="51"/>
      <c r="S303" s="51"/>
      <c r="T303" s="51"/>
      <c r="U303" s="51"/>
      <c r="V303" s="51"/>
      <c r="W303" s="51"/>
      <c r="X303" s="51"/>
      <c r="Y303" s="51"/>
      <c r="Z303" s="51"/>
      <c r="AA303" s="51"/>
      <c r="AB303" s="51"/>
      <c r="AC303" s="51"/>
      <c r="AD303" s="51"/>
      <c r="AG303" t="s">
        <v>28</v>
      </c>
      <c r="AH303" s="51"/>
      <c r="AI303" s="51"/>
    </row>
    <row r="304" spans="2:35">
      <c r="B304" t="s">
        <v>300</v>
      </c>
      <c r="C304" t="s">
        <v>3360</v>
      </c>
      <c r="D304">
        <v>4</v>
      </c>
      <c r="E304" t="s">
        <v>2791</v>
      </c>
      <c r="F304">
        <v>9</v>
      </c>
      <c r="I304" t="s">
        <v>301</v>
      </c>
      <c r="J304" s="51">
        <v>40912</v>
      </c>
      <c r="K304" t="s">
        <v>27</v>
      </c>
      <c r="L304" t="s">
        <v>222</v>
      </c>
      <c r="M304">
        <v>3</v>
      </c>
      <c r="N304" t="str">
        <f>L304</f>
        <v>NAM\MA9769</v>
      </c>
      <c r="O304" s="51">
        <f>J304</f>
        <v>40912</v>
      </c>
      <c r="P304" s="51" t="str">
        <f>C304</f>
        <v>~/cdd/olddocs/Instructivos/CNWI-QAAS/CNWI-QAAS-0035 Requerimientos Aeroespacial para ins. FIA.pdf</v>
      </c>
      <c r="Q304" s="51" t="str">
        <f>E304</f>
        <v>pdf</v>
      </c>
      <c r="R304" s="51"/>
      <c r="S304" s="51"/>
      <c r="T304" s="51"/>
      <c r="U304" s="51"/>
      <c r="V304" s="51"/>
      <c r="W304" s="51"/>
      <c r="X304" s="51"/>
      <c r="Y304" s="51"/>
      <c r="Z304" s="51"/>
      <c r="AA304" s="51"/>
      <c r="AB304" s="51"/>
      <c r="AC304" s="51"/>
      <c r="AD304" s="51"/>
      <c r="AG304" t="s">
        <v>28</v>
      </c>
      <c r="AH304" s="51"/>
      <c r="AI304" s="51"/>
    </row>
    <row r="305" spans="2:35">
      <c r="B305" t="s">
        <v>2217</v>
      </c>
      <c r="C305" t="s">
        <v>3915</v>
      </c>
      <c r="D305">
        <v>4</v>
      </c>
      <c r="E305" t="s">
        <v>2791</v>
      </c>
      <c r="F305">
        <v>9</v>
      </c>
      <c r="I305" t="s">
        <v>2218</v>
      </c>
      <c r="J305" s="51">
        <v>41197</v>
      </c>
      <c r="K305" t="s">
        <v>46</v>
      </c>
      <c r="L305" t="s">
        <v>2063</v>
      </c>
      <c r="M305">
        <v>3</v>
      </c>
      <c r="N305" t="str">
        <f>L305</f>
        <v>NAM\MB2117</v>
      </c>
      <c r="O305" s="51">
        <f>J305</f>
        <v>41197</v>
      </c>
      <c r="P305" s="51" t="str">
        <f>C305</f>
        <v>~cdd/olddocs/Instructivos/CNWI-QAAS/CNWI-QAAS-0036  Procedimiento para Control Plan.pdf</v>
      </c>
      <c r="Q305" s="51" t="str">
        <f>E305</f>
        <v>pdf</v>
      </c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G305" t="s">
        <v>28</v>
      </c>
      <c r="AH305" s="51"/>
      <c r="AI305" s="51"/>
    </row>
    <row r="306" spans="2:35">
      <c r="B306" t="s">
        <v>1182</v>
      </c>
      <c r="C306" t="s">
        <v>3361</v>
      </c>
      <c r="D306">
        <v>4</v>
      </c>
      <c r="E306" t="s">
        <v>2791</v>
      </c>
      <c r="F306">
        <v>9</v>
      </c>
      <c r="I306" t="s">
        <v>1183</v>
      </c>
      <c r="J306" s="51">
        <v>40941</v>
      </c>
      <c r="K306" t="s">
        <v>27</v>
      </c>
      <c r="L306" t="s">
        <v>1157</v>
      </c>
      <c r="M306">
        <v>3</v>
      </c>
      <c r="N306" t="str">
        <f>L306</f>
        <v>NAM\F13B6</v>
      </c>
      <c r="O306" s="51">
        <f>J306</f>
        <v>40941</v>
      </c>
      <c r="P306" s="51" t="str">
        <f>C306</f>
        <v>~/cdd/olddocs/Instructivos/CNWI-QAAS/CNWI-QAAS-0037 registro y reastrabilidad de boletas de scrap.pdf</v>
      </c>
      <c r="Q306" s="51" t="str">
        <f>E306</f>
        <v>pdf</v>
      </c>
      <c r="R306" s="51"/>
      <c r="S306" s="51"/>
      <c r="T306" s="51"/>
      <c r="U306" s="51"/>
      <c r="V306" s="51"/>
      <c r="W306" s="51"/>
      <c r="X306" s="51"/>
      <c r="Y306" s="51"/>
      <c r="Z306" s="51"/>
      <c r="AA306" s="51"/>
      <c r="AB306" s="51"/>
      <c r="AC306" s="51"/>
      <c r="AD306" s="51"/>
      <c r="AG306" t="s">
        <v>28</v>
      </c>
      <c r="AH306" s="51"/>
      <c r="AI306" s="51"/>
    </row>
    <row r="307" spans="2:35">
      <c r="B307" t="s">
        <v>1184</v>
      </c>
      <c r="C307" t="s">
        <v>3916</v>
      </c>
      <c r="D307">
        <v>4</v>
      </c>
      <c r="E307" t="s">
        <v>2791</v>
      </c>
      <c r="F307">
        <v>9</v>
      </c>
      <c r="I307" t="s">
        <v>1185</v>
      </c>
      <c r="J307" s="51">
        <v>40962</v>
      </c>
      <c r="K307" t="s">
        <v>27</v>
      </c>
      <c r="L307" t="s">
        <v>1157</v>
      </c>
      <c r="M307">
        <v>3</v>
      </c>
      <c r="N307" t="str">
        <f>L307</f>
        <v>NAM\F13B6</v>
      </c>
      <c r="O307" s="51">
        <f>J307</f>
        <v>40962</v>
      </c>
      <c r="P307" s="51" t="str">
        <f>C307</f>
        <v>~cdd/olddocs/Instructivos/CNWI-QAAS/CNWI-QAAS-0038 Inst. para reporte SAP MB51.pdf</v>
      </c>
      <c r="Q307" s="51" t="str">
        <f>E307</f>
        <v>pdf</v>
      </c>
      <c r="R307" s="51"/>
      <c r="S307" s="51"/>
      <c r="T307" s="51"/>
      <c r="U307" s="51"/>
      <c r="V307" s="51"/>
      <c r="W307" s="51"/>
      <c r="X307" s="51"/>
      <c r="Y307" s="51"/>
      <c r="Z307" s="51"/>
      <c r="AA307" s="51"/>
      <c r="AB307" s="51"/>
      <c r="AC307" s="51"/>
      <c r="AD307" s="51"/>
      <c r="AG307" t="s">
        <v>28</v>
      </c>
      <c r="AH307" s="51"/>
      <c r="AI307" s="51"/>
    </row>
    <row r="308" spans="2:35">
      <c r="B308" t="s">
        <v>2219</v>
      </c>
      <c r="C308" t="s">
        <v>3362</v>
      </c>
      <c r="D308">
        <v>4</v>
      </c>
      <c r="E308" t="s">
        <v>2791</v>
      </c>
      <c r="F308">
        <v>9</v>
      </c>
      <c r="I308" t="s">
        <v>2220</v>
      </c>
      <c r="J308" s="51">
        <v>40960</v>
      </c>
      <c r="K308" t="s">
        <v>27</v>
      </c>
      <c r="L308" t="s">
        <v>2063</v>
      </c>
      <c r="M308">
        <v>3</v>
      </c>
      <c r="N308" t="str">
        <f>L308</f>
        <v>NAM\MB2117</v>
      </c>
      <c r="O308" s="51">
        <f>J308</f>
        <v>40960</v>
      </c>
      <c r="P308" s="51" t="str">
        <f>C308</f>
        <v>~/cdd/olddocs/Instructivos/CNWI-QAAS/CNWI-QAAS-0039 Protocolo de liberacion de moldeo.pdf</v>
      </c>
      <c r="Q308" s="51" t="str">
        <f>E308</f>
        <v>pdf</v>
      </c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G308" t="s">
        <v>28</v>
      </c>
      <c r="AH308" s="51"/>
      <c r="AI308" s="51"/>
    </row>
    <row r="309" spans="2:35">
      <c r="B309" t="s">
        <v>1186</v>
      </c>
      <c r="C309" t="s">
        <v>3363</v>
      </c>
      <c r="D309">
        <v>4</v>
      </c>
      <c r="E309" t="s">
        <v>2791</v>
      </c>
      <c r="F309">
        <v>9</v>
      </c>
      <c r="I309" t="s">
        <v>1187</v>
      </c>
      <c r="J309" s="51">
        <v>40988</v>
      </c>
      <c r="K309" t="s">
        <v>27</v>
      </c>
      <c r="L309" t="s">
        <v>1157</v>
      </c>
      <c r="M309">
        <v>3</v>
      </c>
      <c r="N309" t="str">
        <f>L309</f>
        <v>NAM\F13B6</v>
      </c>
      <c r="O309" s="51">
        <f>J309</f>
        <v>40988</v>
      </c>
      <c r="P309" s="51" t="str">
        <f>C309</f>
        <v>~/cdd/olddocs/Instructivos/CNWI-QAAS/CNWI-QAAS-0040 Procedimiento de prueba MS.pdf</v>
      </c>
      <c r="Q309" s="51" t="str">
        <f>E309</f>
        <v>pdf</v>
      </c>
      <c r="R309" s="51"/>
      <c r="S309" s="51"/>
      <c r="T309" s="51"/>
      <c r="U309" s="51"/>
      <c r="V309" s="51"/>
      <c r="W309" s="51"/>
      <c r="X309" s="51"/>
      <c r="Y309" s="51"/>
      <c r="Z309" s="51"/>
      <c r="AA309" s="51"/>
      <c r="AB309" s="51"/>
      <c r="AC309" s="51"/>
      <c r="AD309" s="51"/>
      <c r="AG309" t="s">
        <v>28</v>
      </c>
      <c r="AH309" s="51"/>
      <c r="AI309" s="51"/>
    </row>
    <row r="310" spans="2:35">
      <c r="B310" t="s">
        <v>1839</v>
      </c>
      <c r="C310" t="s">
        <v>3917</v>
      </c>
      <c r="D310">
        <v>4</v>
      </c>
      <c r="E310" t="s">
        <v>2791</v>
      </c>
      <c r="F310">
        <v>9</v>
      </c>
      <c r="I310" t="s">
        <v>1840</v>
      </c>
      <c r="J310" s="51">
        <v>40998</v>
      </c>
      <c r="K310" t="s">
        <v>27</v>
      </c>
      <c r="L310" t="s">
        <v>1584</v>
      </c>
      <c r="M310">
        <v>3</v>
      </c>
      <c r="N310" t="str">
        <f>L310</f>
        <v>NAM\A8070</v>
      </c>
      <c r="O310" s="51">
        <f>J310</f>
        <v>40998</v>
      </c>
      <c r="P310" s="51" t="str">
        <f>C310</f>
        <v>~cdd/olddocs/Instructivos/CNWI-QAAS/CNWI-QAAS-0041  Proceso de auditoria out of box.pdf</v>
      </c>
      <c r="Q310" s="51" t="str">
        <f>E310</f>
        <v>pdf</v>
      </c>
      <c r="R310" s="51"/>
      <c r="S310" s="51"/>
      <c r="T310" s="51"/>
      <c r="U310" s="51"/>
      <c r="V310" s="51"/>
      <c r="W310" s="51"/>
      <c r="X310" s="51"/>
      <c r="Y310" s="51"/>
      <c r="Z310" s="51"/>
      <c r="AA310" s="51"/>
      <c r="AB310" s="51"/>
      <c r="AC310" s="51"/>
      <c r="AD310" s="51"/>
      <c r="AG310" t="s">
        <v>28</v>
      </c>
      <c r="AH310" s="51"/>
      <c r="AI310" s="51"/>
    </row>
    <row r="311" spans="2:35">
      <c r="B311" t="s">
        <v>2221</v>
      </c>
      <c r="C311" t="s">
        <v>3364</v>
      </c>
      <c r="D311">
        <v>4</v>
      </c>
      <c r="E311" t="s">
        <v>2791</v>
      </c>
      <c r="F311">
        <v>9</v>
      </c>
      <c r="I311" t="s">
        <v>2222</v>
      </c>
      <c r="J311" s="51">
        <v>41172</v>
      </c>
      <c r="K311" t="s">
        <v>27</v>
      </c>
      <c r="L311" t="s">
        <v>2063</v>
      </c>
      <c r="M311">
        <v>3</v>
      </c>
      <c r="N311" t="str">
        <f>L311</f>
        <v>NAM\MB2117</v>
      </c>
      <c r="O311" s="51">
        <f>J311</f>
        <v>41172</v>
      </c>
      <c r="P311" s="51" t="str">
        <f>C311</f>
        <v>~/cdd/olddocs/Instructivos/CNWI-QAAS/CNWI-QAAS-0042 Procedimiento para Prueba de Impacto.pdf</v>
      </c>
      <c r="Q311" s="51" t="str">
        <f>E311</f>
        <v>pdf</v>
      </c>
      <c r="R311" s="51"/>
      <c r="S311" s="51"/>
      <c r="T311" s="51"/>
      <c r="U311" s="51"/>
      <c r="V311" s="51"/>
      <c r="W311" s="51"/>
      <c r="X311" s="51"/>
      <c r="Y311" s="51"/>
      <c r="Z311" s="51"/>
      <c r="AA311" s="51"/>
      <c r="AB311" s="51"/>
      <c r="AC311" s="51"/>
      <c r="AD311" s="51"/>
      <c r="AG311" t="s">
        <v>28</v>
      </c>
      <c r="AH311" s="51"/>
      <c r="AI311" s="51"/>
    </row>
    <row r="312" spans="2:35">
      <c r="B312" t="s">
        <v>1863</v>
      </c>
      <c r="C312" t="s">
        <v>3365</v>
      </c>
      <c r="D312">
        <v>4</v>
      </c>
      <c r="E312" t="s">
        <v>2791</v>
      </c>
      <c r="F312">
        <v>9</v>
      </c>
      <c r="I312" t="s">
        <v>1864</v>
      </c>
      <c r="J312" s="51">
        <v>41025</v>
      </c>
      <c r="K312" t="s">
        <v>27</v>
      </c>
      <c r="L312" t="s">
        <v>1866</v>
      </c>
      <c r="M312">
        <v>3</v>
      </c>
      <c r="N312" t="str">
        <f>L312</f>
        <v>NAM\MB0982</v>
      </c>
      <c r="O312" s="51">
        <f>J312</f>
        <v>41025</v>
      </c>
      <c r="P312" s="51" t="str">
        <f>C312</f>
        <v>~/cdd/olddocs/Instructivos/CNWI-QAAS/CNWI-QAAS-0043 Uso de base de datos de etiquetas (GMLabels).pdf</v>
      </c>
      <c r="Q312" s="51" t="str">
        <f>E312</f>
        <v>pdf</v>
      </c>
      <c r="R312" s="51"/>
      <c r="S312" s="51"/>
      <c r="T312" s="51"/>
      <c r="U312" s="51"/>
      <c r="V312" s="51"/>
      <c r="W312" s="51"/>
      <c r="X312" s="51"/>
      <c r="Y312" s="51"/>
      <c r="Z312" s="51"/>
      <c r="AA312" s="51"/>
      <c r="AB312" s="51"/>
      <c r="AC312" s="51"/>
      <c r="AD312" s="51"/>
      <c r="AG312" t="s">
        <v>28</v>
      </c>
      <c r="AH312" s="51"/>
      <c r="AI312" s="51"/>
    </row>
    <row r="313" spans="2:35">
      <c r="B313" t="s">
        <v>2040</v>
      </c>
      <c r="C313" t="s">
        <v>3918</v>
      </c>
      <c r="D313">
        <v>4</v>
      </c>
      <c r="E313" t="s">
        <v>2791</v>
      </c>
      <c r="F313">
        <v>9</v>
      </c>
      <c r="I313" t="s">
        <v>2041</v>
      </c>
      <c r="J313" s="51">
        <v>41075</v>
      </c>
      <c r="K313" t="s">
        <v>27</v>
      </c>
      <c r="L313" t="s">
        <v>1888</v>
      </c>
      <c r="M313">
        <v>3</v>
      </c>
      <c r="N313" t="str">
        <f>L313</f>
        <v>NAM\MA7784</v>
      </c>
      <c r="O313" s="51">
        <f>J313</f>
        <v>41075</v>
      </c>
      <c r="P313" s="51" t="str">
        <f>C313</f>
        <v>~cdd/olddocs/Instructivos/CNWI-QAAS/CNWI-QAAS-0045  Cerrar acción correctiva con Notificacion (Sap).pdf</v>
      </c>
      <c r="Q313" s="51" t="str">
        <f>E313</f>
        <v>pdf</v>
      </c>
      <c r="R313" s="51"/>
      <c r="S313" s="51"/>
      <c r="T313" s="51"/>
      <c r="U313" s="51"/>
      <c r="V313" s="51"/>
      <c r="W313" s="51"/>
      <c r="X313" s="51"/>
      <c r="Y313" s="51"/>
      <c r="Z313" s="51"/>
      <c r="AA313" s="51"/>
      <c r="AB313" s="51"/>
      <c r="AC313" s="51"/>
      <c r="AD313" s="51"/>
      <c r="AG313" t="s">
        <v>28</v>
      </c>
      <c r="AH313" s="51"/>
      <c r="AI313" s="51"/>
    </row>
    <row r="314" spans="2:35">
      <c r="B314" t="s">
        <v>2042</v>
      </c>
      <c r="C314" t="s">
        <v>3919</v>
      </c>
      <c r="D314">
        <v>4</v>
      </c>
      <c r="E314" t="s">
        <v>2791</v>
      </c>
      <c r="F314">
        <v>9</v>
      </c>
      <c r="I314" t="s">
        <v>2043</v>
      </c>
      <c r="J314" s="51">
        <v>41137</v>
      </c>
      <c r="K314" t="s">
        <v>46</v>
      </c>
      <c r="L314" t="s">
        <v>1888</v>
      </c>
      <c r="M314">
        <v>3</v>
      </c>
      <c r="N314" t="str">
        <f>L314</f>
        <v>NAM\MA7784</v>
      </c>
      <c r="O314" s="51">
        <f>J314</f>
        <v>41137</v>
      </c>
      <c r="P314" s="51" t="str">
        <f>C314</f>
        <v>~cdd/olddocs/Instructivos/CNWI-QAAS/CNWI-QAAS-0046 Rev. B Reporte de PPM's Externos y RMA's.pdf</v>
      </c>
      <c r="Q314" s="51" t="str">
        <f>E314</f>
        <v>pdf</v>
      </c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G314" t="s">
        <v>28</v>
      </c>
      <c r="AH314" s="51"/>
      <c r="AI314" s="51"/>
    </row>
    <row r="315" spans="2:35">
      <c r="B315" t="s">
        <v>302</v>
      </c>
      <c r="C315" t="s">
        <v>3920</v>
      </c>
      <c r="D315">
        <v>4</v>
      </c>
      <c r="E315" t="s">
        <v>2794</v>
      </c>
      <c r="F315">
        <v>9</v>
      </c>
      <c r="I315" t="s">
        <v>303</v>
      </c>
      <c r="J315" s="51">
        <v>41141</v>
      </c>
      <c r="K315" t="s">
        <v>27</v>
      </c>
      <c r="L315" t="s">
        <v>222</v>
      </c>
      <c r="M315">
        <v>3</v>
      </c>
      <c r="N315" t="str">
        <f>L315</f>
        <v>NAM\MA9769</v>
      </c>
      <c r="O315" s="51">
        <f>J315</f>
        <v>41141</v>
      </c>
      <c r="P315" s="51" t="str">
        <f>C315</f>
        <v>~cdd/olddocs/Instructivos/CNWI-QAAS/CNWI-QAAS-0047 Proceso de auditporia en capas (LPA).doc</v>
      </c>
      <c r="Q315" s="51" t="str">
        <f>E315</f>
        <v>doc</v>
      </c>
      <c r="R315" s="51"/>
      <c r="S315" s="51"/>
      <c r="T315" s="51"/>
      <c r="U315" s="51"/>
      <c r="V315" s="51"/>
      <c r="W315" s="51"/>
      <c r="X315" s="51"/>
      <c r="Y315" s="51"/>
      <c r="Z315" s="51"/>
      <c r="AA315" s="51"/>
      <c r="AB315" s="51"/>
      <c r="AC315" s="51"/>
      <c r="AD315" s="51"/>
      <c r="AG315" t="s">
        <v>28</v>
      </c>
      <c r="AH315" s="51"/>
      <c r="AI315" s="51"/>
    </row>
    <row r="316" spans="2:35">
      <c r="B316" t="s">
        <v>1118</v>
      </c>
      <c r="C316" t="s">
        <v>3921</v>
      </c>
      <c r="D316">
        <v>4</v>
      </c>
      <c r="E316" t="s">
        <v>2791</v>
      </c>
      <c r="F316">
        <v>9</v>
      </c>
      <c r="I316" t="s">
        <v>1119</v>
      </c>
      <c r="J316" s="51">
        <v>41206</v>
      </c>
      <c r="K316" t="s">
        <v>27</v>
      </c>
      <c r="L316" t="s">
        <v>1109</v>
      </c>
      <c r="M316">
        <v>3</v>
      </c>
      <c r="N316" t="str">
        <f>L316</f>
        <v>NAM\MB2116</v>
      </c>
      <c r="O316" s="51">
        <f>J316</f>
        <v>41206</v>
      </c>
      <c r="P316" s="51" t="str">
        <f>C316</f>
        <v>~cdd/olddocs/Instructivos/CNWI-QAAS/CNWI-QAAS-0048  Proceso de Supplier Quality.pdf</v>
      </c>
      <c r="Q316" s="51" t="str">
        <f>E316</f>
        <v>pdf</v>
      </c>
      <c r="R316" s="51"/>
      <c r="S316" s="51"/>
      <c r="T316" s="51"/>
      <c r="U316" s="51"/>
      <c r="V316" s="51"/>
      <c r="W316" s="51"/>
      <c r="X316" s="51"/>
      <c r="Y316" s="51"/>
      <c r="Z316" s="51"/>
      <c r="AA316" s="51"/>
      <c r="AB316" s="51"/>
      <c r="AC316" s="51"/>
      <c r="AD316" s="51"/>
      <c r="AG316" t="s">
        <v>28</v>
      </c>
      <c r="AH316" s="51"/>
      <c r="AI316" s="51"/>
    </row>
    <row r="317" spans="2:35">
      <c r="B317" t="s">
        <v>1188</v>
      </c>
      <c r="C317" t="s">
        <v>3074</v>
      </c>
      <c r="D317">
        <v>5</v>
      </c>
      <c r="E317" t="s">
        <v>2792</v>
      </c>
      <c r="F317">
        <v>9</v>
      </c>
      <c r="I317" t="s">
        <v>1189</v>
      </c>
      <c r="J317" s="51">
        <v>40559</v>
      </c>
      <c r="K317" t="s">
        <v>46</v>
      </c>
      <c r="L317" t="s">
        <v>1157</v>
      </c>
      <c r="M317">
        <v>3</v>
      </c>
      <c r="N317" t="str">
        <f>L317</f>
        <v>NAM\F13B6</v>
      </c>
      <c r="O317" s="51">
        <f>J317</f>
        <v>40559</v>
      </c>
      <c r="P317" s="51" t="str">
        <f>C317</f>
        <v>~/cdd/olddocs/Formas/CNWI-QAAS (aseguranza de calidad)/CNWI-QAAS-F001 Record de Calibracion.xls</v>
      </c>
      <c r="Q317" s="51" t="str">
        <f>E317</f>
        <v>xls</v>
      </c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G317" t="s">
        <v>28</v>
      </c>
      <c r="AH317" s="51"/>
      <c r="AI317" s="51"/>
    </row>
    <row r="318" spans="2:35">
      <c r="B318" t="s">
        <v>304</v>
      </c>
      <c r="C318" t="s">
        <v>3931</v>
      </c>
      <c r="D318">
        <v>5</v>
      </c>
      <c r="E318" t="s">
        <v>2796</v>
      </c>
      <c r="F318">
        <v>9</v>
      </c>
      <c r="I318" t="s">
        <v>305</v>
      </c>
      <c r="J318" s="51">
        <v>40559</v>
      </c>
      <c r="K318" t="s">
        <v>38</v>
      </c>
      <c r="L318" t="s">
        <v>222</v>
      </c>
      <c r="M318">
        <v>3</v>
      </c>
      <c r="N318" t="str">
        <f>L318</f>
        <v>NAM\MA9769</v>
      </c>
      <c r="O318" s="51">
        <f>J318</f>
        <v>40559</v>
      </c>
      <c r="P318" s="51" t="str">
        <f>C318</f>
        <v>~/cdd/olddocs/CN-QAAS (Aseguranza de calidad)/FORMAS/CNWI-QAAS-002 Rev. D Formato para Instruccion de trabajo.ppt</v>
      </c>
      <c r="Q318" s="51" t="str">
        <f>E318</f>
        <v>ppt</v>
      </c>
      <c r="R318" s="51"/>
      <c r="S318" s="51"/>
      <c r="T318" s="51"/>
      <c r="U318" s="51"/>
      <c r="V318" s="51"/>
      <c r="W318" s="51"/>
      <c r="X318" s="51"/>
      <c r="Y318" s="51"/>
      <c r="Z318" s="51"/>
      <c r="AA318" s="51"/>
      <c r="AB318" s="51"/>
      <c r="AC318" s="51"/>
      <c r="AD318" s="51"/>
      <c r="AG318" t="s">
        <v>28</v>
      </c>
      <c r="AH318" s="51"/>
      <c r="AI318" s="51"/>
    </row>
    <row r="319" spans="2:35">
      <c r="B319" t="s">
        <v>306</v>
      </c>
      <c r="C319" t="s">
        <v>3075</v>
      </c>
      <c r="D319">
        <v>5</v>
      </c>
      <c r="E319" t="s">
        <v>2794</v>
      </c>
      <c r="F319">
        <v>9</v>
      </c>
      <c r="I319" t="s">
        <v>307</v>
      </c>
      <c r="J319" s="51">
        <v>41088</v>
      </c>
      <c r="K319" t="s">
        <v>159</v>
      </c>
      <c r="L319" t="s">
        <v>222</v>
      </c>
      <c r="M319">
        <v>3</v>
      </c>
      <c r="N319" t="str">
        <f>L319</f>
        <v>NAM\MA9769</v>
      </c>
      <c r="O319" s="51">
        <f>J319</f>
        <v>41088</v>
      </c>
      <c r="P319" s="51" t="str">
        <f>C319</f>
        <v>~/cdd/olddocs/Formas/CNWI-QAAS (aseguranza de calidad)/CNWI-QAAS-F003-C Formato oficial para control de documentos.doc</v>
      </c>
      <c r="Q319" s="51" t="str">
        <f>E319</f>
        <v>doc</v>
      </c>
      <c r="R319" s="51"/>
      <c r="S319" s="51"/>
      <c r="T319" s="51"/>
      <c r="U319" s="51"/>
      <c r="V319" s="51"/>
      <c r="W319" s="51"/>
      <c r="X319" s="51"/>
      <c r="Y319" s="51"/>
      <c r="Z319" s="51"/>
      <c r="AA319" s="51"/>
      <c r="AB319" s="51"/>
      <c r="AC319" s="51"/>
      <c r="AD319" s="51"/>
      <c r="AG319" t="s">
        <v>28</v>
      </c>
      <c r="AH319" s="51"/>
      <c r="AI319" s="51"/>
    </row>
    <row r="320" spans="2:35">
      <c r="B320" t="s">
        <v>2788</v>
      </c>
      <c r="C320" t="s">
        <v>3076</v>
      </c>
      <c r="D320">
        <v>5</v>
      </c>
      <c r="E320" t="s">
        <v>2792</v>
      </c>
      <c r="F320">
        <v>9</v>
      </c>
      <c r="I320" t="s">
        <v>2789</v>
      </c>
      <c r="J320" s="51">
        <v>40574</v>
      </c>
      <c r="K320" t="s">
        <v>27</v>
      </c>
      <c r="M320">
        <v>3</v>
      </c>
      <c r="N320">
        <f>L320</f>
        <v>0</v>
      </c>
      <c r="O320" s="51">
        <f>J320</f>
        <v>40574</v>
      </c>
      <c r="P320" s="51" t="str">
        <f>C320</f>
        <v>~/cdd/olddocs/Formas/CNWI-QAAS (aseguranza de calidad)/CNWI-QAAS-F004 Lista de Verificacion de AS9100.xls</v>
      </c>
      <c r="Q320" s="51" t="str">
        <f>E320</f>
        <v>xls</v>
      </c>
      <c r="R320" s="51"/>
      <c r="S320" s="51"/>
      <c r="T320" s="51"/>
      <c r="U320" s="51"/>
      <c r="V320" s="51"/>
      <c r="W320" s="51"/>
      <c r="X320" s="51"/>
      <c r="Y320" s="51"/>
      <c r="Z320" s="51"/>
      <c r="AA320" s="51"/>
      <c r="AB320" s="51"/>
      <c r="AC320" s="51"/>
      <c r="AD320" s="51"/>
      <c r="AG320" t="s">
        <v>28</v>
      </c>
      <c r="AH320" s="51"/>
      <c r="AI320" s="51"/>
    </row>
    <row r="321" spans="2:35">
      <c r="B321" t="s">
        <v>308</v>
      </c>
      <c r="C321" t="s">
        <v>3077</v>
      </c>
      <c r="D321">
        <v>5</v>
      </c>
      <c r="E321" t="s">
        <v>2790</v>
      </c>
      <c r="F321">
        <v>9</v>
      </c>
      <c r="I321" t="s">
        <v>309</v>
      </c>
      <c r="J321" s="51">
        <v>40575</v>
      </c>
      <c r="K321" t="s">
        <v>159</v>
      </c>
      <c r="L321" t="s">
        <v>222</v>
      </c>
      <c r="M321">
        <v>3</v>
      </c>
      <c r="N321" t="str">
        <f>L321</f>
        <v>NAM\MA9769</v>
      </c>
      <c r="O321" s="51">
        <f>J321</f>
        <v>40575</v>
      </c>
      <c r="P321" s="51" t="str">
        <f>C321</f>
        <v>~/cdd/olddocs/Formas/CNWI-QAAS (aseguranza de calidad)/CNWI-QAAS-F005 Corrective and Preventive Action Request.xlsx</v>
      </c>
      <c r="Q321" s="51" t="str">
        <f>E321</f>
        <v>xlsx</v>
      </c>
      <c r="R321" s="51"/>
      <c r="S321" s="51"/>
      <c r="T321" s="51"/>
      <c r="U321" s="51"/>
      <c r="V321" s="51"/>
      <c r="W321" s="51"/>
      <c r="X321" s="51"/>
      <c r="Y321" s="51"/>
      <c r="Z321" s="51"/>
      <c r="AA321" s="51"/>
      <c r="AB321" s="51"/>
      <c r="AC321" s="51"/>
      <c r="AD321" s="51"/>
      <c r="AG321" t="s">
        <v>28</v>
      </c>
      <c r="AH321" s="51"/>
      <c r="AI321" s="51"/>
    </row>
    <row r="322" spans="2:35">
      <c r="B322" t="s">
        <v>2417</v>
      </c>
      <c r="C322" t="s">
        <v>3078</v>
      </c>
      <c r="D322">
        <v>5</v>
      </c>
      <c r="E322" t="s">
        <v>2796</v>
      </c>
      <c r="F322">
        <v>9</v>
      </c>
      <c r="I322" t="s">
        <v>2418</v>
      </c>
      <c r="J322" s="51">
        <v>40584</v>
      </c>
      <c r="K322" t="s">
        <v>27</v>
      </c>
      <c r="L322" t="s">
        <v>2063</v>
      </c>
      <c r="M322">
        <v>3</v>
      </c>
      <c r="N322" t="str">
        <f>L322</f>
        <v>NAM\MB2117</v>
      </c>
      <c r="O322" s="51">
        <f>J322</f>
        <v>40584</v>
      </c>
      <c r="P322" s="51" t="str">
        <f>C322</f>
        <v>~/cdd/olddocs/Formas/CNWI-QAAS (aseguranza de calidad)/CNWI-QAAS-F007 Material no conformante .ppt</v>
      </c>
      <c r="Q322" s="51" t="str">
        <f>E322</f>
        <v>ppt</v>
      </c>
      <c r="R322" s="51"/>
      <c r="S322" s="51"/>
      <c r="T322" s="51"/>
      <c r="U322" s="51"/>
      <c r="V322" s="51"/>
      <c r="W322" s="51"/>
      <c r="X322" s="51"/>
      <c r="Y322" s="51"/>
      <c r="Z322" s="51"/>
      <c r="AA322" s="51"/>
      <c r="AB322" s="51"/>
      <c r="AC322" s="51"/>
      <c r="AD322" s="51"/>
      <c r="AG322" t="s">
        <v>28</v>
      </c>
      <c r="AH322" s="51"/>
      <c r="AI322" s="51"/>
    </row>
    <row r="323" spans="2:35">
      <c r="B323" t="s">
        <v>2420</v>
      </c>
      <c r="C323" t="s">
        <v>3079</v>
      </c>
      <c r="D323">
        <v>5</v>
      </c>
      <c r="E323" t="s">
        <v>2793</v>
      </c>
      <c r="F323">
        <v>9</v>
      </c>
      <c r="I323" t="s">
        <v>2421</v>
      </c>
      <c r="J323" s="51">
        <v>40777</v>
      </c>
      <c r="K323" t="s">
        <v>46</v>
      </c>
      <c r="L323" t="s">
        <v>2063</v>
      </c>
      <c r="M323">
        <v>3</v>
      </c>
      <c r="N323" t="str">
        <f>L323</f>
        <v>NAM\MB2117</v>
      </c>
      <c r="O323" s="51">
        <f>J323</f>
        <v>40777</v>
      </c>
      <c r="P323" s="51" t="str">
        <f>C323</f>
        <v>~/cdd/olddocs/Formas/CNWI-QAAS (aseguranza de calidad)/CNWI-QAAS-F008-A Liberacion primera pieza AMSAFE-SALEM-ENS.GRAL.pptx</v>
      </c>
      <c r="Q323" s="51" t="str">
        <f>E323</f>
        <v>pptx</v>
      </c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G323" t="s">
        <v>28</v>
      </c>
      <c r="AH323" s="51"/>
      <c r="AI323" s="51"/>
    </row>
    <row r="324" spans="2:35">
      <c r="B324" t="s">
        <v>2223</v>
      </c>
      <c r="C324" t="s">
        <v>3080</v>
      </c>
      <c r="D324">
        <v>5</v>
      </c>
      <c r="E324" t="s">
        <v>2793</v>
      </c>
      <c r="F324">
        <v>9</v>
      </c>
      <c r="I324" t="s">
        <v>2224</v>
      </c>
      <c r="J324" s="51">
        <v>40777</v>
      </c>
      <c r="K324" t="s">
        <v>46</v>
      </c>
      <c r="L324" t="s">
        <v>2063</v>
      </c>
      <c r="M324">
        <v>3</v>
      </c>
      <c r="N324" t="str">
        <f>L324</f>
        <v>NAM\MB2117</v>
      </c>
      <c r="O324" s="51">
        <f>J324</f>
        <v>40777</v>
      </c>
      <c r="P324" s="51" t="str">
        <f>C324</f>
        <v>~/cdd/olddocs/Formas/CNWI-QAAS (aseguranza de calidad)/CNWI-QAAS-F008-B Liberacion primera pieza CORTE.pptx</v>
      </c>
      <c r="Q324" s="51" t="str">
        <f>E324</f>
        <v>pptx</v>
      </c>
      <c r="R324" s="51"/>
      <c r="S324" s="51"/>
      <c r="T324" s="51"/>
      <c r="U324" s="51"/>
      <c r="V324" s="51"/>
      <c r="W324" s="51"/>
      <c r="X324" s="51"/>
      <c r="Y324" s="51"/>
      <c r="Z324" s="51"/>
      <c r="AA324" s="51"/>
      <c r="AB324" s="51"/>
      <c r="AC324" s="51"/>
      <c r="AD324" s="51"/>
      <c r="AG324" t="s">
        <v>28</v>
      </c>
      <c r="AH324" s="51"/>
      <c r="AI324" s="51"/>
    </row>
    <row r="325" spans="2:35">
      <c r="B325" t="s">
        <v>2225</v>
      </c>
      <c r="C325" t="s">
        <v>3081</v>
      </c>
      <c r="D325">
        <v>5</v>
      </c>
      <c r="E325" t="s">
        <v>2793</v>
      </c>
      <c r="F325">
        <v>9</v>
      </c>
      <c r="I325" t="s">
        <v>2226</v>
      </c>
      <c r="J325" s="51">
        <v>40777</v>
      </c>
      <c r="K325" t="s">
        <v>46</v>
      </c>
      <c r="L325" t="s">
        <v>2063</v>
      </c>
      <c r="M325">
        <v>3</v>
      </c>
      <c r="N325" t="str">
        <f>L325</f>
        <v>NAM\MB2117</v>
      </c>
      <c r="O325" s="51">
        <f>J325</f>
        <v>40777</v>
      </c>
      <c r="P325" s="51" t="str">
        <f>C325</f>
        <v>~/cdd/olddocs/Formas/CNWI-QAAS (aseguranza de calidad)/CNWI-QAAS-F008-C Liberacion primera pieza ENGOMADO.pptx</v>
      </c>
      <c r="Q325" s="51" t="str">
        <f>E325</f>
        <v>pptx</v>
      </c>
      <c r="R325" s="51"/>
      <c r="S325" s="51"/>
      <c r="T325" s="51"/>
      <c r="U325" s="51"/>
      <c r="V325" s="51"/>
      <c r="W325" s="51"/>
      <c r="X325" s="51"/>
      <c r="Y325" s="51"/>
      <c r="Z325" s="51"/>
      <c r="AA325" s="51"/>
      <c r="AB325" s="51"/>
      <c r="AC325" s="51"/>
      <c r="AD325" s="51"/>
      <c r="AG325" t="s">
        <v>28</v>
      </c>
      <c r="AH325" s="51"/>
      <c r="AI325" s="51"/>
    </row>
    <row r="326" spans="2:35">
      <c r="B326" t="s">
        <v>2227</v>
      </c>
      <c r="C326" t="s">
        <v>3082</v>
      </c>
      <c r="D326">
        <v>5</v>
      </c>
      <c r="E326" t="s">
        <v>2793</v>
      </c>
      <c r="F326">
        <v>9</v>
      </c>
      <c r="I326" t="s">
        <v>2228</v>
      </c>
      <c r="J326" s="51">
        <v>40777</v>
      </c>
      <c r="K326" t="s">
        <v>46</v>
      </c>
      <c r="L326" t="s">
        <v>2063</v>
      </c>
      <c r="M326">
        <v>3</v>
      </c>
      <c r="N326" t="str">
        <f>L326</f>
        <v>NAM\MB2117</v>
      </c>
      <c r="O326" s="51">
        <f>J326</f>
        <v>40777</v>
      </c>
      <c r="P326" s="51" t="str">
        <f>C326</f>
        <v>~/cdd/olddocs/Formas/CNWI-QAAS (aseguranza de calidad)/CNWI-QAAS-F008-D Liberacion primera pieza ITRON.pptx</v>
      </c>
      <c r="Q326" s="51" t="str">
        <f>E326</f>
        <v>pptx</v>
      </c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G326" t="s">
        <v>28</v>
      </c>
      <c r="AH326" s="51"/>
      <c r="AI326" s="51"/>
    </row>
    <row r="327" spans="2:35">
      <c r="B327" t="s">
        <v>1841</v>
      </c>
      <c r="C327" t="s">
        <v>3083</v>
      </c>
      <c r="D327">
        <v>5</v>
      </c>
      <c r="E327" t="s">
        <v>2793</v>
      </c>
      <c r="F327">
        <v>9</v>
      </c>
      <c r="I327" t="s">
        <v>1842</v>
      </c>
      <c r="J327" s="51">
        <v>40777</v>
      </c>
      <c r="K327" t="s">
        <v>46</v>
      </c>
      <c r="L327" t="s">
        <v>1584</v>
      </c>
      <c r="M327">
        <v>3</v>
      </c>
      <c r="N327" t="str">
        <f>L327</f>
        <v>NAM\A8070</v>
      </c>
      <c r="O327" s="51">
        <f>J327</f>
        <v>40777</v>
      </c>
      <c r="P327" s="51" t="str">
        <f>C327</f>
        <v>~/cdd/olddocs/Formas/CNWI-QAAS (aseguranza de calidad)/CNWI-QAAS-F008-E Liberacion primera pieza MICROMINI.pptx</v>
      </c>
      <c r="Q327" s="51" t="str">
        <f>E327</f>
        <v>pptx</v>
      </c>
      <c r="R327" s="51"/>
      <c r="S327" s="51"/>
      <c r="T327" s="51"/>
      <c r="U327" s="51"/>
      <c r="V327" s="51"/>
      <c r="W327" s="51"/>
      <c r="X327" s="51"/>
      <c r="Y327" s="51"/>
      <c r="Z327" s="51"/>
      <c r="AA327" s="51"/>
      <c r="AB327" s="51"/>
      <c r="AC327" s="51"/>
      <c r="AD327" s="51"/>
      <c r="AG327" t="s">
        <v>28</v>
      </c>
      <c r="AH327" s="51"/>
      <c r="AI327" s="51"/>
    </row>
    <row r="328" spans="2:35">
      <c r="B328" t="s">
        <v>2229</v>
      </c>
      <c r="C328" t="s">
        <v>3084</v>
      </c>
      <c r="D328">
        <v>5</v>
      </c>
      <c r="E328" t="s">
        <v>2793</v>
      </c>
      <c r="F328">
        <v>9</v>
      </c>
      <c r="I328" t="s">
        <v>2230</v>
      </c>
      <c r="J328" s="51">
        <v>40777</v>
      </c>
      <c r="K328" t="s">
        <v>46</v>
      </c>
      <c r="L328" t="s">
        <v>2063</v>
      </c>
      <c r="M328">
        <v>3</v>
      </c>
      <c r="N328" t="str">
        <f>L328</f>
        <v>NAM\MB2117</v>
      </c>
      <c r="O328" s="51">
        <f>J328</f>
        <v>40777</v>
      </c>
      <c r="P328" s="51" t="str">
        <f>C328</f>
        <v>~/cdd/olddocs/Formas/CNWI-QAAS (aseguranza de calidad)/CNWI-QAAS-F008-F Liberacion primera pieza MOLDEO.pptx</v>
      </c>
      <c r="Q328" s="51" t="str">
        <f>E328</f>
        <v>pptx</v>
      </c>
      <c r="R328" s="51"/>
      <c r="S328" s="51"/>
      <c r="T328" s="51"/>
      <c r="U328" s="51"/>
      <c r="V328" s="51"/>
      <c r="W328" s="51"/>
      <c r="X328" s="51"/>
      <c r="Y328" s="51"/>
      <c r="Z328" s="51"/>
      <c r="AA328" s="51"/>
      <c r="AB328" s="51"/>
      <c r="AC328" s="51"/>
      <c r="AD328" s="51"/>
      <c r="AG328" t="s">
        <v>28</v>
      </c>
      <c r="AH328" s="51"/>
      <c r="AI328" s="51"/>
    </row>
    <row r="329" spans="2:35">
      <c r="B329" t="s">
        <v>2231</v>
      </c>
      <c r="C329" t="s">
        <v>3085</v>
      </c>
      <c r="D329">
        <v>5</v>
      </c>
      <c r="E329" t="s">
        <v>2794</v>
      </c>
      <c r="F329">
        <v>9</v>
      </c>
      <c r="I329" t="s">
        <v>2232</v>
      </c>
      <c r="J329" s="51">
        <v>40998</v>
      </c>
      <c r="K329" t="s">
        <v>782</v>
      </c>
      <c r="L329" t="s">
        <v>2063</v>
      </c>
      <c r="M329">
        <v>3</v>
      </c>
      <c r="N329" t="str">
        <f>L329</f>
        <v>NAM\MB2117</v>
      </c>
      <c r="O329" s="51">
        <f>J329</f>
        <v>40998</v>
      </c>
      <c r="P329" s="51" t="str">
        <f>C329</f>
        <v>~/cdd/olddocs/Formas/CNWI-QAAS (aseguranza de calidad)/CNWI-QAAS-F009 Lista de verificacion Español.doc</v>
      </c>
      <c r="Q329" s="51" t="str">
        <f>E329</f>
        <v>doc</v>
      </c>
      <c r="R329" s="51"/>
      <c r="S329" s="51"/>
      <c r="T329" s="51"/>
      <c r="U329" s="51"/>
      <c r="V329" s="51"/>
      <c r="W329" s="51"/>
      <c r="X329" s="51"/>
      <c r="Y329" s="51"/>
      <c r="Z329" s="51"/>
      <c r="AA329" s="51"/>
      <c r="AB329" s="51"/>
      <c r="AC329" s="51"/>
      <c r="AD329" s="51"/>
      <c r="AG329" t="s">
        <v>28</v>
      </c>
      <c r="AH329" s="51"/>
      <c r="AI329" s="51"/>
    </row>
    <row r="330" spans="2:35">
      <c r="B330" t="s">
        <v>2044</v>
      </c>
      <c r="C330" t="s">
        <v>3086</v>
      </c>
      <c r="D330">
        <v>5</v>
      </c>
      <c r="E330" t="s">
        <v>2792</v>
      </c>
      <c r="F330">
        <v>9</v>
      </c>
      <c r="I330" t="s">
        <v>2045</v>
      </c>
      <c r="J330" s="51">
        <v>40590</v>
      </c>
      <c r="K330" t="s">
        <v>46</v>
      </c>
      <c r="L330" t="s">
        <v>1888</v>
      </c>
      <c r="M330">
        <v>3</v>
      </c>
      <c r="N330" t="str">
        <f>L330</f>
        <v>NAM\MA7784</v>
      </c>
      <c r="O330" s="51">
        <f>J330</f>
        <v>40590</v>
      </c>
      <c r="P330" s="51" t="str">
        <f>C330</f>
        <v>~/cdd/olddocs/Formas/CNWI-QAAS (aseguranza de calidad)/CNWI-QAAS-F010 Codigos de Scrap.xls</v>
      </c>
      <c r="Q330" s="51" t="str">
        <f>E330</f>
        <v>xls</v>
      </c>
      <c r="R330" s="51"/>
      <c r="S330" s="51"/>
      <c r="T330" s="51"/>
      <c r="U330" s="51"/>
      <c r="V330" s="51"/>
      <c r="W330" s="51"/>
      <c r="X330" s="51"/>
      <c r="Y330" s="51"/>
      <c r="Z330" s="51"/>
      <c r="AA330" s="51"/>
      <c r="AB330" s="51"/>
      <c r="AC330" s="51"/>
      <c r="AD330" s="51"/>
      <c r="AG330" t="s">
        <v>28</v>
      </c>
      <c r="AH330" s="51"/>
      <c r="AI330" s="51"/>
    </row>
    <row r="331" spans="2:35">
      <c r="B331" t="s">
        <v>2233</v>
      </c>
      <c r="C331" t="s">
        <v>3087</v>
      </c>
      <c r="D331">
        <v>5</v>
      </c>
      <c r="E331" t="s">
        <v>2792</v>
      </c>
      <c r="F331">
        <v>9</v>
      </c>
      <c r="I331" t="s">
        <v>2234</v>
      </c>
      <c r="J331" s="51">
        <v>40590</v>
      </c>
      <c r="K331" t="s">
        <v>27</v>
      </c>
      <c r="L331" t="s">
        <v>2063</v>
      </c>
      <c r="M331">
        <v>3</v>
      </c>
      <c r="N331" t="str">
        <f>L331</f>
        <v>NAM\MB2117</v>
      </c>
      <c r="O331" s="51">
        <f>J331</f>
        <v>40590</v>
      </c>
      <c r="P331" s="51" t="str">
        <f>C331</f>
        <v>~/cdd/olddocs/Formas/CNWI-QAAS (aseguranza de calidad)/CNWI-QAAS-F011 critical dimension sheet.xls</v>
      </c>
      <c r="Q331" s="51" t="str">
        <f>E331</f>
        <v>xls</v>
      </c>
      <c r="R331" s="51"/>
      <c r="S331" s="51"/>
      <c r="T331" s="51"/>
      <c r="U331" s="51"/>
      <c r="V331" s="51"/>
      <c r="W331" s="51"/>
      <c r="X331" s="51"/>
      <c r="Y331" s="51"/>
      <c r="Z331" s="51"/>
      <c r="AA331" s="51"/>
      <c r="AB331" s="51"/>
      <c r="AC331" s="51"/>
      <c r="AD331" s="51"/>
      <c r="AG331" t="s">
        <v>28</v>
      </c>
      <c r="AH331" s="51"/>
      <c r="AI331" s="51"/>
    </row>
    <row r="332" spans="2:35">
      <c r="B332" t="s">
        <v>2235</v>
      </c>
      <c r="C332" t="s">
        <v>3088</v>
      </c>
      <c r="D332">
        <v>5</v>
      </c>
      <c r="E332" t="s">
        <v>2792</v>
      </c>
      <c r="F332">
        <v>9</v>
      </c>
      <c r="I332" t="s">
        <v>2236</v>
      </c>
      <c r="J332" s="51">
        <v>40590</v>
      </c>
      <c r="K332" t="s">
        <v>27</v>
      </c>
      <c r="L332" t="s">
        <v>2063</v>
      </c>
      <c r="M332">
        <v>3</v>
      </c>
      <c r="N332" t="str">
        <f>L332</f>
        <v>NAM\MB2117</v>
      </c>
      <c r="O332" s="51">
        <f>J332</f>
        <v>40590</v>
      </c>
      <c r="P332" s="51" t="str">
        <f>C332</f>
        <v>~/cdd/olddocs/Formas/CNWI-QAAS (aseguranza de calidad)/CNWI-QAAS-F012 contact insertion force.xls</v>
      </c>
      <c r="Q332" s="51" t="str">
        <f>E332</f>
        <v>xls</v>
      </c>
      <c r="R332" s="51"/>
      <c r="S332" s="51"/>
      <c r="T332" s="51"/>
      <c r="U332" s="51"/>
      <c r="V332" s="51"/>
      <c r="W332" s="51"/>
      <c r="X332" s="51"/>
      <c r="Y332" s="51"/>
      <c r="Z332" s="51"/>
      <c r="AA332" s="51"/>
      <c r="AB332" s="51"/>
      <c r="AC332" s="51"/>
      <c r="AD332" s="51"/>
      <c r="AG332" t="s">
        <v>28</v>
      </c>
      <c r="AH332" s="51"/>
      <c r="AI332" s="51"/>
    </row>
    <row r="333" spans="2:35">
      <c r="B333" t="s">
        <v>2237</v>
      </c>
      <c r="C333" t="s">
        <v>3089</v>
      </c>
      <c r="D333">
        <v>5</v>
      </c>
      <c r="E333" t="s">
        <v>2794</v>
      </c>
      <c r="F333">
        <v>9</v>
      </c>
      <c r="I333" t="s">
        <v>2238</v>
      </c>
      <c r="J333" s="51">
        <v>40597</v>
      </c>
      <c r="K333" t="s">
        <v>27</v>
      </c>
      <c r="L333" t="s">
        <v>2063</v>
      </c>
      <c r="M333">
        <v>3</v>
      </c>
      <c r="N333" t="str">
        <f>L333</f>
        <v>NAM\MB2117</v>
      </c>
      <c r="O333" s="51">
        <f>J333</f>
        <v>40597</v>
      </c>
      <c r="P333" s="51" t="str">
        <f>C333</f>
        <v>~/cdd/olddocs/Formas/CNWI-QAAS (aseguranza de calidad)/CNWI-QAAS-F014 Reporte de Inspección Final.doc</v>
      </c>
      <c r="Q333" s="51" t="str">
        <f>E333</f>
        <v>doc</v>
      </c>
      <c r="R333" s="51"/>
      <c r="S333" s="51"/>
      <c r="T333" s="51"/>
      <c r="U333" s="51"/>
      <c r="V333" s="51"/>
      <c r="W333" s="51"/>
      <c r="X333" s="51"/>
      <c r="Y333" s="51"/>
      <c r="Z333" s="51"/>
      <c r="AA333" s="51"/>
      <c r="AB333" s="51"/>
      <c r="AC333" s="51"/>
      <c r="AD333" s="51"/>
      <c r="AG333" t="s">
        <v>28</v>
      </c>
      <c r="AH333" s="51"/>
      <c r="AI333" s="51"/>
    </row>
    <row r="334" spans="2:35">
      <c r="B334" t="s">
        <v>2046</v>
      </c>
      <c r="C334" t="s">
        <v>3090</v>
      </c>
      <c r="D334">
        <v>5</v>
      </c>
      <c r="E334" t="s">
        <v>2791</v>
      </c>
      <c r="F334">
        <v>9</v>
      </c>
      <c r="I334" t="s">
        <v>2047</v>
      </c>
      <c r="J334" s="51">
        <v>41089</v>
      </c>
      <c r="K334" t="s">
        <v>261</v>
      </c>
      <c r="L334" t="s">
        <v>1888</v>
      </c>
      <c r="M334">
        <v>3</v>
      </c>
      <c r="N334" t="str">
        <f>L334</f>
        <v>NAM\MA7784</v>
      </c>
      <c r="O334" s="51">
        <f>J334</f>
        <v>41089</v>
      </c>
      <c r="P334" s="51" t="str">
        <f>C334</f>
        <v>~/cdd/olddocs/Formas/CNWI-QAAS (aseguranza de calidad)/CNWI-QAAS-F015  Codigos de Defectos de Proceso.pdf</v>
      </c>
      <c r="Q334" s="51" t="str">
        <f>E334</f>
        <v>pdf</v>
      </c>
      <c r="R334" s="51"/>
      <c r="S334" s="51"/>
      <c r="T334" s="51"/>
      <c r="U334" s="51"/>
      <c r="V334" s="51"/>
      <c r="W334" s="51"/>
      <c r="X334" s="51"/>
      <c r="Y334" s="51"/>
      <c r="Z334" s="51"/>
      <c r="AA334" s="51"/>
      <c r="AB334" s="51"/>
      <c r="AC334" s="51"/>
      <c r="AD334" s="51"/>
      <c r="AG334" t="s">
        <v>28</v>
      </c>
      <c r="AH334" s="51"/>
      <c r="AI334" s="51"/>
    </row>
    <row r="335" spans="2:35">
      <c r="B335" t="s">
        <v>2239</v>
      </c>
      <c r="C335" t="s">
        <v>3091</v>
      </c>
      <c r="D335">
        <v>5</v>
      </c>
      <c r="E335" t="s">
        <v>2792</v>
      </c>
      <c r="F335">
        <v>9</v>
      </c>
      <c r="I335" t="s">
        <v>2240</v>
      </c>
      <c r="J335" s="51">
        <v>40597</v>
      </c>
      <c r="K335" t="s">
        <v>27</v>
      </c>
      <c r="L335" t="s">
        <v>2063</v>
      </c>
      <c r="M335">
        <v>3</v>
      </c>
      <c r="N335" t="str">
        <f>L335</f>
        <v>NAM\MB2117</v>
      </c>
      <c r="O335" s="51">
        <f>J335</f>
        <v>40597</v>
      </c>
      <c r="P335" s="51" t="str">
        <f>C335</f>
        <v>~/cdd/olddocs/Formas/CNWI-QAAS (aseguranza de calidad)/CNWI-QAAS-F016 Reporte de Inspección en Proceso Itron.xls</v>
      </c>
      <c r="Q335" s="51" t="str">
        <f>E335</f>
        <v>xls</v>
      </c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G335" t="s">
        <v>28</v>
      </c>
      <c r="AH335" s="51"/>
      <c r="AI335" s="51"/>
    </row>
    <row r="336" spans="2:35">
      <c r="B336" t="s">
        <v>2241</v>
      </c>
      <c r="C336" t="s">
        <v>3092</v>
      </c>
      <c r="D336">
        <v>5</v>
      </c>
      <c r="E336" t="s">
        <v>2794</v>
      </c>
      <c r="F336">
        <v>9</v>
      </c>
      <c r="I336" t="s">
        <v>2242</v>
      </c>
      <c r="J336" s="51">
        <v>40597</v>
      </c>
      <c r="K336" t="s">
        <v>27</v>
      </c>
      <c r="L336" t="s">
        <v>2063</v>
      </c>
      <c r="M336">
        <v>3</v>
      </c>
      <c r="N336" t="str">
        <f>L336</f>
        <v>NAM\MB2117</v>
      </c>
      <c r="O336" s="51">
        <f>J336</f>
        <v>40597</v>
      </c>
      <c r="P336" s="51" t="str">
        <f>C336</f>
        <v>~/cdd/olddocs/Formas/CNWI-QAAS (aseguranza de calidad)/CNWI-QAAS-F017  Insulation Resistence Test Data Sheet.doc</v>
      </c>
      <c r="Q336" s="51" t="str">
        <f>E336</f>
        <v>doc</v>
      </c>
      <c r="R336" s="51"/>
      <c r="S336" s="51"/>
      <c r="T336" s="51"/>
      <c r="U336" s="51"/>
      <c r="V336" s="51"/>
      <c r="W336" s="51"/>
      <c r="X336" s="51"/>
      <c r="Y336" s="51"/>
      <c r="Z336" s="51"/>
      <c r="AA336" s="51"/>
      <c r="AB336" s="51"/>
      <c r="AC336" s="51"/>
      <c r="AD336" s="51"/>
      <c r="AG336" t="s">
        <v>28</v>
      </c>
      <c r="AH336" s="51"/>
      <c r="AI336" s="51"/>
    </row>
    <row r="337" spans="2:35">
      <c r="B337" t="s">
        <v>2243</v>
      </c>
      <c r="C337" t="s">
        <v>3093</v>
      </c>
      <c r="D337">
        <v>5</v>
      </c>
      <c r="E337" t="s">
        <v>2792</v>
      </c>
      <c r="F337">
        <v>9</v>
      </c>
      <c r="I337" t="s">
        <v>2244</v>
      </c>
      <c r="J337" s="51">
        <v>40597</v>
      </c>
      <c r="K337" t="s">
        <v>27</v>
      </c>
      <c r="L337" t="s">
        <v>2063</v>
      </c>
      <c r="M337">
        <v>3</v>
      </c>
      <c r="N337" t="str">
        <f>L337</f>
        <v>NAM\MB2117</v>
      </c>
      <c r="O337" s="51">
        <f>J337</f>
        <v>40597</v>
      </c>
      <c r="P337" s="51" t="str">
        <f>C337</f>
        <v>~/cdd/olddocs/Formas/CNWI-QAAS (aseguranza de calidad)/CNWI-QAAS-F018 Reporte de Lectura de Prensas.xls</v>
      </c>
      <c r="Q337" s="51" t="str">
        <f>E337</f>
        <v>xls</v>
      </c>
      <c r="R337" s="51"/>
      <c r="S337" s="51"/>
      <c r="T337" s="51"/>
      <c r="U337" s="51"/>
      <c r="V337" s="51"/>
      <c r="W337" s="51"/>
      <c r="X337" s="51"/>
      <c r="Y337" s="51"/>
      <c r="Z337" s="51"/>
      <c r="AA337" s="51"/>
      <c r="AB337" s="51"/>
      <c r="AC337" s="51"/>
      <c r="AD337" s="51"/>
      <c r="AG337" t="s">
        <v>28</v>
      </c>
      <c r="AH337" s="51"/>
      <c r="AI337" s="51"/>
    </row>
    <row r="338" spans="2:35">
      <c r="B338" t="s">
        <v>1843</v>
      </c>
      <c r="C338" t="s">
        <v>3094</v>
      </c>
      <c r="D338">
        <v>5</v>
      </c>
      <c r="E338" t="s">
        <v>2792</v>
      </c>
      <c r="F338">
        <v>9</v>
      </c>
      <c r="I338" t="s">
        <v>1844</v>
      </c>
      <c r="J338" s="51">
        <v>40623</v>
      </c>
      <c r="K338" t="s">
        <v>46</v>
      </c>
      <c r="L338" t="s">
        <v>1584</v>
      </c>
      <c r="M338">
        <v>3</v>
      </c>
      <c r="N338" t="str">
        <f>L338</f>
        <v>NAM\A8070</v>
      </c>
      <c r="O338" s="51">
        <f>J338</f>
        <v>40623</v>
      </c>
      <c r="P338" s="51" t="str">
        <f>C338</f>
        <v>~/cdd/olddocs/Formas/CNWI-QAAS (aseguranza de calidad)/CNWI-QAAS-F019  reporte de prueba de jalon.xls</v>
      </c>
      <c r="Q338" s="51" t="str">
        <f>E338</f>
        <v>xls</v>
      </c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G338" t="s">
        <v>28</v>
      </c>
      <c r="AH338" s="51"/>
      <c r="AI338" s="51"/>
    </row>
    <row r="339" spans="2:35">
      <c r="B339" t="s">
        <v>310</v>
      </c>
      <c r="C339" t="s">
        <v>3095</v>
      </c>
      <c r="D339">
        <v>5</v>
      </c>
      <c r="E339" t="s">
        <v>2794</v>
      </c>
      <c r="F339">
        <v>9</v>
      </c>
      <c r="I339" t="s">
        <v>311</v>
      </c>
      <c r="J339" s="51">
        <v>40597</v>
      </c>
      <c r="K339" t="s">
        <v>27</v>
      </c>
      <c r="L339" t="s">
        <v>222</v>
      </c>
      <c r="M339">
        <v>3</v>
      </c>
      <c r="N339" t="str">
        <f>L339</f>
        <v>NAM\MA9769</v>
      </c>
      <c r="O339" s="51">
        <f>J339</f>
        <v>40597</v>
      </c>
      <c r="P339" s="51" t="str">
        <f>C339</f>
        <v>~/cdd/olddocs/Formas/CNWI-QAAS (aseguranza de calidad)/CNWI-QAAS-F020 Inspection Record Card.doc</v>
      </c>
      <c r="Q339" s="51" t="str">
        <f>E339</f>
        <v>doc</v>
      </c>
      <c r="R339" s="51"/>
      <c r="S339" s="51"/>
      <c r="T339" s="51"/>
      <c r="U339" s="51"/>
      <c r="V339" s="51"/>
      <c r="W339" s="51"/>
      <c r="X339" s="51"/>
      <c r="Y339" s="51"/>
      <c r="Z339" s="51"/>
      <c r="AA339" s="51"/>
      <c r="AB339" s="51"/>
      <c r="AC339" s="51"/>
      <c r="AD339" s="51"/>
      <c r="AG339" t="s">
        <v>28</v>
      </c>
      <c r="AH339" s="51"/>
      <c r="AI339" s="51"/>
    </row>
    <row r="340" spans="2:35">
      <c r="B340" t="s">
        <v>312</v>
      </c>
      <c r="C340" t="s">
        <v>3096</v>
      </c>
      <c r="D340">
        <v>5</v>
      </c>
      <c r="E340" t="s">
        <v>2790</v>
      </c>
      <c r="F340">
        <v>9</v>
      </c>
      <c r="I340" t="s">
        <v>313</v>
      </c>
      <c r="J340" s="51">
        <v>40598</v>
      </c>
      <c r="K340" t="s">
        <v>46</v>
      </c>
      <c r="L340" t="s">
        <v>222</v>
      </c>
      <c r="M340">
        <v>3</v>
      </c>
      <c r="N340" t="str">
        <f>L340</f>
        <v>NAM\MA9769</v>
      </c>
      <c r="O340" s="51">
        <f>J340</f>
        <v>40598</v>
      </c>
      <c r="P340" s="51" t="str">
        <f>C340</f>
        <v>~/cdd/olddocs/Formas/CNWI-QAAS (aseguranza de calidad)/CNWI-QAAS-F022 Lista Maestra de Documentos controlados (Cross reference).xlsx</v>
      </c>
      <c r="Q340" s="51" t="str">
        <f>E340</f>
        <v>xlsx</v>
      </c>
      <c r="R340" s="51"/>
      <c r="S340" s="51"/>
      <c r="T340" s="51"/>
      <c r="U340" s="51"/>
      <c r="V340" s="51"/>
      <c r="W340" s="51"/>
      <c r="X340" s="51"/>
      <c r="Y340" s="51"/>
      <c r="Z340" s="51"/>
      <c r="AA340" s="51"/>
      <c r="AB340" s="51"/>
      <c r="AC340" s="51"/>
      <c r="AD340" s="51"/>
      <c r="AG340" t="s">
        <v>28</v>
      </c>
      <c r="AH340" s="51"/>
      <c r="AI340" s="51"/>
    </row>
    <row r="341" spans="2:35">
      <c r="B341" t="s">
        <v>314</v>
      </c>
      <c r="C341" t="s">
        <v>3097</v>
      </c>
      <c r="D341">
        <v>5</v>
      </c>
      <c r="E341" t="s">
        <v>2792</v>
      </c>
      <c r="F341">
        <v>9</v>
      </c>
      <c r="I341" t="s">
        <v>315</v>
      </c>
      <c r="J341" s="51">
        <v>40599</v>
      </c>
      <c r="K341" t="s">
        <v>27</v>
      </c>
      <c r="L341" t="s">
        <v>222</v>
      </c>
      <c r="M341">
        <v>3</v>
      </c>
      <c r="N341" t="str">
        <f>L341</f>
        <v>NAM\MA9769</v>
      </c>
      <c r="O341" s="51">
        <f>J341</f>
        <v>40599</v>
      </c>
      <c r="P341" s="51" t="str">
        <f>C341</f>
        <v>~/cdd/olddocs/Formas/CNWI-QAAS (aseguranza de calidad)/CNWI-QAAS-F023 Bonding Process Certification Audit Log.xls</v>
      </c>
      <c r="Q341" s="51" t="str">
        <f>E341</f>
        <v>xls</v>
      </c>
      <c r="R341" s="51"/>
      <c r="S341" s="51"/>
      <c r="T341" s="51"/>
      <c r="U341" s="51"/>
      <c r="V341" s="51"/>
      <c r="W341" s="51"/>
      <c r="X341" s="51"/>
      <c r="Y341" s="51"/>
      <c r="Z341" s="51"/>
      <c r="AA341" s="51"/>
      <c r="AB341" s="51"/>
      <c r="AC341" s="51"/>
      <c r="AD341" s="51"/>
      <c r="AG341" t="s">
        <v>28</v>
      </c>
      <c r="AH341" s="51"/>
      <c r="AI341" s="51"/>
    </row>
    <row r="342" spans="2:35">
      <c r="B342" t="s">
        <v>316</v>
      </c>
      <c r="C342" t="s">
        <v>3098</v>
      </c>
      <c r="D342">
        <v>5</v>
      </c>
      <c r="E342" t="s">
        <v>2792</v>
      </c>
      <c r="F342">
        <v>9</v>
      </c>
      <c r="I342" t="s">
        <v>317</v>
      </c>
      <c r="J342" s="51">
        <v>40599</v>
      </c>
      <c r="K342" t="s">
        <v>27</v>
      </c>
      <c r="L342" t="s">
        <v>222</v>
      </c>
      <c r="M342">
        <v>3</v>
      </c>
      <c r="N342" t="str">
        <f>L342</f>
        <v>NAM\MA9769</v>
      </c>
      <c r="O342" s="51">
        <f>J342</f>
        <v>40599</v>
      </c>
      <c r="P342" s="51" t="str">
        <f>C342</f>
        <v>~/cdd/olddocs/Formas/CNWI-QAAS (aseguranza de calidad)/CNWI-QAAS-F024 Bonding Process Certification Audit Log .xls</v>
      </c>
      <c r="Q342" s="51" t="str">
        <f>E342</f>
        <v>xls</v>
      </c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G342" t="s">
        <v>28</v>
      </c>
      <c r="AH342" s="51"/>
      <c r="AI342" s="51"/>
    </row>
    <row r="343" spans="2:35">
      <c r="B343" t="s">
        <v>318</v>
      </c>
      <c r="C343" t="s">
        <v>3099</v>
      </c>
      <c r="D343">
        <v>5</v>
      </c>
      <c r="E343" t="s">
        <v>2790</v>
      </c>
      <c r="F343">
        <v>9</v>
      </c>
      <c r="I343" t="s">
        <v>319</v>
      </c>
      <c r="J343" s="51">
        <v>40604</v>
      </c>
      <c r="K343" t="s">
        <v>27</v>
      </c>
      <c r="L343" t="s">
        <v>222</v>
      </c>
      <c r="M343">
        <v>3</v>
      </c>
      <c r="N343" t="str">
        <f>L343</f>
        <v>NAM\MA9769</v>
      </c>
      <c r="O343" s="51">
        <f>J343</f>
        <v>40604</v>
      </c>
      <c r="P343" s="51" t="str">
        <f>C343</f>
        <v>~/cdd/olddocs/Formas/CNWI-QAAS (aseguranza de calidad)/CNWI-QAAS-F025 Layout Dimencional.xlsx</v>
      </c>
      <c r="Q343" s="51" t="str">
        <f>E343</f>
        <v>xlsx</v>
      </c>
      <c r="R343" s="51"/>
      <c r="S343" s="51"/>
      <c r="T343" s="51"/>
      <c r="U343" s="51"/>
      <c r="V343" s="51"/>
      <c r="W343" s="51"/>
      <c r="X343" s="51"/>
      <c r="Y343" s="51"/>
      <c r="Z343" s="51"/>
      <c r="AA343" s="51"/>
      <c r="AB343" s="51"/>
      <c r="AC343" s="51"/>
      <c r="AD343" s="51"/>
      <c r="AG343" t="s">
        <v>28</v>
      </c>
      <c r="AH343" s="51"/>
      <c r="AI343" s="51"/>
    </row>
    <row r="344" spans="2:35">
      <c r="B344" t="s">
        <v>320</v>
      </c>
      <c r="C344" t="s">
        <v>3100</v>
      </c>
      <c r="D344">
        <v>5</v>
      </c>
      <c r="E344" t="s">
        <v>2794</v>
      </c>
      <c r="F344">
        <v>9</v>
      </c>
      <c r="I344" t="s">
        <v>321</v>
      </c>
      <c r="J344" s="51">
        <v>40604</v>
      </c>
      <c r="K344" t="s">
        <v>46</v>
      </c>
      <c r="L344" t="s">
        <v>222</v>
      </c>
      <c r="M344">
        <v>3</v>
      </c>
      <c r="N344" t="str">
        <f>L344</f>
        <v>NAM\MA9769</v>
      </c>
      <c r="O344" s="51">
        <f>J344</f>
        <v>40604</v>
      </c>
      <c r="P344" s="51" t="str">
        <f>C344</f>
        <v>~/cdd/olddocs/Formas/CNWI-QAAS (aseguranza de calidad)/CNWI-QAAS-F026 Prueba Remachado.doc</v>
      </c>
      <c r="Q344" s="51" t="str">
        <f>E344</f>
        <v>doc</v>
      </c>
      <c r="R344" s="51"/>
      <c r="S344" s="51"/>
      <c r="T344" s="51"/>
      <c r="U344" s="51"/>
      <c r="V344" s="51"/>
      <c r="W344" s="51"/>
      <c r="X344" s="51"/>
      <c r="Y344" s="51"/>
      <c r="Z344" s="51"/>
      <c r="AA344" s="51"/>
      <c r="AB344" s="51"/>
      <c r="AC344" s="51"/>
      <c r="AD344" s="51"/>
      <c r="AG344" t="s">
        <v>28</v>
      </c>
      <c r="AH344" s="51"/>
      <c r="AI344" s="51"/>
    </row>
    <row r="345" spans="2:35">
      <c r="B345" t="s">
        <v>322</v>
      </c>
      <c r="C345" t="s">
        <v>3101</v>
      </c>
      <c r="D345">
        <v>5</v>
      </c>
      <c r="E345" t="s">
        <v>2794</v>
      </c>
      <c r="F345">
        <v>9</v>
      </c>
      <c r="I345" t="s">
        <v>323</v>
      </c>
      <c r="J345" s="51">
        <v>40603</v>
      </c>
      <c r="K345" t="s">
        <v>46</v>
      </c>
      <c r="L345" t="s">
        <v>222</v>
      </c>
      <c r="M345">
        <v>3</v>
      </c>
      <c r="N345" t="str">
        <f>L345</f>
        <v>NAM\MA9769</v>
      </c>
      <c r="O345" s="51">
        <f>J345</f>
        <v>40603</v>
      </c>
      <c r="P345" s="51" t="str">
        <f>C345</f>
        <v>~/cdd/olddocs/Formas/CNWI-QAAS (aseguranza de calidad)/CNWI-QAAS-F027 Lista de Verificacion Final.doc</v>
      </c>
      <c r="Q345" s="51" t="str">
        <f>E345</f>
        <v>doc</v>
      </c>
      <c r="R345" s="51"/>
      <c r="S345" s="51"/>
      <c r="T345" s="51"/>
      <c r="U345" s="51"/>
      <c r="V345" s="51"/>
      <c r="W345" s="51"/>
      <c r="X345" s="51"/>
      <c r="Y345" s="51"/>
      <c r="Z345" s="51"/>
      <c r="AA345" s="51"/>
      <c r="AB345" s="51"/>
      <c r="AC345" s="51"/>
      <c r="AD345" s="51"/>
      <c r="AG345" t="s">
        <v>28</v>
      </c>
      <c r="AH345" s="51"/>
      <c r="AI345" s="51"/>
    </row>
    <row r="346" spans="2:35">
      <c r="B346" t="s">
        <v>324</v>
      </c>
      <c r="C346" t="s">
        <v>3102</v>
      </c>
      <c r="D346">
        <v>5</v>
      </c>
      <c r="E346" t="s">
        <v>2792</v>
      </c>
      <c r="F346">
        <v>9</v>
      </c>
      <c r="I346" t="s">
        <v>325</v>
      </c>
      <c r="J346" s="51">
        <v>40604</v>
      </c>
      <c r="K346" t="s">
        <v>27</v>
      </c>
      <c r="L346" t="s">
        <v>222</v>
      </c>
      <c r="M346">
        <v>3</v>
      </c>
      <c r="N346" t="str">
        <f>L346</f>
        <v>NAM\MA9769</v>
      </c>
      <c r="O346" s="51">
        <f>J346</f>
        <v>40604</v>
      </c>
      <c r="P346" s="51" t="str">
        <f>C346</f>
        <v>~/cdd/olddocs/Formas/CNWI-QAAS (aseguranza de calidad)/CNWI-QAAS-F028 Histograma.xls</v>
      </c>
      <c r="Q346" s="51" t="str">
        <f>E346</f>
        <v>xls</v>
      </c>
      <c r="R346" s="51"/>
      <c r="S346" s="51"/>
      <c r="T346" s="51"/>
      <c r="U346" s="51"/>
      <c r="V346" s="51"/>
      <c r="W346" s="51"/>
      <c r="X346" s="51"/>
      <c r="Y346" s="51"/>
      <c r="Z346" s="51"/>
      <c r="AA346" s="51"/>
      <c r="AB346" s="51"/>
      <c r="AC346" s="51"/>
      <c r="AD346" s="51"/>
      <c r="AG346" t="s">
        <v>28</v>
      </c>
      <c r="AH346" s="51"/>
      <c r="AI346" s="51"/>
    </row>
    <row r="347" spans="2:35">
      <c r="B347" t="s">
        <v>2245</v>
      </c>
      <c r="C347" t="s">
        <v>3103</v>
      </c>
      <c r="D347">
        <v>5</v>
      </c>
      <c r="E347" t="s">
        <v>2792</v>
      </c>
      <c r="F347">
        <v>9</v>
      </c>
      <c r="I347" t="s">
        <v>2246</v>
      </c>
      <c r="J347" s="51">
        <v>40605</v>
      </c>
      <c r="K347" t="s">
        <v>27</v>
      </c>
      <c r="L347" t="s">
        <v>2063</v>
      </c>
      <c r="M347">
        <v>3</v>
      </c>
      <c r="N347" t="str">
        <f>L347</f>
        <v>NAM\MB2117</v>
      </c>
      <c r="O347" s="51">
        <f>J347</f>
        <v>40605</v>
      </c>
      <c r="P347" s="51" t="str">
        <f>C347</f>
        <v>~/cdd/olddocs/Formas/CNWI-QAAS (aseguranza de calidad)/CNWI-QAAS-F029 prue ba de conectores (AMC) .xls</v>
      </c>
      <c r="Q347" s="51" t="str">
        <f>E347</f>
        <v>xls</v>
      </c>
      <c r="R347" s="51"/>
      <c r="S347" s="51"/>
      <c r="T347" s="51"/>
      <c r="U347" s="51"/>
      <c r="V347" s="51"/>
      <c r="W347" s="51"/>
      <c r="X347" s="51"/>
      <c r="Y347" s="51"/>
      <c r="Z347" s="51"/>
      <c r="AA347" s="51"/>
      <c r="AB347" s="51"/>
      <c r="AC347" s="51"/>
      <c r="AD347" s="51"/>
      <c r="AG347" t="s">
        <v>28</v>
      </c>
      <c r="AH347" s="51"/>
      <c r="AI347" s="51"/>
    </row>
    <row r="348" spans="2:35">
      <c r="B348" t="s">
        <v>2247</v>
      </c>
      <c r="C348" t="s">
        <v>3104</v>
      </c>
      <c r="D348">
        <v>5</v>
      </c>
      <c r="E348" t="s">
        <v>2794</v>
      </c>
      <c r="F348">
        <v>9</v>
      </c>
      <c r="I348" t="s">
        <v>2248</v>
      </c>
      <c r="J348" s="51">
        <v>40605</v>
      </c>
      <c r="K348" t="s">
        <v>27</v>
      </c>
      <c r="L348" t="s">
        <v>2063</v>
      </c>
      <c r="M348">
        <v>3</v>
      </c>
      <c r="N348" t="str">
        <f>L348</f>
        <v>NAM\MB2117</v>
      </c>
      <c r="O348" s="51">
        <f>J348</f>
        <v>40605</v>
      </c>
      <c r="P348" s="51" t="str">
        <f>C348</f>
        <v>~/cdd/olddocs/Formas/CNWI-QAAS (aseguranza de calidad)/CNWI-QAAS-F030 Reporte de prueba de fuga)Mantener en ingles.doc</v>
      </c>
      <c r="Q348" s="51" t="str">
        <f>E348</f>
        <v>doc</v>
      </c>
      <c r="R348" s="51"/>
      <c r="S348" s="51"/>
      <c r="T348" s="51"/>
      <c r="U348" s="51"/>
      <c r="V348" s="51"/>
      <c r="W348" s="51"/>
      <c r="X348" s="51"/>
      <c r="Y348" s="51"/>
      <c r="Z348" s="51"/>
      <c r="AA348" s="51"/>
      <c r="AB348" s="51"/>
      <c r="AC348" s="51"/>
      <c r="AD348" s="51"/>
      <c r="AG348" t="s">
        <v>28</v>
      </c>
      <c r="AH348" s="51"/>
      <c r="AI348" s="51"/>
    </row>
    <row r="349" spans="2:35">
      <c r="B349" t="s">
        <v>326</v>
      </c>
      <c r="C349" t="s">
        <v>3105</v>
      </c>
      <c r="D349">
        <v>5</v>
      </c>
      <c r="E349" t="s">
        <v>2794</v>
      </c>
      <c r="F349">
        <v>9</v>
      </c>
      <c r="I349" t="s">
        <v>327</v>
      </c>
      <c r="J349" s="51">
        <v>40609</v>
      </c>
      <c r="K349" t="s">
        <v>27</v>
      </c>
      <c r="L349" t="s">
        <v>222</v>
      </c>
      <c r="M349">
        <v>3</v>
      </c>
      <c r="N349" t="str">
        <f>L349</f>
        <v>NAM\MA9769</v>
      </c>
      <c r="O349" s="51">
        <f>J349</f>
        <v>40609</v>
      </c>
      <c r="P349" s="51" t="str">
        <f>C349</f>
        <v>~/cdd/olddocs/Formas/CNWI-QAAS (aseguranza de calidad)/CNWI-QAAS-F031 C of C Nogales.doc</v>
      </c>
      <c r="Q349" s="51" t="str">
        <f>E349</f>
        <v>doc</v>
      </c>
      <c r="R349" s="51"/>
      <c r="S349" s="51"/>
      <c r="T349" s="51"/>
      <c r="U349" s="51"/>
      <c r="V349" s="51"/>
      <c r="W349" s="51"/>
      <c r="X349" s="51"/>
      <c r="Y349" s="51"/>
      <c r="Z349" s="51"/>
      <c r="AA349" s="51"/>
      <c r="AB349" s="51"/>
      <c r="AC349" s="51"/>
      <c r="AD349" s="51"/>
      <c r="AG349" t="s">
        <v>28</v>
      </c>
      <c r="AH349" s="51"/>
      <c r="AI349" s="51"/>
    </row>
    <row r="350" spans="2:35">
      <c r="B350" t="s">
        <v>328</v>
      </c>
      <c r="C350" t="s">
        <v>3106</v>
      </c>
      <c r="D350">
        <v>5</v>
      </c>
      <c r="E350" t="s">
        <v>2792</v>
      </c>
      <c r="F350">
        <v>9</v>
      </c>
      <c r="I350" t="s">
        <v>329</v>
      </c>
      <c r="J350" s="51">
        <v>40983</v>
      </c>
      <c r="K350" t="s">
        <v>27</v>
      </c>
      <c r="L350" t="s">
        <v>222</v>
      </c>
      <c r="M350">
        <v>3</v>
      </c>
      <c r="N350" t="str">
        <f>L350</f>
        <v>NAM\MA9769</v>
      </c>
      <c r="O350" s="51">
        <f>J350</f>
        <v>40983</v>
      </c>
      <c r="P350" s="51" t="str">
        <f>C350</f>
        <v>~/cdd/olddocs/Formas/CNWI-QAAS (aseguranza de calidad)/CNWI-QAAS-F032 Plan Anual de Auditoria.xls</v>
      </c>
      <c r="Q350" s="51" t="str">
        <f>E350</f>
        <v>xls</v>
      </c>
      <c r="R350" s="51"/>
      <c r="S350" s="51"/>
      <c r="T350" s="51"/>
      <c r="U350" s="51"/>
      <c r="V350" s="51"/>
      <c r="W350" s="51"/>
      <c r="X350" s="51"/>
      <c r="Y350" s="51"/>
      <c r="Z350" s="51"/>
      <c r="AA350" s="51"/>
      <c r="AB350" s="51"/>
      <c r="AC350" s="51"/>
      <c r="AD350" s="51"/>
      <c r="AG350" t="s">
        <v>28</v>
      </c>
      <c r="AH350" s="51"/>
      <c r="AI350" s="51"/>
    </row>
    <row r="351" spans="2:35">
      <c r="B351" t="s">
        <v>330</v>
      </c>
      <c r="C351" t="s">
        <v>3107</v>
      </c>
      <c r="D351">
        <v>5</v>
      </c>
      <c r="E351" t="s">
        <v>2792</v>
      </c>
      <c r="F351">
        <v>9</v>
      </c>
      <c r="I351" t="s">
        <v>331</v>
      </c>
      <c r="J351" s="51">
        <v>40609</v>
      </c>
      <c r="K351" t="s">
        <v>27</v>
      </c>
      <c r="L351" t="s">
        <v>222</v>
      </c>
      <c r="M351">
        <v>3</v>
      </c>
      <c r="N351" t="str">
        <f>L351</f>
        <v>NAM\MA9769</v>
      </c>
      <c r="O351" s="51">
        <f>J351</f>
        <v>40609</v>
      </c>
      <c r="P351" s="51" t="str">
        <f>C351</f>
        <v>~/cdd/olddocs/Formas/CNWI-QAAS (aseguranza de calidad)/CNWI-QAAS-F033 Auditores Internos y Procesos que pueden Auditar .xls</v>
      </c>
      <c r="Q351" s="51" t="str">
        <f>E351</f>
        <v>xls</v>
      </c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G351" t="s">
        <v>28</v>
      </c>
      <c r="AH351" s="51"/>
      <c r="AI351" s="51"/>
    </row>
    <row r="352" spans="2:35">
      <c r="B352" t="s">
        <v>332</v>
      </c>
      <c r="C352" t="s">
        <v>3108</v>
      </c>
      <c r="D352">
        <v>5</v>
      </c>
      <c r="E352" t="s">
        <v>2797</v>
      </c>
      <c r="F352">
        <v>9</v>
      </c>
      <c r="I352" t="s">
        <v>333</v>
      </c>
      <c r="J352" s="51">
        <v>40609</v>
      </c>
      <c r="K352" t="s">
        <v>27</v>
      </c>
      <c r="L352" t="s">
        <v>222</v>
      </c>
      <c r="M352">
        <v>3</v>
      </c>
      <c r="N352" t="str">
        <f>L352</f>
        <v>NAM\MA9769</v>
      </c>
      <c r="O352" s="51">
        <f>J352</f>
        <v>40609</v>
      </c>
      <c r="P352" s="51" t="str">
        <f>C352</f>
        <v>~/cdd/olddocs/Formas/CNWI-QAAS (aseguranza de calidad)/CNWI-QAAS-F034 Junta de Apertura- Cierre de Auditoria Interna.docx</v>
      </c>
      <c r="Q352" s="51" t="str">
        <f>E352</f>
        <v>docx</v>
      </c>
      <c r="R352" s="51"/>
      <c r="S352" s="51"/>
      <c r="T352" s="51"/>
      <c r="U352" s="51"/>
      <c r="V352" s="51"/>
      <c r="W352" s="51"/>
      <c r="X352" s="51"/>
      <c r="Y352" s="51"/>
      <c r="Z352" s="51"/>
      <c r="AA352" s="51"/>
      <c r="AB352" s="51"/>
      <c r="AC352" s="51"/>
      <c r="AD352" s="51"/>
      <c r="AG352" t="s">
        <v>28</v>
      </c>
      <c r="AH352" s="51"/>
      <c r="AI352" s="51"/>
    </row>
    <row r="353" spans="2:35">
      <c r="B353" t="s">
        <v>334</v>
      </c>
      <c r="C353" t="s">
        <v>3109</v>
      </c>
      <c r="D353">
        <v>5</v>
      </c>
      <c r="E353" t="s">
        <v>2790</v>
      </c>
      <c r="F353">
        <v>9</v>
      </c>
      <c r="I353" t="s">
        <v>335</v>
      </c>
      <c r="J353" s="51">
        <v>41000</v>
      </c>
      <c r="K353" t="s">
        <v>27</v>
      </c>
      <c r="L353" t="s">
        <v>222</v>
      </c>
      <c r="M353">
        <v>3</v>
      </c>
      <c r="N353" t="str">
        <f>L353</f>
        <v>NAM\MA9769</v>
      </c>
      <c r="O353" s="51">
        <f>J353</f>
        <v>41000</v>
      </c>
      <c r="P353" s="51" t="str">
        <f>C353</f>
        <v>~/cdd/olddocs/Formas/CNWI-QAAS (aseguranza de calidad)/CNWI-QAAS-F035 Agenda de Auditoria.xlsx</v>
      </c>
      <c r="Q353" s="51" t="str">
        <f>E353</f>
        <v>xlsx</v>
      </c>
      <c r="R353" s="51"/>
      <c r="S353" s="51"/>
      <c r="T353" s="51"/>
      <c r="U353" s="51"/>
      <c r="V353" s="51"/>
      <c r="W353" s="51"/>
      <c r="X353" s="51"/>
      <c r="Y353" s="51"/>
      <c r="Z353" s="51"/>
      <c r="AA353" s="51"/>
      <c r="AB353" s="51"/>
      <c r="AC353" s="51"/>
      <c r="AD353" s="51"/>
      <c r="AG353" t="s">
        <v>28</v>
      </c>
      <c r="AH353" s="51"/>
      <c r="AI353" s="51"/>
    </row>
    <row r="354" spans="2:35">
      <c r="B354" t="s">
        <v>336</v>
      </c>
      <c r="C354" t="s">
        <v>3110</v>
      </c>
      <c r="D354">
        <v>5</v>
      </c>
      <c r="E354" t="s">
        <v>2792</v>
      </c>
      <c r="F354">
        <v>9</v>
      </c>
      <c r="I354" t="s">
        <v>337</v>
      </c>
      <c r="J354" s="51">
        <v>40609</v>
      </c>
      <c r="K354" t="s">
        <v>27</v>
      </c>
      <c r="L354" t="s">
        <v>222</v>
      </c>
      <c r="M354">
        <v>3</v>
      </c>
      <c r="N354" t="str">
        <f>L354</f>
        <v>NAM\MA9769</v>
      </c>
      <c r="O354" s="51">
        <f>J354</f>
        <v>40609</v>
      </c>
      <c r="P354" s="51" t="str">
        <f>C354</f>
        <v>~/cdd/olddocs/Formas/CNWI-QAAS (aseguranza de calidad)/CNWI-QAAS-F036 CAR Log.xls</v>
      </c>
      <c r="Q354" s="51" t="str">
        <f>E354</f>
        <v>xls</v>
      </c>
      <c r="R354" s="51"/>
      <c r="S354" s="51"/>
      <c r="T354" s="51"/>
      <c r="U354" s="51"/>
      <c r="V354" s="51"/>
      <c r="W354" s="51"/>
      <c r="X354" s="51"/>
      <c r="Y354" s="51"/>
      <c r="Z354" s="51"/>
      <c r="AA354" s="51"/>
      <c r="AB354" s="51"/>
      <c r="AC354" s="51"/>
      <c r="AD354" s="51"/>
      <c r="AG354" t="s">
        <v>28</v>
      </c>
      <c r="AH354" s="51"/>
      <c r="AI354" s="51"/>
    </row>
    <row r="355" spans="2:35">
      <c r="B355" t="s">
        <v>338</v>
      </c>
      <c r="C355" t="s">
        <v>3111</v>
      </c>
      <c r="D355">
        <v>5</v>
      </c>
      <c r="E355" t="s">
        <v>2791</v>
      </c>
      <c r="F355">
        <v>9</v>
      </c>
      <c r="I355" t="s">
        <v>339</v>
      </c>
      <c r="J355" s="51">
        <v>41128</v>
      </c>
      <c r="K355" t="s">
        <v>38</v>
      </c>
      <c r="L355" t="s">
        <v>222</v>
      </c>
      <c r="M355">
        <v>3</v>
      </c>
      <c r="N355" t="str">
        <f>L355</f>
        <v>NAM\MA9769</v>
      </c>
      <c r="O355" s="51">
        <f>J355</f>
        <v>41128</v>
      </c>
      <c r="P355" s="51" t="str">
        <f>C355</f>
        <v>~/cdd/olddocs/Formas/CNWI-QAAS (aseguranza de calidad)/CNWI-QAAS-F037 Alerta de Calidad.pdf</v>
      </c>
      <c r="Q355" s="51" t="str">
        <f>E355</f>
        <v>pdf</v>
      </c>
      <c r="R355" s="51"/>
      <c r="S355" s="51"/>
      <c r="T355" s="51"/>
      <c r="U355" s="51"/>
      <c r="V355" s="51"/>
      <c r="W355" s="51"/>
      <c r="X355" s="51"/>
      <c r="Y355" s="51"/>
      <c r="Z355" s="51"/>
      <c r="AA355" s="51"/>
      <c r="AB355" s="51"/>
      <c r="AC355" s="51"/>
      <c r="AD355" s="51"/>
      <c r="AG355" t="s">
        <v>28</v>
      </c>
      <c r="AH355" s="51"/>
      <c r="AI355" s="51"/>
    </row>
    <row r="356" spans="2:35">
      <c r="B356" t="s">
        <v>340</v>
      </c>
      <c r="C356" t="s">
        <v>3112</v>
      </c>
      <c r="D356">
        <v>5</v>
      </c>
      <c r="E356" t="s">
        <v>2794</v>
      </c>
      <c r="F356">
        <v>9</v>
      </c>
      <c r="I356" t="s">
        <v>341</v>
      </c>
      <c r="J356" s="51">
        <v>40610</v>
      </c>
      <c r="K356" t="s">
        <v>27</v>
      </c>
      <c r="L356" t="s">
        <v>222</v>
      </c>
      <c r="M356">
        <v>3</v>
      </c>
      <c r="N356" t="str">
        <f>L356</f>
        <v>NAM\MA9769</v>
      </c>
      <c r="O356" s="51">
        <f>J356</f>
        <v>40610</v>
      </c>
      <c r="P356" s="51" t="str">
        <f>C356</f>
        <v>~/cdd/olddocs/Formas/CNWI-QAAS (aseguranza de calidad)/CNWI-QAAS-F038 reporte de discrepancia  (DR).doc</v>
      </c>
      <c r="Q356" s="51" t="str">
        <f>E356</f>
        <v>doc</v>
      </c>
      <c r="R356" s="51"/>
      <c r="S356" s="51"/>
      <c r="T356" s="51"/>
      <c r="U356" s="51"/>
      <c r="V356" s="51"/>
      <c r="W356" s="51"/>
      <c r="X356" s="51"/>
      <c r="Y356" s="51"/>
      <c r="Z356" s="51"/>
      <c r="AA356" s="51"/>
      <c r="AB356" s="51"/>
      <c r="AC356" s="51"/>
      <c r="AD356" s="51"/>
      <c r="AG356" t="s">
        <v>28</v>
      </c>
      <c r="AH356" s="51"/>
      <c r="AI356" s="51"/>
    </row>
    <row r="357" spans="2:35">
      <c r="B357" t="s">
        <v>342</v>
      </c>
      <c r="C357" t="s">
        <v>3113</v>
      </c>
      <c r="D357">
        <v>5</v>
      </c>
      <c r="E357" t="s">
        <v>2790</v>
      </c>
      <c r="F357">
        <v>9</v>
      </c>
      <c r="I357" t="s">
        <v>343</v>
      </c>
      <c r="J357" s="51">
        <v>40852</v>
      </c>
      <c r="K357" t="s">
        <v>27</v>
      </c>
      <c r="L357" t="s">
        <v>222</v>
      </c>
      <c r="M357">
        <v>3</v>
      </c>
      <c r="N357" t="str">
        <f>L357</f>
        <v>NAM\MA9769</v>
      </c>
      <c r="O357" s="51">
        <f>J357</f>
        <v>40852</v>
      </c>
      <c r="P357" s="51" t="str">
        <f>C357</f>
        <v>~/cdd/olddocs/Formas/CNWI-QAAS (aseguranza de calidad)/CNWI-QAAS-F040 AS9101_D Checklist.xlsx</v>
      </c>
      <c r="Q357" s="51" t="str">
        <f>E357</f>
        <v>xlsx</v>
      </c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G357" t="s">
        <v>28</v>
      </c>
      <c r="AH357" s="51"/>
      <c r="AI357" s="51"/>
    </row>
    <row r="358" spans="2:35">
      <c r="B358" t="s">
        <v>2249</v>
      </c>
      <c r="C358" t="s">
        <v>3114</v>
      </c>
      <c r="D358">
        <v>5</v>
      </c>
      <c r="E358" t="s">
        <v>2790</v>
      </c>
      <c r="F358">
        <v>9</v>
      </c>
      <c r="I358" t="s">
        <v>2250</v>
      </c>
      <c r="J358" s="51">
        <v>40611</v>
      </c>
      <c r="K358" t="s">
        <v>27</v>
      </c>
      <c r="L358" t="s">
        <v>2063</v>
      </c>
      <c r="M358">
        <v>3</v>
      </c>
      <c r="N358" t="str">
        <f>L358</f>
        <v>NAM\MB2117</v>
      </c>
      <c r="O358" s="51">
        <f>J358</f>
        <v>40611</v>
      </c>
      <c r="P358" s="51" t="str">
        <f>C358</f>
        <v>~/cdd/olddocs/Formas/CNWI-QAAS (aseguranza de calidad)/CNWI-QAAS-F042 FAI Forms.xlsx</v>
      </c>
      <c r="Q358" s="51" t="str">
        <f>E358</f>
        <v>xlsx</v>
      </c>
      <c r="R358" s="51"/>
      <c r="S358" s="51"/>
      <c r="T358" s="51"/>
      <c r="U358" s="51"/>
      <c r="V358" s="51"/>
      <c r="W358" s="51"/>
      <c r="X358" s="51"/>
      <c r="Y358" s="51"/>
      <c r="Z358" s="51"/>
      <c r="AA358" s="51"/>
      <c r="AB358" s="51"/>
      <c r="AC358" s="51"/>
      <c r="AD358" s="51"/>
      <c r="AG358" t="s">
        <v>28</v>
      </c>
      <c r="AH358" s="51"/>
      <c r="AI358" s="51"/>
    </row>
    <row r="359" spans="2:35">
      <c r="B359" t="s">
        <v>1100</v>
      </c>
      <c r="C359" t="s">
        <v>3115</v>
      </c>
      <c r="D359">
        <v>5</v>
      </c>
      <c r="E359" t="s">
        <v>2790</v>
      </c>
      <c r="F359">
        <v>9</v>
      </c>
      <c r="I359" t="s">
        <v>1101</v>
      </c>
      <c r="J359" s="51">
        <v>41142</v>
      </c>
      <c r="K359" t="s">
        <v>46</v>
      </c>
      <c r="L359" t="s">
        <v>880</v>
      </c>
      <c r="M359">
        <v>3</v>
      </c>
      <c r="N359" t="str">
        <f>L359</f>
        <v>NAM\MB3488</v>
      </c>
      <c r="O359" s="51">
        <f>J359</f>
        <v>41142</v>
      </c>
      <c r="P359" s="51" t="str">
        <f>C359</f>
        <v>~/cdd/olddocs/Formas/CNWI-QAAS (aseguranza de calidad)/CNWI-QAAS-F043  Flow Chart.xlsx</v>
      </c>
      <c r="Q359" s="51" t="str">
        <f>E359</f>
        <v>xlsx</v>
      </c>
      <c r="R359" s="51"/>
      <c r="S359" s="51"/>
      <c r="T359" s="51"/>
      <c r="U359" s="51"/>
      <c r="V359" s="51"/>
      <c r="W359" s="51"/>
      <c r="X359" s="51"/>
      <c r="Y359" s="51"/>
      <c r="Z359" s="51"/>
      <c r="AA359" s="51"/>
      <c r="AB359" s="51"/>
      <c r="AC359" s="51"/>
      <c r="AD359" s="51"/>
      <c r="AG359" t="s">
        <v>28</v>
      </c>
      <c r="AH359" s="51"/>
      <c r="AI359" s="51"/>
    </row>
    <row r="360" spans="2:35">
      <c r="B360" t="s">
        <v>1102</v>
      </c>
      <c r="C360" t="s">
        <v>3116</v>
      </c>
      <c r="D360">
        <v>5</v>
      </c>
      <c r="E360" t="s">
        <v>2790</v>
      </c>
      <c r="F360">
        <v>9</v>
      </c>
      <c r="I360" t="s">
        <v>1103</v>
      </c>
      <c r="J360" s="51">
        <v>41143</v>
      </c>
      <c r="K360" t="s">
        <v>159</v>
      </c>
      <c r="L360" t="s">
        <v>880</v>
      </c>
      <c r="M360">
        <v>3</v>
      </c>
      <c r="N360" t="str">
        <f>L360</f>
        <v>NAM\MB3488</v>
      </c>
      <c r="O360" s="51">
        <f>J360</f>
        <v>41143</v>
      </c>
      <c r="P360" s="51" t="str">
        <f>C360</f>
        <v>~/cdd/olddocs/Formas/CNWI-QAAS (aseguranza de calidad)/CNWI-QAAS-F044 Rev. C FMEA.xlsx</v>
      </c>
      <c r="Q360" s="51" t="str">
        <f>E360</f>
        <v>xlsx</v>
      </c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G360" t="s">
        <v>28</v>
      </c>
      <c r="AH360" s="51"/>
      <c r="AI360" s="51"/>
    </row>
    <row r="361" spans="2:35">
      <c r="B361" t="s">
        <v>1104</v>
      </c>
      <c r="C361" t="s">
        <v>3877</v>
      </c>
      <c r="D361">
        <v>5</v>
      </c>
      <c r="E361" t="s">
        <v>2790</v>
      </c>
      <c r="F361">
        <v>9</v>
      </c>
      <c r="I361" t="s">
        <v>1105</v>
      </c>
      <c r="J361" s="51">
        <v>41151</v>
      </c>
      <c r="K361" t="s">
        <v>261</v>
      </c>
      <c r="L361" t="s">
        <v>880</v>
      </c>
      <c r="M361">
        <v>3</v>
      </c>
      <c r="N361" t="str">
        <f>L361</f>
        <v>NAM\MB3488</v>
      </c>
      <c r="O361" s="51">
        <f>J361</f>
        <v>41151</v>
      </c>
      <c r="P361" s="51" t="str">
        <f>C361</f>
        <v>~cdd/olddocs/Formas/CNWI-QAAS (aseguranza de calidad)/CNWI-QAAS-F045 Rev. E Control Plan.xlsx</v>
      </c>
      <c r="Q361" s="51" t="str">
        <f>E361</f>
        <v>xlsx</v>
      </c>
      <c r="R361" s="51"/>
      <c r="S361" s="51"/>
      <c r="T361" s="51"/>
      <c r="U361" s="51"/>
      <c r="V361" s="51"/>
      <c r="W361" s="51"/>
      <c r="X361" s="51"/>
      <c r="Y361" s="51"/>
      <c r="Z361" s="51"/>
      <c r="AA361" s="51"/>
      <c r="AB361" s="51"/>
      <c r="AC361" s="51"/>
      <c r="AD361" s="51"/>
      <c r="AG361" t="s">
        <v>28</v>
      </c>
      <c r="AH361" s="51"/>
      <c r="AI361" s="51"/>
    </row>
    <row r="362" spans="2:35">
      <c r="B362" t="s">
        <v>2422</v>
      </c>
      <c r="C362" t="s">
        <v>3117</v>
      </c>
      <c r="D362">
        <v>5</v>
      </c>
      <c r="E362" t="s">
        <v>2790</v>
      </c>
      <c r="F362">
        <v>9</v>
      </c>
      <c r="I362" t="s">
        <v>2423</v>
      </c>
      <c r="J362" s="51">
        <v>40611</v>
      </c>
      <c r="K362" t="s">
        <v>27</v>
      </c>
      <c r="L362" t="s">
        <v>2063</v>
      </c>
      <c r="M362">
        <v>3</v>
      </c>
      <c r="N362" t="str">
        <f>L362</f>
        <v>NAM\MB2117</v>
      </c>
      <c r="O362" s="51">
        <f>J362</f>
        <v>40611</v>
      </c>
      <c r="P362" s="51" t="str">
        <f>C362</f>
        <v>~/cdd/olddocs/Formas/CNWI-QAAS (aseguranza de calidad)/CNWI-QAAS-F046 Dimensional Data Sheet .xlsx</v>
      </c>
      <c r="Q362" s="51" t="str">
        <f>E362</f>
        <v>xlsx</v>
      </c>
      <c r="R362" s="51"/>
      <c r="S362" s="51"/>
      <c r="T362" s="51"/>
      <c r="U362" s="51"/>
      <c r="V362" s="51"/>
      <c r="W362" s="51"/>
      <c r="X362" s="51"/>
      <c r="Y362" s="51"/>
      <c r="Z362" s="51"/>
      <c r="AA362" s="51"/>
      <c r="AB362" s="51"/>
      <c r="AC362" s="51"/>
      <c r="AD362" s="51"/>
      <c r="AG362" t="s">
        <v>28</v>
      </c>
      <c r="AH362" s="51"/>
      <c r="AI362" s="51"/>
    </row>
    <row r="363" spans="2:35">
      <c r="B363" t="s">
        <v>344</v>
      </c>
      <c r="C363" t="s">
        <v>3118</v>
      </c>
      <c r="D363">
        <v>5</v>
      </c>
      <c r="E363" t="s">
        <v>2790</v>
      </c>
      <c r="F363">
        <v>9</v>
      </c>
      <c r="I363" t="s">
        <v>345</v>
      </c>
      <c r="J363" s="51">
        <v>40611</v>
      </c>
      <c r="K363" t="s">
        <v>27</v>
      </c>
      <c r="L363" t="s">
        <v>222</v>
      </c>
      <c r="M363">
        <v>3</v>
      </c>
      <c r="N363" t="str">
        <f>L363</f>
        <v>NAM\MA9769</v>
      </c>
      <c r="O363" s="51">
        <f>J363</f>
        <v>40611</v>
      </c>
      <c r="P363" s="51" t="str">
        <f>C363</f>
        <v>~/cdd/olddocs/Formas/CNWI-QAAS (aseguranza de calidad)/CNWI-QAAS-F047 BOM.xlsx</v>
      </c>
      <c r="Q363" s="51" t="str">
        <f>E363</f>
        <v>xlsx</v>
      </c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G363" t="s">
        <v>28</v>
      </c>
      <c r="AH363" s="51"/>
      <c r="AI363" s="51"/>
    </row>
    <row r="364" spans="2:35">
      <c r="B364" t="s">
        <v>346</v>
      </c>
      <c r="C364" t="s">
        <v>3119</v>
      </c>
      <c r="D364">
        <v>5</v>
      </c>
      <c r="E364" t="s">
        <v>2792</v>
      </c>
      <c r="F364">
        <v>9</v>
      </c>
      <c r="I364" t="s">
        <v>347</v>
      </c>
      <c r="J364" s="51">
        <v>40612</v>
      </c>
      <c r="K364" t="s">
        <v>27</v>
      </c>
      <c r="L364" t="s">
        <v>222</v>
      </c>
      <c r="M364">
        <v>3</v>
      </c>
      <c r="N364" t="str">
        <f>L364</f>
        <v>NAM\MA9769</v>
      </c>
      <c r="O364" s="51">
        <f>J364</f>
        <v>40612</v>
      </c>
      <c r="P364" s="51" t="str">
        <f>C364</f>
        <v>~/cdd/olddocs/Formas/CNWI-QAAS (aseguranza de calidad)/CNWI-QAAS-F048 formato de entradas y salidas.xls</v>
      </c>
      <c r="Q364" s="51" t="str">
        <f>E364</f>
        <v>xls</v>
      </c>
      <c r="R364" s="51"/>
      <c r="S364" s="51"/>
      <c r="T364" s="51"/>
      <c r="U364" s="51"/>
      <c r="V364" s="51"/>
      <c r="W364" s="51"/>
      <c r="X364" s="51"/>
      <c r="Y364" s="51"/>
      <c r="Z364" s="51"/>
      <c r="AA364" s="51"/>
      <c r="AB364" s="51"/>
      <c r="AC364" s="51"/>
      <c r="AD364" s="51"/>
      <c r="AG364" t="s">
        <v>28</v>
      </c>
      <c r="AH364" s="51"/>
      <c r="AI364" s="51"/>
    </row>
    <row r="365" spans="2:35">
      <c r="B365" t="s">
        <v>2251</v>
      </c>
      <c r="C365" t="s">
        <v>3120</v>
      </c>
      <c r="D365">
        <v>5</v>
      </c>
      <c r="E365" t="s">
        <v>2790</v>
      </c>
      <c r="F365">
        <v>9</v>
      </c>
      <c r="I365" t="s">
        <v>2252</v>
      </c>
      <c r="J365" s="51">
        <v>40612</v>
      </c>
      <c r="K365" t="s">
        <v>27</v>
      </c>
      <c r="L365" t="s">
        <v>2063</v>
      </c>
      <c r="M365">
        <v>3</v>
      </c>
      <c r="N365" t="str">
        <f>L365</f>
        <v>NAM\MB2117</v>
      </c>
      <c r="O365" s="51">
        <f>J365</f>
        <v>40612</v>
      </c>
      <c r="P365" s="51" t="str">
        <f>C365</f>
        <v>~/cdd/olddocs/Formas/CNWI-QAAS (aseguranza de calidad)/CNWI-QAAS-F049 Forma para CPK's xlsx.xlsx</v>
      </c>
      <c r="Q365" s="51" t="str">
        <f>E365</f>
        <v>xlsx</v>
      </c>
      <c r="R365" s="51"/>
      <c r="S365" s="51"/>
      <c r="T365" s="51"/>
      <c r="U365" s="51"/>
      <c r="V365" s="51"/>
      <c r="W365" s="51"/>
      <c r="X365" s="51"/>
      <c r="Y365" s="51"/>
      <c r="Z365" s="51"/>
      <c r="AA365" s="51"/>
      <c r="AB365" s="51"/>
      <c r="AC365" s="51"/>
      <c r="AD365" s="51"/>
      <c r="AG365" t="s">
        <v>28</v>
      </c>
      <c r="AH365" s="51"/>
      <c r="AI365" s="51"/>
    </row>
    <row r="366" spans="2:35">
      <c r="B366" t="s">
        <v>1513</v>
      </c>
      <c r="C366" t="s">
        <v>3121</v>
      </c>
      <c r="D366">
        <v>5</v>
      </c>
      <c r="E366" t="s">
        <v>2790</v>
      </c>
      <c r="F366">
        <v>9</v>
      </c>
      <c r="I366" t="s">
        <v>1514</v>
      </c>
      <c r="J366" s="51">
        <v>40891</v>
      </c>
      <c r="K366" t="s">
        <v>46</v>
      </c>
      <c r="L366" t="s">
        <v>1504</v>
      </c>
      <c r="M366">
        <v>3</v>
      </c>
      <c r="N366" t="str">
        <f>L366</f>
        <v>NAM\MB5781</v>
      </c>
      <c r="O366" s="51">
        <f>J366</f>
        <v>40891</v>
      </c>
      <c r="P366" s="51" t="str">
        <f>C366</f>
        <v>~/cdd/olddocs/Formas/CNWI-QAAS (aseguranza de calidad)/CNWI-QAAS-F050 Formato de IMC.xlsx</v>
      </c>
      <c r="Q366" s="51" t="str">
        <f>E366</f>
        <v>xlsx</v>
      </c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G366" t="s">
        <v>28</v>
      </c>
      <c r="AH366" s="51"/>
      <c r="AI366" s="51"/>
    </row>
    <row r="367" spans="2:35">
      <c r="B367" t="s">
        <v>2253</v>
      </c>
      <c r="C367" t="s">
        <v>3122</v>
      </c>
      <c r="D367">
        <v>5</v>
      </c>
      <c r="E367" t="s">
        <v>2792</v>
      </c>
      <c r="F367">
        <v>9</v>
      </c>
      <c r="I367" t="s">
        <v>2254</v>
      </c>
      <c r="J367" s="51">
        <v>40612</v>
      </c>
      <c r="K367" t="s">
        <v>27</v>
      </c>
      <c r="L367" t="s">
        <v>2063</v>
      </c>
      <c r="M367">
        <v>3</v>
      </c>
      <c r="N367" t="str">
        <f>L367</f>
        <v>NAM\MB2117</v>
      </c>
      <c r="O367" s="51">
        <f>J367</f>
        <v>40612</v>
      </c>
      <c r="P367" s="51" t="str">
        <f>C367</f>
        <v>~/cdd/olddocs/Formas/CNWI-QAAS (aseguranza de calidad)/CNWI-QAAS-F051 formato de resumen de lotes rechazados.xls</v>
      </c>
      <c r="Q367" s="51" t="str">
        <f>E367</f>
        <v>xls</v>
      </c>
      <c r="R367" s="51"/>
      <c r="S367" s="51"/>
      <c r="T367" s="51"/>
      <c r="U367" s="51"/>
      <c r="V367" s="51"/>
      <c r="W367" s="51"/>
      <c r="X367" s="51"/>
      <c r="Y367" s="51"/>
      <c r="Z367" s="51"/>
      <c r="AA367" s="51"/>
      <c r="AB367" s="51"/>
      <c r="AC367" s="51"/>
      <c r="AD367" s="51"/>
      <c r="AG367" t="s">
        <v>28</v>
      </c>
      <c r="AH367" s="51"/>
      <c r="AI367" s="51"/>
    </row>
    <row r="368" spans="2:35">
      <c r="B368" t="s">
        <v>348</v>
      </c>
      <c r="C368" t="s">
        <v>3123</v>
      </c>
      <c r="D368">
        <v>5</v>
      </c>
      <c r="E368" t="s">
        <v>2792</v>
      </c>
      <c r="F368">
        <v>9</v>
      </c>
      <c r="I368" t="s">
        <v>349</v>
      </c>
      <c r="J368" s="51">
        <v>40612</v>
      </c>
      <c r="K368" t="s">
        <v>27</v>
      </c>
      <c r="L368" t="s">
        <v>222</v>
      </c>
      <c r="M368">
        <v>3</v>
      </c>
      <c r="N368" t="str">
        <f>L368</f>
        <v>NAM\MA9769</v>
      </c>
      <c r="O368" s="51">
        <f>J368</f>
        <v>40612</v>
      </c>
      <c r="P368" s="51" t="str">
        <f>C368</f>
        <v>~/cdd/olddocs/Formas/CNWI-QAAS (aseguranza de calidad)/CNWI-QAAS-F052 Schedule Management Review.xls</v>
      </c>
      <c r="Q368" s="51" t="str">
        <f>E368</f>
        <v>xls</v>
      </c>
      <c r="R368" s="51"/>
      <c r="S368" s="51"/>
      <c r="T368" s="51"/>
      <c r="U368" s="51"/>
      <c r="V368" s="51"/>
      <c r="W368" s="51"/>
      <c r="X368" s="51"/>
      <c r="Y368" s="51"/>
      <c r="Z368" s="51"/>
      <c r="AA368" s="51"/>
      <c r="AB368" s="51"/>
      <c r="AC368" s="51"/>
      <c r="AD368" s="51"/>
      <c r="AG368" t="s">
        <v>28</v>
      </c>
      <c r="AH368" s="51"/>
      <c r="AI368" s="51"/>
    </row>
    <row r="369" spans="2:35">
      <c r="B369" t="s">
        <v>350</v>
      </c>
      <c r="C369" t="s">
        <v>3124</v>
      </c>
      <c r="D369">
        <v>5</v>
      </c>
      <c r="E369" t="s">
        <v>2797</v>
      </c>
      <c r="F369">
        <v>9</v>
      </c>
      <c r="I369" t="s">
        <v>351</v>
      </c>
      <c r="J369" s="51">
        <v>40617</v>
      </c>
      <c r="K369" t="s">
        <v>27</v>
      </c>
      <c r="L369" t="s">
        <v>222</v>
      </c>
      <c r="M369">
        <v>3</v>
      </c>
      <c r="N369" t="str">
        <f>L369</f>
        <v>NAM\MA9769</v>
      </c>
      <c r="O369" s="51">
        <f>J369</f>
        <v>40617</v>
      </c>
      <c r="P369" s="51" t="str">
        <f>C369</f>
        <v>~/cdd/olddocs/Formas/CNWI-QAAS (aseguranza de calidad)/CNWI-QAAS-F054 Meeting Notice.docx</v>
      </c>
      <c r="Q369" s="51" t="str">
        <f>E369</f>
        <v>docx</v>
      </c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G369" t="s">
        <v>28</v>
      </c>
      <c r="AH369" s="51"/>
      <c r="AI369" s="51"/>
    </row>
    <row r="370" spans="2:35">
      <c r="B370" t="s">
        <v>352</v>
      </c>
      <c r="C370" t="s">
        <v>3125</v>
      </c>
      <c r="D370">
        <v>5</v>
      </c>
      <c r="E370" t="s">
        <v>2790</v>
      </c>
      <c r="F370">
        <v>9</v>
      </c>
      <c r="I370" t="s">
        <v>353</v>
      </c>
      <c r="J370" s="51">
        <v>40617</v>
      </c>
      <c r="K370" t="s">
        <v>27</v>
      </c>
      <c r="L370" t="s">
        <v>222</v>
      </c>
      <c r="M370">
        <v>3</v>
      </c>
      <c r="N370" t="str">
        <f>L370</f>
        <v>NAM\MA9769</v>
      </c>
      <c r="O370" s="51">
        <f>J370</f>
        <v>40617</v>
      </c>
      <c r="P370" s="51" t="str">
        <f>C370</f>
        <v>~/cdd/olddocs/Formas/CNWI-QAAS (aseguranza de calidad)/CNWI-QAAS-F055 DR Report ordenes de retrabajo  Recibidas Fuera Del SAP 2011.xlsx</v>
      </c>
      <c r="Q370" s="51" t="str">
        <f>E370</f>
        <v>xlsx</v>
      </c>
      <c r="R370" s="51"/>
      <c r="S370" s="51"/>
      <c r="T370" s="51"/>
      <c r="U370" s="51"/>
      <c r="V370" s="51"/>
      <c r="W370" s="51"/>
      <c r="X370" s="51"/>
      <c r="Y370" s="51"/>
      <c r="Z370" s="51"/>
      <c r="AA370" s="51"/>
      <c r="AB370" s="51"/>
      <c r="AC370" s="51"/>
      <c r="AD370" s="51"/>
      <c r="AG370" t="s">
        <v>28</v>
      </c>
      <c r="AH370" s="51"/>
      <c r="AI370" s="51"/>
    </row>
    <row r="371" spans="2:35">
      <c r="B371" t="s">
        <v>354</v>
      </c>
      <c r="C371" t="s">
        <v>3126</v>
      </c>
      <c r="D371">
        <v>5</v>
      </c>
      <c r="E371" t="s">
        <v>2790</v>
      </c>
      <c r="F371">
        <v>9</v>
      </c>
      <c r="I371" t="s">
        <v>355</v>
      </c>
      <c r="J371" s="51">
        <v>40617</v>
      </c>
      <c r="K371" t="s">
        <v>27</v>
      </c>
      <c r="L371" t="s">
        <v>222</v>
      </c>
      <c r="M371">
        <v>3</v>
      </c>
      <c r="N371" t="str">
        <f>L371</f>
        <v>NAM\MA9769</v>
      </c>
      <c r="O371" s="51">
        <f>J371</f>
        <v>40617</v>
      </c>
      <c r="P371" s="51" t="str">
        <f>C371</f>
        <v>~/cdd/olddocs/Formas/CNWI-QAAS (aseguranza de calidad)/CNWI-QAAS-F056 DR Reporte de retrabajo ordenes  Recibidas Dentro Del SAP 2011.xlsx</v>
      </c>
      <c r="Q371" s="51" t="str">
        <f>E371</f>
        <v>xlsx</v>
      </c>
      <c r="R371" s="51"/>
      <c r="S371" s="51"/>
      <c r="T371" s="51"/>
      <c r="U371" s="51"/>
      <c r="V371" s="51"/>
      <c r="W371" s="51"/>
      <c r="X371" s="51"/>
      <c r="Y371" s="51"/>
      <c r="Z371" s="51"/>
      <c r="AA371" s="51"/>
      <c r="AB371" s="51"/>
      <c r="AC371" s="51"/>
      <c r="AD371" s="51"/>
      <c r="AG371" t="s">
        <v>28</v>
      </c>
      <c r="AH371" s="51"/>
      <c r="AI371" s="51"/>
    </row>
    <row r="372" spans="2:35">
      <c r="B372" t="s">
        <v>356</v>
      </c>
      <c r="C372" t="s">
        <v>3127</v>
      </c>
      <c r="D372">
        <v>5</v>
      </c>
      <c r="E372" t="s">
        <v>2793</v>
      </c>
      <c r="F372">
        <v>9</v>
      </c>
      <c r="I372" t="s">
        <v>357</v>
      </c>
      <c r="J372" s="51">
        <v>40617</v>
      </c>
      <c r="K372" t="s">
        <v>27</v>
      </c>
      <c r="L372" t="s">
        <v>222</v>
      </c>
      <c r="M372">
        <v>3</v>
      </c>
      <c r="N372" t="str">
        <f>L372</f>
        <v>NAM\MA9769</v>
      </c>
      <c r="O372" s="51">
        <f>J372</f>
        <v>40617</v>
      </c>
      <c r="P372" s="51" t="str">
        <f>C372</f>
        <v>~/cdd/olddocs/Formas/CNWI-QAAS (aseguranza de calidad)/CNWI-QAAS-F057 Formato de presentacion al proveedor.pptx</v>
      </c>
      <c r="Q372" s="51" t="str">
        <f>E372</f>
        <v>pptx</v>
      </c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G372" t="s">
        <v>28</v>
      </c>
      <c r="AH372" s="51"/>
      <c r="AI372" s="51"/>
    </row>
    <row r="373" spans="2:35">
      <c r="B373" t="s">
        <v>358</v>
      </c>
      <c r="C373" t="s">
        <v>3128</v>
      </c>
      <c r="D373">
        <v>5</v>
      </c>
      <c r="E373" t="s">
        <v>2790</v>
      </c>
      <c r="F373">
        <v>9</v>
      </c>
      <c r="I373" t="s">
        <v>359</v>
      </c>
      <c r="J373" s="51">
        <v>40617</v>
      </c>
      <c r="K373" t="s">
        <v>27</v>
      </c>
      <c r="L373" t="s">
        <v>222</v>
      </c>
      <c r="M373">
        <v>3</v>
      </c>
      <c r="N373" t="str">
        <f>L373</f>
        <v>NAM\MA9769</v>
      </c>
      <c r="O373" s="51">
        <f>J373</f>
        <v>40617</v>
      </c>
      <c r="P373" s="51" t="str">
        <f>C373</f>
        <v>~/cdd/olddocs/Formas/CNWI-QAAS (aseguranza de calidad)/CNWI-QAAS-F058 Reporte DR2011.xlsx</v>
      </c>
      <c r="Q373" s="51" t="str">
        <f>E373</f>
        <v>xlsx</v>
      </c>
      <c r="R373" s="51"/>
      <c r="S373" s="51"/>
      <c r="T373" s="51"/>
      <c r="U373" s="51"/>
      <c r="V373" s="51"/>
      <c r="W373" s="51"/>
      <c r="X373" s="51"/>
      <c r="Y373" s="51"/>
      <c r="Z373" s="51"/>
      <c r="AA373" s="51"/>
      <c r="AB373" s="51"/>
      <c r="AC373" s="51"/>
      <c r="AD373" s="51"/>
      <c r="AG373" t="s">
        <v>28</v>
      </c>
      <c r="AH373" s="51"/>
      <c r="AI373" s="51"/>
    </row>
    <row r="374" spans="2:35">
      <c r="B374" t="s">
        <v>1845</v>
      </c>
      <c r="C374" t="s">
        <v>3129</v>
      </c>
      <c r="D374">
        <v>5</v>
      </c>
      <c r="E374" t="s">
        <v>2790</v>
      </c>
      <c r="F374">
        <v>9</v>
      </c>
      <c r="I374" t="s">
        <v>1846</v>
      </c>
      <c r="J374" s="51">
        <v>40617</v>
      </c>
      <c r="K374" t="s">
        <v>27</v>
      </c>
      <c r="L374" t="s">
        <v>1584</v>
      </c>
      <c r="M374">
        <v>3</v>
      </c>
      <c r="N374" t="str">
        <f>L374</f>
        <v>NAM\A8070</v>
      </c>
      <c r="O374" s="51">
        <f>J374</f>
        <v>40617</v>
      </c>
      <c r="P374" s="51" t="str">
        <f>C374</f>
        <v>~/cdd/olddocs/Formas/CNWI-QAAS (aseguranza de calidad)/CNWI-QAAS-F059 retrabajos micromini.xlsx</v>
      </c>
      <c r="Q374" s="51" t="str">
        <f>E374</f>
        <v>xlsx</v>
      </c>
      <c r="R374" s="51"/>
      <c r="S374" s="51"/>
      <c r="T374" s="51"/>
      <c r="U374" s="51"/>
      <c r="V374" s="51"/>
      <c r="W374" s="51"/>
      <c r="X374" s="51"/>
      <c r="Y374" s="51"/>
      <c r="Z374" s="51"/>
      <c r="AA374" s="51"/>
      <c r="AB374" s="51"/>
      <c r="AC374" s="51"/>
      <c r="AD374" s="51"/>
      <c r="AG374" t="s">
        <v>28</v>
      </c>
      <c r="AH374" s="51"/>
      <c r="AI374" s="51"/>
    </row>
    <row r="375" spans="2:35">
      <c r="B375" t="s">
        <v>2255</v>
      </c>
      <c r="C375" t="s">
        <v>3130</v>
      </c>
      <c r="D375">
        <v>5</v>
      </c>
      <c r="E375" t="s">
        <v>2790</v>
      </c>
      <c r="F375">
        <v>9</v>
      </c>
      <c r="I375" t="s">
        <v>2256</v>
      </c>
      <c r="J375" s="51">
        <v>40617</v>
      </c>
      <c r="K375" t="s">
        <v>27</v>
      </c>
      <c r="L375" t="s">
        <v>2063</v>
      </c>
      <c r="M375">
        <v>3</v>
      </c>
      <c r="N375" t="str">
        <f>L375</f>
        <v>NAM\MB2117</v>
      </c>
      <c r="O375" s="51">
        <f>J375</f>
        <v>40617</v>
      </c>
      <c r="P375" s="51" t="str">
        <f>C375</f>
        <v>~/cdd/olddocs/Formas/CNWI-QAAS (aseguranza de calidad)/CNWI-QAAS-F060 Retrabajos Itron y Mas.xlsx</v>
      </c>
      <c r="Q375" s="51" t="str">
        <f>E375</f>
        <v>xlsx</v>
      </c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G375" t="s">
        <v>28</v>
      </c>
      <c r="AH375" s="51"/>
      <c r="AI375" s="51"/>
    </row>
    <row r="376" spans="2:35">
      <c r="B376" t="s">
        <v>2257</v>
      </c>
      <c r="C376" t="s">
        <v>3131</v>
      </c>
      <c r="D376">
        <v>5</v>
      </c>
      <c r="E376" t="s">
        <v>2797</v>
      </c>
      <c r="F376">
        <v>9</v>
      </c>
      <c r="I376" t="s">
        <v>2258</v>
      </c>
      <c r="J376" s="51">
        <v>40617</v>
      </c>
      <c r="K376" t="s">
        <v>27</v>
      </c>
      <c r="L376" t="s">
        <v>2063</v>
      </c>
      <c r="M376">
        <v>3</v>
      </c>
      <c r="N376" t="str">
        <f>L376</f>
        <v>NAM\MB2117</v>
      </c>
      <c r="O376" s="51">
        <f>J376</f>
        <v>40617</v>
      </c>
      <c r="P376" s="51" t="str">
        <f>C376</f>
        <v>~/cdd/olddocs/Formas/CNWI-QAAS (aseguranza de calidad)/CNWI-QAAS-F061 Stock Purge Report.docx</v>
      </c>
      <c r="Q376" s="51" t="str">
        <f>E376</f>
        <v>docx</v>
      </c>
      <c r="R376" s="51"/>
      <c r="S376" s="51"/>
      <c r="T376" s="51"/>
      <c r="U376" s="51"/>
      <c r="V376" s="51"/>
      <c r="W376" s="51"/>
      <c r="X376" s="51"/>
      <c r="Y376" s="51"/>
      <c r="Z376" s="51"/>
      <c r="AA376" s="51"/>
      <c r="AB376" s="51"/>
      <c r="AC376" s="51"/>
      <c r="AD376" s="51"/>
      <c r="AG376" t="s">
        <v>28</v>
      </c>
      <c r="AH376" s="51"/>
      <c r="AI376" s="51"/>
    </row>
    <row r="377" spans="2:35">
      <c r="B377" t="s">
        <v>1120</v>
      </c>
      <c r="C377" t="s">
        <v>3132</v>
      </c>
      <c r="D377">
        <v>5</v>
      </c>
      <c r="E377" t="s">
        <v>2792</v>
      </c>
      <c r="F377">
        <v>9</v>
      </c>
      <c r="I377" t="s">
        <v>1121</v>
      </c>
      <c r="J377" s="51">
        <v>40617</v>
      </c>
      <c r="K377" t="s">
        <v>27</v>
      </c>
      <c r="L377" t="s">
        <v>1109</v>
      </c>
      <c r="M377">
        <v>3</v>
      </c>
      <c r="N377" t="str">
        <f>L377</f>
        <v>NAM\MB2116</v>
      </c>
      <c r="O377" s="51">
        <f>J377</f>
        <v>40617</v>
      </c>
      <c r="P377" s="51" t="str">
        <f>C377</f>
        <v>~/cdd/olddocs/Formas/CNWI-QAAS (aseguranza de calidad)/CNWI-QAAS-F063 Material Freezer storage.xls</v>
      </c>
      <c r="Q377" s="51" t="str">
        <f>E377</f>
        <v>xls</v>
      </c>
      <c r="R377" s="51"/>
      <c r="S377" s="51"/>
      <c r="T377" s="51"/>
      <c r="U377" s="51"/>
      <c r="V377" s="51"/>
      <c r="W377" s="51"/>
      <c r="X377" s="51"/>
      <c r="Y377" s="51"/>
      <c r="Z377" s="51"/>
      <c r="AA377" s="51"/>
      <c r="AB377" s="51"/>
      <c r="AC377" s="51"/>
      <c r="AD377" s="51"/>
      <c r="AG377" t="s">
        <v>28</v>
      </c>
      <c r="AH377" s="51"/>
      <c r="AI377" s="51"/>
    </row>
    <row r="378" spans="2:35">
      <c r="B378" t="s">
        <v>2048</v>
      </c>
      <c r="C378" t="s">
        <v>3133</v>
      </c>
      <c r="D378">
        <v>5</v>
      </c>
      <c r="E378" t="s">
        <v>2792</v>
      </c>
      <c r="F378">
        <v>9</v>
      </c>
      <c r="I378" t="s">
        <v>2049</v>
      </c>
      <c r="J378" s="51">
        <v>41061</v>
      </c>
      <c r="K378" t="s">
        <v>261</v>
      </c>
      <c r="L378" t="s">
        <v>1888</v>
      </c>
      <c r="M378">
        <v>3</v>
      </c>
      <c r="N378" t="str">
        <f>L378</f>
        <v>NAM\MA7784</v>
      </c>
      <c r="O378" s="51">
        <f>J378</f>
        <v>41061</v>
      </c>
      <c r="P378" s="51" t="str">
        <f>C378</f>
        <v>~/cdd/olddocs/Formas/CNWI-QAAS (aseguranza de calidad)/CNWI-QAAS-F064 Boleta de scrap.xls</v>
      </c>
      <c r="Q378" s="51" t="str">
        <f>E378</f>
        <v>xls</v>
      </c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G378" t="s">
        <v>28</v>
      </c>
      <c r="AH378" s="51"/>
      <c r="AI378" s="51"/>
    </row>
    <row r="379" spans="2:35">
      <c r="B379" t="s">
        <v>2050</v>
      </c>
      <c r="C379" t="s">
        <v>3134</v>
      </c>
      <c r="D379">
        <v>5</v>
      </c>
      <c r="E379" t="s">
        <v>2791</v>
      </c>
      <c r="F379">
        <v>9</v>
      </c>
      <c r="I379" t="s">
        <v>2051</v>
      </c>
      <c r="J379" s="51">
        <v>41108</v>
      </c>
      <c r="K379" t="s">
        <v>38</v>
      </c>
      <c r="L379" t="s">
        <v>1888</v>
      </c>
      <c r="M379">
        <v>3</v>
      </c>
      <c r="N379" t="str">
        <f>L379</f>
        <v>NAM\MA7784</v>
      </c>
      <c r="O379" s="51">
        <f>J379</f>
        <v>41108</v>
      </c>
      <c r="P379" s="51" t="str">
        <f>C379</f>
        <v>~/cdd/olddocs/Formas/CNWI-QAAS (aseguranza de calidad)/CNWI-QAAS-F065 Certificate  of Conformance .pdf</v>
      </c>
      <c r="Q379" s="51" t="str">
        <f>E379</f>
        <v>pdf</v>
      </c>
      <c r="R379" s="51"/>
      <c r="S379" s="51"/>
      <c r="T379" s="51"/>
      <c r="U379" s="51"/>
      <c r="V379" s="51"/>
      <c r="W379" s="51"/>
      <c r="X379" s="51"/>
      <c r="Y379" s="51"/>
      <c r="Z379" s="51"/>
      <c r="AA379" s="51"/>
      <c r="AB379" s="51"/>
      <c r="AC379" s="51"/>
      <c r="AD379" s="51"/>
      <c r="AG379" t="s">
        <v>28</v>
      </c>
      <c r="AH379" s="51"/>
      <c r="AI379" s="51"/>
    </row>
    <row r="380" spans="2:35">
      <c r="B380" t="s">
        <v>1122</v>
      </c>
      <c r="C380" t="s">
        <v>3135</v>
      </c>
      <c r="D380">
        <v>5</v>
      </c>
      <c r="E380" t="s">
        <v>2792</v>
      </c>
      <c r="F380">
        <v>9</v>
      </c>
      <c r="I380" t="s">
        <v>1123</v>
      </c>
      <c r="J380" s="51">
        <v>41102</v>
      </c>
      <c r="K380" t="s">
        <v>27</v>
      </c>
      <c r="L380" t="s">
        <v>1109</v>
      </c>
      <c r="M380">
        <v>3</v>
      </c>
      <c r="N380" t="str">
        <f>L380</f>
        <v>NAM\MB2116</v>
      </c>
      <c r="O380" s="51">
        <f>J380</f>
        <v>41102</v>
      </c>
      <c r="P380" s="51" t="str">
        <f>C380</f>
        <v>~/cdd/olddocs/Formas/CNWI-QAAS (aseguranza de calidad)/CNWI-QAAS-F066 Diagrama de flujo del producto.xls</v>
      </c>
      <c r="Q380" s="51" t="str">
        <f>E380</f>
        <v>xls</v>
      </c>
      <c r="R380" s="51"/>
      <c r="S380" s="51"/>
      <c r="T380" s="51"/>
      <c r="U380" s="51"/>
      <c r="V380" s="51"/>
      <c r="W380" s="51"/>
      <c r="X380" s="51"/>
      <c r="Y380" s="51"/>
      <c r="Z380" s="51"/>
      <c r="AA380" s="51"/>
      <c r="AB380" s="51"/>
      <c r="AC380" s="51"/>
      <c r="AD380" s="51"/>
      <c r="AG380" t="s">
        <v>28</v>
      </c>
      <c r="AH380" s="51"/>
      <c r="AI380" s="51"/>
    </row>
    <row r="381" spans="2:35">
      <c r="B381" t="s">
        <v>1124</v>
      </c>
      <c r="C381" t="s">
        <v>3136</v>
      </c>
      <c r="D381">
        <v>5</v>
      </c>
      <c r="E381" t="s">
        <v>2792</v>
      </c>
      <c r="F381">
        <v>9</v>
      </c>
      <c r="I381" t="s">
        <v>1125</v>
      </c>
      <c r="J381" s="51">
        <v>40633</v>
      </c>
      <c r="K381" t="s">
        <v>27</v>
      </c>
      <c r="L381" t="s">
        <v>1109</v>
      </c>
      <c r="M381">
        <v>3</v>
      </c>
      <c r="N381" t="str">
        <f>L381</f>
        <v>NAM\MB2116</v>
      </c>
      <c r="O381" s="51">
        <f>J381</f>
        <v>40633</v>
      </c>
      <c r="P381" s="51" t="str">
        <f>C381</f>
        <v>~/cdd/olddocs/Formas/CNWI-QAAS (aseguranza de calidad)/CNWI-QAAS-F067 Registro de Goma.xls</v>
      </c>
      <c r="Q381" s="51" t="str">
        <f>E381</f>
        <v>xls</v>
      </c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G381" t="s">
        <v>28</v>
      </c>
      <c r="AH381" s="51"/>
      <c r="AI381" s="51"/>
    </row>
    <row r="382" spans="2:35">
      <c r="B382" t="s">
        <v>360</v>
      </c>
      <c r="C382" t="s">
        <v>3137</v>
      </c>
      <c r="D382">
        <v>5</v>
      </c>
      <c r="E382" t="s">
        <v>2792</v>
      </c>
      <c r="F382">
        <v>9</v>
      </c>
      <c r="I382" t="s">
        <v>361</v>
      </c>
      <c r="J382" s="51">
        <v>40973</v>
      </c>
      <c r="K382" t="s">
        <v>27</v>
      </c>
      <c r="L382" t="s">
        <v>222</v>
      </c>
      <c r="M382">
        <v>3</v>
      </c>
      <c r="N382" t="str">
        <f>L382</f>
        <v>NAM\MA9769</v>
      </c>
      <c r="O382" s="51">
        <f>J382</f>
        <v>40973</v>
      </c>
      <c r="P382" s="51" t="str">
        <f>C382</f>
        <v>~/cdd/olddocs/Formas/CNWI-QAAS (aseguranza de calidad)/CNWI-QAAS-F068 Relacion de documentos externos.xls</v>
      </c>
      <c r="Q382" s="51" t="str">
        <f>E382</f>
        <v>xls</v>
      </c>
      <c r="R382" s="51"/>
      <c r="S382" s="51"/>
      <c r="T382" s="51"/>
      <c r="U382" s="51"/>
      <c r="V382" s="51"/>
      <c r="W382" s="51"/>
      <c r="X382" s="51"/>
      <c r="Y382" s="51"/>
      <c r="Z382" s="51"/>
      <c r="AA382" s="51"/>
      <c r="AB382" s="51"/>
      <c r="AC382" s="51"/>
      <c r="AD382" s="51"/>
      <c r="AG382" t="s">
        <v>28</v>
      </c>
      <c r="AH382" s="51"/>
      <c r="AI382" s="51"/>
    </row>
    <row r="383" spans="2:35">
      <c r="B383" t="s">
        <v>362</v>
      </c>
      <c r="C383" t="s">
        <v>3932</v>
      </c>
      <c r="D383">
        <v>5</v>
      </c>
      <c r="E383" t="s">
        <v>2792</v>
      </c>
      <c r="F383">
        <v>9</v>
      </c>
      <c r="I383" t="s">
        <v>363</v>
      </c>
      <c r="J383" s="51">
        <v>40988</v>
      </c>
      <c r="K383" t="s">
        <v>159</v>
      </c>
      <c r="L383" t="s">
        <v>222</v>
      </c>
      <c r="M383">
        <v>3</v>
      </c>
      <c r="N383" t="str">
        <f>L383</f>
        <v>NAM\MA9769</v>
      </c>
      <c r="O383" s="51">
        <f>J383</f>
        <v>40988</v>
      </c>
      <c r="P383" s="51" t="str">
        <f>C383</f>
        <v>~/cdd/olddocs/CN-QAAS (Aseguranza de calidad)/FORMAS/CNWI-QAAS-F069 Rev. C Comunicacion de cambios de documentos.xls</v>
      </c>
      <c r="Q383" s="51" t="str">
        <f>E383</f>
        <v>xls</v>
      </c>
      <c r="R383" s="51"/>
      <c r="S383" s="51"/>
      <c r="T383" s="51"/>
      <c r="U383" s="51"/>
      <c r="V383" s="51"/>
      <c r="W383" s="51"/>
      <c r="X383" s="51"/>
      <c r="Y383" s="51"/>
      <c r="Z383" s="51"/>
      <c r="AA383" s="51"/>
      <c r="AB383" s="51"/>
      <c r="AC383" s="51"/>
      <c r="AD383" s="51"/>
      <c r="AG383" t="s">
        <v>28</v>
      </c>
      <c r="AH383" s="51"/>
      <c r="AI383" s="51"/>
    </row>
    <row r="384" spans="2:35">
      <c r="B384" t="s">
        <v>1847</v>
      </c>
      <c r="C384" t="s">
        <v>3138</v>
      </c>
      <c r="D384">
        <v>5</v>
      </c>
      <c r="E384" t="s">
        <v>2792</v>
      </c>
      <c r="F384">
        <v>9</v>
      </c>
      <c r="I384" t="s">
        <v>1848</v>
      </c>
      <c r="J384" s="51">
        <v>40644</v>
      </c>
      <c r="K384" t="s">
        <v>27</v>
      </c>
      <c r="L384" t="s">
        <v>1584</v>
      </c>
      <c r="M384">
        <v>3</v>
      </c>
      <c r="N384" t="str">
        <f>L384</f>
        <v>NAM\A8070</v>
      </c>
      <c r="O384" s="51">
        <f>J384</f>
        <v>40644</v>
      </c>
      <c r="P384" s="51" t="str">
        <f>C384</f>
        <v>~/cdd/olddocs/Formas/CNWI-QAAS (aseguranza de calidad)/CNWI-QAAS-F070 Matriz de PULL TEST(MICRO-MINI).xls</v>
      </c>
      <c r="Q384" s="51" t="str">
        <f>E384</f>
        <v>xls</v>
      </c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G384" t="s">
        <v>28</v>
      </c>
      <c r="AH384" s="51"/>
      <c r="AI384" s="51"/>
    </row>
    <row r="385" spans="2:35">
      <c r="B385" t="s">
        <v>501</v>
      </c>
      <c r="C385" t="s">
        <v>3139</v>
      </c>
      <c r="D385">
        <v>5</v>
      </c>
      <c r="E385" t="s">
        <v>2792</v>
      </c>
      <c r="F385">
        <v>9</v>
      </c>
      <c r="I385" t="s">
        <v>502</v>
      </c>
      <c r="J385" s="51" t="s">
        <v>503</v>
      </c>
      <c r="K385" t="s">
        <v>27</v>
      </c>
      <c r="L385" t="s">
        <v>438</v>
      </c>
      <c r="M385">
        <v>3</v>
      </c>
      <c r="N385" t="str">
        <f>L385</f>
        <v>NAM\D24B6</v>
      </c>
      <c r="O385" s="51" t="str">
        <f>J385</f>
        <v>04/21/2011</v>
      </c>
      <c r="P385" s="51" t="str">
        <f>C385</f>
        <v>~/cdd/olddocs/Formas/CNWI-QAAS (aseguranza de calidad)/CNWI-QAAS-F071 molding process.xls</v>
      </c>
      <c r="Q385" s="51" t="str">
        <f>E385</f>
        <v>xls</v>
      </c>
      <c r="R385" s="51"/>
      <c r="S385" s="51"/>
      <c r="T385" s="51"/>
      <c r="U385" s="51"/>
      <c r="V385" s="51"/>
      <c r="W385" s="51"/>
      <c r="X385" s="51"/>
      <c r="Y385" s="51"/>
      <c r="Z385" s="51"/>
      <c r="AA385" s="51"/>
      <c r="AB385" s="51"/>
      <c r="AC385" s="51"/>
      <c r="AD385" s="51"/>
      <c r="AG385" t="s">
        <v>28</v>
      </c>
      <c r="AH385" s="51"/>
      <c r="AI385" s="51"/>
    </row>
    <row r="386" spans="2:35">
      <c r="B386" t="s">
        <v>364</v>
      </c>
      <c r="C386" t="s">
        <v>3878</v>
      </c>
      <c r="D386">
        <v>5</v>
      </c>
      <c r="E386" t="s">
        <v>2792</v>
      </c>
      <c r="F386">
        <v>9</v>
      </c>
      <c r="I386" t="s">
        <v>365</v>
      </c>
      <c r="J386" s="51" t="s">
        <v>366</v>
      </c>
      <c r="K386" t="s">
        <v>27</v>
      </c>
      <c r="L386" t="s">
        <v>222</v>
      </c>
      <c r="M386">
        <v>3</v>
      </c>
      <c r="N386" t="str">
        <f>L386</f>
        <v>NAM\MA9769</v>
      </c>
      <c r="O386" s="51" t="str">
        <f>J386</f>
        <v>4/21/2011</v>
      </c>
      <c r="P386" s="51" t="str">
        <f>C386</f>
        <v>~cdd/olddocs/Formas/CNWI-QAAS (aseguranza de calidad)/CNWI-QAAS-F072 Rev. A Part Number Accountability.xls</v>
      </c>
      <c r="Q386" s="51" t="str">
        <f>E386</f>
        <v>xls</v>
      </c>
      <c r="R386" s="51"/>
      <c r="S386" s="51"/>
      <c r="T386" s="51"/>
      <c r="U386" s="51"/>
      <c r="V386" s="51"/>
      <c r="W386" s="51"/>
      <c r="X386" s="51"/>
      <c r="Y386" s="51"/>
      <c r="Z386" s="51"/>
      <c r="AA386" s="51"/>
      <c r="AB386" s="51"/>
      <c r="AC386" s="51"/>
      <c r="AD386" s="51"/>
      <c r="AG386" t="s">
        <v>28</v>
      </c>
      <c r="AH386" s="51"/>
      <c r="AI386" s="51"/>
    </row>
    <row r="387" spans="2:35">
      <c r="B387" t="s">
        <v>367</v>
      </c>
      <c r="C387" t="s">
        <v>3879</v>
      </c>
      <c r="D387">
        <v>5</v>
      </c>
      <c r="E387" t="s">
        <v>2792</v>
      </c>
      <c r="F387">
        <v>9</v>
      </c>
      <c r="I387" t="s">
        <v>368</v>
      </c>
      <c r="J387" s="51" t="s">
        <v>366</v>
      </c>
      <c r="K387" t="s">
        <v>27</v>
      </c>
      <c r="L387" t="s">
        <v>222</v>
      </c>
      <c r="M387">
        <v>3</v>
      </c>
      <c r="N387" t="str">
        <f>L387</f>
        <v>NAM\MA9769</v>
      </c>
      <c r="O387" s="51" t="str">
        <f>J387</f>
        <v>4/21/2011</v>
      </c>
      <c r="P387" s="51" t="str">
        <f>C387</f>
        <v>~cdd/olddocs/Formas/CNWI-QAAS (aseguranza de calidad)/CNWI-QAAS-F073 Rev. A Product accontability.xls</v>
      </c>
      <c r="Q387" s="51" t="str">
        <f>E387</f>
        <v>xls</v>
      </c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G387" t="s">
        <v>28</v>
      </c>
      <c r="AH387" s="51"/>
      <c r="AI387" s="51"/>
    </row>
    <row r="388" spans="2:35">
      <c r="B388" t="s">
        <v>369</v>
      </c>
      <c r="C388" t="s">
        <v>3140</v>
      </c>
      <c r="D388">
        <v>5</v>
      </c>
      <c r="E388" t="s">
        <v>2792</v>
      </c>
      <c r="F388">
        <v>9</v>
      </c>
      <c r="I388" t="s">
        <v>370</v>
      </c>
      <c r="J388" s="51" t="s">
        <v>366</v>
      </c>
      <c r="K388" t="s">
        <v>27</v>
      </c>
      <c r="L388" t="s">
        <v>222</v>
      </c>
      <c r="M388">
        <v>3</v>
      </c>
      <c r="N388" t="str">
        <f>L388</f>
        <v>NAM\MA9769</v>
      </c>
      <c r="O388" s="51" t="str">
        <f>J388</f>
        <v>4/21/2011</v>
      </c>
      <c r="P388" s="51" t="str">
        <f>C388</f>
        <v>~/cdd/olddocs/Formas/CNWI-QAAS (aseguranza de calidad)/CNWI-QAAS-F074 Characteristics Accountability, Verification and Compatibility Evaluation.xls</v>
      </c>
      <c r="Q388" s="51" t="str">
        <f>E388</f>
        <v>xls</v>
      </c>
      <c r="R388" s="51"/>
      <c r="S388" s="51"/>
      <c r="T388" s="51"/>
      <c r="U388" s="51"/>
      <c r="V388" s="51"/>
      <c r="W388" s="51"/>
      <c r="X388" s="51"/>
      <c r="Y388" s="51"/>
      <c r="Z388" s="51"/>
      <c r="AA388" s="51"/>
      <c r="AB388" s="51"/>
      <c r="AC388" s="51"/>
      <c r="AD388" s="51"/>
      <c r="AG388" t="s">
        <v>28</v>
      </c>
      <c r="AH388" s="51"/>
      <c r="AI388" s="51"/>
    </row>
    <row r="389" spans="2:35">
      <c r="B389" t="s">
        <v>371</v>
      </c>
      <c r="C389" t="s">
        <v>3141</v>
      </c>
      <c r="D389">
        <v>5</v>
      </c>
      <c r="E389" t="s">
        <v>2792</v>
      </c>
      <c r="F389">
        <v>9</v>
      </c>
      <c r="I389" t="s">
        <v>372</v>
      </c>
      <c r="J389" s="51" t="s">
        <v>373</v>
      </c>
      <c r="K389" t="s">
        <v>27</v>
      </c>
      <c r="L389" t="s">
        <v>222</v>
      </c>
      <c r="M389">
        <v>3</v>
      </c>
      <c r="N389" t="str">
        <f>L389</f>
        <v>NAM\MA9769</v>
      </c>
      <c r="O389" s="51" t="str">
        <f>J389</f>
        <v>4/25/2011</v>
      </c>
      <c r="P389" s="51" t="str">
        <f>C389</f>
        <v>~/cdd/olddocs/Formas/CNWI-QAAS (aseguranza de calidad)/CNWI-QAAS-F075 formato Registro de Medidores.xls</v>
      </c>
      <c r="Q389" s="51" t="str">
        <f>E389</f>
        <v>xls</v>
      </c>
      <c r="R389" s="51"/>
      <c r="S389" s="51"/>
      <c r="T389" s="51"/>
      <c r="U389" s="51"/>
      <c r="V389" s="51"/>
      <c r="W389" s="51"/>
      <c r="X389" s="51"/>
      <c r="Y389" s="51"/>
      <c r="Z389" s="51"/>
      <c r="AA389" s="51"/>
      <c r="AB389" s="51"/>
      <c r="AC389" s="51"/>
      <c r="AD389" s="51"/>
      <c r="AG389" t="s">
        <v>28</v>
      </c>
      <c r="AH389" s="51"/>
      <c r="AI389" s="51"/>
    </row>
    <row r="390" spans="2:35">
      <c r="B390" t="s">
        <v>374</v>
      </c>
      <c r="C390" t="s">
        <v>3142</v>
      </c>
      <c r="D390">
        <v>5</v>
      </c>
      <c r="E390" t="s">
        <v>2792</v>
      </c>
      <c r="F390">
        <v>9</v>
      </c>
      <c r="I390" t="s">
        <v>375</v>
      </c>
      <c r="J390" s="51">
        <v>40852</v>
      </c>
      <c r="K390" t="s">
        <v>46</v>
      </c>
      <c r="L390" t="s">
        <v>222</v>
      </c>
      <c r="M390">
        <v>3</v>
      </c>
      <c r="N390" t="str">
        <f>L390</f>
        <v>NAM\MA9769</v>
      </c>
      <c r="O390" s="51">
        <f>J390</f>
        <v>40852</v>
      </c>
      <c r="P390" s="51" t="str">
        <f>C390</f>
        <v>~/cdd/olddocs/Formas/CNWI-QAAS (aseguranza de calidad)/CNWI-QAAS-F076 Auditoria al producto UL.xls</v>
      </c>
      <c r="Q390" s="51" t="str">
        <f>E390</f>
        <v>xls</v>
      </c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G390" t="s">
        <v>28</v>
      </c>
      <c r="AH390" s="51"/>
      <c r="AI390" s="51"/>
    </row>
    <row r="391" spans="2:35">
      <c r="B391" t="s">
        <v>376</v>
      </c>
      <c r="C391" t="s">
        <v>3143</v>
      </c>
      <c r="D391">
        <v>5</v>
      </c>
      <c r="E391" t="s">
        <v>2792</v>
      </c>
      <c r="F391">
        <v>9</v>
      </c>
      <c r="I391" t="s">
        <v>377</v>
      </c>
      <c r="J391" s="51">
        <v>40864</v>
      </c>
      <c r="K391" t="s">
        <v>27</v>
      </c>
      <c r="L391" t="s">
        <v>222</v>
      </c>
      <c r="M391">
        <v>3</v>
      </c>
      <c r="N391" t="str">
        <f>L391</f>
        <v>NAM\MA9769</v>
      </c>
      <c r="O391" s="51">
        <f>J391</f>
        <v>40864</v>
      </c>
      <c r="P391" s="51" t="str">
        <f>C391</f>
        <v>~/cdd/olddocs/Formas/CNWI-QAAS (aseguranza de calidad)/CNWI-QAAS-F077 Estado de Acciones Correctivas.xls</v>
      </c>
      <c r="Q391" s="51" t="str">
        <f>E391</f>
        <v>xls</v>
      </c>
      <c r="R391" s="51"/>
      <c r="S391" s="51"/>
      <c r="T391" s="51"/>
      <c r="U391" s="51"/>
      <c r="V391" s="51"/>
      <c r="W391" s="51"/>
      <c r="X391" s="51"/>
      <c r="Y391" s="51"/>
      <c r="Z391" s="51"/>
      <c r="AA391" s="51"/>
      <c r="AB391" s="51"/>
      <c r="AC391" s="51"/>
      <c r="AD391" s="51"/>
      <c r="AG391" t="s">
        <v>28</v>
      </c>
      <c r="AH391" s="51"/>
      <c r="AI391" s="51"/>
    </row>
    <row r="392" spans="2:35">
      <c r="B392" t="s">
        <v>378</v>
      </c>
      <c r="C392" t="s">
        <v>3144</v>
      </c>
      <c r="D392">
        <v>5</v>
      </c>
      <c r="E392" t="s">
        <v>2792</v>
      </c>
      <c r="F392">
        <v>9</v>
      </c>
      <c r="I392" t="s">
        <v>379</v>
      </c>
      <c r="J392" s="51">
        <v>40761</v>
      </c>
      <c r="K392" t="s">
        <v>27</v>
      </c>
      <c r="L392" t="s">
        <v>222</v>
      </c>
      <c r="M392">
        <v>3</v>
      </c>
      <c r="N392" t="str">
        <f>L392</f>
        <v>NAM\MA9769</v>
      </c>
      <c r="O392" s="51">
        <f>J392</f>
        <v>40761</v>
      </c>
      <c r="P392" s="51" t="str">
        <f>C392</f>
        <v>~/cdd/olddocs/Formas/CNWI-QAAS (aseguranza de calidad)/CNWI-QAAS-F078 forma Ethernet Serial Number.xls</v>
      </c>
      <c r="Q392" s="51" t="str">
        <f>E392</f>
        <v>xls</v>
      </c>
      <c r="R392" s="51"/>
      <c r="S392" s="51"/>
      <c r="T392" s="51"/>
      <c r="U392" s="51"/>
      <c r="V392" s="51"/>
      <c r="W392" s="51"/>
      <c r="X392" s="51"/>
      <c r="Y392" s="51"/>
      <c r="Z392" s="51"/>
      <c r="AA392" s="51"/>
      <c r="AB392" s="51"/>
      <c r="AC392" s="51"/>
      <c r="AD392" s="51"/>
      <c r="AG392" t="s">
        <v>28</v>
      </c>
      <c r="AH392" s="51"/>
      <c r="AI392" s="51"/>
    </row>
    <row r="393" spans="2:35">
      <c r="B393" t="s">
        <v>380</v>
      </c>
      <c r="C393" t="s">
        <v>3145</v>
      </c>
      <c r="D393">
        <v>5</v>
      </c>
      <c r="E393" t="s">
        <v>2792</v>
      </c>
      <c r="F393">
        <v>9</v>
      </c>
      <c r="I393" t="s">
        <v>381</v>
      </c>
      <c r="J393" s="51">
        <v>40927</v>
      </c>
      <c r="K393" t="s">
        <v>38</v>
      </c>
      <c r="L393" t="s">
        <v>222</v>
      </c>
      <c r="M393">
        <v>3</v>
      </c>
      <c r="N393" t="str">
        <f>L393</f>
        <v>NAM\MA9769</v>
      </c>
      <c r="O393" s="51">
        <f>J393</f>
        <v>40927</v>
      </c>
      <c r="P393" s="51" t="str">
        <f>C393</f>
        <v>~/cdd/olddocs/Formas/CNWI-QAAS (aseguranza de calidad)/CNWI-QAAS-F079 Certificate of Compliance (LABINAL).xls</v>
      </c>
      <c r="Q393" s="51" t="str">
        <f>E393</f>
        <v>xls</v>
      </c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G393" t="s">
        <v>28</v>
      </c>
      <c r="AH393" s="51"/>
      <c r="AI393" s="51"/>
    </row>
    <row r="394" spans="2:35">
      <c r="B394" t="s">
        <v>2259</v>
      </c>
      <c r="C394" t="s">
        <v>3146</v>
      </c>
      <c r="D394">
        <v>5</v>
      </c>
      <c r="E394" t="s">
        <v>2792</v>
      </c>
      <c r="F394">
        <v>9</v>
      </c>
      <c r="I394" t="s">
        <v>2260</v>
      </c>
      <c r="J394" s="51">
        <v>40715</v>
      </c>
      <c r="K394" t="s">
        <v>27</v>
      </c>
      <c r="L394" t="s">
        <v>2063</v>
      </c>
      <c r="M394">
        <v>3</v>
      </c>
      <c r="N394" t="str">
        <f>L394</f>
        <v>NAM\MB2117</v>
      </c>
      <c r="O394" s="51">
        <f>J394</f>
        <v>40715</v>
      </c>
      <c r="P394" s="51" t="str">
        <f>C394</f>
        <v>~/cdd/olddocs/Formas/CNWI-QAAS (aseguranza de calidad)/CNWI-QAAS-F080 Lista para Sellos.xls</v>
      </c>
      <c r="Q394" s="51" t="str">
        <f>E394</f>
        <v>xls</v>
      </c>
      <c r="R394" s="51"/>
      <c r="S394" s="51"/>
      <c r="T394" s="51"/>
      <c r="U394" s="51"/>
      <c r="V394" s="51"/>
      <c r="W394" s="51"/>
      <c r="X394" s="51"/>
      <c r="Y394" s="51"/>
      <c r="Z394" s="51"/>
      <c r="AA394" s="51"/>
      <c r="AB394" s="51"/>
      <c r="AC394" s="51"/>
      <c r="AD394" s="51"/>
      <c r="AG394" t="s">
        <v>28</v>
      </c>
      <c r="AH394" s="51"/>
      <c r="AI394" s="51"/>
    </row>
    <row r="395" spans="2:35">
      <c r="B395" t="s">
        <v>2052</v>
      </c>
      <c r="C395" t="s">
        <v>3147</v>
      </c>
      <c r="D395">
        <v>5</v>
      </c>
      <c r="E395" t="s">
        <v>2792</v>
      </c>
      <c r="F395">
        <v>9</v>
      </c>
      <c r="I395" t="s">
        <v>2053</v>
      </c>
      <c r="J395" s="51">
        <v>40940</v>
      </c>
      <c r="K395" t="s">
        <v>27</v>
      </c>
      <c r="L395" t="s">
        <v>1888</v>
      </c>
      <c r="M395">
        <v>3</v>
      </c>
      <c r="N395" t="str">
        <f>L395</f>
        <v>NAM\MA7784</v>
      </c>
      <c r="O395" s="51">
        <f>J395</f>
        <v>40940</v>
      </c>
      <c r="P395" s="51" t="str">
        <f>C395</f>
        <v>~/cdd/olddocs/Formas/CNWI-QAAS (aseguranza de calidad)/CNWI-QAAS-F081 Grafica de scrap por dia piezas.xls</v>
      </c>
      <c r="Q395" s="51" t="str">
        <f>E395</f>
        <v>xls</v>
      </c>
      <c r="R395" s="51"/>
      <c r="S395" s="51"/>
      <c r="T395" s="51"/>
      <c r="U395" s="51"/>
      <c r="V395" s="51"/>
      <c r="W395" s="51"/>
      <c r="X395" s="51"/>
      <c r="Y395" s="51"/>
      <c r="Z395" s="51"/>
      <c r="AA395" s="51"/>
      <c r="AB395" s="51"/>
      <c r="AC395" s="51"/>
      <c r="AD395" s="51"/>
      <c r="AG395" t="s">
        <v>28</v>
      </c>
      <c r="AH395" s="51"/>
      <c r="AI395" s="51"/>
    </row>
    <row r="396" spans="2:35">
      <c r="B396" t="s">
        <v>1126</v>
      </c>
      <c r="C396" t="s">
        <v>3148</v>
      </c>
      <c r="D396">
        <v>5</v>
      </c>
      <c r="E396" t="s">
        <v>2794</v>
      </c>
      <c r="F396">
        <v>9</v>
      </c>
      <c r="I396" t="s">
        <v>1127</v>
      </c>
      <c r="J396" s="51">
        <v>41053</v>
      </c>
      <c r="K396" t="s">
        <v>27</v>
      </c>
      <c r="L396" t="s">
        <v>1109</v>
      </c>
      <c r="M396">
        <v>3</v>
      </c>
      <c r="N396" t="str">
        <f>L396</f>
        <v>NAM\MB2116</v>
      </c>
      <c r="O396" s="51">
        <f>J396</f>
        <v>41053</v>
      </c>
      <c r="P396" s="51" t="str">
        <f>C396</f>
        <v>~/cdd/olddocs/Formas/CNWI-QAAS (aseguranza de calidad)/CNWI-QAAS-F082 Rev. A  Retorno de producto.doc</v>
      </c>
      <c r="Q396" s="51" t="str">
        <f>E396</f>
        <v>doc</v>
      </c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G396" t="s">
        <v>28</v>
      </c>
      <c r="AH396" s="51"/>
      <c r="AI396" s="51"/>
    </row>
    <row r="397" spans="2:35">
      <c r="B397" t="s">
        <v>504</v>
      </c>
      <c r="C397" t="s">
        <v>3149</v>
      </c>
      <c r="D397">
        <v>5</v>
      </c>
      <c r="E397" t="s">
        <v>2790</v>
      </c>
      <c r="F397">
        <v>9</v>
      </c>
      <c r="I397" t="s">
        <v>505</v>
      </c>
      <c r="J397" s="51">
        <v>41053</v>
      </c>
      <c r="K397" t="s">
        <v>27</v>
      </c>
      <c r="L397" t="s">
        <v>438</v>
      </c>
      <c r="M397">
        <v>3</v>
      </c>
      <c r="N397" t="str">
        <f>L397</f>
        <v>NAM\D24B6</v>
      </c>
      <c r="O397" s="51">
        <f>J397</f>
        <v>41053</v>
      </c>
      <c r="P397" s="51" t="str">
        <f>C397</f>
        <v>~/cdd/olddocs/Formas/CNWI-QAAS (aseguranza de calidad)/CNWI-QAAS-F083 Registro de inspeccion de moldeo.xlsx</v>
      </c>
      <c r="Q397" s="51" t="str">
        <f>E397</f>
        <v>xlsx</v>
      </c>
      <c r="R397" s="51"/>
      <c r="S397" s="51"/>
      <c r="T397" s="51"/>
      <c r="U397" s="51"/>
      <c r="V397" s="51"/>
      <c r="W397" s="51"/>
      <c r="X397" s="51"/>
      <c r="Y397" s="51"/>
      <c r="Z397" s="51"/>
      <c r="AA397" s="51"/>
      <c r="AB397" s="51"/>
      <c r="AC397" s="51"/>
      <c r="AD397" s="51"/>
      <c r="AG397" t="s">
        <v>28</v>
      </c>
      <c r="AH397" s="51"/>
      <c r="AI397" s="51"/>
    </row>
    <row r="398" spans="2:35">
      <c r="B398" t="s">
        <v>1190</v>
      </c>
      <c r="C398" t="s">
        <v>3880</v>
      </c>
      <c r="D398">
        <v>5</v>
      </c>
      <c r="E398" t="s">
        <v>2790</v>
      </c>
      <c r="F398">
        <v>9</v>
      </c>
      <c r="I398" t="s">
        <v>1191</v>
      </c>
      <c r="J398" s="51">
        <v>40976</v>
      </c>
      <c r="K398" t="s">
        <v>46</v>
      </c>
      <c r="L398" t="s">
        <v>1157</v>
      </c>
      <c r="M398">
        <v>3</v>
      </c>
      <c r="N398" t="str">
        <f>L398</f>
        <v>NAM\F13B6</v>
      </c>
      <c r="O398" s="51">
        <f>J398</f>
        <v>40976</v>
      </c>
      <c r="P398" s="51" t="str">
        <f>C398</f>
        <v>~cdd/olddocs/Formas/CNWI-QAAS (aseguranza de calidad)/CNWI-QAAS-F084 Bascula forma.xlsx</v>
      </c>
      <c r="Q398" s="51" t="str">
        <f>E398</f>
        <v>xlsx</v>
      </c>
      <c r="R398" s="51"/>
      <c r="S398" s="51"/>
      <c r="T398" s="51"/>
      <c r="U398" s="51"/>
      <c r="V398" s="51"/>
      <c r="W398" s="51"/>
      <c r="X398" s="51"/>
      <c r="Y398" s="51"/>
      <c r="Z398" s="51"/>
      <c r="AA398" s="51"/>
      <c r="AB398" s="51"/>
      <c r="AC398" s="51"/>
      <c r="AD398" s="51"/>
      <c r="AG398" t="s">
        <v>28</v>
      </c>
      <c r="AH398" s="51"/>
      <c r="AI398" s="51"/>
    </row>
    <row r="399" spans="2:35">
      <c r="B399" t="s">
        <v>1192</v>
      </c>
      <c r="C399" t="s">
        <v>3881</v>
      </c>
      <c r="D399">
        <v>5</v>
      </c>
      <c r="E399" t="s">
        <v>2790</v>
      </c>
      <c r="F399">
        <v>9</v>
      </c>
      <c r="I399" t="s">
        <v>1193</v>
      </c>
      <c r="J399" s="51">
        <v>40976</v>
      </c>
      <c r="K399" t="s">
        <v>46</v>
      </c>
      <c r="L399" t="s">
        <v>1157</v>
      </c>
      <c r="M399">
        <v>3</v>
      </c>
      <c r="N399" t="str">
        <f>L399</f>
        <v>NAM\F13B6</v>
      </c>
      <c r="O399" s="51">
        <f>J399</f>
        <v>40976</v>
      </c>
      <c r="P399" s="51" t="str">
        <f>C399</f>
        <v>~cdd/olddocs/Formas/CNWI-QAAS (aseguranza de calidad)/CNWI-QAAS-F085 Registro calibracion micrometros.xlsx</v>
      </c>
      <c r="Q399" s="51" t="str">
        <f>E399</f>
        <v>xlsx</v>
      </c>
      <c r="R399" s="51"/>
      <c r="S399" s="51"/>
      <c r="T399" s="51"/>
      <c r="U399" s="51"/>
      <c r="V399" s="51"/>
      <c r="W399" s="51"/>
      <c r="X399" s="51"/>
      <c r="Y399" s="51"/>
      <c r="Z399" s="51"/>
      <c r="AA399" s="51"/>
      <c r="AB399" s="51"/>
      <c r="AC399" s="51"/>
      <c r="AD399" s="51"/>
      <c r="AG399" t="s">
        <v>28</v>
      </c>
      <c r="AH399" s="51"/>
      <c r="AI399" s="51"/>
    </row>
    <row r="400" spans="2:35">
      <c r="B400" t="s">
        <v>1194</v>
      </c>
      <c r="C400" t="s">
        <v>3882</v>
      </c>
      <c r="D400">
        <v>5</v>
      </c>
      <c r="E400" t="s">
        <v>2790</v>
      </c>
      <c r="F400">
        <v>9</v>
      </c>
      <c r="I400" t="s">
        <v>1195</v>
      </c>
      <c r="J400" s="51">
        <v>40976</v>
      </c>
      <c r="K400" t="s">
        <v>46</v>
      </c>
      <c r="L400" t="s">
        <v>1157</v>
      </c>
      <c r="M400">
        <v>3</v>
      </c>
      <c r="N400" t="str">
        <f>L400</f>
        <v>NAM\F13B6</v>
      </c>
      <c r="O400" s="51">
        <f>J400</f>
        <v>40976</v>
      </c>
      <c r="P400" s="51" t="str">
        <f>C400</f>
        <v>~cdd/olddocs/Formas/CNWI-QAAS (aseguranza de calidad)/CNWI-QAAS-F086 Registro calibracion reglas.xlsx</v>
      </c>
      <c r="Q400" s="51" t="str">
        <f>E400</f>
        <v>xlsx</v>
      </c>
      <c r="R400" s="51"/>
      <c r="S400" s="51"/>
      <c r="T400" s="51"/>
      <c r="U400" s="51"/>
      <c r="V400" s="51"/>
      <c r="W400" s="51"/>
      <c r="X400" s="51"/>
      <c r="Y400" s="51"/>
      <c r="Z400" s="51"/>
      <c r="AA400" s="51"/>
      <c r="AB400" s="51"/>
      <c r="AC400" s="51"/>
      <c r="AD400" s="51"/>
      <c r="AG400" t="s">
        <v>28</v>
      </c>
      <c r="AH400" s="51"/>
      <c r="AI400" s="51"/>
    </row>
    <row r="401" spans="2:35">
      <c r="B401" t="s">
        <v>1196</v>
      </c>
      <c r="C401" t="s">
        <v>3150</v>
      </c>
      <c r="D401">
        <v>5</v>
      </c>
      <c r="E401" t="s">
        <v>2792</v>
      </c>
      <c r="F401">
        <v>9</v>
      </c>
      <c r="I401" t="s">
        <v>1197</v>
      </c>
      <c r="J401" s="51">
        <v>40941</v>
      </c>
      <c r="K401" t="s">
        <v>27</v>
      </c>
      <c r="L401" t="s">
        <v>1157</v>
      </c>
      <c r="M401">
        <v>3</v>
      </c>
      <c r="N401" t="str">
        <f>L401</f>
        <v>NAM\F13B6</v>
      </c>
      <c r="O401" s="51">
        <f>J401</f>
        <v>40941</v>
      </c>
      <c r="P401" s="51" t="str">
        <f>C401</f>
        <v>~/cdd/olddocs/Formas/CNWI-QAAS (aseguranza de calidad)/CNWI-QAAS-F087 Formato proceso master Product.xls</v>
      </c>
      <c r="Q401" s="51" t="str">
        <f>E401</f>
        <v>xls</v>
      </c>
      <c r="R401" s="51"/>
      <c r="S401" s="51"/>
      <c r="T401" s="51"/>
      <c r="U401" s="51"/>
      <c r="V401" s="51"/>
      <c r="W401" s="51"/>
      <c r="X401" s="51"/>
      <c r="Y401" s="51"/>
      <c r="Z401" s="51"/>
      <c r="AA401" s="51"/>
      <c r="AB401" s="51"/>
      <c r="AC401" s="51"/>
      <c r="AD401" s="51"/>
      <c r="AG401" t="s">
        <v>28</v>
      </c>
      <c r="AH401" s="51"/>
      <c r="AI401" s="51"/>
    </row>
    <row r="402" spans="2:35">
      <c r="B402" t="s">
        <v>382</v>
      </c>
      <c r="C402" t="s">
        <v>3151</v>
      </c>
      <c r="D402">
        <v>5</v>
      </c>
      <c r="E402" t="s">
        <v>2792</v>
      </c>
      <c r="F402">
        <v>9</v>
      </c>
      <c r="I402" t="s">
        <v>383</v>
      </c>
      <c r="J402" s="51">
        <v>40784</v>
      </c>
      <c r="K402" t="s">
        <v>27</v>
      </c>
      <c r="L402" t="s">
        <v>222</v>
      </c>
      <c r="M402">
        <v>3</v>
      </c>
      <c r="N402" t="str">
        <f>L402</f>
        <v>NAM\MA9769</v>
      </c>
      <c r="O402" s="51">
        <f>J402</f>
        <v>40784</v>
      </c>
      <c r="P402" s="51" t="str">
        <f>C402</f>
        <v>~/cdd/olddocs/Formas/CNWI-QAAS (aseguranza de calidad)/CNWI-QAAS-F088 Check list Flujo de proceso.xls</v>
      </c>
      <c r="Q402" s="51" t="str">
        <f>E402</f>
        <v>xls</v>
      </c>
      <c r="R402" s="51"/>
      <c r="S402" s="51"/>
      <c r="T402" s="51"/>
      <c r="U402" s="51"/>
      <c r="V402" s="51"/>
      <c r="W402" s="51"/>
      <c r="X402" s="51"/>
      <c r="Y402" s="51"/>
      <c r="Z402" s="51"/>
      <c r="AA402" s="51"/>
      <c r="AB402" s="51"/>
      <c r="AC402" s="51"/>
      <c r="AD402" s="51"/>
      <c r="AG402" t="s">
        <v>28</v>
      </c>
      <c r="AH402" s="51"/>
      <c r="AI402" s="51"/>
    </row>
    <row r="403" spans="2:35">
      <c r="B403" t="s">
        <v>384</v>
      </c>
      <c r="C403" t="s">
        <v>3152</v>
      </c>
      <c r="D403">
        <v>5</v>
      </c>
      <c r="E403" t="s">
        <v>2793</v>
      </c>
      <c r="F403">
        <v>9</v>
      </c>
      <c r="I403" t="s">
        <v>385</v>
      </c>
      <c r="J403" s="51">
        <v>40759</v>
      </c>
      <c r="K403" t="s">
        <v>46</v>
      </c>
      <c r="L403" t="s">
        <v>222</v>
      </c>
      <c r="M403">
        <v>3</v>
      </c>
      <c r="N403" t="str">
        <f>L403</f>
        <v>NAM\MA9769</v>
      </c>
      <c r="O403" s="51">
        <f>J403</f>
        <v>40759</v>
      </c>
      <c r="P403" s="51" t="str">
        <f>C403</f>
        <v>~/cdd/olddocs/Formas/CNWI-QAAS (aseguranza de calidad)/CNWI-QAAS-F089 SQD.pptx</v>
      </c>
      <c r="Q403" s="51" t="str">
        <f>E403</f>
        <v>pptx</v>
      </c>
      <c r="R403" s="51"/>
      <c r="S403" s="51"/>
      <c r="T403" s="51"/>
      <c r="U403" s="51"/>
      <c r="V403" s="51"/>
      <c r="W403" s="51"/>
      <c r="X403" s="51"/>
      <c r="Y403" s="51"/>
      <c r="Z403" s="51"/>
      <c r="AA403" s="51"/>
      <c r="AB403" s="51"/>
      <c r="AC403" s="51"/>
      <c r="AD403" s="51"/>
      <c r="AG403" t="s">
        <v>28</v>
      </c>
      <c r="AH403" s="51"/>
      <c r="AI403" s="51"/>
    </row>
    <row r="404" spans="2:35">
      <c r="B404" t="s">
        <v>1128</v>
      </c>
      <c r="C404" t="s">
        <v>3153</v>
      </c>
      <c r="D404">
        <v>5</v>
      </c>
      <c r="E404" t="s">
        <v>2792</v>
      </c>
      <c r="F404">
        <v>9</v>
      </c>
      <c r="I404" t="s">
        <v>1129</v>
      </c>
      <c r="J404" s="51">
        <v>40792</v>
      </c>
      <c r="K404" t="s">
        <v>27</v>
      </c>
      <c r="L404" t="s">
        <v>1109</v>
      </c>
      <c r="M404">
        <v>3</v>
      </c>
      <c r="N404" t="str">
        <f>L404</f>
        <v>NAM\MB2116</v>
      </c>
      <c r="O404" s="51">
        <f>J404</f>
        <v>40792</v>
      </c>
      <c r="P404" s="51" t="str">
        <f>C404</f>
        <v>~/cdd/olddocs/Formas/CNWI-QAAS (aseguranza de calidad)/CNWI-QAAS-F090 Incoming Check list.xls</v>
      </c>
      <c r="Q404" s="51" t="str">
        <f>E404</f>
        <v>xls</v>
      </c>
      <c r="R404" s="51"/>
      <c r="S404" s="51"/>
      <c r="T404" s="51"/>
      <c r="U404" s="51"/>
      <c r="V404" s="51"/>
      <c r="W404" s="51"/>
      <c r="X404" s="51"/>
      <c r="Y404" s="51"/>
      <c r="Z404" s="51"/>
      <c r="AA404" s="51"/>
      <c r="AB404" s="51"/>
      <c r="AC404" s="51"/>
      <c r="AD404" s="51"/>
      <c r="AG404" t="s">
        <v>28</v>
      </c>
      <c r="AH404" s="51"/>
      <c r="AI404" s="51"/>
    </row>
    <row r="405" spans="2:35">
      <c r="B405" t="s">
        <v>2261</v>
      </c>
      <c r="C405" t="s">
        <v>3154</v>
      </c>
      <c r="D405">
        <v>5</v>
      </c>
      <c r="E405" t="s">
        <v>2792</v>
      </c>
      <c r="F405">
        <v>9</v>
      </c>
      <c r="I405" t="s">
        <v>2262</v>
      </c>
      <c r="J405" s="51">
        <v>40815</v>
      </c>
      <c r="K405" t="s">
        <v>27</v>
      </c>
      <c r="L405" t="s">
        <v>2063</v>
      </c>
      <c r="M405">
        <v>3</v>
      </c>
      <c r="N405" t="str">
        <f>L405</f>
        <v>NAM\MB2117</v>
      </c>
      <c r="O405" s="51">
        <f>J405</f>
        <v>40815</v>
      </c>
      <c r="P405" s="51" t="str">
        <f>C405</f>
        <v>~/cdd/olddocs/Formas/CNWI-QAAS (aseguranza de calidad)/CNWI-QAAS-F091 Formato cpk para equipos.xls</v>
      </c>
      <c r="Q405" s="51" t="str">
        <f>E405</f>
        <v>xls</v>
      </c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G405" t="s">
        <v>28</v>
      </c>
      <c r="AH405" s="51"/>
      <c r="AI405" s="51"/>
    </row>
    <row r="406" spans="2:35">
      <c r="B406" t="s">
        <v>386</v>
      </c>
      <c r="C406" t="s">
        <v>3155</v>
      </c>
      <c r="D406">
        <v>5</v>
      </c>
      <c r="E406" t="s">
        <v>2793</v>
      </c>
      <c r="F406">
        <v>9</v>
      </c>
      <c r="I406" t="s">
        <v>387</v>
      </c>
      <c r="J406" s="51">
        <v>40836</v>
      </c>
      <c r="K406" t="s">
        <v>27</v>
      </c>
      <c r="L406" t="s">
        <v>222</v>
      </c>
      <c r="M406">
        <v>3</v>
      </c>
      <c r="N406" t="str">
        <f>L406</f>
        <v>NAM\MA9769</v>
      </c>
      <c r="O406" s="51">
        <f>J406</f>
        <v>40836</v>
      </c>
      <c r="P406" s="51" t="str">
        <f>C406</f>
        <v>~/cdd/olddocs/Formas/CNWI-QAAS (aseguranza de calidad)/CNWI-QAAS-F092 Grafico de Scrap.pptx</v>
      </c>
      <c r="Q406" s="51" t="str">
        <f>E406</f>
        <v>pptx</v>
      </c>
      <c r="R406" s="51"/>
      <c r="S406" s="51"/>
      <c r="T406" s="51"/>
      <c r="U406" s="51"/>
      <c r="V406" s="51"/>
      <c r="W406" s="51"/>
      <c r="X406" s="51"/>
      <c r="Y406" s="51"/>
      <c r="Z406" s="51"/>
      <c r="AA406" s="51"/>
      <c r="AB406" s="51"/>
      <c r="AC406" s="51"/>
      <c r="AD406" s="51"/>
      <c r="AG406" t="s">
        <v>28</v>
      </c>
      <c r="AH406" s="51"/>
      <c r="AI406" s="51"/>
    </row>
    <row r="407" spans="2:35">
      <c r="B407" t="s">
        <v>2406</v>
      </c>
      <c r="C407" t="s">
        <v>3156</v>
      </c>
      <c r="D407">
        <v>5</v>
      </c>
      <c r="E407" t="s">
        <v>2790</v>
      </c>
      <c r="F407">
        <v>9</v>
      </c>
      <c r="I407" t="s">
        <v>2407</v>
      </c>
      <c r="J407" s="51">
        <v>40837</v>
      </c>
      <c r="K407" t="s">
        <v>27</v>
      </c>
      <c r="L407" t="s">
        <v>2284</v>
      </c>
      <c r="M407">
        <v>3</v>
      </c>
      <c r="N407" t="str">
        <f>L407</f>
        <v>NAM\MA6689</v>
      </c>
      <c r="O407" s="51">
        <f>J407</f>
        <v>40837</v>
      </c>
      <c r="P407" s="51" t="str">
        <f>C407</f>
        <v>~/cdd/olddocs/Formas/CNWI-QAAS (aseguranza de calidad)/CNWI-QAAS-F093  ID Customer Owned Material.xlsx</v>
      </c>
      <c r="Q407" s="51" t="str">
        <f>E407</f>
        <v>xlsx</v>
      </c>
      <c r="R407" s="51"/>
      <c r="S407" s="51"/>
      <c r="T407" s="51"/>
      <c r="U407" s="51"/>
      <c r="V407" s="51"/>
      <c r="W407" s="51"/>
      <c r="X407" s="51"/>
      <c r="Y407" s="51"/>
      <c r="Z407" s="51"/>
      <c r="AA407" s="51"/>
      <c r="AB407" s="51"/>
      <c r="AC407" s="51"/>
      <c r="AD407" s="51"/>
      <c r="AG407" t="s">
        <v>28</v>
      </c>
      <c r="AH407" s="51"/>
      <c r="AI407" s="51"/>
    </row>
    <row r="408" spans="2:35">
      <c r="B408" t="s">
        <v>2263</v>
      </c>
      <c r="C408" t="s">
        <v>3157</v>
      </c>
      <c r="D408">
        <v>5</v>
      </c>
      <c r="E408" t="s">
        <v>2792</v>
      </c>
      <c r="F408">
        <v>9</v>
      </c>
      <c r="I408" t="s">
        <v>2264</v>
      </c>
      <c r="J408" s="51">
        <v>40843</v>
      </c>
      <c r="K408" t="s">
        <v>27</v>
      </c>
      <c r="L408" t="s">
        <v>2063</v>
      </c>
      <c r="M408">
        <v>3</v>
      </c>
      <c r="N408" t="str">
        <f>L408</f>
        <v>NAM\MB2117</v>
      </c>
      <c r="O408" s="51">
        <f>J408</f>
        <v>40843</v>
      </c>
      <c r="P408" s="51" t="str">
        <f>C408</f>
        <v>~/cdd/olddocs/Formas/CNWI-QAAS (aseguranza de calidad)/CNWI-QAAS-F094 Analisis de piezas Rechazadas por cliente.xls</v>
      </c>
      <c r="Q408" s="51" t="str">
        <f>E408</f>
        <v>xls</v>
      </c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G408" t="s">
        <v>28</v>
      </c>
      <c r="AH408" s="51"/>
      <c r="AI408" s="51"/>
    </row>
    <row r="409" spans="2:35">
      <c r="B409" t="s">
        <v>2408</v>
      </c>
      <c r="C409" t="s">
        <v>3158</v>
      </c>
      <c r="D409">
        <v>5</v>
      </c>
      <c r="E409" t="s">
        <v>2797</v>
      </c>
      <c r="F409">
        <v>9</v>
      </c>
      <c r="I409" t="s">
        <v>2409</v>
      </c>
      <c r="J409" s="51">
        <v>40850</v>
      </c>
      <c r="K409" t="s">
        <v>27</v>
      </c>
      <c r="L409" t="s">
        <v>2284</v>
      </c>
      <c r="M409">
        <v>3</v>
      </c>
      <c r="N409" t="str">
        <f>L409</f>
        <v>NAM\MA6689</v>
      </c>
      <c r="O409" s="51">
        <f>J409</f>
        <v>40850</v>
      </c>
      <c r="P409" s="51" t="str">
        <f>C409</f>
        <v>~/cdd/olddocs/Formas/CNWI-QAAS (aseguranza de calidad)/CNWI-QAAS-F095 liberacion de equipo.docx</v>
      </c>
      <c r="Q409" s="51" t="str">
        <f>E409</f>
        <v>docx</v>
      </c>
      <c r="R409" s="51"/>
      <c r="S409" s="51"/>
      <c r="T409" s="51"/>
      <c r="U409" s="51"/>
      <c r="V409" s="51"/>
      <c r="W409" s="51"/>
      <c r="X409" s="51"/>
      <c r="Y409" s="51"/>
      <c r="Z409" s="51"/>
      <c r="AA409" s="51"/>
      <c r="AB409" s="51"/>
      <c r="AC409" s="51"/>
      <c r="AD409" s="51"/>
      <c r="AG409" t="s">
        <v>28</v>
      </c>
      <c r="AH409" s="51"/>
      <c r="AI409" s="51"/>
    </row>
    <row r="410" spans="2:35">
      <c r="B410" t="s">
        <v>2265</v>
      </c>
      <c r="C410" t="s">
        <v>3159</v>
      </c>
      <c r="D410">
        <v>5</v>
      </c>
      <c r="E410" t="s">
        <v>2791</v>
      </c>
      <c r="F410">
        <v>9</v>
      </c>
      <c r="I410" t="s">
        <v>2266</v>
      </c>
      <c r="J410" s="51">
        <v>41155</v>
      </c>
      <c r="K410" t="s">
        <v>159</v>
      </c>
      <c r="L410" t="s">
        <v>2063</v>
      </c>
      <c r="M410">
        <v>3</v>
      </c>
      <c r="N410" t="str">
        <f>L410</f>
        <v>NAM\MB2117</v>
      </c>
      <c r="O410" s="51">
        <f>J410</f>
        <v>41155</v>
      </c>
      <c r="P410" s="51" t="str">
        <f>C410</f>
        <v>~/cdd/olddocs/Formas/CNWI-QAAS (aseguranza de calidad)/CNWI-QAAS-F096 FORMATO DE CALIDAD PPM`S.pdf</v>
      </c>
      <c r="Q410" s="51" t="str">
        <f>E410</f>
        <v>pdf</v>
      </c>
      <c r="R410" s="51"/>
      <c r="S410" s="51"/>
      <c r="T410" s="51"/>
      <c r="U410" s="51"/>
      <c r="V410" s="51"/>
      <c r="W410" s="51"/>
      <c r="X410" s="51"/>
      <c r="Y410" s="51"/>
      <c r="Z410" s="51"/>
      <c r="AA410" s="51"/>
      <c r="AB410" s="51"/>
      <c r="AC410" s="51"/>
      <c r="AD410" s="51"/>
      <c r="AG410" t="s">
        <v>28</v>
      </c>
      <c r="AH410" s="51"/>
      <c r="AI410" s="51"/>
    </row>
    <row r="411" spans="2:35">
      <c r="B411" t="s">
        <v>1198</v>
      </c>
      <c r="C411" t="s">
        <v>3160</v>
      </c>
      <c r="D411">
        <v>5</v>
      </c>
      <c r="E411" t="s">
        <v>2794</v>
      </c>
      <c r="F411">
        <v>9</v>
      </c>
      <c r="I411" t="s">
        <v>1199</v>
      </c>
      <c r="J411" s="51">
        <v>40576</v>
      </c>
      <c r="K411" t="s">
        <v>27</v>
      </c>
      <c r="L411" t="s">
        <v>1157</v>
      </c>
      <c r="M411">
        <v>3</v>
      </c>
      <c r="N411" t="str">
        <f>L411</f>
        <v>NAM\F13B6</v>
      </c>
      <c r="O411" s="51">
        <f>J411</f>
        <v>40576</v>
      </c>
      <c r="P411" s="51" t="str">
        <f>C411</f>
        <v>~/cdd/olddocs/Formas/CNWI-QAAS (aseguranza de calidad)/CNWI-QAAS-F097 No Calibration required.doc</v>
      </c>
      <c r="Q411" s="51" t="str">
        <f>E411</f>
        <v>doc</v>
      </c>
      <c r="R411" s="51"/>
      <c r="S411" s="51"/>
      <c r="T411" s="51"/>
      <c r="U411" s="51"/>
      <c r="V411" s="51"/>
      <c r="W411" s="51"/>
      <c r="X411" s="51"/>
      <c r="Y411" s="51"/>
      <c r="Z411" s="51"/>
      <c r="AA411" s="51"/>
      <c r="AB411" s="51"/>
      <c r="AC411" s="51"/>
      <c r="AD411" s="51"/>
      <c r="AG411" t="s">
        <v>28</v>
      </c>
      <c r="AH411" s="51"/>
      <c r="AI411" s="51"/>
    </row>
    <row r="412" spans="2:35">
      <c r="B412" t="s">
        <v>1200</v>
      </c>
      <c r="C412" t="s">
        <v>3161</v>
      </c>
      <c r="D412">
        <v>5</v>
      </c>
      <c r="E412" t="s">
        <v>2790</v>
      </c>
      <c r="F412">
        <v>9</v>
      </c>
      <c r="I412" t="s">
        <v>1201</v>
      </c>
      <c r="J412" s="51">
        <v>40924</v>
      </c>
      <c r="K412" t="s">
        <v>27</v>
      </c>
      <c r="L412" t="s">
        <v>1157</v>
      </c>
      <c r="M412">
        <v>3</v>
      </c>
      <c r="N412" t="str">
        <f>L412</f>
        <v>NAM\F13B6</v>
      </c>
      <c r="O412" s="51">
        <f>J412</f>
        <v>40924</v>
      </c>
      <c r="P412" s="51" t="str">
        <f>C412</f>
        <v>~/cdd/olddocs/Formas/CNWI-QAAS (aseguranza de calidad)/CNWI-QAAS-F098 ID Instrumento Inactivo.xlsx</v>
      </c>
      <c r="Q412" s="51" t="str">
        <f>E412</f>
        <v>xlsx</v>
      </c>
      <c r="R412" s="51"/>
      <c r="S412" s="51"/>
      <c r="T412" s="51"/>
      <c r="U412" s="51"/>
      <c r="V412" s="51"/>
      <c r="W412" s="51"/>
      <c r="X412" s="51"/>
      <c r="Y412" s="51"/>
      <c r="Z412" s="51"/>
      <c r="AA412" s="51"/>
      <c r="AB412" s="51"/>
      <c r="AC412" s="51"/>
      <c r="AD412" s="51"/>
      <c r="AG412" t="s">
        <v>28</v>
      </c>
      <c r="AH412" s="51"/>
      <c r="AI412" s="51"/>
    </row>
    <row r="413" spans="2:35">
      <c r="B413" t="s">
        <v>388</v>
      </c>
      <c r="C413" t="s">
        <v>3162</v>
      </c>
      <c r="D413">
        <v>5</v>
      </c>
      <c r="E413" t="s">
        <v>2792</v>
      </c>
      <c r="F413">
        <v>9</v>
      </c>
      <c r="I413" t="s">
        <v>389</v>
      </c>
      <c r="J413" s="51">
        <v>41065</v>
      </c>
      <c r="K413" t="s">
        <v>27</v>
      </c>
      <c r="L413" t="s">
        <v>222</v>
      </c>
      <c r="M413">
        <v>3</v>
      </c>
      <c r="N413" t="str">
        <f>L413</f>
        <v>NAM\MA9769</v>
      </c>
      <c r="O413" s="51">
        <f>J413</f>
        <v>41065</v>
      </c>
      <c r="P413" s="51" t="str">
        <f>C413</f>
        <v>~/cdd/olddocs/Formas/CNWI-QAAS (aseguranza de calidad)/CNWI-QAAS-F099 Gage-R&amp;R.xls</v>
      </c>
      <c r="Q413" s="51" t="str">
        <f>E413</f>
        <v>xls</v>
      </c>
      <c r="R413" s="51"/>
      <c r="S413" s="51"/>
      <c r="T413" s="51"/>
      <c r="U413" s="51"/>
      <c r="V413" s="51"/>
      <c r="W413" s="51"/>
      <c r="X413" s="51"/>
      <c r="Y413" s="51"/>
      <c r="Z413" s="51"/>
      <c r="AA413" s="51"/>
      <c r="AB413" s="51"/>
      <c r="AC413" s="51"/>
      <c r="AD413" s="51"/>
      <c r="AG413" t="s">
        <v>28</v>
      </c>
      <c r="AH413" s="51"/>
      <c r="AI413" s="51"/>
    </row>
    <row r="414" spans="2:35">
      <c r="B414" t="s">
        <v>1202</v>
      </c>
      <c r="C414" t="s">
        <v>3163</v>
      </c>
      <c r="D414">
        <v>5</v>
      </c>
      <c r="E414" t="s">
        <v>2792</v>
      </c>
      <c r="F414">
        <v>9</v>
      </c>
      <c r="I414" t="s">
        <v>1203</v>
      </c>
      <c r="J414" s="51">
        <v>40869</v>
      </c>
      <c r="K414" t="s">
        <v>27</v>
      </c>
      <c r="L414" t="s">
        <v>1157</v>
      </c>
      <c r="M414">
        <v>3</v>
      </c>
      <c r="N414" t="str">
        <f>L414</f>
        <v>NAM\F13B6</v>
      </c>
      <c r="O414" s="51">
        <f>J414</f>
        <v>40869</v>
      </c>
      <c r="P414" s="51" t="str">
        <f>C414</f>
        <v>~/cdd/olddocs/Formas/CNWI-QAAS (aseguranza de calidad)/CNWI-QAAS-F100 Etiqueta de Calibracion.xls</v>
      </c>
      <c r="Q414" s="51" t="str">
        <f>E414</f>
        <v>xls</v>
      </c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G414" t="s">
        <v>28</v>
      </c>
      <c r="AH414" s="51"/>
      <c r="AI414" s="51"/>
    </row>
    <row r="415" spans="2:35">
      <c r="B415" t="s">
        <v>1204</v>
      </c>
      <c r="C415" t="s">
        <v>3164</v>
      </c>
      <c r="D415">
        <v>5</v>
      </c>
      <c r="E415" t="s">
        <v>2791</v>
      </c>
      <c r="F415">
        <v>9</v>
      </c>
      <c r="I415" t="s">
        <v>1205</v>
      </c>
      <c r="J415" s="51">
        <v>40924</v>
      </c>
      <c r="K415" t="s">
        <v>46</v>
      </c>
      <c r="L415" t="s">
        <v>1157</v>
      </c>
      <c r="M415">
        <v>3</v>
      </c>
      <c r="N415" t="str">
        <f>L415</f>
        <v>NAM\F13B6</v>
      </c>
      <c r="O415" s="51">
        <f>J415</f>
        <v>40924</v>
      </c>
      <c r="P415" s="51" t="str">
        <f>C415</f>
        <v>~/cdd/olddocs/Formas/CNWI-QAAS (aseguranza de calidad)/CNWI-QAAS-F101 Change Request form (for Customer approval.pdf</v>
      </c>
      <c r="Q415" s="51" t="str">
        <f>E415</f>
        <v>pdf</v>
      </c>
      <c r="R415" s="51"/>
      <c r="S415" s="51"/>
      <c r="T415" s="51"/>
      <c r="U415" s="51"/>
      <c r="V415" s="51"/>
      <c r="W415" s="51"/>
      <c r="X415" s="51"/>
      <c r="Y415" s="51"/>
      <c r="Z415" s="51"/>
      <c r="AA415" s="51"/>
      <c r="AB415" s="51"/>
      <c r="AC415" s="51"/>
      <c r="AD415" s="51"/>
      <c r="AG415" t="s">
        <v>28</v>
      </c>
      <c r="AH415" s="51"/>
      <c r="AI415" s="51"/>
    </row>
    <row r="416" spans="2:35">
      <c r="B416" t="s">
        <v>1206</v>
      </c>
      <c r="C416" t="s">
        <v>3883</v>
      </c>
      <c r="D416">
        <v>5</v>
      </c>
      <c r="E416" t="s">
        <v>2790</v>
      </c>
      <c r="F416">
        <v>9</v>
      </c>
      <c r="I416" t="s">
        <v>1207</v>
      </c>
      <c r="J416" s="51">
        <v>40976</v>
      </c>
      <c r="K416" t="s">
        <v>159</v>
      </c>
      <c r="L416" t="s">
        <v>1157</v>
      </c>
      <c r="M416">
        <v>3</v>
      </c>
      <c r="N416" t="str">
        <f>L416</f>
        <v>NAM\F13B6</v>
      </c>
      <c r="O416" s="51">
        <f>J416</f>
        <v>40976</v>
      </c>
      <c r="P416" s="51" t="str">
        <f>C416</f>
        <v>~cdd/olddocs/Formas/CNWI-QAAS (aseguranza de calidad)/CNWI-QAAS-F102 Formato de Calipers.xlsx</v>
      </c>
      <c r="Q416" s="51" t="str">
        <f>E416</f>
        <v>xlsx</v>
      </c>
      <c r="R416" s="51"/>
      <c r="S416" s="51"/>
      <c r="T416" s="51"/>
      <c r="U416" s="51"/>
      <c r="V416" s="51"/>
      <c r="W416" s="51"/>
      <c r="X416" s="51"/>
      <c r="Y416" s="51"/>
      <c r="Z416" s="51"/>
      <c r="AA416" s="51"/>
      <c r="AB416" s="51"/>
      <c r="AC416" s="51"/>
      <c r="AD416" s="51"/>
      <c r="AG416" t="s">
        <v>28</v>
      </c>
      <c r="AH416" s="51"/>
      <c r="AI416" s="51"/>
    </row>
    <row r="417" spans="2:35">
      <c r="B417" t="s">
        <v>1208</v>
      </c>
      <c r="C417" t="s">
        <v>3884</v>
      </c>
      <c r="D417">
        <v>5</v>
      </c>
      <c r="E417" t="s">
        <v>2790</v>
      </c>
      <c r="F417">
        <v>9</v>
      </c>
      <c r="I417" t="s">
        <v>1209</v>
      </c>
      <c r="J417" s="51">
        <v>40976</v>
      </c>
      <c r="K417" t="s">
        <v>46</v>
      </c>
      <c r="L417" t="s">
        <v>1157</v>
      </c>
      <c r="M417">
        <v>3</v>
      </c>
      <c r="N417" t="str">
        <f>L417</f>
        <v>NAM\F13B6</v>
      </c>
      <c r="O417" s="51">
        <f>J417</f>
        <v>40976</v>
      </c>
      <c r="P417" s="51" t="str">
        <f>C417</f>
        <v>~cdd/olddocs/Formas/CNWI-QAAS (aseguranza de calidad)/CNWI-QAAS-F103 Registros de datos de calibracion para hornos (2).xlsx</v>
      </c>
      <c r="Q417" s="51" t="str">
        <f>E417</f>
        <v>xlsx</v>
      </c>
      <c r="R417" s="51"/>
      <c r="S417" s="51"/>
      <c r="T417" s="51"/>
      <c r="U417" s="51"/>
      <c r="V417" s="51"/>
      <c r="W417" s="51"/>
      <c r="X417" s="51"/>
      <c r="Y417" s="51"/>
      <c r="Z417" s="51"/>
      <c r="AA417" s="51"/>
      <c r="AB417" s="51"/>
      <c r="AC417" s="51"/>
      <c r="AD417" s="51"/>
      <c r="AG417" t="s">
        <v>28</v>
      </c>
      <c r="AH417" s="51"/>
      <c r="AI417" s="51"/>
    </row>
    <row r="418" spans="2:35">
      <c r="B418" t="s">
        <v>2054</v>
      </c>
      <c r="C418" t="s">
        <v>3165</v>
      </c>
      <c r="D418">
        <v>5</v>
      </c>
      <c r="E418" t="s">
        <v>2794</v>
      </c>
      <c r="F418">
        <v>9</v>
      </c>
      <c r="I418" t="s">
        <v>2055</v>
      </c>
      <c r="J418" s="51">
        <v>40875</v>
      </c>
      <c r="K418" t="s">
        <v>27</v>
      </c>
      <c r="L418" t="s">
        <v>1888</v>
      </c>
      <c r="M418">
        <v>3</v>
      </c>
      <c r="N418" t="str">
        <f>L418</f>
        <v>NAM\MA7784</v>
      </c>
      <c r="O418" s="51">
        <f>J418</f>
        <v>40875</v>
      </c>
      <c r="P418" s="51" t="str">
        <f>C418</f>
        <v>~/cdd/olddocs/Formas/CNWI-QAAS (aseguranza de calidad)/CNWI-QAAS-F104 Codigo de defectos.doc</v>
      </c>
      <c r="Q418" s="51" t="str">
        <f>E418</f>
        <v>doc</v>
      </c>
      <c r="R418" s="51"/>
      <c r="S418" s="51"/>
      <c r="T418" s="51"/>
      <c r="U418" s="51"/>
      <c r="V418" s="51"/>
      <c r="W418" s="51"/>
      <c r="X418" s="51"/>
      <c r="Y418" s="51"/>
      <c r="Z418" s="51"/>
      <c r="AA418" s="51"/>
      <c r="AB418" s="51"/>
      <c r="AC418" s="51"/>
      <c r="AD418" s="51"/>
      <c r="AG418" t="s">
        <v>28</v>
      </c>
      <c r="AH418" s="51"/>
      <c r="AI418" s="51"/>
    </row>
    <row r="419" spans="2:35">
      <c r="B419" t="s">
        <v>390</v>
      </c>
      <c r="C419" t="s">
        <v>3166</v>
      </c>
      <c r="D419">
        <v>5</v>
      </c>
      <c r="E419" t="s">
        <v>2794</v>
      </c>
      <c r="F419">
        <v>9</v>
      </c>
      <c r="I419" t="s">
        <v>391</v>
      </c>
      <c r="J419" s="51">
        <v>40854</v>
      </c>
      <c r="K419" t="s">
        <v>27</v>
      </c>
      <c r="L419" t="s">
        <v>222</v>
      </c>
      <c r="M419">
        <v>3</v>
      </c>
      <c r="N419" t="str">
        <f>L419</f>
        <v>NAM\MA9769</v>
      </c>
      <c r="O419" s="51">
        <f>J419</f>
        <v>40854</v>
      </c>
      <c r="P419" s="51" t="str">
        <f>C419</f>
        <v>~/cdd/olddocs/Formas/CNWI-QAAS (aseguranza de calidad)/CNWI-QAAS-F105 CERTIFICATE OF CONFORMANCE -RoHs.doc</v>
      </c>
      <c r="Q419" s="51" t="str">
        <f>E419</f>
        <v>doc</v>
      </c>
      <c r="R419" s="51"/>
      <c r="S419" s="51"/>
      <c r="T419" s="51"/>
      <c r="U419" s="51"/>
      <c r="V419" s="51"/>
      <c r="W419" s="51"/>
      <c r="X419" s="51"/>
      <c r="Y419" s="51"/>
      <c r="Z419" s="51"/>
      <c r="AA419" s="51"/>
      <c r="AB419" s="51"/>
      <c r="AC419" s="51"/>
      <c r="AD419" s="51"/>
      <c r="AG419" t="s">
        <v>28</v>
      </c>
      <c r="AH419" s="51"/>
      <c r="AI419" s="51"/>
    </row>
    <row r="420" spans="2:35">
      <c r="B420" t="s">
        <v>1210</v>
      </c>
      <c r="C420" t="s">
        <v>3167</v>
      </c>
      <c r="D420">
        <v>5</v>
      </c>
      <c r="E420" t="s">
        <v>2790</v>
      </c>
      <c r="F420">
        <v>9</v>
      </c>
      <c r="I420" t="s">
        <v>1211</v>
      </c>
      <c r="J420" s="51">
        <v>40976</v>
      </c>
      <c r="K420" t="s">
        <v>46</v>
      </c>
      <c r="L420" t="s">
        <v>1157</v>
      </c>
      <c r="M420">
        <v>3</v>
      </c>
      <c r="N420" t="str">
        <f>L420</f>
        <v>NAM\F13B6</v>
      </c>
      <c r="O420" s="51">
        <f>J420</f>
        <v>40976</v>
      </c>
      <c r="P420" s="51" t="str">
        <f>C420</f>
        <v>~/cdd/olddocs/Formas/CNWI-QAAS (aseguranza de calidad)/CNWI-QAAS-F106 Formato de Calibracion de indicadores.xlsx</v>
      </c>
      <c r="Q420" s="51" t="str">
        <f>E420</f>
        <v>xlsx</v>
      </c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G420" t="s">
        <v>28</v>
      </c>
      <c r="AH420" s="51"/>
      <c r="AI420" s="51"/>
    </row>
    <row r="421" spans="2:35">
      <c r="B421" t="s">
        <v>2267</v>
      </c>
      <c r="C421" t="s">
        <v>3168</v>
      </c>
      <c r="D421">
        <v>5</v>
      </c>
      <c r="E421" t="s">
        <v>2794</v>
      </c>
      <c r="F421">
        <v>9</v>
      </c>
      <c r="I421" t="s">
        <v>2268</v>
      </c>
      <c r="J421" s="51">
        <v>40913</v>
      </c>
      <c r="K421" t="s">
        <v>46</v>
      </c>
      <c r="L421" t="s">
        <v>2063</v>
      </c>
      <c r="M421">
        <v>3</v>
      </c>
      <c r="N421" t="str">
        <f>L421</f>
        <v>NAM\MB2117</v>
      </c>
      <c r="O421" s="51">
        <f>J421</f>
        <v>40913</v>
      </c>
      <c r="P421" s="51" t="str">
        <f>C421</f>
        <v>~/cdd/olddocs/Formas/CNWI-QAAS (aseguranza de calidad)/CNWI-QAAS-F107 Production Process Verification Checklist.doc</v>
      </c>
      <c r="Q421" s="51" t="str">
        <f>E421</f>
        <v>doc</v>
      </c>
      <c r="R421" s="51"/>
      <c r="S421" s="51"/>
      <c r="T421" s="51"/>
      <c r="U421" s="51"/>
      <c r="V421" s="51"/>
      <c r="W421" s="51"/>
      <c r="X421" s="51"/>
      <c r="Y421" s="51"/>
      <c r="Z421" s="51"/>
      <c r="AA421" s="51"/>
      <c r="AB421" s="51"/>
      <c r="AC421" s="51"/>
      <c r="AD421" s="51"/>
      <c r="AG421" t="s">
        <v>28</v>
      </c>
      <c r="AH421" s="51"/>
      <c r="AI421" s="51"/>
    </row>
    <row r="422" spans="2:35">
      <c r="B422" t="s">
        <v>2056</v>
      </c>
      <c r="C422" t="s">
        <v>3169</v>
      </c>
      <c r="D422">
        <v>5</v>
      </c>
      <c r="E422" t="s">
        <v>2790</v>
      </c>
      <c r="F422">
        <v>9</v>
      </c>
      <c r="I422" t="s">
        <v>2057</v>
      </c>
      <c r="J422" s="51">
        <v>40927</v>
      </c>
      <c r="K422" t="s">
        <v>27</v>
      </c>
      <c r="L422" t="s">
        <v>1888</v>
      </c>
      <c r="M422">
        <v>3</v>
      </c>
      <c r="N422" t="str">
        <f>L422</f>
        <v>NAM\MA7784</v>
      </c>
      <c r="O422" s="51">
        <f>J422</f>
        <v>40927</v>
      </c>
      <c r="P422" s="51" t="str">
        <f>C422</f>
        <v>~/cdd/olddocs/Formas/CNWI-QAAS (aseguranza de calidad)/CNWI-QAAS-F108 Formato de PPM.xlsx</v>
      </c>
      <c r="Q422" s="51" t="str">
        <f>E422</f>
        <v>xlsx</v>
      </c>
      <c r="R422" s="51"/>
      <c r="S422" s="51"/>
      <c r="T422" s="51"/>
      <c r="U422" s="51"/>
      <c r="V422" s="51"/>
      <c r="W422" s="51"/>
      <c r="X422" s="51"/>
      <c r="Y422" s="51"/>
      <c r="Z422" s="51"/>
      <c r="AA422" s="51"/>
      <c r="AB422" s="51"/>
      <c r="AC422" s="51"/>
      <c r="AD422" s="51"/>
      <c r="AG422" t="s">
        <v>28</v>
      </c>
      <c r="AH422" s="51"/>
      <c r="AI422" s="51"/>
    </row>
    <row r="423" spans="2:35">
      <c r="B423" t="s">
        <v>392</v>
      </c>
      <c r="C423" t="s">
        <v>3170</v>
      </c>
      <c r="D423">
        <v>5</v>
      </c>
      <c r="E423" t="s">
        <v>2790</v>
      </c>
      <c r="F423">
        <v>9</v>
      </c>
      <c r="I423" t="s">
        <v>393</v>
      </c>
      <c r="J423" s="51">
        <v>40988</v>
      </c>
      <c r="K423" t="s">
        <v>27</v>
      </c>
      <c r="L423" t="s">
        <v>222</v>
      </c>
      <c r="M423">
        <v>3</v>
      </c>
      <c r="N423" t="str">
        <f>L423</f>
        <v>NAM\MA9769</v>
      </c>
      <c r="O423" s="51">
        <f>J423</f>
        <v>40988</v>
      </c>
      <c r="P423" s="51" t="str">
        <f>C423</f>
        <v>~/cdd/olddocs/Formas/CNWI-QAAS (aseguranza de calidad)/CNWI-QAAS-F109 Risk Management Matrix.xlsx</v>
      </c>
      <c r="Q423" s="51" t="str">
        <f>E423</f>
        <v>xlsx</v>
      </c>
      <c r="R423" s="51"/>
      <c r="S423" s="51"/>
      <c r="T423" s="51"/>
      <c r="U423" s="51"/>
      <c r="V423" s="51"/>
      <c r="W423" s="51"/>
      <c r="X423" s="51"/>
      <c r="Y423" s="51"/>
      <c r="Z423" s="51"/>
      <c r="AA423" s="51"/>
      <c r="AB423" s="51"/>
      <c r="AC423" s="51"/>
      <c r="AD423" s="51"/>
      <c r="AG423" t="s">
        <v>28</v>
      </c>
      <c r="AH423" s="51"/>
      <c r="AI423" s="51"/>
    </row>
    <row r="424" spans="2:35">
      <c r="B424" t="s">
        <v>394</v>
      </c>
      <c r="C424" t="s">
        <v>3171</v>
      </c>
      <c r="D424">
        <v>5</v>
      </c>
      <c r="E424" t="s">
        <v>2794</v>
      </c>
      <c r="F424">
        <v>9</v>
      </c>
      <c r="I424" t="s">
        <v>395</v>
      </c>
      <c r="J424" s="51">
        <v>40924</v>
      </c>
      <c r="K424" t="s">
        <v>46</v>
      </c>
      <c r="L424" t="s">
        <v>222</v>
      </c>
      <c r="M424">
        <v>3</v>
      </c>
      <c r="N424" t="str">
        <f>L424</f>
        <v>NAM\MA9769</v>
      </c>
      <c r="O424" s="51">
        <f>J424</f>
        <v>40924</v>
      </c>
      <c r="P424" s="51" t="str">
        <f>C424</f>
        <v>~/cdd/olddocs/Formas/CNWI-QAAS (aseguranza de calidad)/CNWI-QAAS-F110 Change Request form -Customer Notification.doc</v>
      </c>
      <c r="Q424" s="51" t="str">
        <f>E424</f>
        <v>doc</v>
      </c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G424" t="s">
        <v>28</v>
      </c>
      <c r="AH424" s="51"/>
      <c r="AI424" s="51"/>
    </row>
    <row r="425" spans="2:35">
      <c r="B425" t="s">
        <v>396</v>
      </c>
      <c r="C425" t="s">
        <v>3172</v>
      </c>
      <c r="D425">
        <v>5</v>
      </c>
      <c r="E425" t="s">
        <v>2794</v>
      </c>
      <c r="F425">
        <v>9</v>
      </c>
      <c r="I425" t="s">
        <v>397</v>
      </c>
      <c r="J425" s="51">
        <v>40911</v>
      </c>
      <c r="K425" t="s">
        <v>27</v>
      </c>
      <c r="L425" t="s">
        <v>222</v>
      </c>
      <c r="M425">
        <v>3</v>
      </c>
      <c r="N425" t="str">
        <f>L425</f>
        <v>NAM\MA9769</v>
      </c>
      <c r="O425" s="51">
        <f>J425</f>
        <v>40911</v>
      </c>
      <c r="P425" s="51" t="str">
        <f>C425</f>
        <v>~/cdd/olddocs/Formas/CNWI-QAAS (aseguranza de calidad)/CNWI-QAAS-F111 Change Request form (for cooper approval).doc</v>
      </c>
      <c r="Q425" s="51" t="str">
        <f>E425</f>
        <v>doc</v>
      </c>
      <c r="R425" s="51"/>
      <c r="S425" s="51"/>
      <c r="T425" s="51"/>
      <c r="U425" s="51"/>
      <c r="V425" s="51"/>
      <c r="W425" s="51"/>
      <c r="X425" s="51"/>
      <c r="Y425" s="51"/>
      <c r="Z425" s="51"/>
      <c r="AA425" s="51"/>
      <c r="AB425" s="51"/>
      <c r="AC425" s="51"/>
      <c r="AD425" s="51"/>
      <c r="AG425" t="s">
        <v>28</v>
      </c>
      <c r="AH425" s="51"/>
      <c r="AI425" s="51"/>
    </row>
    <row r="426" spans="2:35">
      <c r="B426" t="s">
        <v>398</v>
      </c>
      <c r="C426" t="s">
        <v>3173</v>
      </c>
      <c r="D426">
        <v>5</v>
      </c>
      <c r="E426" t="s">
        <v>2793</v>
      </c>
      <c r="F426">
        <v>9</v>
      </c>
      <c r="I426" t="s">
        <v>399</v>
      </c>
      <c r="J426" s="51">
        <v>40911</v>
      </c>
      <c r="K426" t="s">
        <v>27</v>
      </c>
      <c r="L426" t="s">
        <v>222</v>
      </c>
      <c r="M426">
        <v>3</v>
      </c>
      <c r="N426" t="str">
        <f>L426</f>
        <v>NAM\MA9769</v>
      </c>
      <c r="O426" s="51">
        <f>J426</f>
        <v>40911</v>
      </c>
      <c r="P426" s="51" t="str">
        <f>C426</f>
        <v>~/cdd/olddocs/Formas/CNWI-QAAS (aseguranza de calidad)/CNWI-QAAS-F112 A3  Format .pptx</v>
      </c>
      <c r="Q426" s="51" t="str">
        <f>E426</f>
        <v>pptx</v>
      </c>
      <c r="R426" s="51"/>
      <c r="S426" s="51"/>
      <c r="T426" s="51"/>
      <c r="U426" s="51"/>
      <c r="V426" s="51"/>
      <c r="W426" s="51"/>
      <c r="X426" s="51"/>
      <c r="Y426" s="51"/>
      <c r="Z426" s="51"/>
      <c r="AA426" s="51"/>
      <c r="AB426" s="51"/>
      <c r="AC426" s="51"/>
      <c r="AD426" s="51"/>
      <c r="AG426" t="s">
        <v>28</v>
      </c>
      <c r="AH426" s="51"/>
      <c r="AI426" s="51"/>
    </row>
    <row r="427" spans="2:35">
      <c r="B427" t="s">
        <v>400</v>
      </c>
      <c r="C427" t="s">
        <v>3174</v>
      </c>
      <c r="D427">
        <v>5</v>
      </c>
      <c r="E427" t="s">
        <v>2794</v>
      </c>
      <c r="F427">
        <v>9</v>
      </c>
      <c r="I427" t="s">
        <v>401</v>
      </c>
      <c r="J427" s="51">
        <v>40914</v>
      </c>
      <c r="K427" t="s">
        <v>27</v>
      </c>
      <c r="L427" t="s">
        <v>222</v>
      </c>
      <c r="M427">
        <v>3</v>
      </c>
      <c r="N427" t="str">
        <f>L427</f>
        <v>NAM\MA9769</v>
      </c>
      <c r="O427" s="51">
        <f>J427</f>
        <v>40914</v>
      </c>
      <c r="P427" s="51" t="str">
        <f>C427</f>
        <v>~/cdd/olddocs/Formas/CNWI-QAAS (aseguranza de calidad)/CNWI-QAAS-F113 First Part Approval.doc</v>
      </c>
      <c r="Q427" s="51" t="str">
        <f>E427</f>
        <v>doc</v>
      </c>
      <c r="R427" s="51"/>
      <c r="S427" s="51"/>
      <c r="T427" s="51"/>
      <c r="U427" s="51"/>
      <c r="V427" s="51"/>
      <c r="W427" s="51"/>
      <c r="X427" s="51"/>
      <c r="Y427" s="51"/>
      <c r="Z427" s="51"/>
      <c r="AA427" s="51"/>
      <c r="AB427" s="51"/>
      <c r="AC427" s="51"/>
      <c r="AD427" s="51"/>
      <c r="AG427" t="s">
        <v>28</v>
      </c>
      <c r="AH427" s="51"/>
      <c r="AI427" s="51"/>
    </row>
    <row r="428" spans="2:35">
      <c r="B428" t="s">
        <v>402</v>
      </c>
      <c r="C428" t="s">
        <v>3175</v>
      </c>
      <c r="D428">
        <v>5</v>
      </c>
      <c r="E428" t="s">
        <v>2797</v>
      </c>
      <c r="F428">
        <v>9</v>
      </c>
      <c r="I428" t="s">
        <v>403</v>
      </c>
      <c r="J428" s="51">
        <v>40917</v>
      </c>
      <c r="K428" t="s">
        <v>27</v>
      </c>
      <c r="L428" t="s">
        <v>222</v>
      </c>
      <c r="M428">
        <v>3</v>
      </c>
      <c r="N428" t="str">
        <f>L428</f>
        <v>NAM\MA9769</v>
      </c>
      <c r="O428" s="51">
        <f>J428</f>
        <v>40917</v>
      </c>
      <c r="P428" s="51" t="str">
        <f>C428</f>
        <v>~/cdd/olddocs/Formas/CNWI-QAAS (aseguranza de calidad)/CNWI-QAAS-F114 First Part Rejection.docx</v>
      </c>
      <c r="Q428" s="51" t="str">
        <f>E428</f>
        <v>docx</v>
      </c>
      <c r="R428" s="51"/>
      <c r="S428" s="51"/>
      <c r="T428" s="51"/>
      <c r="U428" s="51"/>
      <c r="V428" s="51"/>
      <c r="W428" s="51"/>
      <c r="X428" s="51"/>
      <c r="Y428" s="51"/>
      <c r="Z428" s="51"/>
      <c r="AA428" s="51"/>
      <c r="AB428" s="51"/>
      <c r="AC428" s="51"/>
      <c r="AD428" s="51"/>
      <c r="AG428" t="s">
        <v>28</v>
      </c>
      <c r="AH428" s="51"/>
      <c r="AI428" s="51"/>
    </row>
    <row r="429" spans="2:35">
      <c r="B429" t="s">
        <v>404</v>
      </c>
      <c r="C429" t="s">
        <v>3176</v>
      </c>
      <c r="D429">
        <v>5</v>
      </c>
      <c r="E429" t="s">
        <v>2792</v>
      </c>
      <c r="F429">
        <v>9</v>
      </c>
      <c r="I429" t="s">
        <v>405</v>
      </c>
      <c r="J429" s="51">
        <v>40924</v>
      </c>
      <c r="K429" t="s">
        <v>27</v>
      </c>
      <c r="L429" t="s">
        <v>222</v>
      </c>
      <c r="M429">
        <v>3</v>
      </c>
      <c r="N429" t="str">
        <f>L429</f>
        <v>NAM\MA9769</v>
      </c>
      <c r="O429" s="51">
        <f>J429</f>
        <v>40924</v>
      </c>
      <c r="P429" s="51" t="str">
        <f>C429</f>
        <v>~/cdd/olddocs/Formas/CNWI-QAAS (aseguranza de calidad)/CNWI-QAAS-F115 Check list FAI Component .xls</v>
      </c>
      <c r="Q429" s="51" t="str">
        <f>E429</f>
        <v>xls</v>
      </c>
      <c r="R429" s="51"/>
      <c r="S429" s="51"/>
      <c r="T429" s="51"/>
      <c r="U429" s="51"/>
      <c r="V429" s="51"/>
      <c r="W429" s="51"/>
      <c r="X429" s="51"/>
      <c r="Y429" s="51"/>
      <c r="Z429" s="51"/>
      <c r="AA429" s="51"/>
      <c r="AB429" s="51"/>
      <c r="AC429" s="51"/>
      <c r="AD429" s="51"/>
      <c r="AG429" t="s">
        <v>28</v>
      </c>
      <c r="AH429" s="51"/>
      <c r="AI429" s="51"/>
    </row>
    <row r="430" spans="2:35">
      <c r="B430" t="s">
        <v>406</v>
      </c>
      <c r="C430" t="s">
        <v>3177</v>
      </c>
      <c r="D430">
        <v>5</v>
      </c>
      <c r="E430" t="s">
        <v>2792</v>
      </c>
      <c r="F430">
        <v>9</v>
      </c>
      <c r="I430" t="s">
        <v>407</v>
      </c>
      <c r="J430" s="51">
        <v>40926</v>
      </c>
      <c r="K430" t="s">
        <v>27</v>
      </c>
      <c r="L430" t="s">
        <v>222</v>
      </c>
      <c r="M430">
        <v>3</v>
      </c>
      <c r="N430" t="str">
        <f>L430</f>
        <v>NAM\MA9769</v>
      </c>
      <c r="O430" s="51">
        <f>J430</f>
        <v>40926</v>
      </c>
      <c r="P430" s="51" t="str">
        <f>C430</f>
        <v>~/cdd/olddocs/Formas/CNWI-QAAS (aseguranza de calidad)/CNWI-QAAS-F116 Weekly PPM on FAI.xls</v>
      </c>
      <c r="Q430" s="51" t="str">
        <f>E430</f>
        <v>xls</v>
      </c>
      <c r="R430" s="51"/>
      <c r="S430" s="51"/>
      <c r="T430" s="51"/>
      <c r="U430" s="51"/>
      <c r="V430" s="51"/>
      <c r="W430" s="51"/>
      <c r="X430" s="51"/>
      <c r="Y430" s="51"/>
      <c r="Z430" s="51"/>
      <c r="AA430" s="51"/>
      <c r="AB430" s="51"/>
      <c r="AC430" s="51"/>
      <c r="AD430" s="51"/>
      <c r="AG430" t="s">
        <v>28</v>
      </c>
      <c r="AH430" s="51"/>
      <c r="AI430" s="51"/>
    </row>
    <row r="431" spans="2:35">
      <c r="B431" t="s">
        <v>408</v>
      </c>
      <c r="C431" t="s">
        <v>3178</v>
      </c>
      <c r="D431">
        <v>5</v>
      </c>
      <c r="E431" t="s">
        <v>2792</v>
      </c>
      <c r="F431">
        <v>9</v>
      </c>
      <c r="I431" t="s">
        <v>409</v>
      </c>
      <c r="J431" s="51">
        <v>40940</v>
      </c>
      <c r="K431" t="s">
        <v>27</v>
      </c>
      <c r="L431" t="s">
        <v>222</v>
      </c>
      <c r="M431">
        <v>3</v>
      </c>
      <c r="N431" t="str">
        <f>L431</f>
        <v>NAM\MA9769</v>
      </c>
      <c r="O431" s="51">
        <f>J431</f>
        <v>40940</v>
      </c>
      <c r="P431" s="51" t="str">
        <f>C431</f>
        <v>~/cdd/olddocs/Formas/CNWI-QAAS (aseguranza de calidad)/CNWI-QAAS-F117 Diagrama de Tortuga.xls</v>
      </c>
      <c r="Q431" s="51" t="str">
        <f>E431</f>
        <v>xls</v>
      </c>
      <c r="R431" s="51"/>
      <c r="S431" s="51"/>
      <c r="T431" s="51"/>
      <c r="U431" s="51"/>
      <c r="V431" s="51"/>
      <c r="W431" s="51"/>
      <c r="X431" s="51"/>
      <c r="Y431" s="51"/>
      <c r="Z431" s="51"/>
      <c r="AA431" s="51"/>
      <c r="AB431" s="51"/>
      <c r="AC431" s="51"/>
      <c r="AD431" s="51"/>
      <c r="AG431" t="s">
        <v>28</v>
      </c>
      <c r="AH431" s="51"/>
      <c r="AI431" s="51"/>
    </row>
    <row r="432" spans="2:35">
      <c r="B432" t="s">
        <v>410</v>
      </c>
      <c r="C432" t="s">
        <v>3885</v>
      </c>
      <c r="D432">
        <v>5</v>
      </c>
      <c r="E432" t="s">
        <v>2790</v>
      </c>
      <c r="F432">
        <v>9</v>
      </c>
      <c r="I432" t="s">
        <v>411</v>
      </c>
      <c r="J432" s="51">
        <v>40941</v>
      </c>
      <c r="K432" t="s">
        <v>27</v>
      </c>
      <c r="L432" t="s">
        <v>222</v>
      </c>
      <c r="M432">
        <v>3</v>
      </c>
      <c r="N432" t="str">
        <f>L432</f>
        <v>NAM\MA9769</v>
      </c>
      <c r="O432" s="51">
        <f>J432</f>
        <v>40941</v>
      </c>
      <c r="P432" s="51" t="str">
        <f>C432</f>
        <v>~cdd/olddocs/Formas/CNWI-QAAS (aseguranza de calidad)/CNWI-QAAS-F118 Control de boletas de Scrap.xlsx</v>
      </c>
      <c r="Q432" s="51" t="str">
        <f>E432</f>
        <v>xlsx</v>
      </c>
      <c r="R432" s="51"/>
      <c r="S432" s="51"/>
      <c r="T432" s="51"/>
      <c r="U432" s="51"/>
      <c r="V432" s="51"/>
      <c r="W432" s="51"/>
      <c r="X432" s="51"/>
      <c r="Y432" s="51"/>
      <c r="Z432" s="51"/>
      <c r="AA432" s="51"/>
      <c r="AB432" s="51"/>
      <c r="AC432" s="51"/>
      <c r="AD432" s="51"/>
      <c r="AG432" t="s">
        <v>28</v>
      </c>
      <c r="AH432" s="51"/>
      <c r="AI432" s="51"/>
    </row>
    <row r="433" spans="2:35">
      <c r="B433" t="s">
        <v>412</v>
      </c>
      <c r="C433" t="s">
        <v>3179</v>
      </c>
      <c r="D433">
        <v>5</v>
      </c>
      <c r="E433" t="s">
        <v>2791</v>
      </c>
      <c r="F433">
        <v>9</v>
      </c>
      <c r="I433" t="s">
        <v>413</v>
      </c>
      <c r="J433" s="51">
        <v>40959</v>
      </c>
      <c r="K433" t="s">
        <v>46</v>
      </c>
      <c r="L433" t="s">
        <v>222</v>
      </c>
      <c r="M433">
        <v>3</v>
      </c>
      <c r="N433" t="str">
        <f>L433</f>
        <v>NAM\MA9769</v>
      </c>
      <c r="O433" s="51">
        <f>J433</f>
        <v>40959</v>
      </c>
      <c r="P433" s="51" t="str">
        <f>C433</f>
        <v>~/cdd/olddocs/Formas/CNWI-QAAS (aseguranza de calidad)/CNWI-QAAS-F119 Diagrama de interaccion de procesos.pdf</v>
      </c>
      <c r="Q433" s="51" t="str">
        <f>E433</f>
        <v>pdf</v>
      </c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G433" t="s">
        <v>28</v>
      </c>
      <c r="AH433" s="51"/>
      <c r="AI433" s="51"/>
    </row>
    <row r="434" spans="2:35">
      <c r="B434" t="s">
        <v>414</v>
      </c>
      <c r="C434" t="s">
        <v>3180</v>
      </c>
      <c r="D434">
        <v>5</v>
      </c>
      <c r="E434" t="s">
        <v>2792</v>
      </c>
      <c r="F434">
        <v>9</v>
      </c>
      <c r="I434" t="s">
        <v>415</v>
      </c>
      <c r="J434" s="51">
        <v>40968</v>
      </c>
      <c r="K434" t="s">
        <v>27</v>
      </c>
      <c r="L434" t="s">
        <v>222</v>
      </c>
      <c r="M434">
        <v>3</v>
      </c>
      <c r="N434" t="str">
        <f>L434</f>
        <v>NAM\MA9769</v>
      </c>
      <c r="O434" s="51">
        <f>J434</f>
        <v>40968</v>
      </c>
      <c r="P434" s="51" t="str">
        <f>C434</f>
        <v>~/cdd/olddocs/Formas/CNWI-QAAS (aseguranza de calidad)/CNWI-QAAS-F120 Control de scrap.xls</v>
      </c>
      <c r="Q434" s="51" t="str">
        <f>E434</f>
        <v>xls</v>
      </c>
      <c r="R434" s="51"/>
      <c r="S434" s="51"/>
      <c r="T434" s="51"/>
      <c r="U434" s="51"/>
      <c r="V434" s="51"/>
      <c r="W434" s="51"/>
      <c r="X434" s="51"/>
      <c r="Y434" s="51"/>
      <c r="Z434" s="51"/>
      <c r="AA434" s="51"/>
      <c r="AB434" s="51"/>
      <c r="AC434" s="51"/>
      <c r="AD434" s="51"/>
      <c r="AG434" t="s">
        <v>28</v>
      </c>
      <c r="AH434" s="51"/>
      <c r="AI434" s="51"/>
    </row>
    <row r="435" spans="2:35">
      <c r="B435" t="s">
        <v>416</v>
      </c>
      <c r="C435" t="s">
        <v>3181</v>
      </c>
      <c r="D435">
        <v>5</v>
      </c>
      <c r="E435" t="s">
        <v>2794</v>
      </c>
      <c r="F435">
        <v>9</v>
      </c>
      <c r="I435" t="s">
        <v>417</v>
      </c>
      <c r="J435" s="51">
        <v>40983</v>
      </c>
      <c r="K435" t="s">
        <v>27</v>
      </c>
      <c r="L435" t="s">
        <v>222</v>
      </c>
      <c r="M435">
        <v>3</v>
      </c>
      <c r="N435" t="str">
        <f>L435</f>
        <v>NAM\MA9769</v>
      </c>
      <c r="O435" s="51">
        <f>J435</f>
        <v>40983</v>
      </c>
      <c r="P435" s="51" t="str">
        <f>C435</f>
        <v>~/cdd/olddocs/Formas/CNWI-QAAS (aseguranza de calidad)/CNWI-QAAS-F121 Minuta.doc</v>
      </c>
      <c r="Q435" s="51" t="str">
        <f>E435</f>
        <v>doc</v>
      </c>
      <c r="R435" s="51"/>
      <c r="S435" s="51"/>
      <c r="T435" s="51"/>
      <c r="U435" s="51"/>
      <c r="V435" s="51"/>
      <c r="W435" s="51"/>
      <c r="X435" s="51"/>
      <c r="Y435" s="51"/>
      <c r="Z435" s="51"/>
      <c r="AA435" s="51"/>
      <c r="AB435" s="51"/>
      <c r="AC435" s="51"/>
      <c r="AD435" s="51"/>
      <c r="AG435" t="s">
        <v>28</v>
      </c>
      <c r="AH435" s="51"/>
      <c r="AI435" s="51"/>
    </row>
    <row r="436" spans="2:35">
      <c r="B436" t="s">
        <v>1212</v>
      </c>
      <c r="C436" t="s">
        <v>3182</v>
      </c>
      <c r="D436">
        <v>5</v>
      </c>
      <c r="E436" t="s">
        <v>2794</v>
      </c>
      <c r="F436">
        <v>9</v>
      </c>
      <c r="I436" t="s">
        <v>1213</v>
      </c>
      <c r="J436" s="51">
        <v>40983</v>
      </c>
      <c r="K436" t="s">
        <v>27</v>
      </c>
      <c r="L436" t="s">
        <v>1157</v>
      </c>
      <c r="M436">
        <v>3</v>
      </c>
      <c r="N436" t="str">
        <f>L436</f>
        <v>NAM\F13B6</v>
      </c>
      <c r="O436" s="51">
        <f>J436</f>
        <v>40983</v>
      </c>
      <c r="P436" s="51" t="str">
        <f>C436</f>
        <v>~/cdd/olddocs/Formas/CNWI-QAAS (aseguranza de calidad)/CNWI-QAAS-F122 Check list de revision de euqipo de pruebas.doc</v>
      </c>
      <c r="Q436" s="51" t="str">
        <f>E436</f>
        <v>doc</v>
      </c>
      <c r="R436" s="51"/>
      <c r="S436" s="51"/>
      <c r="T436" s="51"/>
      <c r="U436" s="51"/>
      <c r="V436" s="51"/>
      <c r="W436" s="51"/>
      <c r="X436" s="51"/>
      <c r="Y436" s="51"/>
      <c r="Z436" s="51"/>
      <c r="AA436" s="51"/>
      <c r="AB436" s="51"/>
      <c r="AC436" s="51"/>
      <c r="AD436" s="51"/>
      <c r="AG436" t="s">
        <v>28</v>
      </c>
      <c r="AH436" s="51"/>
      <c r="AI436" s="51"/>
    </row>
    <row r="437" spans="2:35">
      <c r="B437" t="s">
        <v>418</v>
      </c>
      <c r="C437" t="s">
        <v>3876</v>
      </c>
      <c r="D437">
        <v>5</v>
      </c>
      <c r="E437" t="s">
        <v>2792</v>
      </c>
      <c r="F437">
        <v>9</v>
      </c>
      <c r="I437" t="s">
        <v>419</v>
      </c>
      <c r="J437" s="51">
        <v>40988</v>
      </c>
      <c r="K437" t="s">
        <v>27</v>
      </c>
      <c r="L437" t="s">
        <v>222</v>
      </c>
      <c r="M437">
        <v>3</v>
      </c>
      <c r="N437" t="str">
        <f>L437</f>
        <v>NAM\MA9769</v>
      </c>
      <c r="O437" s="51">
        <f>J437</f>
        <v>40988</v>
      </c>
      <c r="P437" s="51" t="str">
        <f>C437</f>
        <v>~cdd/olddocs/Formas/CNWI-QAAS (aseguranza de calidad)/Cambios Docs -CNWI-QAAS-F123 Risk management Rev. A.xls</v>
      </c>
      <c r="Q437" s="51" t="str">
        <f>E437</f>
        <v>xls</v>
      </c>
      <c r="R437" s="51"/>
      <c r="S437" s="51"/>
      <c r="T437" s="51"/>
      <c r="U437" s="51"/>
      <c r="V437" s="51"/>
      <c r="W437" s="51"/>
      <c r="X437" s="51"/>
      <c r="Y437" s="51"/>
      <c r="Z437" s="51"/>
      <c r="AA437" s="51"/>
      <c r="AB437" s="51"/>
      <c r="AC437" s="51"/>
      <c r="AD437" s="51"/>
      <c r="AG437" t="s">
        <v>28</v>
      </c>
      <c r="AH437" s="51"/>
      <c r="AI437" s="51"/>
    </row>
    <row r="438" spans="2:35">
      <c r="B438" t="s">
        <v>1849</v>
      </c>
      <c r="C438" t="s">
        <v>3886</v>
      </c>
      <c r="D438">
        <v>5</v>
      </c>
      <c r="E438" t="s">
        <v>2792</v>
      </c>
      <c r="F438">
        <v>9</v>
      </c>
      <c r="I438" t="s">
        <v>1850</v>
      </c>
      <c r="J438" s="51">
        <v>40990</v>
      </c>
      <c r="K438" t="s">
        <v>27</v>
      </c>
      <c r="L438" t="s">
        <v>1584</v>
      </c>
      <c r="M438">
        <v>3</v>
      </c>
      <c r="N438" t="str">
        <f>L438</f>
        <v>NAM\A8070</v>
      </c>
      <c r="O438" s="51">
        <f>J438</f>
        <v>40990</v>
      </c>
      <c r="P438" s="51" t="str">
        <f>C438</f>
        <v>~cdd/olddocs/Formas/CNWI-QAAS (aseguranza de calidad)/CNWI-QAAS-F124 New PPAP Formato.xls</v>
      </c>
      <c r="Q438" s="51" t="str">
        <f>E438</f>
        <v>xls</v>
      </c>
      <c r="R438" s="51"/>
      <c r="S438" s="51"/>
      <c r="T438" s="51"/>
      <c r="U438" s="51"/>
      <c r="V438" s="51"/>
      <c r="W438" s="51"/>
      <c r="X438" s="51"/>
      <c r="Y438" s="51"/>
      <c r="Z438" s="51"/>
      <c r="AA438" s="51"/>
      <c r="AB438" s="51"/>
      <c r="AC438" s="51"/>
      <c r="AD438" s="51"/>
      <c r="AG438" t="s">
        <v>28</v>
      </c>
      <c r="AH438" s="51"/>
      <c r="AI438" s="51"/>
    </row>
    <row r="439" spans="2:35">
      <c r="B439" t="s">
        <v>521</v>
      </c>
      <c r="C439" t="s">
        <v>3887</v>
      </c>
      <c r="D439">
        <v>5</v>
      </c>
      <c r="E439" t="s">
        <v>2792</v>
      </c>
      <c r="F439">
        <v>9</v>
      </c>
      <c r="I439" t="s">
        <v>522</v>
      </c>
      <c r="J439" s="51">
        <v>40990</v>
      </c>
      <c r="K439" t="s">
        <v>27</v>
      </c>
      <c r="L439" t="s">
        <v>520</v>
      </c>
      <c r="M439">
        <v>3</v>
      </c>
      <c r="N439" t="str">
        <f>L439</f>
        <v>NAM\AD508</v>
      </c>
      <c r="O439" s="51">
        <f>J439</f>
        <v>40990</v>
      </c>
      <c r="P439" s="51" t="str">
        <f>C439</f>
        <v>~cdd/olddocs/Formas/CNWI-QAAS (aseguranza de calidad)/CNWI-QAAS-F125 PPAP de salida de Equipo.xls</v>
      </c>
      <c r="Q439" s="51" t="str">
        <f>E439</f>
        <v>xls</v>
      </c>
      <c r="R439" s="51"/>
      <c r="S439" s="51"/>
      <c r="T439" s="51"/>
      <c r="U439" s="51"/>
      <c r="V439" s="51"/>
      <c r="W439" s="51"/>
      <c r="X439" s="51"/>
      <c r="Y439" s="51"/>
      <c r="Z439" s="51"/>
      <c r="AA439" s="51"/>
      <c r="AB439" s="51"/>
      <c r="AC439" s="51"/>
      <c r="AD439" s="51"/>
      <c r="AG439" t="s">
        <v>28</v>
      </c>
      <c r="AH439" s="51"/>
      <c r="AI439" s="51"/>
    </row>
    <row r="440" spans="2:35">
      <c r="B440" t="s">
        <v>2058</v>
      </c>
      <c r="C440" t="s">
        <v>3183</v>
      </c>
      <c r="D440">
        <v>5</v>
      </c>
      <c r="E440" t="s">
        <v>2791</v>
      </c>
      <c r="F440">
        <v>9</v>
      </c>
      <c r="I440" t="s">
        <v>2059</v>
      </c>
      <c r="J440" s="51">
        <v>41101</v>
      </c>
      <c r="K440" t="s">
        <v>159</v>
      </c>
      <c r="L440" t="s">
        <v>1888</v>
      </c>
      <c r="M440">
        <v>3</v>
      </c>
      <c r="N440" t="str">
        <f>L440</f>
        <v>NAM\MA7784</v>
      </c>
      <c r="O440" s="51">
        <f>J440</f>
        <v>41101</v>
      </c>
      <c r="P440" s="51" t="str">
        <f>C440</f>
        <v>~/cdd/olddocs/Formas/CNWI-QAAS (aseguranza de calidad)/CNWI-QAAS-F126 Rev. C OOB Micromini.pdf</v>
      </c>
      <c r="Q440" s="51" t="str">
        <f>E440</f>
        <v>pdf</v>
      </c>
      <c r="R440" s="51"/>
      <c r="S440" s="51"/>
      <c r="T440" s="51"/>
      <c r="U440" s="51"/>
      <c r="V440" s="51"/>
      <c r="W440" s="51"/>
      <c r="X440" s="51"/>
      <c r="Y440" s="51"/>
      <c r="Z440" s="51"/>
      <c r="AA440" s="51"/>
      <c r="AB440" s="51"/>
      <c r="AC440" s="51"/>
      <c r="AD440" s="51"/>
      <c r="AG440" t="s">
        <v>28</v>
      </c>
      <c r="AH440" s="51"/>
      <c r="AI440" s="51"/>
    </row>
    <row r="441" spans="2:35">
      <c r="B441" t="s">
        <v>420</v>
      </c>
      <c r="C441" t="s">
        <v>3184</v>
      </c>
      <c r="D441">
        <v>5</v>
      </c>
      <c r="E441" t="s">
        <v>2790</v>
      </c>
      <c r="F441">
        <v>9</v>
      </c>
      <c r="I441" t="s">
        <v>421</v>
      </c>
      <c r="J441" s="51">
        <v>41044</v>
      </c>
      <c r="K441" t="s">
        <v>46</v>
      </c>
      <c r="L441" t="s">
        <v>222</v>
      </c>
      <c r="M441">
        <v>3</v>
      </c>
      <c r="N441" t="str">
        <f>L441</f>
        <v>NAM\MA9769</v>
      </c>
      <c r="O441" s="51">
        <f>J441</f>
        <v>41044</v>
      </c>
      <c r="P441" s="51" t="str">
        <f>C441</f>
        <v>~/cdd/olddocs/Formas/CNWI-QAAS (aseguranza de calidad)/CNWI-QAAS-F127 Registro de asistencia a juntas.xlsx</v>
      </c>
      <c r="Q441" s="51" t="str">
        <f>E441</f>
        <v>xlsx</v>
      </c>
      <c r="R441" s="51"/>
      <c r="S441" s="51"/>
      <c r="T441" s="51"/>
      <c r="U441" s="51"/>
      <c r="V441" s="51"/>
      <c r="W441" s="51"/>
      <c r="X441" s="51"/>
      <c r="Y441" s="51"/>
      <c r="Z441" s="51"/>
      <c r="AA441" s="51"/>
      <c r="AB441" s="51"/>
      <c r="AC441" s="51"/>
      <c r="AD441" s="51"/>
      <c r="AG441" t="s">
        <v>28</v>
      </c>
      <c r="AH441" s="51"/>
      <c r="AI441" s="51"/>
    </row>
    <row r="442" spans="2:35">
      <c r="B442" t="s">
        <v>1851</v>
      </c>
      <c r="C442" t="s">
        <v>3185</v>
      </c>
      <c r="D442">
        <v>5</v>
      </c>
      <c r="E442" t="s">
        <v>2790</v>
      </c>
      <c r="F442">
        <v>9</v>
      </c>
      <c r="I442" t="s">
        <v>1852</v>
      </c>
      <c r="J442" s="51">
        <v>41043</v>
      </c>
      <c r="K442" t="s">
        <v>46</v>
      </c>
      <c r="L442" t="s">
        <v>1584</v>
      </c>
      <c r="M442">
        <v>3</v>
      </c>
      <c r="N442" t="str">
        <f>L442</f>
        <v>NAM\A8070</v>
      </c>
      <c r="O442" s="51">
        <f>J442</f>
        <v>41043</v>
      </c>
      <c r="P442" s="51" t="str">
        <f>C442</f>
        <v>~/cdd/olddocs/Formas/CNWI-QAAS (aseguranza de calidad)/CNWI-QAAS-F128 OOB Itron-generales.xlsx</v>
      </c>
      <c r="Q442" s="51" t="str">
        <f>E442</f>
        <v>xlsx</v>
      </c>
      <c r="R442" s="51"/>
      <c r="S442" s="51"/>
      <c r="T442" s="51"/>
      <c r="U442" s="51"/>
      <c r="V442" s="51"/>
      <c r="W442" s="51"/>
      <c r="X442" s="51"/>
      <c r="Y442" s="51"/>
      <c r="Z442" s="51"/>
      <c r="AA442" s="51"/>
      <c r="AB442" s="51"/>
      <c r="AC442" s="51"/>
      <c r="AD442" s="51"/>
      <c r="AG442" t="s">
        <v>28</v>
      </c>
      <c r="AH442" s="51"/>
      <c r="AI442" s="51"/>
    </row>
    <row r="443" spans="2:35">
      <c r="B443" t="s">
        <v>1853</v>
      </c>
      <c r="C443" t="s">
        <v>3186</v>
      </c>
      <c r="D443">
        <v>5</v>
      </c>
      <c r="E443" t="s">
        <v>2790</v>
      </c>
      <c r="F443">
        <v>9</v>
      </c>
      <c r="I443" t="s">
        <v>1854</v>
      </c>
      <c r="J443" s="51">
        <v>41044</v>
      </c>
      <c r="K443" t="s">
        <v>46</v>
      </c>
      <c r="L443" t="s">
        <v>1584</v>
      </c>
      <c r="M443">
        <v>3</v>
      </c>
      <c r="N443" t="str">
        <f>L443</f>
        <v>NAM\A8070</v>
      </c>
      <c r="O443" s="51">
        <f>J443</f>
        <v>41044</v>
      </c>
      <c r="P443" s="51" t="str">
        <f>C443</f>
        <v>~/cdd/olddocs/Formas/CNWI-QAAS (aseguranza de calidad)/CNWI-QAAS-F129 OOB Amsafe-bonding.xlsx</v>
      </c>
      <c r="Q443" s="51" t="str">
        <f>E443</f>
        <v>xlsx</v>
      </c>
      <c r="R443" s="51"/>
      <c r="S443" s="51"/>
      <c r="T443" s="51"/>
      <c r="U443" s="51"/>
      <c r="V443" s="51"/>
      <c r="W443" s="51"/>
      <c r="X443" s="51"/>
      <c r="Y443" s="51"/>
      <c r="Z443" s="51"/>
      <c r="AA443" s="51"/>
      <c r="AB443" s="51"/>
      <c r="AC443" s="51"/>
      <c r="AD443" s="51"/>
      <c r="AG443" t="s">
        <v>28</v>
      </c>
      <c r="AH443" s="51"/>
      <c r="AI443" s="51"/>
    </row>
    <row r="444" spans="2:35">
      <c r="B444" t="s">
        <v>422</v>
      </c>
      <c r="C444" t="s">
        <v>3933</v>
      </c>
      <c r="D444">
        <v>5</v>
      </c>
      <c r="E444" t="s">
        <v>2790</v>
      </c>
      <c r="F444">
        <v>9</v>
      </c>
      <c r="I444" t="s">
        <v>423</v>
      </c>
      <c r="J444" s="51">
        <v>40999</v>
      </c>
      <c r="K444" t="s">
        <v>27</v>
      </c>
      <c r="L444" t="s">
        <v>222</v>
      </c>
      <c r="M444">
        <v>3</v>
      </c>
      <c r="N444" t="str">
        <f>L444</f>
        <v>NAM\MA9769</v>
      </c>
      <c r="O444" s="51">
        <f>J444</f>
        <v>40999</v>
      </c>
      <c r="P444" s="51" t="str">
        <f>C444</f>
        <v>~/cdd/olddocs/CN-QAAS (Aseguranza de calidad)/FORMAS/CNWI-QAAS-F130 Rev. A Action Plan.xlsx</v>
      </c>
      <c r="Q444" s="51" t="str">
        <f>E444</f>
        <v>xlsx</v>
      </c>
      <c r="R444" s="51"/>
      <c r="S444" s="51"/>
      <c r="T444" s="51"/>
      <c r="U444" s="51"/>
      <c r="V444" s="51"/>
      <c r="W444" s="51"/>
      <c r="X444" s="51"/>
      <c r="Y444" s="51"/>
      <c r="Z444" s="51"/>
      <c r="AA444" s="51"/>
      <c r="AB444" s="51"/>
      <c r="AC444" s="51"/>
      <c r="AD444" s="51"/>
      <c r="AG444" t="s">
        <v>28</v>
      </c>
      <c r="AH444" s="51"/>
      <c r="AI444" s="51"/>
    </row>
    <row r="445" spans="2:35">
      <c r="B445" t="s">
        <v>424</v>
      </c>
      <c r="C445" t="s">
        <v>3934</v>
      </c>
      <c r="D445">
        <v>5</v>
      </c>
      <c r="E445" t="s">
        <v>2792</v>
      </c>
      <c r="F445">
        <v>9</v>
      </c>
      <c r="I445" t="s">
        <v>425</v>
      </c>
      <c r="J445" s="51">
        <v>40999</v>
      </c>
      <c r="K445" t="s">
        <v>27</v>
      </c>
      <c r="L445" t="s">
        <v>222</v>
      </c>
      <c r="M445">
        <v>3</v>
      </c>
      <c r="N445" t="str">
        <f>L445</f>
        <v>NAM\MA9769</v>
      </c>
      <c r="O445" s="51">
        <f>J445</f>
        <v>40999</v>
      </c>
      <c r="P445" s="51" t="str">
        <f>C445</f>
        <v>~/cdd/olddocs/CN-QAAS (Aseguranza de calidad)/FORMAS/CNWI-QAAS-F131 Rev. A QMS Assessment.xls</v>
      </c>
      <c r="Q445" s="51" t="str">
        <f>E445</f>
        <v>xls</v>
      </c>
      <c r="R445" s="51"/>
      <c r="S445" s="51"/>
      <c r="T445" s="51"/>
      <c r="U445" s="51"/>
      <c r="V445" s="51"/>
      <c r="W445" s="51"/>
      <c r="X445" s="51"/>
      <c r="Y445" s="51"/>
      <c r="Z445" s="51"/>
      <c r="AA445" s="51"/>
      <c r="AB445" s="51"/>
      <c r="AC445" s="51"/>
      <c r="AD445" s="51"/>
      <c r="AG445" t="s">
        <v>28</v>
      </c>
      <c r="AH445" s="51"/>
      <c r="AI445" s="51"/>
    </row>
    <row r="446" spans="2:35">
      <c r="B446" t="s">
        <v>1515</v>
      </c>
      <c r="C446" t="s">
        <v>3888</v>
      </c>
      <c r="D446">
        <v>5</v>
      </c>
      <c r="E446" t="s">
        <v>2790</v>
      </c>
      <c r="F446">
        <v>9</v>
      </c>
      <c r="I446" t="s">
        <v>1516</v>
      </c>
      <c r="J446" s="51">
        <v>41029</v>
      </c>
      <c r="K446" t="s">
        <v>27</v>
      </c>
      <c r="L446" t="s">
        <v>1504</v>
      </c>
      <c r="M446">
        <v>3</v>
      </c>
      <c r="N446" t="str">
        <f>L446</f>
        <v>NAM\MB5781</v>
      </c>
      <c r="O446" s="51">
        <f>J446</f>
        <v>41029</v>
      </c>
      <c r="P446" s="51" t="str">
        <f>C446</f>
        <v>~cdd/olddocs/Formas/CNWI-QAAS (aseguranza de calidad)/CNWI-QAAS-F132 Operacion y control de dispositivos pokayoke.xlsx</v>
      </c>
      <c r="Q446" s="51" t="str">
        <f>E446</f>
        <v>xlsx</v>
      </c>
      <c r="R446" s="51"/>
      <c r="S446" s="51"/>
      <c r="T446" s="51"/>
      <c r="U446" s="51"/>
      <c r="V446" s="51"/>
      <c r="W446" s="51"/>
      <c r="X446" s="51"/>
      <c r="Y446" s="51"/>
      <c r="Z446" s="51"/>
      <c r="AA446" s="51"/>
      <c r="AB446" s="51"/>
      <c r="AC446" s="51"/>
      <c r="AD446" s="51"/>
      <c r="AG446" t="s">
        <v>28</v>
      </c>
      <c r="AH446" s="51"/>
      <c r="AI446" s="51"/>
    </row>
    <row r="447" spans="2:35">
      <c r="B447" t="s">
        <v>1855</v>
      </c>
      <c r="C447" t="s">
        <v>3934</v>
      </c>
      <c r="D447">
        <v>5</v>
      </c>
      <c r="E447" t="s">
        <v>2792</v>
      </c>
      <c r="F447">
        <v>9</v>
      </c>
      <c r="I447" t="s">
        <v>1856</v>
      </c>
      <c r="J447" s="51">
        <v>41031</v>
      </c>
      <c r="K447" t="s">
        <v>27</v>
      </c>
      <c r="L447" t="s">
        <v>1584</v>
      </c>
      <c r="M447">
        <v>3</v>
      </c>
      <c r="N447" t="str">
        <f>L447</f>
        <v>NAM\A8070</v>
      </c>
      <c r="O447" s="51">
        <f>J447</f>
        <v>41031</v>
      </c>
      <c r="P447" s="51" t="str">
        <f>C447</f>
        <v>~/cdd/olddocs/CN-QAAS (Aseguranza de calidad)/FORMAS/CNWI-QAAS-F131 Rev. A QMS Assessment.xls</v>
      </c>
      <c r="Q447" s="51" t="str">
        <f>E447</f>
        <v>xls</v>
      </c>
      <c r="R447" s="51"/>
      <c r="S447" s="51"/>
      <c r="T447" s="51"/>
      <c r="U447" s="51"/>
      <c r="V447" s="51"/>
      <c r="W447" s="51"/>
      <c r="X447" s="51"/>
      <c r="Y447" s="51"/>
      <c r="Z447" s="51"/>
      <c r="AA447" s="51"/>
      <c r="AB447" s="51"/>
      <c r="AC447" s="51"/>
      <c r="AD447" s="51"/>
      <c r="AG447" t="s">
        <v>28</v>
      </c>
      <c r="AH447" s="51"/>
      <c r="AI447" s="51"/>
    </row>
    <row r="448" spans="2:35">
      <c r="B448" t="s">
        <v>1857</v>
      </c>
      <c r="C448" t="s">
        <v>3187</v>
      </c>
      <c r="D448">
        <v>5</v>
      </c>
      <c r="E448" t="s">
        <v>2790</v>
      </c>
      <c r="F448">
        <v>9</v>
      </c>
      <c r="I448" t="s">
        <v>1858</v>
      </c>
      <c r="J448" s="51">
        <v>41136</v>
      </c>
      <c r="K448" t="s">
        <v>46</v>
      </c>
      <c r="L448" t="s">
        <v>1584</v>
      </c>
      <c r="M448">
        <v>3</v>
      </c>
      <c r="N448" t="str">
        <f>L448</f>
        <v>NAM\A8070</v>
      </c>
      <c r="O448" s="51">
        <f>J448</f>
        <v>41136</v>
      </c>
      <c r="P448" s="51" t="str">
        <f>C448</f>
        <v>~/cdd/olddocs/Formas/CNWI-QAAS (aseguranza de calidad)/CNWI-QAAS-F134 OOB Solar  First solar .xlsx</v>
      </c>
      <c r="Q448" s="51" t="str">
        <f>E448</f>
        <v>xlsx</v>
      </c>
      <c r="R448" s="51"/>
      <c r="S448" s="51"/>
      <c r="T448" s="51"/>
      <c r="U448" s="51"/>
      <c r="V448" s="51"/>
      <c r="W448" s="51"/>
      <c r="X448" s="51"/>
      <c r="Y448" s="51"/>
      <c r="Z448" s="51"/>
      <c r="AA448" s="51"/>
      <c r="AB448" s="51"/>
      <c r="AC448" s="51"/>
      <c r="AD448" s="51"/>
      <c r="AG448" t="s">
        <v>28</v>
      </c>
      <c r="AH448" s="51"/>
      <c r="AI448" s="51"/>
    </row>
    <row r="449" spans="2:35">
      <c r="B449" t="s">
        <v>1859</v>
      </c>
      <c r="C449" t="s">
        <v>3188</v>
      </c>
      <c r="D449">
        <v>5</v>
      </c>
      <c r="E449" t="s">
        <v>2792</v>
      </c>
      <c r="F449">
        <v>9</v>
      </c>
      <c r="I449" t="s">
        <v>1860</v>
      </c>
      <c r="J449" s="51">
        <v>41086</v>
      </c>
      <c r="K449" t="s">
        <v>27</v>
      </c>
      <c r="L449" t="s">
        <v>1584</v>
      </c>
      <c r="M449">
        <v>3</v>
      </c>
      <c r="N449" t="str">
        <f>L449</f>
        <v>NAM\A8070</v>
      </c>
      <c r="O449" s="51">
        <f>J449</f>
        <v>41086</v>
      </c>
      <c r="P449" s="51" t="str">
        <f>C449</f>
        <v>~/cdd/olddocs/Formas/CNWI-QAAS (aseguranza de calidad)/CNWI-QAAS-F135 Calendario out of box.xls</v>
      </c>
      <c r="Q449" s="51" t="str">
        <f>E449</f>
        <v>xls</v>
      </c>
      <c r="R449" s="51"/>
      <c r="S449" s="51"/>
      <c r="T449" s="51"/>
      <c r="U449" s="51"/>
      <c r="V449" s="51"/>
      <c r="W449" s="51"/>
      <c r="X449" s="51"/>
      <c r="Y449" s="51"/>
      <c r="Z449" s="51"/>
      <c r="AA449" s="51"/>
      <c r="AB449" s="51"/>
      <c r="AC449" s="51"/>
      <c r="AD449" s="51"/>
      <c r="AG449" t="s">
        <v>28</v>
      </c>
      <c r="AH449" s="51"/>
      <c r="AI449" s="51"/>
    </row>
    <row r="450" spans="2:35">
      <c r="B450" t="s">
        <v>2269</v>
      </c>
      <c r="C450" t="s">
        <v>3935</v>
      </c>
      <c r="D450">
        <v>5</v>
      </c>
      <c r="E450" t="s">
        <v>2790</v>
      </c>
      <c r="F450">
        <v>9</v>
      </c>
      <c r="I450" t="s">
        <v>2270</v>
      </c>
      <c r="J450" s="51">
        <v>41106</v>
      </c>
      <c r="K450" t="s">
        <v>27</v>
      </c>
      <c r="L450" t="s">
        <v>2063</v>
      </c>
      <c r="M450">
        <v>3</v>
      </c>
      <c r="N450" t="str">
        <f>L450</f>
        <v>NAM\MB2117</v>
      </c>
      <c r="O450" s="51">
        <f>J450</f>
        <v>41106</v>
      </c>
      <c r="P450" s="51" t="str">
        <f>C450</f>
        <v>~/cdd/olddocs/CN-QAAS (Aseguranza de calidad)/FORMAS/CNWI-QAAS-F136 Rev.A Formato para AMC.xlsx</v>
      </c>
      <c r="Q450" s="51" t="str">
        <f>E450</f>
        <v>xlsx</v>
      </c>
      <c r="R450" s="51"/>
      <c r="S450" s="51"/>
      <c r="T450" s="51"/>
      <c r="U450" s="51"/>
      <c r="V450" s="51"/>
      <c r="W450" s="51"/>
      <c r="X450" s="51"/>
      <c r="Y450" s="51"/>
      <c r="Z450" s="51"/>
      <c r="AA450" s="51"/>
      <c r="AB450" s="51"/>
      <c r="AC450" s="51"/>
      <c r="AD450" s="51"/>
      <c r="AG450" t="s">
        <v>28</v>
      </c>
      <c r="AH450" s="51"/>
      <c r="AI450" s="51"/>
    </row>
    <row r="451" spans="2:35">
      <c r="B451" t="s">
        <v>426</v>
      </c>
      <c r="C451" t="s">
        <v>3366</v>
      </c>
      <c r="D451">
        <v>5</v>
      </c>
      <c r="E451" t="s">
        <v>2791</v>
      </c>
      <c r="F451">
        <v>9</v>
      </c>
      <c r="I451" t="s">
        <v>427</v>
      </c>
      <c r="J451" s="51">
        <v>41106</v>
      </c>
      <c r="K451" t="s">
        <v>27</v>
      </c>
      <c r="L451" t="s">
        <v>222</v>
      </c>
      <c r="M451">
        <v>3</v>
      </c>
      <c r="N451" t="str">
        <f>L451</f>
        <v>NAM\MA9769</v>
      </c>
      <c r="O451" s="51">
        <f>J451</f>
        <v>41106</v>
      </c>
      <c r="P451" s="51" t="str">
        <f>C451</f>
        <v>~/cdd/olddocs/Instructivos/CNWI-QAAS/CNWI-QAAS-041 Rev. A Proceso de auditoria out of box.pdf</v>
      </c>
      <c r="Q451" s="51" t="str">
        <f>E451</f>
        <v>pdf</v>
      </c>
      <c r="R451" s="51"/>
      <c r="S451" s="51"/>
      <c r="T451" s="51"/>
      <c r="U451" s="51"/>
      <c r="V451" s="51"/>
      <c r="W451" s="51"/>
      <c r="X451" s="51"/>
      <c r="Y451" s="51"/>
      <c r="Z451" s="51"/>
      <c r="AA451" s="51"/>
      <c r="AB451" s="51"/>
      <c r="AC451" s="51"/>
      <c r="AD451" s="51"/>
      <c r="AG451" t="s">
        <v>28</v>
      </c>
      <c r="AH451" s="51"/>
      <c r="AI451" s="51"/>
    </row>
    <row r="452" spans="2:35">
      <c r="B452" t="s">
        <v>523</v>
      </c>
      <c r="C452" t="s">
        <v>3889</v>
      </c>
      <c r="D452">
        <v>5</v>
      </c>
      <c r="E452" t="s">
        <v>2790</v>
      </c>
      <c r="F452">
        <v>9</v>
      </c>
      <c r="I452" t="s">
        <v>524</v>
      </c>
      <c r="J452" s="51">
        <v>41110</v>
      </c>
      <c r="K452" t="s">
        <v>27</v>
      </c>
      <c r="L452" t="s">
        <v>520</v>
      </c>
      <c r="M452">
        <v>3</v>
      </c>
      <c r="N452" t="str">
        <f>L452</f>
        <v>NAM\AD508</v>
      </c>
      <c r="O452" s="51">
        <f>J452</f>
        <v>41110</v>
      </c>
      <c r="P452" s="51" t="str">
        <f>C452</f>
        <v>~cdd/olddocs/Formas/CNWI-QAAS (aseguranza de calidad)/CNWI-QAAS-F138 Rev. A  3 UP Nogales form.xlsx</v>
      </c>
      <c r="Q452" s="51" t="str">
        <f>E452</f>
        <v>xlsx</v>
      </c>
      <c r="R452" s="51"/>
      <c r="S452" s="51"/>
      <c r="T452" s="51"/>
      <c r="U452" s="51"/>
      <c r="V452" s="51"/>
      <c r="W452" s="51"/>
      <c r="X452" s="51"/>
      <c r="Y452" s="51"/>
      <c r="Z452" s="51"/>
      <c r="AA452" s="51"/>
      <c r="AB452" s="51"/>
      <c r="AC452" s="51"/>
      <c r="AD452" s="51"/>
      <c r="AG452" t="s">
        <v>28</v>
      </c>
      <c r="AH452" s="51"/>
      <c r="AI452" s="51"/>
    </row>
    <row r="453" spans="2:35">
      <c r="B453" t="s">
        <v>2271</v>
      </c>
      <c r="C453" t="s">
        <v>3189</v>
      </c>
      <c r="D453">
        <v>5</v>
      </c>
      <c r="E453" t="s">
        <v>2791</v>
      </c>
      <c r="F453">
        <v>9</v>
      </c>
      <c r="I453" t="s">
        <v>2272</v>
      </c>
      <c r="J453" s="51">
        <v>41113</v>
      </c>
      <c r="K453" t="s">
        <v>27</v>
      </c>
      <c r="L453" t="s">
        <v>2063</v>
      </c>
      <c r="M453">
        <v>3</v>
      </c>
      <c r="N453" t="str">
        <f>L453</f>
        <v>NAM\MB2117</v>
      </c>
      <c r="O453" s="51">
        <f>J453</f>
        <v>41113</v>
      </c>
      <c r="P453" s="51" t="str">
        <f>C453</f>
        <v>~/cdd/olddocs/Formas/CNWI-QAAS (aseguranza de calidad)/CNWI-QAAS-F139   Formato Functional Test.pdf</v>
      </c>
      <c r="Q453" s="51" t="str">
        <f>E453</f>
        <v>pdf</v>
      </c>
      <c r="R453" s="51"/>
      <c r="S453" s="51"/>
      <c r="T453" s="51"/>
      <c r="U453" s="51"/>
      <c r="V453" s="51"/>
      <c r="W453" s="51"/>
      <c r="X453" s="51"/>
      <c r="Y453" s="51"/>
      <c r="Z453" s="51"/>
      <c r="AA453" s="51"/>
      <c r="AB453" s="51"/>
      <c r="AC453" s="51"/>
      <c r="AD453" s="51"/>
      <c r="AG453" t="s">
        <v>28</v>
      </c>
      <c r="AH453" s="51"/>
      <c r="AI453" s="51"/>
    </row>
    <row r="454" spans="2:35">
      <c r="B454" t="s">
        <v>525</v>
      </c>
      <c r="C454" t="s">
        <v>3190</v>
      </c>
      <c r="D454">
        <v>5</v>
      </c>
      <c r="E454" t="s">
        <v>2790</v>
      </c>
      <c r="F454">
        <v>9</v>
      </c>
      <c r="I454" t="s">
        <v>526</v>
      </c>
      <c r="J454" s="51">
        <v>41131</v>
      </c>
      <c r="K454" t="s">
        <v>27</v>
      </c>
      <c r="L454" t="s">
        <v>520</v>
      </c>
      <c r="M454">
        <v>3</v>
      </c>
      <c r="N454" t="str">
        <f>L454</f>
        <v>NAM\AD508</v>
      </c>
      <c r="O454" s="51">
        <f>J454</f>
        <v>41131</v>
      </c>
      <c r="P454" s="51" t="str">
        <f>C454</f>
        <v>~/cdd/olddocs/Formas/CNWI-QAAS (aseguranza de calidad)/CNWI-QAAS-F143 Rev. A Standard Work Form.xlsx</v>
      </c>
      <c r="Q454" s="51" t="str">
        <f>E454</f>
        <v>xlsx</v>
      </c>
      <c r="R454" s="51"/>
      <c r="S454" s="51"/>
      <c r="T454" s="51"/>
      <c r="U454" s="51"/>
      <c r="V454" s="51"/>
      <c r="W454" s="51"/>
      <c r="X454" s="51"/>
      <c r="Y454" s="51"/>
      <c r="Z454" s="51"/>
      <c r="AA454" s="51"/>
      <c r="AB454" s="51"/>
      <c r="AC454" s="51"/>
      <c r="AD454" s="51"/>
      <c r="AG454" t="s">
        <v>28</v>
      </c>
      <c r="AH454" s="51"/>
      <c r="AI454" s="51"/>
    </row>
    <row r="455" spans="2:35">
      <c r="B455" t="s">
        <v>2273</v>
      </c>
      <c r="C455" t="s">
        <v>3191</v>
      </c>
      <c r="D455">
        <v>5</v>
      </c>
      <c r="E455" t="s">
        <v>2792</v>
      </c>
      <c r="F455">
        <v>9</v>
      </c>
      <c r="I455" t="s">
        <v>2274</v>
      </c>
      <c r="J455" s="51">
        <v>41143</v>
      </c>
      <c r="K455" t="s">
        <v>27</v>
      </c>
      <c r="L455" t="s">
        <v>2063</v>
      </c>
      <c r="M455">
        <v>3</v>
      </c>
      <c r="N455" t="str">
        <f>L455</f>
        <v>NAM\MB2117</v>
      </c>
      <c r="O455" s="51">
        <f>J455</f>
        <v>41143</v>
      </c>
      <c r="P455" s="51" t="str">
        <f>C455</f>
        <v>~/cdd/olddocs/Formas/CNWI-QAAS (aseguranza de calidad)/CNWI-QAAS-F145 BITACORA DE MOLDEO.xls</v>
      </c>
      <c r="Q455" s="51" t="str">
        <f>E455</f>
        <v>xls</v>
      </c>
      <c r="R455" s="51"/>
      <c r="S455" s="51"/>
      <c r="T455" s="51"/>
      <c r="U455" s="51"/>
      <c r="V455" s="51"/>
      <c r="W455" s="51"/>
      <c r="X455" s="51"/>
      <c r="Y455" s="51"/>
      <c r="Z455" s="51"/>
      <c r="AA455" s="51"/>
      <c r="AB455" s="51"/>
      <c r="AC455" s="51"/>
      <c r="AD455" s="51"/>
      <c r="AG455" t="s">
        <v>28</v>
      </c>
      <c r="AH455" s="51"/>
      <c r="AI455" s="51"/>
    </row>
    <row r="456" spans="2:35">
      <c r="B456" t="s">
        <v>2275</v>
      </c>
      <c r="C456" t="s">
        <v>3192</v>
      </c>
      <c r="D456">
        <v>5</v>
      </c>
      <c r="E456" t="s">
        <v>2791</v>
      </c>
      <c r="F456">
        <v>9</v>
      </c>
      <c r="I456" t="s">
        <v>2276</v>
      </c>
      <c r="J456" s="51">
        <v>41151</v>
      </c>
      <c r="K456" t="s">
        <v>27</v>
      </c>
      <c r="L456" t="s">
        <v>2063</v>
      </c>
      <c r="M456">
        <v>3</v>
      </c>
      <c r="N456" t="str">
        <f>L456</f>
        <v>NAM\MB2117</v>
      </c>
      <c r="O456" s="51">
        <f>J456</f>
        <v>41151</v>
      </c>
      <c r="P456" s="51" t="str">
        <f>C456</f>
        <v>~/cdd/olddocs/Formas/CNWI-QAAS (aseguranza de calidad)/CNWI-QAAS-F146  Control de Temperaturas de hornos.pdf</v>
      </c>
      <c r="Q456" s="51" t="str">
        <f>E456</f>
        <v>pdf</v>
      </c>
      <c r="R456" s="51"/>
      <c r="S456" s="51"/>
      <c r="T456" s="51"/>
      <c r="U456" s="51"/>
      <c r="V456" s="51"/>
      <c r="W456" s="51"/>
      <c r="X456" s="51"/>
      <c r="Y456" s="51"/>
      <c r="Z456" s="51"/>
      <c r="AA456" s="51"/>
      <c r="AB456" s="51"/>
      <c r="AC456" s="51"/>
      <c r="AD456" s="51"/>
      <c r="AG456" t="s">
        <v>28</v>
      </c>
      <c r="AH456" s="51"/>
      <c r="AI456" s="51"/>
    </row>
    <row r="457" spans="2:35">
      <c r="B457" t="s">
        <v>428</v>
      </c>
      <c r="C457" t="s">
        <v>3366</v>
      </c>
      <c r="D457">
        <v>5</v>
      </c>
      <c r="E457" t="s">
        <v>2791</v>
      </c>
      <c r="F457">
        <v>9</v>
      </c>
      <c r="I457" t="s">
        <v>429</v>
      </c>
      <c r="J457" s="51">
        <v>41162</v>
      </c>
      <c r="K457" t="s">
        <v>27</v>
      </c>
      <c r="L457" t="s">
        <v>222</v>
      </c>
      <c r="M457">
        <v>3</v>
      </c>
      <c r="N457" t="str">
        <f>L457</f>
        <v>NAM\MA9769</v>
      </c>
      <c r="O457" s="51">
        <f>J457</f>
        <v>41162</v>
      </c>
      <c r="P457" s="51" t="str">
        <f>C457</f>
        <v>~/cdd/olddocs/Instructivos/CNWI-QAAS/CNWI-QAAS-041 Rev. A Proceso de auditoria out of box.pdf</v>
      </c>
      <c r="Q457" s="51" t="str">
        <f>E457</f>
        <v>pdf</v>
      </c>
      <c r="R457" s="51"/>
      <c r="S457" s="51"/>
      <c r="T457" s="51"/>
      <c r="U457" s="51"/>
      <c r="V457" s="51"/>
      <c r="W457" s="51"/>
      <c r="X457" s="51"/>
      <c r="Y457" s="51"/>
      <c r="Z457" s="51"/>
      <c r="AA457" s="51"/>
      <c r="AB457" s="51"/>
      <c r="AC457" s="51"/>
      <c r="AD457" s="51"/>
      <c r="AG457" t="s">
        <v>28</v>
      </c>
      <c r="AH457" s="51"/>
      <c r="AI457" s="51"/>
    </row>
    <row r="458" spans="2:35">
      <c r="B458" t="s">
        <v>430</v>
      </c>
      <c r="C458" t="s">
        <v>3366</v>
      </c>
      <c r="D458">
        <v>5</v>
      </c>
      <c r="E458" t="s">
        <v>2791</v>
      </c>
      <c r="F458">
        <v>9</v>
      </c>
      <c r="I458" t="s">
        <v>431</v>
      </c>
      <c r="J458" s="51">
        <v>41177</v>
      </c>
      <c r="K458" t="s">
        <v>27</v>
      </c>
      <c r="L458" t="s">
        <v>222</v>
      </c>
      <c r="M458">
        <v>3</v>
      </c>
      <c r="N458" t="str">
        <f>L458</f>
        <v>NAM\MA9769</v>
      </c>
      <c r="O458" s="51">
        <f>J458</f>
        <v>41177</v>
      </c>
      <c r="P458" s="51" t="str">
        <f>C458</f>
        <v>~/cdd/olddocs/Instructivos/CNWI-QAAS/CNWI-QAAS-041 Rev. A Proceso de auditoria out of box.pdf</v>
      </c>
      <c r="Q458" s="51" t="str">
        <f>E458</f>
        <v>pdf</v>
      </c>
      <c r="R458" s="51"/>
      <c r="S458" s="51"/>
      <c r="T458" s="51"/>
      <c r="U458" s="51"/>
      <c r="V458" s="51"/>
      <c r="W458" s="51"/>
      <c r="X458" s="51"/>
      <c r="Y458" s="51"/>
      <c r="Z458" s="51"/>
      <c r="AA458" s="51"/>
      <c r="AB458" s="51"/>
      <c r="AC458" s="51"/>
      <c r="AD458" s="51"/>
      <c r="AG458" t="s">
        <v>28</v>
      </c>
      <c r="AH458" s="51"/>
      <c r="AI458" s="51"/>
    </row>
    <row r="459" spans="2:35">
      <c r="B459" t="s">
        <v>1861</v>
      </c>
      <c r="C459" t="s">
        <v>3936</v>
      </c>
      <c r="D459">
        <v>5</v>
      </c>
      <c r="E459" t="s">
        <v>2790</v>
      </c>
      <c r="F459">
        <v>9</v>
      </c>
      <c r="I459" t="s">
        <v>1862</v>
      </c>
      <c r="J459" s="51">
        <v>41179</v>
      </c>
      <c r="K459" t="s">
        <v>27</v>
      </c>
      <c r="L459" t="s">
        <v>1584</v>
      </c>
      <c r="M459">
        <v>3</v>
      </c>
      <c r="N459" t="str">
        <f>L459</f>
        <v>NAM\A8070</v>
      </c>
      <c r="O459" s="51">
        <f>J459</f>
        <v>41179</v>
      </c>
      <c r="P459" s="51" t="str">
        <f>C459</f>
        <v>~/cdd/olddocs/CN-QAAS (Aseguranza de calidad)/FORMAS/CNWI-QAAS-F152  Rev. A TABLA HORACIADORA.xlsx</v>
      </c>
      <c r="Q459" s="51" t="str">
        <f>E459</f>
        <v>xlsx</v>
      </c>
      <c r="R459" s="51"/>
      <c r="S459" s="51"/>
      <c r="T459" s="51"/>
      <c r="U459" s="51"/>
      <c r="V459" s="51"/>
      <c r="W459" s="51"/>
      <c r="X459" s="51"/>
      <c r="Y459" s="51"/>
      <c r="Z459" s="51"/>
      <c r="AA459" s="51"/>
      <c r="AB459" s="51"/>
      <c r="AC459" s="51"/>
      <c r="AD459" s="51"/>
      <c r="AG459" t="s">
        <v>28</v>
      </c>
      <c r="AH459" s="51"/>
      <c r="AI459" s="51"/>
    </row>
    <row r="460" spans="2:35">
      <c r="B460" t="s">
        <v>432</v>
      </c>
      <c r="C460" t="s">
        <v>3366</v>
      </c>
      <c r="D460">
        <v>5</v>
      </c>
      <c r="E460" t="s">
        <v>2791</v>
      </c>
      <c r="F460">
        <v>9</v>
      </c>
      <c r="I460" t="s">
        <v>433</v>
      </c>
      <c r="J460" s="51">
        <v>41179</v>
      </c>
      <c r="K460" t="s">
        <v>27</v>
      </c>
      <c r="L460" t="s">
        <v>222</v>
      </c>
      <c r="M460">
        <v>3</v>
      </c>
      <c r="N460" t="str">
        <f>L460</f>
        <v>NAM\MA9769</v>
      </c>
      <c r="O460" s="51">
        <f>J460</f>
        <v>41179</v>
      </c>
      <c r="P460" s="51" t="str">
        <f>C460</f>
        <v>~/cdd/olddocs/Instructivos/CNWI-QAAS/CNWI-QAAS-041 Rev. A Proceso de auditoria out of box.pdf</v>
      </c>
      <c r="Q460" s="51" t="str">
        <f>E460</f>
        <v>pdf</v>
      </c>
      <c r="R460" s="51"/>
      <c r="S460" s="51"/>
      <c r="T460" s="51"/>
      <c r="U460" s="51"/>
      <c r="V460" s="51"/>
      <c r="W460" s="51"/>
      <c r="X460" s="51"/>
      <c r="Y460" s="51"/>
      <c r="Z460" s="51"/>
      <c r="AA460" s="51"/>
      <c r="AB460" s="51"/>
      <c r="AC460" s="51"/>
      <c r="AD460" s="51"/>
      <c r="AG460" t="s">
        <v>28</v>
      </c>
      <c r="AH460" s="51"/>
      <c r="AI460" s="51"/>
    </row>
    <row r="461" spans="2:35">
      <c r="B461" t="s">
        <v>136</v>
      </c>
      <c r="C461" t="s">
        <v>3367</v>
      </c>
      <c r="D461">
        <v>4</v>
      </c>
      <c r="E461" t="s">
        <v>2791</v>
      </c>
      <c r="F461">
        <v>7</v>
      </c>
      <c r="G461">
        <v>27</v>
      </c>
      <c r="I461" t="s">
        <v>140</v>
      </c>
      <c r="J461" s="51">
        <v>40667</v>
      </c>
      <c r="K461" t="s">
        <v>46</v>
      </c>
      <c r="L461" t="s">
        <v>142</v>
      </c>
      <c r="M461">
        <v>3</v>
      </c>
      <c r="N461" t="str">
        <f>L461</f>
        <v>NAM\MB4290</v>
      </c>
      <c r="O461" s="51">
        <f>J461</f>
        <v>40667</v>
      </c>
      <c r="P461" s="51" t="str">
        <f>C461</f>
        <v>~/cdd/olddocs/Instructivos/CNWI-SHAE/CNWI-SHAE-0001 Control de Accesos.pdf</v>
      </c>
      <c r="Q461" s="51" t="str">
        <f>E461</f>
        <v>pdf</v>
      </c>
      <c r="R461" s="51"/>
      <c r="S461" s="51"/>
      <c r="T461" s="51"/>
      <c r="U461" s="51"/>
      <c r="V461" s="51"/>
      <c r="W461" s="51"/>
      <c r="X461" s="51"/>
      <c r="Y461" s="51"/>
      <c r="Z461" s="51"/>
      <c r="AA461" s="51"/>
      <c r="AB461" s="51"/>
      <c r="AC461" s="51"/>
      <c r="AD461" s="51"/>
      <c r="AG461" t="s">
        <v>28</v>
      </c>
      <c r="AH461" s="51"/>
      <c r="AI461" s="51"/>
    </row>
    <row r="462" spans="2:35">
      <c r="B462" t="s">
        <v>143</v>
      </c>
      <c r="C462" t="s">
        <v>3368</v>
      </c>
      <c r="D462">
        <v>4</v>
      </c>
      <c r="E462" t="s">
        <v>2791</v>
      </c>
      <c r="F462">
        <v>7</v>
      </c>
      <c r="G462">
        <v>27</v>
      </c>
      <c r="I462" t="s">
        <v>144</v>
      </c>
      <c r="J462" s="51">
        <v>40721</v>
      </c>
      <c r="K462" t="s">
        <v>27</v>
      </c>
      <c r="L462" t="s">
        <v>142</v>
      </c>
      <c r="M462">
        <v>3</v>
      </c>
      <c r="N462" t="str">
        <f>L462</f>
        <v>NAM\MB4290</v>
      </c>
      <c r="O462" s="51">
        <f>J462</f>
        <v>40721</v>
      </c>
      <c r="P462" s="51" t="str">
        <f>C462</f>
        <v>~/cdd/olddocs/Instructivos/CNWI-SHAE/CNWI-SHAE-0002 Reglas de seguridad.pdf</v>
      </c>
      <c r="Q462" s="51" t="str">
        <f>E462</f>
        <v>pdf</v>
      </c>
      <c r="R462" s="51"/>
      <c r="S462" s="51"/>
      <c r="T462" s="51"/>
      <c r="U462" s="51"/>
      <c r="V462" s="51"/>
      <c r="W462" s="51"/>
      <c r="X462" s="51"/>
      <c r="Y462" s="51"/>
      <c r="Z462" s="51"/>
      <c r="AA462" s="51"/>
      <c r="AB462" s="51"/>
      <c r="AC462" s="51"/>
      <c r="AD462" s="51"/>
      <c r="AG462" t="s">
        <v>28</v>
      </c>
      <c r="AH462" s="51"/>
      <c r="AI462" s="51"/>
    </row>
    <row r="463" spans="2:35">
      <c r="B463" t="s">
        <v>145</v>
      </c>
      <c r="C463" t="s">
        <v>3369</v>
      </c>
      <c r="D463">
        <v>4</v>
      </c>
      <c r="E463" t="s">
        <v>2791</v>
      </c>
      <c r="F463">
        <v>7</v>
      </c>
      <c r="G463">
        <v>27</v>
      </c>
      <c r="I463" t="s">
        <v>146</v>
      </c>
      <c r="J463" s="51">
        <v>40631</v>
      </c>
      <c r="K463" t="s">
        <v>27</v>
      </c>
      <c r="L463" t="s">
        <v>142</v>
      </c>
      <c r="M463">
        <v>3</v>
      </c>
      <c r="N463" t="str">
        <f>L463</f>
        <v>NAM\MB4290</v>
      </c>
      <c r="O463" s="51">
        <f>J463</f>
        <v>40631</v>
      </c>
      <c r="P463" s="51" t="str">
        <f>C463</f>
        <v>~/cdd/olddocs/Instructivos/CNWI-SHAE/CNWI-SHAE-0003 Programa de Seguridad Azul.pdf</v>
      </c>
      <c r="Q463" s="51" t="str">
        <f>E463</f>
        <v>pdf</v>
      </c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G463" t="s">
        <v>28</v>
      </c>
      <c r="AH463" s="51"/>
      <c r="AI463" s="51"/>
    </row>
    <row r="464" spans="2:35">
      <c r="B464" t="s">
        <v>147</v>
      </c>
      <c r="C464" t="s">
        <v>3370</v>
      </c>
      <c r="D464">
        <v>4</v>
      </c>
      <c r="E464" t="s">
        <v>2791</v>
      </c>
      <c r="F464">
        <v>7</v>
      </c>
      <c r="G464">
        <v>27</v>
      </c>
      <c r="I464" t="s">
        <v>148</v>
      </c>
      <c r="J464" s="51">
        <v>40630</v>
      </c>
      <c r="K464" t="s">
        <v>27</v>
      </c>
      <c r="L464" t="s">
        <v>142</v>
      </c>
      <c r="M464">
        <v>3</v>
      </c>
      <c r="N464" t="str">
        <f>L464</f>
        <v>NAM\MB4290</v>
      </c>
      <c r="O464" s="51">
        <f>J464</f>
        <v>40630</v>
      </c>
      <c r="P464" s="51" t="str">
        <f>C464</f>
        <v>~/cdd/olddocs/Instructivos/CNWI-SHAE/CNWI-SHAE-0004 Infraestructura y Ambiente de Trabajo.pdf</v>
      </c>
      <c r="Q464" s="51" t="str">
        <f>E464</f>
        <v>pdf</v>
      </c>
      <c r="R464" s="51"/>
      <c r="S464" s="51"/>
      <c r="T464" s="51"/>
      <c r="U464" s="51"/>
      <c r="V464" s="51"/>
      <c r="W464" s="51"/>
      <c r="X464" s="51"/>
      <c r="Y464" s="51"/>
      <c r="Z464" s="51"/>
      <c r="AA464" s="51"/>
      <c r="AB464" s="51"/>
      <c r="AC464" s="51"/>
      <c r="AD464" s="51"/>
      <c r="AG464" t="s">
        <v>28</v>
      </c>
      <c r="AH464" s="51"/>
      <c r="AI464" s="51"/>
    </row>
    <row r="465" spans="2:35">
      <c r="B465" t="s">
        <v>149</v>
      </c>
      <c r="C465" t="s">
        <v>3945</v>
      </c>
      <c r="D465">
        <v>4</v>
      </c>
      <c r="E465" t="s">
        <v>2797</v>
      </c>
      <c r="F465">
        <v>7</v>
      </c>
      <c r="G465">
        <v>27</v>
      </c>
      <c r="I465" t="s">
        <v>150</v>
      </c>
      <c r="J465" s="51">
        <v>41117</v>
      </c>
      <c r="K465" t="s">
        <v>27</v>
      </c>
      <c r="L465" t="s">
        <v>142</v>
      </c>
      <c r="M465">
        <v>3</v>
      </c>
      <c r="N465" t="str">
        <f>L465</f>
        <v>NAM\MB4290</v>
      </c>
      <c r="O465" s="51">
        <f>J465</f>
        <v>41117</v>
      </c>
      <c r="P465" s="51" t="str">
        <f>C465</f>
        <v>~/cdd/olddocs/CN-SHAE (Seguridad e higiene y medio ambiente)/WI/CNWI-SHAE-0005 Mantenimiento y Limpieza de Rampa 9.docx</v>
      </c>
      <c r="Q465" s="51" t="str">
        <f>E465</f>
        <v>docx</v>
      </c>
      <c r="R465" s="51"/>
      <c r="S465" s="51"/>
      <c r="T465" s="51"/>
      <c r="U465" s="51"/>
      <c r="V465" s="51"/>
      <c r="W465" s="51"/>
      <c r="X465" s="51"/>
      <c r="Y465" s="51"/>
      <c r="Z465" s="51"/>
      <c r="AA465" s="51"/>
      <c r="AB465" s="51"/>
      <c r="AC465" s="51"/>
      <c r="AD465" s="51"/>
      <c r="AG465" t="s">
        <v>28</v>
      </c>
      <c r="AH465" s="51"/>
      <c r="AI465" s="51"/>
    </row>
    <row r="466" spans="2:35">
      <c r="B466" t="s">
        <v>151</v>
      </c>
      <c r="C466" t="s">
        <v>3371</v>
      </c>
      <c r="D466">
        <v>4</v>
      </c>
      <c r="E466" t="s">
        <v>2791</v>
      </c>
      <c r="F466">
        <v>7</v>
      </c>
      <c r="G466">
        <v>27</v>
      </c>
      <c r="I466" t="s">
        <v>152</v>
      </c>
      <c r="J466" s="51">
        <v>40928</v>
      </c>
      <c r="K466" t="s">
        <v>27</v>
      </c>
      <c r="L466" t="s">
        <v>142</v>
      </c>
      <c r="M466">
        <v>3</v>
      </c>
      <c r="N466" t="str">
        <f>L466</f>
        <v>NAM\MB4290</v>
      </c>
      <c r="O466" s="51">
        <f>J466</f>
        <v>40928</v>
      </c>
      <c r="P466" s="51" t="str">
        <f>C466</f>
        <v>~/cdd/olddocs/Instructivos/CNWI-SHAE/CNWI-SHAE-0006 Plan de contingencia.pdf</v>
      </c>
      <c r="Q466" s="51" t="str">
        <f>E466</f>
        <v>pdf</v>
      </c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G466" t="s">
        <v>28</v>
      </c>
      <c r="AH466" s="51"/>
      <c r="AI466" s="51"/>
    </row>
    <row r="467" spans="2:35">
      <c r="B467" t="s">
        <v>153</v>
      </c>
      <c r="C467" t="s">
        <v>3372</v>
      </c>
      <c r="D467">
        <v>4</v>
      </c>
      <c r="E467" t="s">
        <v>2791</v>
      </c>
      <c r="F467">
        <v>7</v>
      </c>
      <c r="G467">
        <v>27</v>
      </c>
      <c r="I467" t="s">
        <v>154</v>
      </c>
      <c r="J467" s="51">
        <v>40931</v>
      </c>
      <c r="K467" t="s">
        <v>27</v>
      </c>
      <c r="L467" t="s">
        <v>142</v>
      </c>
      <c r="M467">
        <v>3</v>
      </c>
      <c r="N467" t="str">
        <f>L467</f>
        <v>NAM\MB4290</v>
      </c>
      <c r="O467" s="51">
        <f>J467</f>
        <v>40931</v>
      </c>
      <c r="P467" s="51" t="str">
        <f>C467</f>
        <v>~/cdd/olddocs/Instructivos/CNWI-SHAE/CNWI-SHAE-0007 Comunicacion de riesgos.pdf</v>
      </c>
      <c r="Q467" s="51" t="str">
        <f>E467</f>
        <v>pdf</v>
      </c>
      <c r="R467" s="51"/>
      <c r="S467" s="51"/>
      <c r="T467" s="51"/>
      <c r="U467" s="51"/>
      <c r="V467" s="51"/>
      <c r="W467" s="51"/>
      <c r="X467" s="51"/>
      <c r="Y467" s="51"/>
      <c r="Z467" s="51"/>
      <c r="AA467" s="51"/>
      <c r="AB467" s="51"/>
      <c r="AC467" s="51"/>
      <c r="AD467" s="51"/>
      <c r="AG467" t="s">
        <v>28</v>
      </c>
      <c r="AH467" s="51"/>
      <c r="AI467" s="51"/>
    </row>
    <row r="468" spans="2:35">
      <c r="B468" t="s">
        <v>155</v>
      </c>
      <c r="C468" t="s">
        <v>3373</v>
      </c>
      <c r="D468">
        <v>4</v>
      </c>
      <c r="E468" t="s">
        <v>2791</v>
      </c>
      <c r="F468">
        <v>7</v>
      </c>
      <c r="G468">
        <v>27</v>
      </c>
      <c r="I468" t="s">
        <v>156</v>
      </c>
      <c r="J468" s="51">
        <v>40939</v>
      </c>
      <c r="K468" t="s">
        <v>27</v>
      </c>
      <c r="L468" t="s">
        <v>142</v>
      </c>
      <c r="M468">
        <v>3</v>
      </c>
      <c r="N468" t="str">
        <f>L468</f>
        <v>NAM\MB4290</v>
      </c>
      <c r="O468" s="51">
        <f>J468</f>
        <v>40939</v>
      </c>
      <c r="P468" s="51" t="str">
        <f>C468</f>
        <v>~/cdd/olddocs/Instructivos/CNWI-SHAE/CNWI-SHAE-0008 Procedimiento FOD (eliminación de objetos extraños).pdf</v>
      </c>
      <c r="Q468" s="51" t="str">
        <f>E468</f>
        <v>pdf</v>
      </c>
      <c r="R468" s="51"/>
      <c r="S468" s="51"/>
      <c r="T468" s="51"/>
      <c r="U468" s="51"/>
      <c r="V468" s="51"/>
      <c r="W468" s="51"/>
      <c r="X468" s="51"/>
      <c r="Y468" s="51"/>
      <c r="Z468" s="51"/>
      <c r="AA468" s="51"/>
      <c r="AB468" s="51"/>
      <c r="AC468" s="51"/>
      <c r="AD468" s="51"/>
      <c r="AG468" t="s">
        <v>28</v>
      </c>
      <c r="AH468" s="51"/>
      <c r="AI468" s="51"/>
    </row>
    <row r="469" spans="2:35">
      <c r="B469" t="s">
        <v>157</v>
      </c>
      <c r="C469" t="s">
        <v>3199</v>
      </c>
      <c r="D469">
        <v>5</v>
      </c>
      <c r="E469" t="s">
        <v>2792</v>
      </c>
      <c r="F469">
        <v>7</v>
      </c>
      <c r="G469">
        <v>27</v>
      </c>
      <c r="I469" t="s">
        <v>158</v>
      </c>
      <c r="J469" s="51">
        <v>40560</v>
      </c>
      <c r="K469" t="s">
        <v>159</v>
      </c>
      <c r="L469" t="s">
        <v>142</v>
      </c>
      <c r="M469">
        <v>3</v>
      </c>
      <c r="N469" t="str">
        <f>L469</f>
        <v>NAM\MB4290</v>
      </c>
      <c r="O469" s="51">
        <f>J469</f>
        <v>40560</v>
      </c>
      <c r="P469" s="51" t="str">
        <f>C469</f>
        <v>~/cdd/olddocs/Formas/CNWI-SHAE (Seguridad e higiene y medio ambiente)/CNWI-SHAE-F001 Formato de Evaluacion 5s.xls</v>
      </c>
      <c r="Q469" s="51" t="str">
        <f>E469</f>
        <v>xls</v>
      </c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G469" t="s">
        <v>28</v>
      </c>
      <c r="AH469" s="51"/>
      <c r="AI469" s="51"/>
    </row>
    <row r="470" spans="2:35">
      <c r="B470" t="s">
        <v>160</v>
      </c>
      <c r="C470" t="s">
        <v>3200</v>
      </c>
      <c r="D470">
        <v>5</v>
      </c>
      <c r="E470" t="s">
        <v>2792</v>
      </c>
      <c r="F470">
        <v>7</v>
      </c>
      <c r="G470">
        <v>27</v>
      </c>
      <c r="I470" t="s">
        <v>161</v>
      </c>
      <c r="J470" s="51">
        <v>40604</v>
      </c>
      <c r="K470" t="s">
        <v>27</v>
      </c>
      <c r="L470" t="s">
        <v>142</v>
      </c>
      <c r="M470">
        <v>3</v>
      </c>
      <c r="N470" t="str">
        <f>L470</f>
        <v>NAM\MB4290</v>
      </c>
      <c r="O470" s="51">
        <f>J470</f>
        <v>40604</v>
      </c>
      <c r="P470" s="51" t="str">
        <f>C470</f>
        <v>~/cdd/olddocs/Formas/CNWI-SHAE (Seguridad e higiene y medio ambiente)/CNWI-SHAE-F002 orden de trabajo planta .xls</v>
      </c>
      <c r="Q470" s="51" t="str">
        <f>E470</f>
        <v>xls</v>
      </c>
      <c r="R470" s="51"/>
      <c r="S470" s="51"/>
      <c r="T470" s="51"/>
      <c r="U470" s="51"/>
      <c r="V470" s="51"/>
      <c r="W470" s="51"/>
      <c r="X470" s="51"/>
      <c r="Y470" s="51"/>
      <c r="Z470" s="51"/>
      <c r="AA470" s="51"/>
      <c r="AB470" s="51"/>
      <c r="AC470" s="51"/>
      <c r="AD470" s="51"/>
      <c r="AG470" t="s">
        <v>28</v>
      </c>
      <c r="AH470" s="51"/>
      <c r="AI470" s="51"/>
    </row>
    <row r="471" spans="2:35">
      <c r="B471" t="s">
        <v>162</v>
      </c>
      <c r="C471" t="s">
        <v>3201</v>
      </c>
      <c r="D471">
        <v>5</v>
      </c>
      <c r="E471" t="s">
        <v>2792</v>
      </c>
      <c r="F471">
        <v>7</v>
      </c>
      <c r="G471">
        <v>27</v>
      </c>
      <c r="I471" t="s">
        <v>163</v>
      </c>
      <c r="J471" s="51">
        <v>40604</v>
      </c>
      <c r="K471" t="s">
        <v>27</v>
      </c>
      <c r="L471" t="s">
        <v>142</v>
      </c>
      <c r="M471">
        <v>3</v>
      </c>
      <c r="N471" t="str">
        <f>L471</f>
        <v>NAM\MB4290</v>
      </c>
      <c r="O471" s="51">
        <f>J471</f>
        <v>40604</v>
      </c>
      <c r="P471" s="51" t="str">
        <f>C471</f>
        <v>~/cdd/olddocs/Formas/CNWI-SHAE (Seguridad e higiene y medio ambiente)/CNWI-SHAE-F003 Registro de visitantes .xls</v>
      </c>
      <c r="Q471" s="51" t="str">
        <f>E471</f>
        <v>xls</v>
      </c>
      <c r="R471" s="51"/>
      <c r="S471" s="51"/>
      <c r="T471" s="51"/>
      <c r="U471" s="51"/>
      <c r="V471" s="51"/>
      <c r="W471" s="51"/>
      <c r="X471" s="51"/>
      <c r="Y471" s="51"/>
      <c r="Z471" s="51"/>
      <c r="AA471" s="51"/>
      <c r="AB471" s="51"/>
      <c r="AC471" s="51"/>
      <c r="AD471" s="51"/>
      <c r="AG471" t="s">
        <v>28</v>
      </c>
      <c r="AH471" s="51"/>
      <c r="AI471" s="51"/>
    </row>
    <row r="472" spans="2:35">
      <c r="B472" t="s">
        <v>164</v>
      </c>
      <c r="C472" t="s">
        <v>3202</v>
      </c>
      <c r="D472">
        <v>5</v>
      </c>
      <c r="E472" t="s">
        <v>2792</v>
      </c>
      <c r="F472">
        <v>7</v>
      </c>
      <c r="G472">
        <v>27</v>
      </c>
      <c r="I472" t="s">
        <v>165</v>
      </c>
      <c r="J472" s="51">
        <v>40604</v>
      </c>
      <c r="K472" t="s">
        <v>27</v>
      </c>
      <c r="L472" t="s">
        <v>142</v>
      </c>
      <c r="M472">
        <v>3</v>
      </c>
      <c r="N472" t="str">
        <f>L472</f>
        <v>NAM\MB4290</v>
      </c>
      <c r="O472" s="51">
        <f>J472</f>
        <v>40604</v>
      </c>
      <c r="P472" s="51" t="str">
        <f>C472</f>
        <v>~/cdd/olddocs/Formas/CNWI-SHAE (Seguridad e higiene y medio ambiente)/CNWI-SHAE-F004 control de entradas y salidas contratistas .xls</v>
      </c>
      <c r="Q472" s="51" t="str">
        <f>E472</f>
        <v>xls</v>
      </c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G472" t="s">
        <v>28</v>
      </c>
      <c r="AH472" s="51"/>
      <c r="AI472" s="51"/>
    </row>
    <row r="473" spans="2:35">
      <c r="B473" t="s">
        <v>166</v>
      </c>
      <c r="C473" t="s">
        <v>3203</v>
      </c>
      <c r="D473">
        <v>5</v>
      </c>
      <c r="E473" t="s">
        <v>2792</v>
      </c>
      <c r="F473">
        <v>7</v>
      </c>
      <c r="G473">
        <v>27</v>
      </c>
      <c r="I473" t="s">
        <v>167</v>
      </c>
      <c r="J473" s="51">
        <v>40604</v>
      </c>
      <c r="K473" t="s">
        <v>27</v>
      </c>
      <c r="L473" t="s">
        <v>142</v>
      </c>
      <c r="M473">
        <v>3</v>
      </c>
      <c r="N473" t="str">
        <f>L473</f>
        <v>NAM\MB4290</v>
      </c>
      <c r="O473" s="51">
        <f>J473</f>
        <v>40604</v>
      </c>
      <c r="P473" s="51" t="str">
        <f>C473</f>
        <v>~/cdd/olddocs/Formas/CNWI-SHAE (Seguridad e higiene y medio ambiente)/CNWI-SHAE-F005 control de entra y salida de herramienta .xls</v>
      </c>
      <c r="Q473" s="51" t="str">
        <f>E473</f>
        <v>xls</v>
      </c>
      <c r="R473" s="51"/>
      <c r="S473" s="51"/>
      <c r="T473" s="51"/>
      <c r="U473" s="51"/>
      <c r="V473" s="51"/>
      <c r="W473" s="51"/>
      <c r="X473" s="51"/>
      <c r="Y473" s="51"/>
      <c r="Z473" s="51"/>
      <c r="AA473" s="51"/>
      <c r="AB473" s="51"/>
      <c r="AC473" s="51"/>
      <c r="AD473" s="51"/>
      <c r="AG473" t="s">
        <v>28</v>
      </c>
      <c r="AH473" s="51"/>
      <c r="AI473" s="51"/>
    </row>
    <row r="474" spans="2:35">
      <c r="B474" t="s">
        <v>168</v>
      </c>
      <c r="C474" t="s">
        <v>3204</v>
      </c>
      <c r="D474">
        <v>5</v>
      </c>
      <c r="E474" t="s">
        <v>2792</v>
      </c>
      <c r="F474">
        <v>7</v>
      </c>
      <c r="G474">
        <v>27</v>
      </c>
      <c r="I474" t="s">
        <v>169</v>
      </c>
      <c r="J474" s="51">
        <v>40617</v>
      </c>
      <c r="K474" t="s">
        <v>27</v>
      </c>
      <c r="L474" t="s">
        <v>142</v>
      </c>
      <c r="M474">
        <v>3</v>
      </c>
      <c r="N474" t="str">
        <f>L474</f>
        <v>NAM\MB4290</v>
      </c>
      <c r="O474" s="51">
        <f>J474</f>
        <v>40617</v>
      </c>
      <c r="P474" s="51" t="str">
        <f>C474</f>
        <v>~/cdd/olddocs/Formas/CNWI-SHAE (Seguridad e higiene y medio ambiente)/CNWI-SHAE-F006 Safety Cross.xls</v>
      </c>
      <c r="Q474" s="51" t="str">
        <f>E474</f>
        <v>xls</v>
      </c>
      <c r="R474" s="51"/>
      <c r="S474" s="51"/>
      <c r="T474" s="51"/>
      <c r="U474" s="51"/>
      <c r="V474" s="51"/>
      <c r="W474" s="51"/>
      <c r="X474" s="51"/>
      <c r="Y474" s="51"/>
      <c r="Z474" s="51"/>
      <c r="AA474" s="51"/>
      <c r="AB474" s="51"/>
      <c r="AC474" s="51"/>
      <c r="AD474" s="51"/>
      <c r="AG474" t="s">
        <v>28</v>
      </c>
      <c r="AH474" s="51"/>
      <c r="AI474" s="51"/>
    </row>
    <row r="475" spans="2:35">
      <c r="B475" t="s">
        <v>170</v>
      </c>
      <c r="C475" t="s">
        <v>3205</v>
      </c>
      <c r="D475">
        <v>5</v>
      </c>
      <c r="E475" t="s">
        <v>2792</v>
      </c>
      <c r="F475">
        <v>7</v>
      </c>
      <c r="G475">
        <v>27</v>
      </c>
      <c r="I475" t="s">
        <v>172</v>
      </c>
      <c r="J475" s="51">
        <v>40617</v>
      </c>
      <c r="K475" t="s">
        <v>27</v>
      </c>
      <c r="L475" t="s">
        <v>142</v>
      </c>
      <c r="M475">
        <v>3</v>
      </c>
      <c r="N475" t="str">
        <f>L475</f>
        <v>NAM\MB4290</v>
      </c>
      <c r="O475" s="51">
        <f>J475</f>
        <v>40617</v>
      </c>
      <c r="P475" s="51" t="str">
        <f>C475</f>
        <v>~/cdd/olddocs/Formas/CNWI-SHAE (Seguridad e higiene y medio ambiente)/CNWI-SHAE-F007 Tarjeta de hallazgo.xls</v>
      </c>
      <c r="Q475" s="51" t="str">
        <f>E475</f>
        <v>xls</v>
      </c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G475" t="s">
        <v>28</v>
      </c>
      <c r="AH475" s="51"/>
      <c r="AI475" s="51"/>
    </row>
    <row r="476" spans="2:35">
      <c r="B476" t="s">
        <v>173</v>
      </c>
      <c r="C476" t="s">
        <v>3206</v>
      </c>
      <c r="D476">
        <v>5</v>
      </c>
      <c r="E476" t="s">
        <v>2794</v>
      </c>
      <c r="F476">
        <v>7</v>
      </c>
      <c r="G476">
        <v>27</v>
      </c>
      <c r="I476" t="s">
        <v>174</v>
      </c>
      <c r="J476" s="51">
        <v>40620</v>
      </c>
      <c r="K476" t="s">
        <v>27</v>
      </c>
      <c r="L476" t="s">
        <v>142</v>
      </c>
      <c r="M476">
        <v>3</v>
      </c>
      <c r="N476" t="str">
        <f>L476</f>
        <v>NAM\MB4290</v>
      </c>
      <c r="O476" s="51">
        <f>J476</f>
        <v>40620</v>
      </c>
      <c r="P476" s="51" t="str">
        <f>C476</f>
        <v>~/cdd/olddocs/Formas/CNWI-SHAE (Seguridad e higiene y medio ambiente)/CNWI-SHAE-F008 Formato de aprobación de quimico nuevo.doc</v>
      </c>
      <c r="Q476" s="51" t="str">
        <f>E476</f>
        <v>doc</v>
      </c>
      <c r="R476" s="51"/>
      <c r="S476" s="51"/>
      <c r="T476" s="51"/>
      <c r="U476" s="51"/>
      <c r="V476" s="51"/>
      <c r="W476" s="51"/>
      <c r="X476" s="51"/>
      <c r="Y476" s="51"/>
      <c r="Z476" s="51"/>
      <c r="AA476" s="51"/>
      <c r="AB476" s="51"/>
      <c r="AC476" s="51"/>
      <c r="AD476" s="51"/>
      <c r="AG476" t="s">
        <v>28</v>
      </c>
      <c r="AH476" s="51"/>
      <c r="AI476" s="51"/>
    </row>
    <row r="477" spans="2:35">
      <c r="B477" t="s">
        <v>175</v>
      </c>
      <c r="C477" t="s">
        <v>3207</v>
      </c>
      <c r="D477">
        <v>5</v>
      </c>
      <c r="E477" t="s">
        <v>2794</v>
      </c>
      <c r="F477">
        <v>7</v>
      </c>
      <c r="G477">
        <v>27</v>
      </c>
      <c r="I477" t="s">
        <v>176</v>
      </c>
      <c r="J477" s="51">
        <v>40655</v>
      </c>
      <c r="K477" t="s">
        <v>27</v>
      </c>
      <c r="L477" t="s">
        <v>142</v>
      </c>
      <c r="M477">
        <v>3</v>
      </c>
      <c r="N477" t="str">
        <f>L477</f>
        <v>NAM\MB4290</v>
      </c>
      <c r="O477" s="51">
        <f>J477</f>
        <v>40655</v>
      </c>
      <c r="P477" s="51" t="str">
        <f>C477</f>
        <v>~/cdd/olddocs/Formas/CNWI-SHAE (Seguridad e higiene y medio ambiente)/CNWI-SHAE-F009 Formato AST.doc</v>
      </c>
      <c r="Q477" s="51" t="str">
        <f>E477</f>
        <v>doc</v>
      </c>
      <c r="R477" s="51"/>
      <c r="S477" s="51"/>
      <c r="T477" s="51"/>
      <c r="U477" s="51"/>
      <c r="V477" s="51"/>
      <c r="W477" s="51"/>
      <c r="X477" s="51"/>
      <c r="Y477" s="51"/>
      <c r="Z477" s="51"/>
      <c r="AA477" s="51"/>
      <c r="AB477" s="51"/>
      <c r="AC477" s="51"/>
      <c r="AD477" s="51"/>
      <c r="AG477" t="s">
        <v>28</v>
      </c>
      <c r="AH477" s="51"/>
      <c r="AI477" s="51"/>
    </row>
    <row r="478" spans="2:35">
      <c r="B478" t="s">
        <v>177</v>
      </c>
      <c r="C478" t="s">
        <v>3208</v>
      </c>
      <c r="D478">
        <v>5</v>
      </c>
      <c r="E478" t="s">
        <v>2798</v>
      </c>
      <c r="F478">
        <v>7</v>
      </c>
      <c r="G478">
        <v>27</v>
      </c>
      <c r="I478" t="s">
        <v>179</v>
      </c>
      <c r="J478" s="51">
        <v>40689</v>
      </c>
      <c r="K478" t="s">
        <v>27</v>
      </c>
      <c r="L478" t="s">
        <v>142</v>
      </c>
      <c r="M478">
        <v>3</v>
      </c>
      <c r="N478" t="str">
        <f>L478</f>
        <v>NAM\MB4290</v>
      </c>
      <c r="O478" s="51">
        <f>J478</f>
        <v>40689</v>
      </c>
      <c r="P478" s="51" t="str">
        <f>C478</f>
        <v>~/cdd/olddocs/Formas/CNWI-SHAE (Seguridad e higiene y medio ambiente)/CNWI-SHAE-F010 Checklist de Montacarga.XLS</v>
      </c>
      <c r="Q478" s="51" t="str">
        <f>E478</f>
        <v>XLS</v>
      </c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G478" t="s">
        <v>28</v>
      </c>
      <c r="AH478" s="51"/>
      <c r="AI478" s="51"/>
    </row>
    <row r="479" spans="2:35">
      <c r="B479" t="s">
        <v>180</v>
      </c>
      <c r="C479" t="s">
        <v>3209</v>
      </c>
      <c r="D479">
        <v>5</v>
      </c>
      <c r="E479" t="s">
        <v>2792</v>
      </c>
      <c r="F479">
        <v>7</v>
      </c>
      <c r="G479">
        <v>27</v>
      </c>
      <c r="I479" t="s">
        <v>181</v>
      </c>
      <c r="J479" s="51">
        <v>40689</v>
      </c>
      <c r="K479" t="s">
        <v>27</v>
      </c>
      <c r="L479" t="s">
        <v>142</v>
      </c>
      <c r="M479">
        <v>3</v>
      </c>
      <c r="N479" t="str">
        <f>L479</f>
        <v>NAM\MB4290</v>
      </c>
      <c r="O479" s="51">
        <f>J479</f>
        <v>40689</v>
      </c>
      <c r="P479" s="51" t="str">
        <f>C479</f>
        <v>~/cdd/olddocs/Formas/CNWI-SHAE (Seguridad e higiene y medio ambiente)/CNWI-SHAE-F011 Desviación EPP.xls</v>
      </c>
      <c r="Q479" s="51" t="str">
        <f>E479</f>
        <v>xls</v>
      </c>
      <c r="R479" s="51"/>
      <c r="S479" s="51"/>
      <c r="T479" s="51"/>
      <c r="U479" s="51"/>
      <c r="V479" s="51"/>
      <c r="W479" s="51"/>
      <c r="X479" s="51"/>
      <c r="Y479" s="51"/>
      <c r="Z479" s="51"/>
      <c r="AA479" s="51"/>
      <c r="AB479" s="51"/>
      <c r="AC479" s="51"/>
      <c r="AD479" s="51"/>
      <c r="AG479" t="s">
        <v>28</v>
      </c>
      <c r="AH479" s="51"/>
      <c r="AI479" s="51"/>
    </row>
    <row r="480" spans="2:35">
      <c r="B480" t="s">
        <v>182</v>
      </c>
      <c r="C480" t="s">
        <v>3210</v>
      </c>
      <c r="D480">
        <v>5</v>
      </c>
      <c r="E480" t="s">
        <v>2792</v>
      </c>
      <c r="F480">
        <v>7</v>
      </c>
      <c r="G480">
        <v>27</v>
      </c>
      <c r="I480" t="s">
        <v>184</v>
      </c>
      <c r="J480" s="51">
        <v>40689</v>
      </c>
      <c r="K480" t="s">
        <v>27</v>
      </c>
      <c r="L480" t="s">
        <v>142</v>
      </c>
      <c r="M480">
        <v>3</v>
      </c>
      <c r="N480" t="str">
        <f>L480</f>
        <v>NAM\MB4290</v>
      </c>
      <c r="O480" s="51">
        <f>J480</f>
        <v>40689</v>
      </c>
      <c r="P480" s="51" t="str">
        <f>C480</f>
        <v>~/cdd/olddocs/Formas/CNWI-SHAE (Seguridad e higiene y medio ambiente)/CNWI-SHAE-F012 Permiso para trabajos en alturas.xls</v>
      </c>
      <c r="Q480" s="51" t="str">
        <f>E480</f>
        <v>xls</v>
      </c>
      <c r="R480" s="51"/>
      <c r="S480" s="51"/>
      <c r="T480" s="51"/>
      <c r="U480" s="51"/>
      <c r="V480" s="51"/>
      <c r="W480" s="51"/>
      <c r="X480" s="51"/>
      <c r="Y480" s="51"/>
      <c r="Z480" s="51"/>
      <c r="AA480" s="51"/>
      <c r="AB480" s="51"/>
      <c r="AC480" s="51"/>
      <c r="AD480" s="51"/>
      <c r="AG480" t="s">
        <v>28</v>
      </c>
      <c r="AH480" s="51"/>
      <c r="AI480" s="51"/>
    </row>
    <row r="481" spans="2:35">
      <c r="B481" t="s">
        <v>185</v>
      </c>
      <c r="C481" t="s">
        <v>3211</v>
      </c>
      <c r="D481">
        <v>5</v>
      </c>
      <c r="E481" t="s">
        <v>2792</v>
      </c>
      <c r="F481">
        <v>7</v>
      </c>
      <c r="G481">
        <v>27</v>
      </c>
      <c r="I481" t="s">
        <v>186</v>
      </c>
      <c r="J481" s="51">
        <v>40689</v>
      </c>
      <c r="K481" t="s">
        <v>27</v>
      </c>
      <c r="L481" t="s">
        <v>142</v>
      </c>
      <c r="M481">
        <v>3</v>
      </c>
      <c r="N481" t="str">
        <f>L481</f>
        <v>NAM\MB4290</v>
      </c>
      <c r="O481" s="51">
        <f>J481</f>
        <v>40689</v>
      </c>
      <c r="P481" s="51" t="str">
        <f>C481</f>
        <v>~/cdd/olddocs/Formas/CNWI-SHAE (Seguridad e higiene y medio ambiente)/CNWI-SHAE-F013 CONTACTO PERSONAL.xls</v>
      </c>
      <c r="Q481" s="51" t="str">
        <f>E481</f>
        <v>xls</v>
      </c>
      <c r="R481" s="51"/>
      <c r="S481" s="51"/>
      <c r="T481" s="51"/>
      <c r="U481" s="51"/>
      <c r="V481" s="51"/>
      <c r="W481" s="51"/>
      <c r="X481" s="51"/>
      <c r="Y481" s="51"/>
      <c r="Z481" s="51"/>
      <c r="AA481" s="51"/>
      <c r="AB481" s="51"/>
      <c r="AC481" s="51"/>
      <c r="AD481" s="51"/>
      <c r="AG481" t="s">
        <v>28</v>
      </c>
      <c r="AH481" s="51"/>
      <c r="AI481" s="51"/>
    </row>
    <row r="482" spans="2:35">
      <c r="B482" t="s">
        <v>187</v>
      </c>
      <c r="C482" t="s">
        <v>3212</v>
      </c>
      <c r="D482">
        <v>5</v>
      </c>
      <c r="E482" t="s">
        <v>2792</v>
      </c>
      <c r="F482">
        <v>7</v>
      </c>
      <c r="G482">
        <v>27</v>
      </c>
      <c r="I482" t="s">
        <v>188</v>
      </c>
      <c r="J482" s="51">
        <v>40689</v>
      </c>
      <c r="K482" t="s">
        <v>27</v>
      </c>
      <c r="L482" t="s">
        <v>142</v>
      </c>
      <c r="M482">
        <v>3</v>
      </c>
      <c r="N482" t="str">
        <f>L482</f>
        <v>NAM\MB4290</v>
      </c>
      <c r="O482" s="51">
        <f>J482</f>
        <v>40689</v>
      </c>
      <c r="P482" s="51" t="str">
        <f>C482</f>
        <v>~/cdd/olddocs/Formas/CNWI-SHAE (Seguridad e higiene y medio ambiente)/CNWI-SHAE-F014 VALE DE DESCUENTO POR NÓMINA.xls</v>
      </c>
      <c r="Q482" s="51" t="str">
        <f>E482</f>
        <v>xls</v>
      </c>
      <c r="R482" s="51"/>
      <c r="S482" s="51"/>
      <c r="T482" s="51"/>
      <c r="U482" s="51"/>
      <c r="V482" s="51"/>
      <c r="W482" s="51"/>
      <c r="X482" s="51"/>
      <c r="Y482" s="51"/>
      <c r="Z482" s="51"/>
      <c r="AA482" s="51"/>
      <c r="AB482" s="51"/>
      <c r="AC482" s="51"/>
      <c r="AD482" s="51"/>
      <c r="AG482" t="s">
        <v>28</v>
      </c>
      <c r="AH482" s="51"/>
      <c r="AI482" s="51"/>
    </row>
    <row r="483" spans="2:35">
      <c r="B483" t="s">
        <v>189</v>
      </c>
      <c r="C483" t="s">
        <v>3213</v>
      </c>
      <c r="D483">
        <v>5</v>
      </c>
      <c r="E483" t="s">
        <v>2794</v>
      </c>
      <c r="F483">
        <v>7</v>
      </c>
      <c r="G483">
        <v>27</v>
      </c>
      <c r="I483" t="s">
        <v>190</v>
      </c>
      <c r="J483" s="51">
        <v>40689</v>
      </c>
      <c r="K483" t="s">
        <v>27</v>
      </c>
      <c r="L483" t="s">
        <v>142</v>
      </c>
      <c r="M483">
        <v>3</v>
      </c>
      <c r="N483" t="str">
        <f>L483</f>
        <v>NAM\MB4290</v>
      </c>
      <c r="O483" s="51">
        <f>J483</f>
        <v>40689</v>
      </c>
      <c r="P483" s="51" t="str">
        <f>C483</f>
        <v>~/cdd/olddocs/Formas/CNWI-SHAE (Seguridad e higiene y medio ambiente)/CNWI-SHAE-F015 Permiso de Acceso a Espacios Confinados.doc</v>
      </c>
      <c r="Q483" s="51" t="str">
        <f>E483</f>
        <v>doc</v>
      </c>
      <c r="R483" s="51"/>
      <c r="S483" s="51"/>
      <c r="T483" s="51"/>
      <c r="U483" s="51"/>
      <c r="V483" s="51"/>
      <c r="W483" s="51"/>
      <c r="X483" s="51"/>
      <c r="Y483" s="51"/>
      <c r="Z483" s="51"/>
      <c r="AA483" s="51"/>
      <c r="AB483" s="51"/>
      <c r="AC483" s="51"/>
      <c r="AD483" s="51"/>
      <c r="AG483" t="s">
        <v>28</v>
      </c>
      <c r="AH483" s="51"/>
      <c r="AI483" s="51"/>
    </row>
    <row r="484" spans="2:35">
      <c r="B484" t="s">
        <v>191</v>
      </c>
      <c r="C484" t="s">
        <v>3214</v>
      </c>
      <c r="D484">
        <v>5</v>
      </c>
      <c r="E484" t="s">
        <v>2792</v>
      </c>
      <c r="F484">
        <v>7</v>
      </c>
      <c r="G484">
        <v>27</v>
      </c>
      <c r="I484" t="s">
        <v>192</v>
      </c>
      <c r="J484" s="51">
        <v>40940</v>
      </c>
      <c r="K484" t="s">
        <v>27</v>
      </c>
      <c r="L484" t="s">
        <v>142</v>
      </c>
      <c r="M484">
        <v>3</v>
      </c>
      <c r="N484" t="str">
        <f>L484</f>
        <v>NAM\MB4290</v>
      </c>
      <c r="O484" s="51">
        <f>J484</f>
        <v>40940</v>
      </c>
      <c r="P484" s="51" t="str">
        <f>C484</f>
        <v>~/cdd/olddocs/Formas/CNWI-SHAE (Seguridad e higiene y medio ambiente)/CNWI-SHAE-F016 Pase de salida Scrap.xls</v>
      </c>
      <c r="Q484" s="51" t="str">
        <f>E484</f>
        <v>xls</v>
      </c>
      <c r="R484" s="51"/>
      <c r="S484" s="51"/>
      <c r="T484" s="51"/>
      <c r="U484" s="51"/>
      <c r="V484" s="51"/>
      <c r="W484" s="51"/>
      <c r="X484" s="51"/>
      <c r="Y484" s="51"/>
      <c r="Z484" s="51"/>
      <c r="AA484" s="51"/>
      <c r="AB484" s="51"/>
      <c r="AC484" s="51"/>
      <c r="AD484" s="51"/>
      <c r="AG484" t="s">
        <v>28</v>
      </c>
      <c r="AH484" s="51"/>
      <c r="AI484" s="51"/>
    </row>
    <row r="485" spans="2:35">
      <c r="B485" t="s">
        <v>193</v>
      </c>
      <c r="C485" t="s">
        <v>3893</v>
      </c>
      <c r="D485">
        <v>5</v>
      </c>
      <c r="E485" t="s">
        <v>2790</v>
      </c>
      <c r="F485">
        <v>7</v>
      </c>
      <c r="G485">
        <v>27</v>
      </c>
      <c r="I485" t="s">
        <v>194</v>
      </c>
      <c r="J485" s="51">
        <v>41199</v>
      </c>
      <c r="K485" t="s">
        <v>159</v>
      </c>
      <c r="L485" t="s">
        <v>142</v>
      </c>
      <c r="M485">
        <v>3</v>
      </c>
      <c r="N485" t="str">
        <f>L485</f>
        <v>NAM\MB4290</v>
      </c>
      <c r="O485" s="51">
        <f>J485</f>
        <v>41199</v>
      </c>
      <c r="P485" s="51" t="str">
        <f>C485</f>
        <v>~cdd/olddocs/Formas/CNWI-SHAE (Seguridad e higiene y medio ambiente)/CNWI-SHAE-F017 Tarjetas de Observaciones de Seguridad BBS.xlsx</v>
      </c>
      <c r="Q485" s="51" t="str">
        <f>E485</f>
        <v>xlsx</v>
      </c>
      <c r="R485" s="51"/>
      <c r="S485" s="51"/>
      <c r="T485" s="51"/>
      <c r="U485" s="51"/>
      <c r="V485" s="51"/>
      <c r="W485" s="51"/>
      <c r="X485" s="51"/>
      <c r="Y485" s="51"/>
      <c r="Z485" s="51"/>
      <c r="AA485" s="51"/>
      <c r="AB485" s="51"/>
      <c r="AC485" s="51"/>
      <c r="AD485" s="51"/>
      <c r="AG485" t="s">
        <v>28</v>
      </c>
      <c r="AH485" s="51"/>
      <c r="AI485" s="51"/>
    </row>
    <row r="486" spans="2:35">
      <c r="B486" t="s">
        <v>195</v>
      </c>
      <c r="C486" t="s">
        <v>3215</v>
      </c>
      <c r="D486">
        <v>5</v>
      </c>
      <c r="E486" t="s">
        <v>2792</v>
      </c>
      <c r="F486">
        <v>7</v>
      </c>
      <c r="G486">
        <v>27</v>
      </c>
      <c r="I486" t="s">
        <v>196</v>
      </c>
      <c r="J486" s="51">
        <v>40758</v>
      </c>
      <c r="K486" t="s">
        <v>27</v>
      </c>
      <c r="L486" t="s">
        <v>142</v>
      </c>
      <c r="M486">
        <v>3</v>
      </c>
      <c r="N486" t="str">
        <f>L486</f>
        <v>NAM\MB4290</v>
      </c>
      <c r="O486" s="51">
        <f>J486</f>
        <v>40758</v>
      </c>
      <c r="P486" s="51" t="str">
        <f>C486</f>
        <v>~/cdd/olddocs/Formas/CNWI-SHAE (Seguridad e higiene y medio ambiente)/CNWI-SHAE-F018 LISTO PARA CORRER.xls</v>
      </c>
      <c r="Q486" s="51" t="str">
        <f>E486</f>
        <v>xls</v>
      </c>
      <c r="R486" s="51"/>
      <c r="S486" s="51"/>
      <c r="T486" s="51"/>
      <c r="U486" s="51"/>
      <c r="V486" s="51"/>
      <c r="W486" s="51"/>
      <c r="X486" s="51"/>
      <c r="Y486" s="51"/>
      <c r="Z486" s="51"/>
      <c r="AA486" s="51"/>
      <c r="AB486" s="51"/>
      <c r="AC486" s="51"/>
      <c r="AD486" s="51"/>
      <c r="AG486" t="s">
        <v>28</v>
      </c>
      <c r="AH486" s="51"/>
      <c r="AI486" s="51"/>
    </row>
    <row r="487" spans="2:35">
      <c r="B487" t="s">
        <v>197</v>
      </c>
      <c r="C487" t="s">
        <v>3216</v>
      </c>
      <c r="D487">
        <v>5</v>
      </c>
      <c r="E487" t="s">
        <v>2792</v>
      </c>
      <c r="F487">
        <v>7</v>
      </c>
      <c r="G487">
        <v>27</v>
      </c>
      <c r="I487" t="s">
        <v>198</v>
      </c>
      <c r="J487" s="51">
        <v>40806</v>
      </c>
      <c r="K487" t="s">
        <v>27</v>
      </c>
      <c r="L487" t="s">
        <v>142</v>
      </c>
      <c r="M487">
        <v>3</v>
      </c>
      <c r="N487" t="str">
        <f>L487</f>
        <v>NAM\MB4290</v>
      </c>
      <c r="O487" s="51">
        <f>J487</f>
        <v>40806</v>
      </c>
      <c r="P487" s="51" t="str">
        <f>C487</f>
        <v>~/cdd/olddocs/Formas/CNWI-SHAE (Seguridad e higiene y medio ambiente)/CNWI-SHAE-F019 Checklist de Grua y Accesorios de Izaje.xls</v>
      </c>
      <c r="Q487" s="51" t="str">
        <f>E487</f>
        <v>xls</v>
      </c>
      <c r="R487" s="51"/>
      <c r="S487" s="51"/>
      <c r="T487" s="51"/>
      <c r="U487" s="51"/>
      <c r="V487" s="51"/>
      <c r="W487" s="51"/>
      <c r="X487" s="51"/>
      <c r="Y487" s="51"/>
      <c r="Z487" s="51"/>
      <c r="AA487" s="51"/>
      <c r="AB487" s="51"/>
      <c r="AC487" s="51"/>
      <c r="AD487" s="51"/>
      <c r="AG487" t="s">
        <v>28</v>
      </c>
      <c r="AH487" s="51"/>
      <c r="AI487" s="51"/>
    </row>
    <row r="488" spans="2:35">
      <c r="B488" t="s">
        <v>199</v>
      </c>
      <c r="C488" t="s">
        <v>3217</v>
      </c>
      <c r="D488">
        <v>5</v>
      </c>
      <c r="E488" t="s">
        <v>2792</v>
      </c>
      <c r="F488">
        <v>7</v>
      </c>
      <c r="G488">
        <v>27</v>
      </c>
      <c r="I488" t="s">
        <v>200</v>
      </c>
      <c r="J488" s="51">
        <v>40998</v>
      </c>
      <c r="K488" t="s">
        <v>46</v>
      </c>
      <c r="L488" t="s">
        <v>142</v>
      </c>
      <c r="M488">
        <v>3</v>
      </c>
      <c r="N488" t="str">
        <f>L488</f>
        <v>NAM\MB4290</v>
      </c>
      <c r="O488" s="51">
        <f>J488</f>
        <v>40998</v>
      </c>
      <c r="P488" s="51" t="str">
        <f>C488</f>
        <v>~/cdd/olddocs/Formas/CNWI-SHAE (Seguridad e higiene y medio ambiente)/CNWI-SHAE-F020 Formato de Control de Herramientas y Equipo.xls</v>
      </c>
      <c r="Q488" s="51" t="str">
        <f>E488</f>
        <v>xls</v>
      </c>
      <c r="R488" s="51"/>
      <c r="S488" s="51"/>
      <c r="T488" s="51"/>
      <c r="U488" s="51"/>
      <c r="V488" s="51"/>
      <c r="W488" s="51"/>
      <c r="X488" s="51"/>
      <c r="Y488" s="51"/>
      <c r="Z488" s="51"/>
      <c r="AA488" s="51"/>
      <c r="AB488" s="51"/>
      <c r="AC488" s="51"/>
      <c r="AD488" s="51"/>
      <c r="AG488" t="s">
        <v>28</v>
      </c>
      <c r="AH488" s="51"/>
      <c r="AI488" s="51"/>
    </row>
    <row r="489" spans="2:35">
      <c r="B489" t="s">
        <v>201</v>
      </c>
      <c r="C489" t="s">
        <v>3218</v>
      </c>
      <c r="D489">
        <v>5</v>
      </c>
      <c r="E489" t="s">
        <v>2791</v>
      </c>
      <c r="F489">
        <v>7</v>
      </c>
      <c r="G489">
        <v>27</v>
      </c>
      <c r="I489" t="s">
        <v>202</v>
      </c>
      <c r="J489" s="51">
        <v>40928</v>
      </c>
      <c r="K489" t="s">
        <v>27</v>
      </c>
      <c r="L489" t="s">
        <v>142</v>
      </c>
      <c r="M489">
        <v>3</v>
      </c>
      <c r="N489" t="str">
        <f>L489</f>
        <v>NAM\MB4290</v>
      </c>
      <c r="O489" s="51">
        <f>J489</f>
        <v>40928</v>
      </c>
      <c r="P489" s="51" t="str">
        <f>C489</f>
        <v>~/cdd/olddocs/Formas/CNWI-SHAE (Seguridad e higiene y medio ambiente)/CNWI-SHAE-F021 Check list baños.pdf</v>
      </c>
      <c r="Q489" s="51" t="str">
        <f>E489</f>
        <v>pdf</v>
      </c>
      <c r="R489" s="51"/>
      <c r="S489" s="51"/>
      <c r="T489" s="51"/>
      <c r="U489" s="51"/>
      <c r="V489" s="51"/>
      <c r="W489" s="51"/>
      <c r="X489" s="51"/>
      <c r="Y489" s="51"/>
      <c r="Z489" s="51"/>
      <c r="AA489" s="51"/>
      <c r="AB489" s="51"/>
      <c r="AC489" s="51"/>
      <c r="AD489" s="51"/>
      <c r="AG489" t="s">
        <v>28</v>
      </c>
      <c r="AH489" s="51"/>
      <c r="AI489" s="51"/>
    </row>
    <row r="490" spans="2:35">
      <c r="B490" t="s">
        <v>203</v>
      </c>
      <c r="C490" t="s">
        <v>3219</v>
      </c>
      <c r="D490">
        <v>5</v>
      </c>
      <c r="E490" t="s">
        <v>2794</v>
      </c>
      <c r="F490">
        <v>7</v>
      </c>
      <c r="G490">
        <v>27</v>
      </c>
      <c r="I490" t="s">
        <v>204</v>
      </c>
      <c r="J490" s="51">
        <v>40928</v>
      </c>
      <c r="K490" t="s">
        <v>27</v>
      </c>
      <c r="L490" t="s">
        <v>142</v>
      </c>
      <c r="M490">
        <v>3</v>
      </c>
      <c r="N490" t="str">
        <f>L490</f>
        <v>NAM\MB4290</v>
      </c>
      <c r="O490" s="51">
        <f>J490</f>
        <v>40928</v>
      </c>
      <c r="P490" s="51" t="str">
        <f>C490</f>
        <v>~/cdd/olddocs/Formas/CNWI-SHAE (Seguridad e higiene y medio ambiente)/CNWI-SHAE-F023 Evaluacion para aprobar EPP.doc</v>
      </c>
      <c r="Q490" s="51" t="str">
        <f>E490</f>
        <v>doc</v>
      </c>
      <c r="R490" s="51"/>
      <c r="S490" s="51"/>
      <c r="T490" s="51"/>
      <c r="U490" s="51"/>
      <c r="V490" s="51"/>
      <c r="W490" s="51"/>
      <c r="X490" s="51"/>
      <c r="Y490" s="51"/>
      <c r="Z490" s="51"/>
      <c r="AA490" s="51"/>
      <c r="AB490" s="51"/>
      <c r="AC490" s="51"/>
      <c r="AD490" s="51"/>
      <c r="AG490" t="s">
        <v>28</v>
      </c>
      <c r="AH490" s="51"/>
      <c r="AI490" s="51"/>
    </row>
    <row r="491" spans="2:35">
      <c r="B491" t="s">
        <v>205</v>
      </c>
      <c r="C491" t="s">
        <v>3220</v>
      </c>
      <c r="D491">
        <v>5</v>
      </c>
      <c r="E491" t="s">
        <v>2792</v>
      </c>
      <c r="F491">
        <v>7</v>
      </c>
      <c r="G491">
        <v>27</v>
      </c>
      <c r="I491" t="s">
        <v>206</v>
      </c>
      <c r="J491" s="51">
        <v>40928</v>
      </c>
      <c r="K491" t="s">
        <v>27</v>
      </c>
      <c r="L491" t="s">
        <v>142</v>
      </c>
      <c r="M491">
        <v>3</v>
      </c>
      <c r="N491" t="str">
        <f>L491</f>
        <v>NAM\MB4290</v>
      </c>
      <c r="O491" s="51">
        <f>J491</f>
        <v>40928</v>
      </c>
      <c r="P491" s="51" t="str">
        <f>C491</f>
        <v>~/cdd/olddocs/Formas/CNWI-SHAE (Seguridad e higiene y medio ambiente)/CNWI-SHAE-F024 Lista de verificación EHS.xls</v>
      </c>
      <c r="Q491" s="51" t="str">
        <f>E491</f>
        <v>xls</v>
      </c>
      <c r="R491" s="51"/>
      <c r="S491" s="51"/>
      <c r="T491" s="51"/>
      <c r="U491" s="51"/>
      <c r="V491" s="51"/>
      <c r="W491" s="51"/>
      <c r="X491" s="51"/>
      <c r="Y491" s="51"/>
      <c r="Z491" s="51"/>
      <c r="AA491" s="51"/>
      <c r="AB491" s="51"/>
      <c r="AC491" s="51"/>
      <c r="AD491" s="51"/>
      <c r="AG491" t="s">
        <v>28</v>
      </c>
      <c r="AH491" s="51"/>
      <c r="AI491" s="51"/>
    </row>
    <row r="492" spans="2:35">
      <c r="B492" t="s">
        <v>207</v>
      </c>
      <c r="C492" t="s">
        <v>3221</v>
      </c>
      <c r="D492">
        <v>5</v>
      </c>
      <c r="E492" t="s">
        <v>2792</v>
      </c>
      <c r="F492">
        <v>7</v>
      </c>
      <c r="G492">
        <v>27</v>
      </c>
      <c r="I492" t="s">
        <v>208</v>
      </c>
      <c r="J492" s="51">
        <v>40928</v>
      </c>
      <c r="K492" t="s">
        <v>27</v>
      </c>
      <c r="L492" t="s">
        <v>142</v>
      </c>
      <c r="M492">
        <v>3</v>
      </c>
      <c r="N492" t="str">
        <f>L492</f>
        <v>NAM\MB4290</v>
      </c>
      <c r="O492" s="51">
        <f>J492</f>
        <v>40928</v>
      </c>
      <c r="P492" s="51" t="str">
        <f>C492</f>
        <v>~/cdd/olddocs/Formas/CNWI-SHAE (Seguridad e higiene y medio ambiente)/CNWI-SHAE-F025 Listado de epp entregado.xls</v>
      </c>
      <c r="Q492" s="51" t="str">
        <f>E492</f>
        <v>xls</v>
      </c>
      <c r="R492" s="51"/>
      <c r="S492" s="51"/>
      <c r="T492" s="51"/>
      <c r="U492" s="51"/>
      <c r="V492" s="51"/>
      <c r="W492" s="51"/>
      <c r="X492" s="51"/>
      <c r="Y492" s="51"/>
      <c r="Z492" s="51"/>
      <c r="AA492" s="51"/>
      <c r="AB492" s="51"/>
      <c r="AC492" s="51"/>
      <c r="AD492" s="51"/>
      <c r="AG492" t="s">
        <v>28</v>
      </c>
      <c r="AH492" s="51"/>
      <c r="AI492" s="51"/>
    </row>
    <row r="493" spans="2:35">
      <c r="B493" t="s">
        <v>209</v>
      </c>
      <c r="C493" t="s">
        <v>3222</v>
      </c>
      <c r="D493">
        <v>5</v>
      </c>
      <c r="E493" t="s">
        <v>2792</v>
      </c>
      <c r="F493">
        <v>7</v>
      </c>
      <c r="G493">
        <v>27</v>
      </c>
      <c r="I493" t="s">
        <v>210</v>
      </c>
      <c r="J493" s="51">
        <v>40928</v>
      </c>
      <c r="K493" t="s">
        <v>27</v>
      </c>
      <c r="L493" t="s">
        <v>142</v>
      </c>
      <c r="M493">
        <v>3</v>
      </c>
      <c r="N493" t="str">
        <f>L493</f>
        <v>NAM\MB4290</v>
      </c>
      <c r="O493" s="51">
        <f>J493</f>
        <v>40928</v>
      </c>
      <c r="P493" s="51" t="str">
        <f>C493</f>
        <v>~/cdd/olddocs/Formas/CNWI-SHAE (Seguridad e higiene y medio ambiente)/CNWI-SHAE-F026 OSHME FORMATO DE REVISION ANUAL.xls</v>
      </c>
      <c r="Q493" s="51" t="str">
        <f>E493</f>
        <v>xls</v>
      </c>
      <c r="R493" s="51"/>
      <c r="S493" s="51"/>
      <c r="T493" s="51"/>
      <c r="U493" s="51"/>
      <c r="V493" s="51"/>
      <c r="W493" s="51"/>
      <c r="X493" s="51"/>
      <c r="Y493" s="51"/>
      <c r="Z493" s="51"/>
      <c r="AA493" s="51"/>
      <c r="AB493" s="51"/>
      <c r="AC493" s="51"/>
      <c r="AD493" s="51"/>
      <c r="AG493" t="s">
        <v>28</v>
      </c>
      <c r="AH493" s="51"/>
      <c r="AI493" s="51"/>
    </row>
    <row r="494" spans="2:35">
      <c r="B494" t="s">
        <v>211</v>
      </c>
      <c r="C494" t="s">
        <v>3223</v>
      </c>
      <c r="D494">
        <v>5</v>
      </c>
      <c r="E494" t="s">
        <v>2792</v>
      </c>
      <c r="F494">
        <v>7</v>
      </c>
      <c r="G494">
        <v>27</v>
      </c>
      <c r="I494" t="s">
        <v>212</v>
      </c>
      <c r="J494" s="51">
        <v>40928</v>
      </c>
      <c r="K494" t="s">
        <v>27</v>
      </c>
      <c r="L494" t="s">
        <v>142</v>
      </c>
      <c r="M494">
        <v>3</v>
      </c>
      <c r="N494" t="str">
        <f>L494</f>
        <v>NAM\MB4290</v>
      </c>
      <c r="O494" s="51">
        <f>J494</f>
        <v>40928</v>
      </c>
      <c r="P494" s="51" t="str">
        <f>C494</f>
        <v>~/cdd/olddocs/Formas/CNWI-SHAE (Seguridad e higiene y medio ambiente)/CNWI-SHAE-F027 Reporte de investigacion de accidente.xls</v>
      </c>
      <c r="Q494" s="51" t="str">
        <f>E494</f>
        <v>xls</v>
      </c>
      <c r="R494" s="51"/>
      <c r="S494" s="51"/>
      <c r="T494" s="51"/>
      <c r="U494" s="51"/>
      <c r="V494" s="51"/>
      <c r="W494" s="51"/>
      <c r="X494" s="51"/>
      <c r="Y494" s="51"/>
      <c r="Z494" s="51"/>
      <c r="AA494" s="51"/>
      <c r="AB494" s="51"/>
      <c r="AC494" s="51"/>
      <c r="AD494" s="51"/>
      <c r="AG494" t="s">
        <v>28</v>
      </c>
      <c r="AH494" s="51"/>
      <c r="AI494" s="51"/>
    </row>
    <row r="495" spans="2:35">
      <c r="B495" t="s">
        <v>213</v>
      </c>
      <c r="C495" t="s">
        <v>3224</v>
      </c>
      <c r="D495">
        <v>5</v>
      </c>
      <c r="E495" t="s">
        <v>2792</v>
      </c>
      <c r="F495">
        <v>7</v>
      </c>
      <c r="G495">
        <v>27</v>
      </c>
      <c r="I495" t="s">
        <v>214</v>
      </c>
      <c r="J495" s="51">
        <v>40928</v>
      </c>
      <c r="K495" t="s">
        <v>27</v>
      </c>
      <c r="L495" t="s">
        <v>142</v>
      </c>
      <c r="M495">
        <v>3</v>
      </c>
      <c r="N495" t="str">
        <f>L495</f>
        <v>NAM\MB4290</v>
      </c>
      <c r="O495" s="51">
        <f>J495</f>
        <v>40928</v>
      </c>
      <c r="P495" s="51" t="str">
        <f>C495</f>
        <v>~/cdd/olddocs/Formas/CNWI-SHAE (Seguridad e higiene y medio ambiente)/CNWI-SHAE-F028  RESGUARDO CELULARES.xls</v>
      </c>
      <c r="Q495" s="51" t="str">
        <f>E495</f>
        <v>xls</v>
      </c>
      <c r="R495" s="51"/>
      <c r="S495" s="51"/>
      <c r="T495" s="51"/>
      <c r="U495" s="51"/>
      <c r="V495" s="51"/>
      <c r="W495" s="51"/>
      <c r="X495" s="51"/>
      <c r="Y495" s="51"/>
      <c r="Z495" s="51"/>
      <c r="AA495" s="51"/>
      <c r="AB495" s="51"/>
      <c r="AC495" s="51"/>
      <c r="AD495" s="51"/>
      <c r="AG495" t="s">
        <v>28</v>
      </c>
      <c r="AH495" s="51"/>
      <c r="AI495" s="51"/>
    </row>
    <row r="496" spans="2:35">
      <c r="B496" t="s">
        <v>215</v>
      </c>
      <c r="C496" t="s">
        <v>3225</v>
      </c>
      <c r="D496">
        <v>5</v>
      </c>
      <c r="E496" t="s">
        <v>2794</v>
      </c>
      <c r="F496">
        <v>7</v>
      </c>
      <c r="G496">
        <v>27</v>
      </c>
      <c r="I496" t="s">
        <v>216</v>
      </c>
      <c r="J496" s="51">
        <v>40928</v>
      </c>
      <c r="K496" t="s">
        <v>27</v>
      </c>
      <c r="L496" t="s">
        <v>142</v>
      </c>
      <c r="M496">
        <v>3</v>
      </c>
      <c r="N496" t="str">
        <f>L496</f>
        <v>NAM\MB4290</v>
      </c>
      <c r="O496" s="51">
        <f>J496</f>
        <v>40928</v>
      </c>
      <c r="P496" s="51" t="str">
        <f>C496</f>
        <v>~/cdd/olddocs/Formas/CNWI-SHAE (Seguridad e higiene y medio ambiente)/CNWI-SHAE-F029 Revision de guardas.doc</v>
      </c>
      <c r="Q496" s="51" t="str">
        <f>E496</f>
        <v>doc</v>
      </c>
      <c r="R496" s="51"/>
      <c r="S496" s="51"/>
      <c r="T496" s="51"/>
      <c r="U496" s="51"/>
      <c r="V496" s="51"/>
      <c r="W496" s="51"/>
      <c r="X496" s="51"/>
      <c r="Y496" s="51"/>
      <c r="Z496" s="51"/>
      <c r="AA496" s="51"/>
      <c r="AB496" s="51"/>
      <c r="AC496" s="51"/>
      <c r="AD496" s="51"/>
      <c r="AG496" t="s">
        <v>28</v>
      </c>
      <c r="AH496" s="51"/>
      <c r="AI496" s="51"/>
    </row>
    <row r="497" spans="2:35">
      <c r="B497" t="s">
        <v>217</v>
      </c>
      <c r="C497" t="s">
        <v>3944</v>
      </c>
      <c r="D497">
        <v>5</v>
      </c>
      <c r="E497" t="s">
        <v>2792</v>
      </c>
      <c r="F497">
        <v>7</v>
      </c>
      <c r="G497">
        <v>27</v>
      </c>
      <c r="I497" t="s">
        <v>218</v>
      </c>
      <c r="J497" s="51">
        <v>40939</v>
      </c>
      <c r="K497" t="s">
        <v>159</v>
      </c>
      <c r="L497" t="s">
        <v>142</v>
      </c>
      <c r="M497">
        <v>3</v>
      </c>
      <c r="N497" t="str">
        <f>L497</f>
        <v>NAM\MB4290</v>
      </c>
      <c r="O497" s="51">
        <f>J497</f>
        <v>40939</v>
      </c>
      <c r="P497" s="51" t="str">
        <f>C497</f>
        <v>~/cdd/olddocs/CN-SHAE (Seguridad e higiene y medio ambiente)/FORMAS/CNWI-SHAE-F030 Rev. A Control de Materiales.xls</v>
      </c>
      <c r="Q497" s="51" t="str">
        <f>E497</f>
        <v>xls</v>
      </c>
      <c r="R497" s="51"/>
      <c r="S497" s="51"/>
      <c r="T497" s="51"/>
      <c r="U497" s="51"/>
      <c r="V497" s="51"/>
      <c r="W497" s="51"/>
      <c r="X497" s="51"/>
      <c r="Y497" s="51"/>
      <c r="Z497" s="51"/>
      <c r="AA497" s="51"/>
      <c r="AB497" s="51"/>
      <c r="AC497" s="51"/>
      <c r="AD497" s="51"/>
      <c r="AG497" t="s">
        <v>28</v>
      </c>
      <c r="AH497" s="51"/>
      <c r="AI497" s="51"/>
    </row>
    <row r="498" spans="2:35">
      <c r="B498" t="s">
        <v>32</v>
      </c>
      <c r="C498" t="s">
        <v>3922</v>
      </c>
      <c r="D498">
        <v>4</v>
      </c>
      <c r="E498" t="s">
        <v>2791</v>
      </c>
      <c r="F498">
        <v>13</v>
      </c>
      <c r="G498">
        <v>28</v>
      </c>
      <c r="I498" t="s">
        <v>37</v>
      </c>
      <c r="J498" s="51">
        <v>41166</v>
      </c>
      <c r="K498" t="s">
        <v>38</v>
      </c>
      <c r="L498" t="s">
        <v>40</v>
      </c>
      <c r="M498">
        <v>3</v>
      </c>
      <c r="N498" t="str">
        <f>L498</f>
        <v>NAM\MA8870</v>
      </c>
      <c r="O498" s="51">
        <f>J498</f>
        <v>41166</v>
      </c>
      <c r="P498" s="51" t="str">
        <f>C498</f>
        <v>~cdd/olddocs/Instructivos/CNWI-SHIPPING/CNWI-SHIP-0001 Instructivo de envios.pdf</v>
      </c>
      <c r="Q498" s="51" t="str">
        <f>E498</f>
        <v>pdf</v>
      </c>
      <c r="R498" s="51"/>
      <c r="S498" s="51"/>
      <c r="T498" s="51"/>
      <c r="U498" s="51"/>
      <c r="V498" s="51"/>
      <c r="W498" s="51"/>
      <c r="X498" s="51"/>
      <c r="Y498" s="51"/>
      <c r="Z498" s="51"/>
      <c r="AA498" s="51"/>
      <c r="AB498" s="51"/>
      <c r="AC498" s="51"/>
      <c r="AD498" s="51"/>
      <c r="AG498" t="s">
        <v>28</v>
      </c>
      <c r="AH498" s="51"/>
      <c r="AI498" s="51"/>
    </row>
    <row r="499" spans="2:35">
      <c r="B499" t="s">
        <v>41</v>
      </c>
      <c r="C499" t="s">
        <v>3226</v>
      </c>
      <c r="D499">
        <v>5</v>
      </c>
      <c r="E499" t="s">
        <v>2792</v>
      </c>
      <c r="F499">
        <v>13</v>
      </c>
      <c r="G499">
        <v>28</v>
      </c>
      <c r="I499" t="s">
        <v>43</v>
      </c>
      <c r="J499" s="51">
        <v>40625</v>
      </c>
      <c r="K499" t="s">
        <v>27</v>
      </c>
      <c r="L499" t="s">
        <v>40</v>
      </c>
      <c r="M499">
        <v>3</v>
      </c>
      <c r="N499" t="str">
        <f>L499</f>
        <v>NAM\MA8870</v>
      </c>
      <c r="O499" s="51">
        <f>J499</f>
        <v>40625</v>
      </c>
      <c r="P499" s="51" t="str">
        <f>C499</f>
        <v>~/cdd/olddocs/Formas/CNWI-SHIP ( Embarques )/CNWI-SHIP-F001 Master Track.xls</v>
      </c>
      <c r="Q499" s="51" t="str">
        <f>E499</f>
        <v>xls</v>
      </c>
      <c r="R499" s="51"/>
      <c r="S499" s="51"/>
      <c r="T499" s="51"/>
      <c r="U499" s="51"/>
      <c r="V499" s="51"/>
      <c r="W499" s="51"/>
      <c r="X499" s="51"/>
      <c r="Y499" s="51"/>
      <c r="Z499" s="51"/>
      <c r="AA499" s="51"/>
      <c r="AB499" s="51"/>
      <c r="AC499" s="51"/>
      <c r="AD499" s="51"/>
      <c r="AG499" t="s">
        <v>28</v>
      </c>
      <c r="AH499" s="51"/>
      <c r="AI499" s="51"/>
    </row>
    <row r="500" spans="2:35">
      <c r="B500" t="s">
        <v>44</v>
      </c>
      <c r="C500" t="s">
        <v>3227</v>
      </c>
      <c r="D500">
        <v>5</v>
      </c>
      <c r="E500" t="s">
        <v>2790</v>
      </c>
      <c r="F500">
        <v>13</v>
      </c>
      <c r="G500">
        <v>28</v>
      </c>
      <c r="I500" t="s">
        <v>45</v>
      </c>
      <c r="J500" s="51">
        <v>40648</v>
      </c>
      <c r="K500" t="s">
        <v>46</v>
      </c>
      <c r="L500" t="s">
        <v>40</v>
      </c>
      <c r="M500">
        <v>3</v>
      </c>
      <c r="N500" t="str">
        <f>L500</f>
        <v>NAM\MA8870</v>
      </c>
      <c r="O500" s="51">
        <f>J500</f>
        <v>40648</v>
      </c>
      <c r="P500" s="51" t="str">
        <f>C500</f>
        <v>~/cdd/olddocs/Formas/CNWI-SHIP ( Embarques )/CNWI-SHIP-F002 LISTA DE VERIFICACION.xlsx</v>
      </c>
      <c r="Q500" s="51" t="str">
        <f>E500</f>
        <v>xlsx</v>
      </c>
      <c r="R500" s="51"/>
      <c r="S500" s="51"/>
      <c r="T500" s="51"/>
      <c r="U500" s="51"/>
      <c r="V500" s="51"/>
      <c r="W500" s="51"/>
      <c r="X500" s="51"/>
      <c r="Y500" s="51"/>
      <c r="Z500" s="51"/>
      <c r="AA500" s="51"/>
      <c r="AB500" s="51"/>
      <c r="AC500" s="51"/>
      <c r="AD500" s="51"/>
      <c r="AG500" t="s">
        <v>28</v>
      </c>
      <c r="AH500" s="51"/>
      <c r="AI500" s="51"/>
    </row>
    <row r="501" spans="2:35">
      <c r="B501" t="s">
        <v>47</v>
      </c>
      <c r="C501" t="s">
        <v>3228</v>
      </c>
      <c r="D501">
        <v>5</v>
      </c>
      <c r="E501" t="s">
        <v>2790</v>
      </c>
      <c r="F501">
        <v>13</v>
      </c>
      <c r="G501">
        <v>28</v>
      </c>
      <c r="I501" t="s">
        <v>48</v>
      </c>
      <c r="J501" s="51">
        <v>40648</v>
      </c>
      <c r="K501" t="s">
        <v>46</v>
      </c>
      <c r="L501" t="s">
        <v>40</v>
      </c>
      <c r="M501">
        <v>3</v>
      </c>
      <c r="N501" t="str">
        <f>L501</f>
        <v>NAM\MA8870</v>
      </c>
      <c r="O501" s="51">
        <f>J501</f>
        <v>40648</v>
      </c>
      <c r="P501" s="51" t="str">
        <f>C501</f>
        <v>~/cdd/olddocs/Formas/CNWI-SHIP ( Embarques )/CNWI-SHIP-F003 REGISTRO PARA ENTRADA A EMBARQUES.xlsx</v>
      </c>
      <c r="Q501" s="51" t="str">
        <f>E501</f>
        <v>xlsx</v>
      </c>
      <c r="R501" s="51"/>
      <c r="S501" s="51"/>
      <c r="T501" s="51"/>
      <c r="U501" s="51"/>
      <c r="V501" s="51"/>
      <c r="W501" s="51"/>
      <c r="X501" s="51"/>
      <c r="Y501" s="51"/>
      <c r="Z501" s="51"/>
      <c r="AA501" s="51"/>
      <c r="AB501" s="51"/>
      <c r="AC501" s="51"/>
      <c r="AD501" s="51"/>
      <c r="AG501" t="s">
        <v>28</v>
      </c>
      <c r="AH501" s="51"/>
      <c r="AI501" s="51"/>
    </row>
    <row r="502" spans="2:35">
      <c r="B502" t="s">
        <v>49</v>
      </c>
      <c r="C502" t="s">
        <v>3229</v>
      </c>
      <c r="D502">
        <v>5</v>
      </c>
      <c r="E502" t="s">
        <v>2791</v>
      </c>
      <c r="F502">
        <v>13</v>
      </c>
      <c r="G502">
        <v>28</v>
      </c>
      <c r="I502" t="s">
        <v>50</v>
      </c>
      <c r="J502" s="51">
        <v>41151</v>
      </c>
      <c r="K502" t="s">
        <v>46</v>
      </c>
      <c r="L502" t="s">
        <v>40</v>
      </c>
      <c r="M502">
        <v>3</v>
      </c>
      <c r="N502" t="str">
        <f>L502</f>
        <v>NAM\MA8870</v>
      </c>
      <c r="O502" s="51">
        <f>J502</f>
        <v>41151</v>
      </c>
      <c r="P502" s="51" t="str">
        <f>C502</f>
        <v>~/cdd/olddocs/Formas/CNWI-SHIP ( Embarques )/CNWI-SHIP-F004  Control de embarques - formato de verificación.pdf</v>
      </c>
      <c r="Q502" s="51" t="str">
        <f>E502</f>
        <v>pdf</v>
      </c>
      <c r="R502" s="51"/>
      <c r="S502" s="51"/>
      <c r="T502" s="51"/>
      <c r="U502" s="51"/>
      <c r="V502" s="51"/>
      <c r="W502" s="51"/>
      <c r="X502" s="51"/>
      <c r="Y502" s="51"/>
      <c r="Z502" s="51"/>
      <c r="AA502" s="51"/>
      <c r="AB502" s="51"/>
      <c r="AC502" s="51"/>
      <c r="AD502" s="51"/>
      <c r="AG502" t="s">
        <v>28</v>
      </c>
      <c r="AH502" s="51"/>
      <c r="AI502" s="51"/>
    </row>
    <row r="503" spans="2:35">
      <c r="B503" t="s">
        <v>51</v>
      </c>
      <c r="C503" t="s">
        <v>3236</v>
      </c>
      <c r="D503">
        <v>5</v>
      </c>
      <c r="E503" t="s">
        <v>2792</v>
      </c>
      <c r="F503">
        <v>13</v>
      </c>
      <c r="G503">
        <v>28</v>
      </c>
      <c r="I503" t="s">
        <v>52</v>
      </c>
      <c r="J503" s="51">
        <v>40648</v>
      </c>
      <c r="K503" t="s">
        <v>27</v>
      </c>
      <c r="L503" t="s">
        <v>40</v>
      </c>
      <c r="M503">
        <v>3</v>
      </c>
      <c r="N503" t="str">
        <f>L503</f>
        <v>NAM\MA8870</v>
      </c>
      <c r="O503" s="51">
        <f>J503</f>
        <v>40648</v>
      </c>
      <c r="P503" s="51" t="str">
        <f>C503</f>
        <v>~/cdd/olddocs/Formas/CNWI-WRHS (Almacen)/CNWI-WRHS-F005 Control recibo de Medidores.xls</v>
      </c>
      <c r="Q503" s="51" t="str">
        <f>E503</f>
        <v>xls</v>
      </c>
      <c r="R503" s="51"/>
      <c r="S503" s="51"/>
      <c r="T503" s="51"/>
      <c r="U503" s="51"/>
      <c r="V503" s="51"/>
      <c r="W503" s="51"/>
      <c r="X503" s="51"/>
      <c r="Y503" s="51"/>
      <c r="Z503" s="51"/>
      <c r="AA503" s="51"/>
      <c r="AB503" s="51"/>
      <c r="AC503" s="51"/>
      <c r="AD503" s="51"/>
      <c r="AG503" t="s">
        <v>28</v>
      </c>
      <c r="AH503" s="51"/>
      <c r="AI503" s="51"/>
    </row>
    <row r="504" spans="2:35">
      <c r="B504" t="s">
        <v>53</v>
      </c>
      <c r="C504" t="s">
        <v>3230</v>
      </c>
      <c r="D504">
        <v>5</v>
      </c>
      <c r="E504" t="s">
        <v>2793</v>
      </c>
      <c r="F504">
        <v>13</v>
      </c>
      <c r="G504">
        <v>28</v>
      </c>
      <c r="I504" t="s">
        <v>54</v>
      </c>
      <c r="J504" s="51">
        <v>40836</v>
      </c>
      <c r="K504" t="s">
        <v>27</v>
      </c>
      <c r="L504" t="s">
        <v>40</v>
      </c>
      <c r="M504">
        <v>3</v>
      </c>
      <c r="N504" t="str">
        <f>L504</f>
        <v>NAM\MA8870</v>
      </c>
      <c r="O504" s="51">
        <f>J504</f>
        <v>40836</v>
      </c>
      <c r="P504" s="51" t="str">
        <f>C504</f>
        <v>~/cdd/olddocs/Formas/CNWI-SHIP ( Embarques )/CNWI-SHIP-F007 FORMATO ENTREGAS.pptx</v>
      </c>
      <c r="Q504" s="51" t="str">
        <f>E504</f>
        <v>pptx</v>
      </c>
      <c r="R504" s="51"/>
      <c r="S504" s="51"/>
      <c r="T504" s="51"/>
      <c r="U504" s="51"/>
      <c r="V504" s="51"/>
      <c r="W504" s="51"/>
      <c r="X504" s="51"/>
      <c r="Y504" s="51"/>
      <c r="Z504" s="51"/>
      <c r="AA504" s="51"/>
      <c r="AB504" s="51"/>
      <c r="AC504" s="51"/>
      <c r="AD504" s="51"/>
      <c r="AG504" t="s">
        <v>28</v>
      </c>
      <c r="AH504" s="51"/>
      <c r="AI504" s="51"/>
    </row>
    <row r="505" spans="2:35">
      <c r="B505" t="s">
        <v>55</v>
      </c>
      <c r="C505" t="s">
        <v>3894</v>
      </c>
      <c r="D505">
        <v>5</v>
      </c>
      <c r="E505" t="s">
        <v>2790</v>
      </c>
      <c r="F505">
        <v>13</v>
      </c>
      <c r="G505">
        <v>28</v>
      </c>
      <c r="I505" t="s">
        <v>56</v>
      </c>
      <c r="J505" s="51">
        <v>41001</v>
      </c>
      <c r="K505" t="s">
        <v>46</v>
      </c>
      <c r="L505" t="s">
        <v>40</v>
      </c>
      <c r="M505">
        <v>3</v>
      </c>
      <c r="N505" t="str">
        <f>L505</f>
        <v>NAM\MA8870</v>
      </c>
      <c r="O505" s="51">
        <f>J505</f>
        <v>41001</v>
      </c>
      <c r="P505" s="51" t="str">
        <f>C505</f>
        <v>~cdd/olddocs/Formas/CNWI-SHIP ( Embarques )/CNWI-SHIP-F008 Control de material para embarcar.xlsx</v>
      </c>
      <c r="Q505" s="51" t="str">
        <f>E505</f>
        <v>xlsx</v>
      </c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G505" t="s">
        <v>28</v>
      </c>
      <c r="AH505" s="51"/>
      <c r="AI505" s="51"/>
    </row>
    <row r="506" spans="2:35">
      <c r="B506" t="s">
        <v>57</v>
      </c>
      <c r="C506" t="s">
        <v>3231</v>
      </c>
      <c r="D506">
        <v>5</v>
      </c>
      <c r="E506" t="s">
        <v>2790</v>
      </c>
      <c r="F506">
        <v>13</v>
      </c>
      <c r="G506">
        <v>28</v>
      </c>
      <c r="I506" t="s">
        <v>58</v>
      </c>
      <c r="J506" s="51">
        <v>41082</v>
      </c>
      <c r="K506" t="s">
        <v>27</v>
      </c>
      <c r="L506" t="s">
        <v>40</v>
      </c>
      <c r="M506">
        <v>3</v>
      </c>
      <c r="N506" t="str">
        <f>L506</f>
        <v>NAM\MA8870</v>
      </c>
      <c r="O506" s="51">
        <f>J506</f>
        <v>41082</v>
      </c>
      <c r="P506" s="51" t="str">
        <f>C506</f>
        <v>~/cdd/olddocs/Formas/CNWI-SHIP ( Embarques )/CNWI-SHIP-F009 Rev. A SPECIAL REQ LOGISTICS.xlsx</v>
      </c>
      <c r="Q506" s="51" t="str">
        <f>E506</f>
        <v>xlsx</v>
      </c>
      <c r="R506" s="51"/>
      <c r="S506" s="51"/>
      <c r="T506" s="51"/>
      <c r="U506" s="51"/>
      <c r="V506" s="51"/>
      <c r="W506" s="51"/>
      <c r="X506" s="51"/>
      <c r="Y506" s="51"/>
      <c r="Z506" s="51"/>
      <c r="AA506" s="51"/>
      <c r="AB506" s="51"/>
      <c r="AC506" s="51"/>
      <c r="AD506" s="51"/>
      <c r="AG506" t="s">
        <v>28</v>
      </c>
      <c r="AH506" s="51"/>
      <c r="AI506" s="51"/>
    </row>
    <row r="507" spans="2:35">
      <c r="B507" t="s">
        <v>2541</v>
      </c>
      <c r="C507" t="s">
        <v>3477</v>
      </c>
      <c r="D507">
        <v>6</v>
      </c>
      <c r="E507" t="s">
        <v>2795</v>
      </c>
      <c r="F507">
        <v>5</v>
      </c>
      <c r="G507">
        <v>10</v>
      </c>
      <c r="H507">
        <v>10</v>
      </c>
      <c r="I507" t="s">
        <v>2542</v>
      </c>
      <c r="J507" s="51" t="s">
        <v>2543</v>
      </c>
      <c r="K507" t="s">
        <v>27</v>
      </c>
      <c r="L507" t="s">
        <v>2427</v>
      </c>
      <c r="M507">
        <v>3</v>
      </c>
      <c r="N507" t="str">
        <f>L507</f>
        <v>NAM\MB1911</v>
      </c>
      <c r="O507" s="51" t="str">
        <f>J507</f>
        <v>14/01/11</v>
      </c>
      <c r="P507" s="51" t="str">
        <f>C507</f>
        <v>~/cdd/olddocs/Ayudas visuales/Camarillo/Bonding/CNWI-VSHP-000001 Rev. A (002314-0000).pub</v>
      </c>
      <c r="Q507" s="51" t="str">
        <f>E507</f>
        <v>pub</v>
      </c>
      <c r="R507" s="51"/>
      <c r="S507" s="51"/>
      <c r="T507" s="51"/>
      <c r="U507" s="51"/>
      <c r="V507" s="51"/>
      <c r="W507" s="51"/>
      <c r="X507" s="51"/>
      <c r="Y507" s="51"/>
      <c r="Z507" s="51"/>
      <c r="AA507" s="51"/>
      <c r="AB507" s="51"/>
      <c r="AC507" s="51"/>
      <c r="AD507" s="51"/>
      <c r="AE507" t="s">
        <v>2545</v>
      </c>
      <c r="AF507" t="s">
        <v>1473</v>
      </c>
      <c r="AG507" t="s">
        <v>2544</v>
      </c>
      <c r="AH507" s="51"/>
      <c r="AI507" s="51"/>
    </row>
    <row r="508" spans="2:35">
      <c r="B508" t="s">
        <v>2546</v>
      </c>
      <c r="C508" t="s">
        <v>3478</v>
      </c>
      <c r="D508">
        <v>6</v>
      </c>
      <c r="E508" t="s">
        <v>2795</v>
      </c>
      <c r="F508">
        <v>5</v>
      </c>
      <c r="G508">
        <v>10</v>
      </c>
      <c r="H508">
        <v>10</v>
      </c>
      <c r="I508" t="s">
        <v>2547</v>
      </c>
      <c r="J508" s="51" t="s">
        <v>2543</v>
      </c>
      <c r="K508" t="s">
        <v>27</v>
      </c>
      <c r="L508" t="s">
        <v>2427</v>
      </c>
      <c r="M508">
        <v>3</v>
      </c>
      <c r="N508" t="str">
        <f>L508</f>
        <v>NAM\MB1911</v>
      </c>
      <c r="O508" s="51" t="str">
        <f>J508</f>
        <v>14/01/11</v>
      </c>
      <c r="P508" s="51" t="str">
        <f>C508</f>
        <v>~/cdd/olddocs/Ayudas visuales/Camarillo/Bonding/CNWI-VSHP-000002 Rev. A (000103-0419).pub</v>
      </c>
      <c r="Q508" s="51" t="str">
        <f>E508</f>
        <v>pub</v>
      </c>
      <c r="R508" s="51"/>
      <c r="S508" s="51"/>
      <c r="T508" s="51"/>
      <c r="U508" s="51"/>
      <c r="V508" s="51"/>
      <c r="W508" s="51"/>
      <c r="X508" s="51"/>
      <c r="Y508" s="51"/>
      <c r="Z508" s="51"/>
      <c r="AA508" s="51"/>
      <c r="AB508" s="51"/>
      <c r="AC508" s="51"/>
      <c r="AD508" s="51"/>
      <c r="AG508" t="s">
        <v>2548</v>
      </c>
      <c r="AH508" s="51"/>
      <c r="AI508" s="51"/>
    </row>
    <row r="509" spans="2:35">
      <c r="B509" t="s">
        <v>2549</v>
      </c>
      <c r="C509" t="s">
        <v>3479</v>
      </c>
      <c r="D509">
        <v>6</v>
      </c>
      <c r="E509" t="s">
        <v>2795</v>
      </c>
      <c r="F509">
        <v>5</v>
      </c>
      <c r="G509">
        <v>10</v>
      </c>
      <c r="H509">
        <v>10</v>
      </c>
      <c r="I509" t="s">
        <v>2550</v>
      </c>
      <c r="J509" s="51">
        <v>40612</v>
      </c>
      <c r="K509" t="s">
        <v>46</v>
      </c>
      <c r="L509" t="s">
        <v>2427</v>
      </c>
      <c r="M509">
        <v>3</v>
      </c>
      <c r="N509" t="str">
        <f>L509</f>
        <v>NAM\MB1911</v>
      </c>
      <c r="O509" s="51">
        <f>J509</f>
        <v>40612</v>
      </c>
      <c r="P509" s="51" t="str">
        <f>C509</f>
        <v>~/cdd/olddocs/Ayudas visuales/Camarillo/Bonding/CNWI-VSHP-000003 Rev. B (000102-0145).pub</v>
      </c>
      <c r="Q509" s="51" t="str">
        <f>E509</f>
        <v>pub</v>
      </c>
      <c r="R509" s="51"/>
      <c r="S509" s="51"/>
      <c r="T509" s="51"/>
      <c r="U509" s="51"/>
      <c r="V509" s="51"/>
      <c r="W509" s="51"/>
      <c r="X509" s="51"/>
      <c r="Y509" s="51"/>
      <c r="Z509" s="51"/>
      <c r="AA509" s="51"/>
      <c r="AB509" s="51"/>
      <c r="AC509" s="51"/>
      <c r="AD509" s="51"/>
      <c r="AG509" t="s">
        <v>2551</v>
      </c>
      <c r="AH509" s="51"/>
      <c r="AI509" s="51"/>
    </row>
    <row r="510" spans="2:35">
      <c r="B510" t="s">
        <v>2552</v>
      </c>
      <c r="C510" t="s">
        <v>3480</v>
      </c>
      <c r="D510">
        <v>6</v>
      </c>
      <c r="E510" t="s">
        <v>2795</v>
      </c>
      <c r="F510">
        <v>5</v>
      </c>
      <c r="G510">
        <v>10</v>
      </c>
      <c r="H510">
        <v>10</v>
      </c>
      <c r="I510" t="s">
        <v>2553</v>
      </c>
      <c r="J510" s="51">
        <v>40583</v>
      </c>
      <c r="K510" t="s">
        <v>46</v>
      </c>
      <c r="L510" t="s">
        <v>2427</v>
      </c>
      <c r="M510">
        <v>3</v>
      </c>
      <c r="N510" t="str">
        <f>L510</f>
        <v>NAM\MB1911</v>
      </c>
      <c r="O510" s="51">
        <f>J510</f>
        <v>40583</v>
      </c>
      <c r="P510" s="51" t="str">
        <f>C510</f>
        <v>~/cdd/olddocs/Ayudas visuales/Camarillo/Bonding/CNWI-VSHP-000004 Rev. B (002360-0000).pub</v>
      </c>
      <c r="Q510" s="51" t="str">
        <f>E510</f>
        <v>pub</v>
      </c>
      <c r="R510" s="51"/>
      <c r="S510" s="51"/>
      <c r="T510" s="51"/>
      <c r="U510" s="51"/>
      <c r="V510" s="51"/>
      <c r="W510" s="51"/>
      <c r="X510" s="51"/>
      <c r="Y510" s="51"/>
      <c r="Z510" s="51"/>
      <c r="AA510" s="51"/>
      <c r="AB510" s="51"/>
      <c r="AC510" s="51"/>
      <c r="AD510" s="51"/>
      <c r="AE510" t="s">
        <v>30</v>
      </c>
      <c r="AF510" t="s">
        <v>1473</v>
      </c>
      <c r="AG510" t="s">
        <v>2554</v>
      </c>
      <c r="AH510" s="51"/>
      <c r="AI510" s="51"/>
    </row>
    <row r="511" spans="2:35">
      <c r="B511" t="s">
        <v>2775</v>
      </c>
      <c r="C511" t="s">
        <v>3552</v>
      </c>
      <c r="D511">
        <v>6</v>
      </c>
      <c r="E511" t="s">
        <v>2795</v>
      </c>
      <c r="F511">
        <v>5</v>
      </c>
      <c r="G511">
        <v>34</v>
      </c>
      <c r="H511">
        <v>25</v>
      </c>
      <c r="I511" t="s">
        <v>2776</v>
      </c>
      <c r="J511" s="51">
        <v>40568</v>
      </c>
      <c r="K511" t="s">
        <v>27</v>
      </c>
      <c r="L511" t="s">
        <v>2427</v>
      </c>
      <c r="M511">
        <v>3</v>
      </c>
      <c r="N511" t="str">
        <f>L511</f>
        <v>NAM\MB1911</v>
      </c>
      <c r="O511" s="51">
        <f>J511</f>
        <v>40568</v>
      </c>
      <c r="P511" s="51" t="str">
        <f>C511</f>
        <v>~/cdd/olddocs/Ayudas visuales/Camarillo/Salem/CNWI-VSHP-000005 Rev. A (102-117G1).pub</v>
      </c>
      <c r="Q511" s="51" t="str">
        <f>E511</f>
        <v>pub</v>
      </c>
      <c r="R511" s="51"/>
      <c r="S511" s="51"/>
      <c r="T511" s="51"/>
      <c r="U511" s="51"/>
      <c r="V511" s="51"/>
      <c r="W511" s="51"/>
      <c r="X511" s="51"/>
      <c r="Y511" s="51"/>
      <c r="Z511" s="51"/>
      <c r="AA511" s="51"/>
      <c r="AB511" s="51"/>
      <c r="AC511" s="51"/>
      <c r="AD511" s="51"/>
      <c r="AE511" t="s">
        <v>2778</v>
      </c>
      <c r="AF511" t="s">
        <v>479</v>
      </c>
      <c r="AG511" t="s">
        <v>2777</v>
      </c>
      <c r="AH511" s="51"/>
      <c r="AI511" s="51"/>
    </row>
    <row r="512" spans="2:35">
      <c r="B512" t="s">
        <v>506</v>
      </c>
      <c r="C512" t="s">
        <v>3590</v>
      </c>
      <c r="D512">
        <v>6</v>
      </c>
      <c r="E512" t="s">
        <v>2795</v>
      </c>
      <c r="F512">
        <v>5</v>
      </c>
      <c r="G512">
        <v>33</v>
      </c>
      <c r="H512">
        <v>28</v>
      </c>
      <c r="I512" t="s">
        <v>507</v>
      </c>
      <c r="J512" s="51">
        <v>40568</v>
      </c>
      <c r="K512" t="s">
        <v>27</v>
      </c>
      <c r="L512" t="s">
        <v>509</v>
      </c>
      <c r="M512">
        <v>3</v>
      </c>
      <c r="N512" t="str">
        <f>L512</f>
        <v>NAM\C67EF</v>
      </c>
      <c r="O512" s="51">
        <f>J512</f>
        <v>40568</v>
      </c>
      <c r="P512" s="51" t="str">
        <f>C512</f>
        <v>~/cdd/olddocs/Ayudas visuales/Micromini/General/CNWI-VSHP-000007 Rev. A (MEZCLA DE EPOXY).pub</v>
      </c>
      <c r="Q512" s="51" t="str">
        <f>E512</f>
        <v>pub</v>
      </c>
      <c r="R512" s="51"/>
      <c r="S512" s="51"/>
      <c r="T512" s="51"/>
      <c r="U512" s="51"/>
      <c r="V512" s="51"/>
      <c r="W512" s="51"/>
      <c r="X512" s="51"/>
      <c r="Y512" s="51"/>
      <c r="Z512" s="51"/>
      <c r="AA512" s="51"/>
      <c r="AB512" s="51"/>
      <c r="AC512" s="51"/>
      <c r="AD512" s="51"/>
      <c r="AG512" t="s">
        <v>88</v>
      </c>
      <c r="AH512" s="51"/>
      <c r="AI512" s="51"/>
    </row>
    <row r="513" spans="2:35">
      <c r="B513" t="s">
        <v>616</v>
      </c>
      <c r="C513" t="s">
        <v>3591</v>
      </c>
      <c r="D513">
        <v>6</v>
      </c>
      <c r="E513" t="s">
        <v>2795</v>
      </c>
      <c r="F513">
        <v>5</v>
      </c>
      <c r="G513">
        <v>33</v>
      </c>
      <c r="H513">
        <v>28</v>
      </c>
      <c r="I513" t="s">
        <v>617</v>
      </c>
      <c r="J513" s="51">
        <v>40568</v>
      </c>
      <c r="K513" t="s">
        <v>27</v>
      </c>
      <c r="L513" t="s">
        <v>605</v>
      </c>
      <c r="M513">
        <v>3</v>
      </c>
      <c r="N513" t="str">
        <f>L513</f>
        <v>NA/MB1049</v>
      </c>
      <c r="O513" s="51">
        <f>J513</f>
        <v>40568</v>
      </c>
      <c r="P513" s="51" t="str">
        <f>C513</f>
        <v>~/cdd/olddocs/Ayudas visuales/Micromini/General/CNWI-VSHP-000009 Rev. A  (Impresion de etiquetas Micro-Mini).pub</v>
      </c>
      <c r="Q513" s="51" t="str">
        <f>E513</f>
        <v>pub</v>
      </c>
      <c r="R513" s="51"/>
      <c r="S513" s="51"/>
      <c r="T513" s="51"/>
      <c r="U513" s="51"/>
      <c r="V513" s="51"/>
      <c r="W513" s="51"/>
      <c r="X513" s="51"/>
      <c r="Y513" s="51"/>
      <c r="Z513" s="51"/>
      <c r="AA513" s="51"/>
      <c r="AB513" s="51"/>
      <c r="AC513" s="51"/>
      <c r="AD513" s="51"/>
      <c r="AG513" t="s">
        <v>88</v>
      </c>
      <c r="AH513" s="51"/>
      <c r="AI513" s="51"/>
    </row>
    <row r="514" spans="2:35">
      <c r="B514" t="s">
        <v>618</v>
      </c>
      <c r="C514" t="s">
        <v>3592</v>
      </c>
      <c r="D514">
        <v>6</v>
      </c>
      <c r="E514" t="s">
        <v>2795</v>
      </c>
      <c r="F514">
        <v>5</v>
      </c>
      <c r="G514">
        <v>33</v>
      </c>
      <c r="H514">
        <v>28</v>
      </c>
      <c r="I514" t="s">
        <v>619</v>
      </c>
      <c r="J514" s="51">
        <v>40569</v>
      </c>
      <c r="K514" t="s">
        <v>27</v>
      </c>
      <c r="L514" t="s">
        <v>605</v>
      </c>
      <c r="M514">
        <v>3</v>
      </c>
      <c r="N514" t="str">
        <f>L514</f>
        <v>NA/MB1049</v>
      </c>
      <c r="O514" s="51">
        <f>J514</f>
        <v>40569</v>
      </c>
      <c r="P514" s="51" t="str">
        <f>C514</f>
        <v>~/cdd/olddocs/Ayudas visuales/Micromini/General/CNWI-VSHP-000010 Rev. A (Manejo de Crisol).pub</v>
      </c>
      <c r="Q514" s="51" t="str">
        <f>E514</f>
        <v>pub</v>
      </c>
      <c r="R514" s="51"/>
      <c r="S514" s="51"/>
      <c r="T514" s="51"/>
      <c r="U514" s="51"/>
      <c r="V514" s="51"/>
      <c r="W514" s="51"/>
      <c r="X514" s="51"/>
      <c r="Y514" s="51"/>
      <c r="Z514" s="51"/>
      <c r="AA514" s="51"/>
      <c r="AB514" s="51"/>
      <c r="AC514" s="51"/>
      <c r="AD514" s="51"/>
      <c r="AG514" t="s">
        <v>88</v>
      </c>
      <c r="AH514" s="51"/>
      <c r="AI514" s="51"/>
    </row>
    <row r="515" spans="2:35">
      <c r="B515" t="s">
        <v>620</v>
      </c>
      <c r="C515" t="s">
        <v>3593</v>
      </c>
      <c r="D515">
        <v>6</v>
      </c>
      <c r="E515" t="s">
        <v>2795</v>
      </c>
      <c r="F515">
        <v>5</v>
      </c>
      <c r="G515">
        <v>33</v>
      </c>
      <c r="H515">
        <v>28</v>
      </c>
      <c r="I515" t="s">
        <v>621</v>
      </c>
      <c r="J515" s="51">
        <v>40568</v>
      </c>
      <c r="K515" t="s">
        <v>27</v>
      </c>
      <c r="L515" t="s">
        <v>605</v>
      </c>
      <c r="M515">
        <v>3</v>
      </c>
      <c r="N515" t="str">
        <f>L515</f>
        <v>NA/MB1049</v>
      </c>
      <c r="O515" s="51">
        <f>J515</f>
        <v>40568</v>
      </c>
      <c r="P515" s="51" t="str">
        <f>C515</f>
        <v>~/cdd/olddocs/Ayudas visuales/Micromini/General/CNWI-VSHP-000011 Rev. A (PRUEBA MAYOR DE 12 POLOS).pub</v>
      </c>
      <c r="Q515" s="51" t="str">
        <f>E515</f>
        <v>pub</v>
      </c>
      <c r="R515" s="51"/>
      <c r="S515" s="51"/>
      <c r="T515" s="51"/>
      <c r="U515" s="51"/>
      <c r="V515" s="51"/>
      <c r="W515" s="51"/>
      <c r="X515" s="51"/>
      <c r="Y515" s="51"/>
      <c r="Z515" s="51"/>
      <c r="AA515" s="51"/>
      <c r="AB515" s="51"/>
      <c r="AC515" s="51"/>
      <c r="AD515" s="51"/>
      <c r="AE515" t="s">
        <v>478</v>
      </c>
      <c r="AF515" t="s">
        <v>90</v>
      </c>
      <c r="AG515" t="s">
        <v>88</v>
      </c>
      <c r="AH515" s="51"/>
      <c r="AI515" s="51"/>
    </row>
    <row r="516" spans="2:35">
      <c r="B516" t="s">
        <v>510</v>
      </c>
      <c r="C516" t="s">
        <v>3594</v>
      </c>
      <c r="D516">
        <v>6</v>
      </c>
      <c r="E516" t="s">
        <v>2795</v>
      </c>
      <c r="F516">
        <v>5</v>
      </c>
      <c r="G516">
        <v>33</v>
      </c>
      <c r="H516">
        <v>28</v>
      </c>
      <c r="I516" t="s">
        <v>511</v>
      </c>
      <c r="J516" s="51">
        <v>40625</v>
      </c>
      <c r="K516" t="s">
        <v>27</v>
      </c>
      <c r="L516" t="s">
        <v>509</v>
      </c>
      <c r="M516">
        <v>3</v>
      </c>
      <c r="N516" t="str">
        <f>L516</f>
        <v>NAM\C67EF</v>
      </c>
      <c r="O516" s="51">
        <f>J516</f>
        <v>40625</v>
      </c>
      <c r="P516" s="51" t="str">
        <f>C516</f>
        <v>~/cdd/olddocs/Ayudas visuales/Micromini/General/CNWI-VSHP-000012 Rev. A (PULL TEST MICRO-MINI).pub</v>
      </c>
      <c r="Q516" s="51" t="str">
        <f>E516</f>
        <v>pub</v>
      </c>
      <c r="R516" s="51"/>
      <c r="S516" s="51"/>
      <c r="T516" s="51"/>
      <c r="U516" s="51"/>
      <c r="V516" s="51"/>
      <c r="W516" s="51"/>
      <c r="X516" s="51"/>
      <c r="Y516" s="51"/>
      <c r="Z516" s="51"/>
      <c r="AA516" s="51"/>
      <c r="AB516" s="51"/>
      <c r="AC516" s="51"/>
      <c r="AD516" s="51"/>
      <c r="AG516" t="s">
        <v>88</v>
      </c>
      <c r="AH516" s="51"/>
      <c r="AI516" s="51"/>
    </row>
    <row r="517" spans="2:35">
      <c r="B517" t="s">
        <v>512</v>
      </c>
      <c r="C517" t="s">
        <v>3595</v>
      </c>
      <c r="D517">
        <v>6</v>
      </c>
      <c r="E517" t="s">
        <v>2795</v>
      </c>
      <c r="F517">
        <v>5</v>
      </c>
      <c r="G517">
        <v>33</v>
      </c>
      <c r="H517">
        <v>28</v>
      </c>
      <c r="I517" t="s">
        <v>513</v>
      </c>
      <c r="J517" s="51">
        <v>40570</v>
      </c>
      <c r="K517" t="s">
        <v>27</v>
      </c>
      <c r="L517" t="s">
        <v>509</v>
      </c>
      <c r="M517">
        <v>3</v>
      </c>
      <c r="N517" t="str">
        <f>L517</f>
        <v>NAM\C67EF</v>
      </c>
      <c r="O517" s="51">
        <f>J517</f>
        <v>40570</v>
      </c>
      <c r="P517" s="51" t="str">
        <f>C517</f>
        <v>~/cdd/olddocs/Ayudas visuales/Micromini/General/CNWI-VSHP-000013 REV. A (Uso de dispenser potted).pub</v>
      </c>
      <c r="Q517" s="51" t="str">
        <f>E517</f>
        <v>pub</v>
      </c>
      <c r="R517" s="51"/>
      <c r="S517" s="51"/>
      <c r="T517" s="51"/>
      <c r="U517" s="51"/>
      <c r="V517" s="51"/>
      <c r="W517" s="51"/>
      <c r="X517" s="51"/>
      <c r="Y517" s="51"/>
      <c r="Z517" s="51"/>
      <c r="AA517" s="51"/>
      <c r="AB517" s="51"/>
      <c r="AC517" s="51"/>
      <c r="AD517" s="51"/>
      <c r="AG517" t="s">
        <v>88</v>
      </c>
      <c r="AH517" s="51"/>
      <c r="AI517" s="51"/>
    </row>
    <row r="518" spans="2:35">
      <c r="B518" t="s">
        <v>2701</v>
      </c>
      <c r="C518" t="s">
        <v>3524</v>
      </c>
      <c r="D518">
        <v>6</v>
      </c>
      <c r="E518" t="s">
        <v>2795</v>
      </c>
      <c r="F518">
        <v>5</v>
      </c>
      <c r="G518">
        <v>9</v>
      </c>
      <c r="H518">
        <v>8</v>
      </c>
      <c r="I518" t="s">
        <v>2702</v>
      </c>
      <c r="J518" s="51">
        <v>40568</v>
      </c>
      <c r="K518" t="s">
        <v>27</v>
      </c>
      <c r="L518" t="s">
        <v>2427</v>
      </c>
      <c r="M518">
        <v>3</v>
      </c>
      <c r="N518" t="str">
        <f>L518</f>
        <v>NAM\MB1911</v>
      </c>
      <c r="O518" s="51">
        <f>J518</f>
        <v>40568</v>
      </c>
      <c r="P518" s="51" t="str">
        <f>C518</f>
        <v>~/cdd/olddocs/Ayudas visuales/Camarillo/Itron/CNWI-VSHP-000014 Rev. A (Retrabajo Convertir 28-3265-0001 a 28-3264-0001).pub</v>
      </c>
      <c r="Q518" s="51" t="str">
        <f>E518</f>
        <v>pub</v>
      </c>
      <c r="R518" s="51"/>
      <c r="S518" s="51"/>
      <c r="T518" s="51"/>
      <c r="U518" s="51"/>
      <c r="V518" s="51"/>
      <c r="W518" s="51"/>
      <c r="X518" s="51"/>
      <c r="Y518" s="51"/>
      <c r="Z518" s="51"/>
      <c r="AA518" s="51"/>
      <c r="AB518" s="51"/>
      <c r="AC518" s="51"/>
      <c r="AD518" s="51"/>
      <c r="AE518" t="s">
        <v>610</v>
      </c>
      <c r="AF518" t="s">
        <v>1473</v>
      </c>
      <c r="AG518" t="s">
        <v>2703</v>
      </c>
      <c r="AH518" s="51"/>
      <c r="AI518" s="51"/>
    </row>
    <row r="519" spans="2:35">
      <c r="B519" t="s">
        <v>2555</v>
      </c>
      <c r="C519" t="s">
        <v>3481</v>
      </c>
      <c r="D519">
        <v>6</v>
      </c>
      <c r="E519" t="s">
        <v>2795</v>
      </c>
      <c r="F519">
        <v>5</v>
      </c>
      <c r="G519">
        <v>10</v>
      </c>
      <c r="H519">
        <v>10</v>
      </c>
      <c r="I519" t="s">
        <v>2556</v>
      </c>
      <c r="J519" s="51">
        <v>40570</v>
      </c>
      <c r="K519" t="s">
        <v>27</v>
      </c>
      <c r="L519" t="s">
        <v>2427</v>
      </c>
      <c r="M519">
        <v>3</v>
      </c>
      <c r="N519" t="str">
        <f>L519</f>
        <v>NAM\MB1911</v>
      </c>
      <c r="O519" s="51">
        <f>J519</f>
        <v>40570</v>
      </c>
      <c r="P519" s="51" t="str">
        <f>C519</f>
        <v>~/cdd/olddocs/Ayudas visuales/Camarillo/Bonding/CNWI-VSHP-000015 Rev. A (000300-1561).pub</v>
      </c>
      <c r="Q519" s="51" t="str">
        <f>E519</f>
        <v>pub</v>
      </c>
      <c r="R519" s="51"/>
      <c r="S519" s="51"/>
      <c r="T519" s="51"/>
      <c r="U519" s="51"/>
      <c r="V519" s="51"/>
      <c r="W519" s="51"/>
      <c r="X519" s="51"/>
      <c r="Y519" s="51"/>
      <c r="Z519" s="51"/>
      <c r="AA519" s="51"/>
      <c r="AB519" s="51"/>
      <c r="AC519" s="51"/>
      <c r="AD519" s="51"/>
      <c r="AE519" t="s">
        <v>2558</v>
      </c>
      <c r="AF519" t="s">
        <v>1473</v>
      </c>
      <c r="AG519" t="s">
        <v>2557</v>
      </c>
      <c r="AH519" s="51"/>
      <c r="AI519" s="51"/>
    </row>
    <row r="520" spans="2:35">
      <c r="B520" t="s">
        <v>2634</v>
      </c>
      <c r="C520" t="s">
        <v>3502</v>
      </c>
      <c r="D520">
        <v>6</v>
      </c>
      <c r="E520" t="s">
        <v>2795</v>
      </c>
      <c r="F520">
        <v>5</v>
      </c>
      <c r="G520">
        <v>36</v>
      </c>
      <c r="H520">
        <v>26</v>
      </c>
      <c r="I520" t="s">
        <v>2635</v>
      </c>
      <c r="J520" s="51">
        <v>40570</v>
      </c>
      <c r="K520" t="s">
        <v>27</v>
      </c>
      <c r="L520" t="s">
        <v>2427</v>
      </c>
      <c r="M520">
        <v>3</v>
      </c>
      <c r="N520" t="str">
        <f>L520</f>
        <v>NAM\MB1911</v>
      </c>
      <c r="O520" s="51">
        <f>J520</f>
        <v>40570</v>
      </c>
      <c r="P520" s="51" t="str">
        <f>C520</f>
        <v>~/cdd/olddocs/Ayudas visuales/Camarillo/Ensamble general/CNWI-VSHP-000016 Rev. A (000201-4239).pub</v>
      </c>
      <c r="Q520" s="51" t="str">
        <f>E520</f>
        <v>pub</v>
      </c>
      <c r="R520" s="51"/>
      <c r="S520" s="51"/>
      <c r="T520" s="51"/>
      <c r="U520" s="51"/>
      <c r="V520" s="51"/>
      <c r="W520" s="51"/>
      <c r="X520" s="51"/>
      <c r="Y520" s="51"/>
      <c r="Z520" s="51"/>
      <c r="AA520" s="51"/>
      <c r="AB520" s="51"/>
      <c r="AC520" s="51"/>
      <c r="AD520" s="51"/>
      <c r="AE520" t="s">
        <v>2637</v>
      </c>
      <c r="AF520" t="s">
        <v>479</v>
      </c>
      <c r="AG520" t="s">
        <v>2636</v>
      </c>
      <c r="AH520" s="51"/>
      <c r="AI520" s="51"/>
    </row>
    <row r="521" spans="2:35">
      <c r="B521" t="s">
        <v>2559</v>
      </c>
      <c r="C521" t="s">
        <v>3482</v>
      </c>
      <c r="D521">
        <v>6</v>
      </c>
      <c r="E521" t="s">
        <v>2795</v>
      </c>
      <c r="F521">
        <v>5</v>
      </c>
      <c r="G521">
        <v>10</v>
      </c>
      <c r="H521">
        <v>10</v>
      </c>
      <c r="I521" t="s">
        <v>2560</v>
      </c>
      <c r="J521" s="51">
        <v>40545</v>
      </c>
      <c r="K521" t="s">
        <v>27</v>
      </c>
      <c r="L521" t="s">
        <v>2427</v>
      </c>
      <c r="M521">
        <v>3</v>
      </c>
      <c r="N521" t="str">
        <f>L521</f>
        <v>NAM\MB1911</v>
      </c>
      <c r="O521" s="51">
        <f>J521</f>
        <v>40545</v>
      </c>
      <c r="P521" s="51" t="str">
        <f>C521</f>
        <v>~/cdd/olddocs/Ayudas visuales/Camarillo/Bonding/CNWI-VSHP-000017 Rev. A (508432).pub</v>
      </c>
      <c r="Q521" s="51" t="str">
        <f>E521</f>
        <v>pub</v>
      </c>
      <c r="R521" s="51"/>
      <c r="S521" s="51"/>
      <c r="T521" s="51"/>
      <c r="U521" s="51"/>
      <c r="V521" s="51"/>
      <c r="W521" s="51"/>
      <c r="X521" s="51"/>
      <c r="Y521" s="51"/>
      <c r="Z521" s="51"/>
      <c r="AA521" s="51"/>
      <c r="AB521" s="51"/>
      <c r="AC521" s="51"/>
      <c r="AD521" s="51"/>
      <c r="AE521" t="s">
        <v>2561</v>
      </c>
      <c r="AF521" t="s">
        <v>1473</v>
      </c>
      <c r="AG521">
        <v>508432</v>
      </c>
      <c r="AH521" s="51"/>
      <c r="AI521" s="51"/>
    </row>
    <row r="522" spans="2:35">
      <c r="B522" t="s">
        <v>662</v>
      </c>
      <c r="C522" t="s">
        <v>3554</v>
      </c>
      <c r="D522">
        <v>6</v>
      </c>
      <c r="E522" t="s">
        <v>2795</v>
      </c>
      <c r="F522">
        <v>5</v>
      </c>
      <c r="G522">
        <v>12</v>
      </c>
      <c r="H522">
        <v>3</v>
      </c>
      <c r="I522" t="s">
        <v>665</v>
      </c>
      <c r="J522" s="51">
        <v>40625</v>
      </c>
      <c r="K522" t="s">
        <v>27</v>
      </c>
      <c r="L522" t="s">
        <v>605</v>
      </c>
      <c r="M522">
        <v>3</v>
      </c>
      <c r="N522" t="str">
        <f>L522</f>
        <v>NA/MB1049</v>
      </c>
      <c r="O522" s="51">
        <f>J522</f>
        <v>40625</v>
      </c>
      <c r="P522" s="51" t="str">
        <f>C522</f>
        <v>~/cdd/olddocs/Ayudas visuales/Micromini/A y B/CNWI-VSHP-000018 Rev. A (5000109_JS).pub</v>
      </c>
      <c r="Q522" s="51" t="str">
        <f>E522</f>
        <v>pub</v>
      </c>
      <c r="R522" s="51"/>
      <c r="S522" s="51"/>
      <c r="T522" s="51"/>
      <c r="U522" s="51"/>
      <c r="V522" s="51"/>
      <c r="W522" s="51"/>
      <c r="X522" s="51"/>
      <c r="Y522" s="51"/>
      <c r="Z522" s="51"/>
      <c r="AA522" s="51"/>
      <c r="AB522" s="51"/>
      <c r="AC522" s="51"/>
      <c r="AD522" s="51"/>
      <c r="AG522" t="s">
        <v>666</v>
      </c>
      <c r="AH522" s="51"/>
      <c r="AI522" s="51"/>
    </row>
    <row r="523" spans="2:35">
      <c r="B523" t="s">
        <v>667</v>
      </c>
      <c r="C523" t="s">
        <v>3555</v>
      </c>
      <c r="D523">
        <v>6</v>
      </c>
      <c r="E523" t="s">
        <v>2795</v>
      </c>
      <c r="F523">
        <v>5</v>
      </c>
      <c r="G523">
        <v>12</v>
      </c>
      <c r="H523">
        <v>3</v>
      </c>
      <c r="I523" t="s">
        <v>668</v>
      </c>
      <c r="J523" s="51">
        <v>40574</v>
      </c>
      <c r="K523" t="s">
        <v>27</v>
      </c>
      <c r="L523" t="s">
        <v>605</v>
      </c>
      <c r="M523">
        <v>3</v>
      </c>
      <c r="N523" t="str">
        <f>L523</f>
        <v>NA/MB1049</v>
      </c>
      <c r="O523" s="51">
        <f>J523</f>
        <v>40574</v>
      </c>
      <c r="P523" s="51" t="str">
        <f>C523</f>
        <v>~/cdd/olddocs/Ayudas visuales/Micromini/A y B/CNWI-VSHP-000019 Rev. A (5000111-BW).pub</v>
      </c>
      <c r="Q523" s="51" t="str">
        <f>E523</f>
        <v>pub</v>
      </c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G523" t="s">
        <v>28</v>
      </c>
      <c r="AH523" s="51"/>
      <c r="AI523" s="51"/>
    </row>
    <row r="524" spans="2:35">
      <c r="B524" t="s">
        <v>669</v>
      </c>
      <c r="C524" t="s">
        <v>3556</v>
      </c>
      <c r="D524">
        <v>6</v>
      </c>
      <c r="E524" t="s">
        <v>2795</v>
      </c>
      <c r="F524">
        <v>5</v>
      </c>
      <c r="G524">
        <v>12</v>
      </c>
      <c r="H524">
        <v>3</v>
      </c>
      <c r="I524" t="s">
        <v>670</v>
      </c>
      <c r="J524" s="51">
        <v>40574</v>
      </c>
      <c r="K524" t="s">
        <v>27</v>
      </c>
      <c r="L524" t="s">
        <v>605</v>
      </c>
      <c r="M524">
        <v>3</v>
      </c>
      <c r="N524" t="str">
        <f>L524</f>
        <v>NA/MB1049</v>
      </c>
      <c r="O524" s="51">
        <f>J524</f>
        <v>40574</v>
      </c>
      <c r="P524" s="51" t="str">
        <f>C524</f>
        <v>~/cdd/olddocs/Ayudas visuales/Micromini/A y B/CNWI-VSHP-000020 Rev. A (5000109R).pub</v>
      </c>
      <c r="Q524" s="51" t="str">
        <f>E524</f>
        <v>pub</v>
      </c>
      <c r="R524" s="51"/>
      <c r="S524" s="51"/>
      <c r="T524" s="51"/>
      <c r="U524" s="51"/>
      <c r="V524" s="51"/>
      <c r="W524" s="51"/>
      <c r="X524" s="51"/>
      <c r="Y524" s="51"/>
      <c r="Z524" s="51"/>
      <c r="AA524" s="51"/>
      <c r="AB524" s="51"/>
      <c r="AC524" s="51"/>
      <c r="AD524" s="51"/>
      <c r="AG524" t="s">
        <v>28</v>
      </c>
      <c r="AH524" s="51"/>
      <c r="AI524" s="51"/>
    </row>
    <row r="525" spans="2:35">
      <c r="B525" t="s">
        <v>671</v>
      </c>
      <c r="C525" t="s">
        <v>3822</v>
      </c>
      <c r="D525">
        <v>6</v>
      </c>
      <c r="E525" t="s">
        <v>2795</v>
      </c>
      <c r="F525">
        <v>5</v>
      </c>
      <c r="G525">
        <v>12</v>
      </c>
      <c r="H525">
        <v>3</v>
      </c>
      <c r="I525" t="s">
        <v>672</v>
      </c>
      <c r="J525" s="51">
        <v>40575</v>
      </c>
      <c r="K525" t="s">
        <v>27</v>
      </c>
      <c r="L525" t="s">
        <v>605</v>
      </c>
      <c r="M525">
        <v>3</v>
      </c>
      <c r="N525" t="str">
        <f>L525</f>
        <v>NA/MB1049</v>
      </c>
      <c r="O525" s="51">
        <f>J525</f>
        <v>40575</v>
      </c>
      <c r="P525" s="51" t="str">
        <f>C525</f>
        <v>~cdd/olddocs/Ayudas visuales/Micromini/A y B/CNWI-VSHP-000021 Rev. A (5000117-GP5).pub</v>
      </c>
      <c r="Q525" s="51" t="str">
        <f>E525</f>
        <v>pub</v>
      </c>
      <c r="R525" s="51"/>
      <c r="S525" s="51"/>
      <c r="T525" s="51"/>
      <c r="U525" s="51"/>
      <c r="V525" s="51"/>
      <c r="W525" s="51"/>
      <c r="X525" s="51"/>
      <c r="Y525" s="51"/>
      <c r="Z525" s="51"/>
      <c r="AA525" s="51"/>
      <c r="AB525" s="51"/>
      <c r="AC525" s="51"/>
      <c r="AD525" s="51"/>
      <c r="AG525" t="s">
        <v>673</v>
      </c>
      <c r="AH525" s="51"/>
      <c r="AI525" s="51"/>
    </row>
    <row r="526" spans="2:35">
      <c r="B526" t="s">
        <v>674</v>
      </c>
      <c r="C526" t="s">
        <v>3557</v>
      </c>
      <c r="D526">
        <v>6</v>
      </c>
      <c r="E526" t="s">
        <v>2795</v>
      </c>
      <c r="F526">
        <v>5</v>
      </c>
      <c r="G526">
        <v>12</v>
      </c>
      <c r="H526">
        <v>3</v>
      </c>
      <c r="I526" t="s">
        <v>675</v>
      </c>
      <c r="J526" s="51">
        <v>40575</v>
      </c>
      <c r="K526" t="s">
        <v>27</v>
      </c>
      <c r="L526" t="s">
        <v>605</v>
      </c>
      <c r="M526">
        <v>3</v>
      </c>
      <c r="N526" t="str">
        <f>L526</f>
        <v>NA/MB1049</v>
      </c>
      <c r="O526" s="51">
        <f>J526</f>
        <v>40575</v>
      </c>
      <c r="P526" s="51" t="str">
        <f>C526</f>
        <v>~/cdd/olddocs/Ayudas visuales/Micromini/A y B/CNWI-VSHP-000022 Rev. A (5000118-A).pub</v>
      </c>
      <c r="Q526" s="51" t="str">
        <f>E526</f>
        <v>pub</v>
      </c>
      <c r="R526" s="51"/>
      <c r="S526" s="51"/>
      <c r="T526" s="51"/>
      <c r="U526" s="51"/>
      <c r="V526" s="51"/>
      <c r="W526" s="51"/>
      <c r="X526" s="51"/>
      <c r="Y526" s="51"/>
      <c r="Z526" s="51"/>
      <c r="AA526" s="51"/>
      <c r="AB526" s="51"/>
      <c r="AC526" s="51"/>
      <c r="AD526" s="51"/>
      <c r="AG526" t="s">
        <v>28</v>
      </c>
      <c r="AH526" s="51"/>
      <c r="AI526" s="51"/>
    </row>
    <row r="527" spans="2:35">
      <c r="B527" t="s">
        <v>676</v>
      </c>
      <c r="C527" t="s">
        <v>3558</v>
      </c>
      <c r="D527">
        <v>6</v>
      </c>
      <c r="E527" t="s">
        <v>2795</v>
      </c>
      <c r="F527">
        <v>5</v>
      </c>
      <c r="G527">
        <v>12</v>
      </c>
      <c r="H527">
        <v>3</v>
      </c>
      <c r="I527" t="s">
        <v>677</v>
      </c>
      <c r="J527" s="51">
        <v>40578</v>
      </c>
      <c r="K527" t="s">
        <v>27</v>
      </c>
      <c r="L527" t="s">
        <v>605</v>
      </c>
      <c r="M527">
        <v>3</v>
      </c>
      <c r="N527" t="str">
        <f>L527</f>
        <v>NA/MB1049</v>
      </c>
      <c r="O527" s="51">
        <f>J527</f>
        <v>40578</v>
      </c>
      <c r="P527" s="51" t="str">
        <f>C527</f>
        <v>~/cdd/olddocs/Ayudas visuales/Micromini/A y B/CNWI-VSHP-000023 Rev. A (5000129-AZ).pub</v>
      </c>
      <c r="Q527" s="51" t="str">
        <f>E527</f>
        <v>pub</v>
      </c>
      <c r="R527" s="51"/>
      <c r="S527" s="51"/>
      <c r="T527" s="51"/>
      <c r="U527" s="51"/>
      <c r="V527" s="51"/>
      <c r="W527" s="51"/>
      <c r="X527" s="51"/>
      <c r="Y527" s="51"/>
      <c r="Z527" s="51"/>
      <c r="AA527" s="51"/>
      <c r="AB527" s="51"/>
      <c r="AC527" s="51"/>
      <c r="AD527" s="51"/>
      <c r="AG527" t="s">
        <v>28</v>
      </c>
      <c r="AH527" s="51"/>
      <c r="AI527" s="51"/>
    </row>
    <row r="528" spans="2:35">
      <c r="B528" t="s">
        <v>678</v>
      </c>
      <c r="C528" t="s">
        <v>3559</v>
      </c>
      <c r="D528">
        <v>6</v>
      </c>
      <c r="E528" t="s">
        <v>2795</v>
      </c>
      <c r="F528">
        <v>5</v>
      </c>
      <c r="G528">
        <v>12</v>
      </c>
      <c r="H528">
        <v>3</v>
      </c>
      <c r="I528" t="s">
        <v>679</v>
      </c>
      <c r="J528" s="51">
        <v>40578</v>
      </c>
      <c r="K528" t="s">
        <v>27</v>
      </c>
      <c r="L528" t="s">
        <v>605</v>
      </c>
      <c r="M528">
        <v>3</v>
      </c>
      <c r="N528" t="str">
        <f>L528</f>
        <v>NA/MB1049</v>
      </c>
      <c r="O528" s="51">
        <f>J528</f>
        <v>40578</v>
      </c>
      <c r="P528" s="51" t="str">
        <f>C528</f>
        <v>~/cdd/olddocs/Ayudas visuales/Micromini/A y B/CNWI-VSHP-000024 Rev. B (DM4Q2M24E-A).pub</v>
      </c>
      <c r="Q528" s="51" t="str">
        <f>E528</f>
        <v>pub</v>
      </c>
      <c r="R528" s="51"/>
      <c r="S528" s="51"/>
      <c r="T528" s="51"/>
      <c r="U528" s="51"/>
      <c r="V528" s="51"/>
      <c r="W528" s="51"/>
      <c r="X528" s="51"/>
      <c r="Y528" s="51"/>
      <c r="Z528" s="51"/>
      <c r="AA528" s="51"/>
      <c r="AB528" s="51"/>
      <c r="AC528" s="51"/>
      <c r="AD528" s="51"/>
      <c r="AG528" t="s">
        <v>28</v>
      </c>
      <c r="AH528" s="51"/>
      <c r="AI528" s="51"/>
    </row>
    <row r="529" spans="2:35">
      <c r="B529" t="s">
        <v>789</v>
      </c>
      <c r="C529" t="s">
        <v>3622</v>
      </c>
      <c r="D529">
        <v>6</v>
      </c>
      <c r="E529" t="s">
        <v>2793</v>
      </c>
      <c r="F529">
        <v>5</v>
      </c>
      <c r="G529">
        <v>12</v>
      </c>
      <c r="H529">
        <v>18</v>
      </c>
      <c r="I529" t="s">
        <v>790</v>
      </c>
      <c r="J529" s="51">
        <v>41046</v>
      </c>
      <c r="K529" t="s">
        <v>46</v>
      </c>
      <c r="L529" t="s">
        <v>605</v>
      </c>
      <c r="M529">
        <v>3</v>
      </c>
      <c r="N529" t="str">
        <f>L529</f>
        <v>NA/MB1049</v>
      </c>
      <c r="O529" s="51">
        <f>J529</f>
        <v>41046</v>
      </c>
      <c r="P529" s="51" t="str">
        <f>C529</f>
        <v>~/cdd/olddocs/Ayudas visuales/Micromini/Potted/CNWI-VSHP-000025 Rev B  EMPAQUE POTTED 5000129-CF.pptx</v>
      </c>
      <c r="Q529" s="51" t="str">
        <f>E529</f>
        <v>pptx</v>
      </c>
      <c r="R529" s="51"/>
      <c r="S529" s="51"/>
      <c r="T529" s="51"/>
      <c r="U529" s="51"/>
      <c r="V529" s="51"/>
      <c r="W529" s="51"/>
      <c r="X529" s="51"/>
      <c r="Y529" s="51"/>
      <c r="Z529" s="51"/>
      <c r="AA529" s="51"/>
      <c r="AB529" s="51"/>
      <c r="AC529" s="51"/>
      <c r="AD529" s="51"/>
      <c r="AE529" t="s">
        <v>30</v>
      </c>
      <c r="AF529" t="s">
        <v>90</v>
      </c>
      <c r="AG529" t="s">
        <v>28</v>
      </c>
      <c r="AH529" s="51"/>
      <c r="AI529" s="51"/>
    </row>
    <row r="530" spans="2:35">
      <c r="B530" t="s">
        <v>791</v>
      </c>
      <c r="C530" t="s">
        <v>3623</v>
      </c>
      <c r="D530">
        <v>6</v>
      </c>
      <c r="E530" t="s">
        <v>2795</v>
      </c>
      <c r="F530">
        <v>5</v>
      </c>
      <c r="G530">
        <v>12</v>
      </c>
      <c r="H530">
        <v>18</v>
      </c>
      <c r="I530" t="s">
        <v>792</v>
      </c>
      <c r="J530" s="51">
        <v>40578</v>
      </c>
      <c r="K530" t="s">
        <v>27</v>
      </c>
      <c r="L530" t="s">
        <v>605</v>
      </c>
      <c r="M530">
        <v>3</v>
      </c>
      <c r="N530" t="str">
        <f>L530</f>
        <v>NA/MB1049</v>
      </c>
      <c r="O530" s="51">
        <f>J530</f>
        <v>40578</v>
      </c>
      <c r="P530" s="51" t="str">
        <f>C530</f>
        <v>~/cdd/olddocs/Ayudas visuales/Micromini/Potted/CNWI-VSHP-000026 Rev. A (A88N-F5AFA1-1F).pub</v>
      </c>
      <c r="Q530" s="51" t="str">
        <f>E530</f>
        <v>pub</v>
      </c>
      <c r="R530" s="51"/>
      <c r="S530" s="51"/>
      <c r="T530" s="51"/>
      <c r="U530" s="51"/>
      <c r="V530" s="51"/>
      <c r="W530" s="51"/>
      <c r="X530" s="51"/>
      <c r="Y530" s="51"/>
      <c r="Z530" s="51"/>
      <c r="AA530" s="51"/>
      <c r="AB530" s="51"/>
      <c r="AC530" s="51"/>
      <c r="AD530" s="51"/>
      <c r="AG530" t="s">
        <v>28</v>
      </c>
      <c r="AH530" s="51"/>
      <c r="AI530" s="51"/>
    </row>
    <row r="531" spans="2:35">
      <c r="B531" t="s">
        <v>2704</v>
      </c>
      <c r="C531" t="s">
        <v>3525</v>
      </c>
      <c r="D531">
        <v>6</v>
      </c>
      <c r="E531" t="s">
        <v>2795</v>
      </c>
      <c r="F531">
        <v>5</v>
      </c>
      <c r="G531">
        <v>9</v>
      </c>
      <c r="H531">
        <v>8</v>
      </c>
      <c r="I531" t="s">
        <v>2705</v>
      </c>
      <c r="J531" s="51">
        <v>40674</v>
      </c>
      <c r="K531" t="s">
        <v>46</v>
      </c>
      <c r="L531" t="s">
        <v>2427</v>
      </c>
      <c r="M531">
        <v>3</v>
      </c>
      <c r="N531" t="str">
        <f>L531</f>
        <v>NAM\MB1911</v>
      </c>
      <c r="O531" s="51">
        <f>J531</f>
        <v>40674</v>
      </c>
      <c r="P531" s="51" t="str">
        <f>C531</f>
        <v>~/cdd/olddocs/Ayudas visuales/Camarillo/Itron/CNWI-VSHP-000027 Rev. B (CBA-0200-010).pub</v>
      </c>
      <c r="Q531" s="51" t="str">
        <f>E531</f>
        <v>pub</v>
      </c>
      <c r="R531" s="51"/>
      <c r="S531" s="51"/>
      <c r="T531" s="51"/>
      <c r="U531" s="51"/>
      <c r="V531" s="51"/>
      <c r="W531" s="51"/>
      <c r="X531" s="51"/>
      <c r="Y531" s="51"/>
      <c r="Z531" s="51"/>
      <c r="AA531" s="51"/>
      <c r="AB531" s="51"/>
      <c r="AC531" s="51"/>
      <c r="AD531" s="51"/>
      <c r="AG531" t="s">
        <v>28</v>
      </c>
      <c r="AH531" s="51"/>
      <c r="AI531" s="51"/>
    </row>
    <row r="532" spans="2:35">
      <c r="B532" t="s">
        <v>680</v>
      </c>
      <c r="C532" t="s">
        <v>3560</v>
      </c>
      <c r="D532">
        <v>6</v>
      </c>
      <c r="E532" t="s">
        <v>2795</v>
      </c>
      <c r="F532">
        <v>5</v>
      </c>
      <c r="G532">
        <v>12</v>
      </c>
      <c r="H532">
        <v>3</v>
      </c>
      <c r="I532" t="s">
        <v>681</v>
      </c>
      <c r="J532" s="51">
        <v>40578</v>
      </c>
      <c r="K532" t="s">
        <v>27</v>
      </c>
      <c r="L532" t="s">
        <v>605</v>
      </c>
      <c r="M532">
        <v>3</v>
      </c>
      <c r="N532" t="str">
        <f>L532</f>
        <v>NA/MB1049</v>
      </c>
      <c r="O532" s="51">
        <f>J532</f>
        <v>40578</v>
      </c>
      <c r="P532" s="51" t="str">
        <f>C532</f>
        <v>~/cdd/olddocs/Ayudas visuales/Micromini/A y B/CNWI-VSHP-000028 Rev. A (5000118-DW).pub</v>
      </c>
      <c r="Q532" s="51" t="str">
        <f>E532</f>
        <v>pub</v>
      </c>
      <c r="R532" s="51"/>
      <c r="S532" s="51"/>
      <c r="T532" s="51"/>
      <c r="U532" s="51"/>
      <c r="V532" s="51"/>
      <c r="W532" s="51"/>
      <c r="X532" s="51"/>
      <c r="Y532" s="51"/>
      <c r="Z532" s="51"/>
      <c r="AA532" s="51"/>
      <c r="AB532" s="51"/>
      <c r="AC532" s="51"/>
      <c r="AD532" s="51"/>
      <c r="AG532" t="s">
        <v>28</v>
      </c>
      <c r="AH532" s="51"/>
      <c r="AI532" s="51"/>
    </row>
    <row r="533" spans="2:35">
      <c r="B533" t="s">
        <v>2638</v>
      </c>
      <c r="C533" t="s">
        <v>3503</v>
      </c>
      <c r="D533">
        <v>6</v>
      </c>
      <c r="E533" t="s">
        <v>2795</v>
      </c>
      <c r="F533">
        <v>5</v>
      </c>
      <c r="G533">
        <v>36</v>
      </c>
      <c r="H533">
        <v>26</v>
      </c>
      <c r="I533" t="s">
        <v>2639</v>
      </c>
      <c r="J533" s="51">
        <v>40788</v>
      </c>
      <c r="K533" t="s">
        <v>27</v>
      </c>
      <c r="L533" t="s">
        <v>2427</v>
      </c>
      <c r="M533">
        <v>3</v>
      </c>
      <c r="N533" t="str">
        <f>L533</f>
        <v>NAM\MB1911</v>
      </c>
      <c r="O533" s="51">
        <f>J533</f>
        <v>40788</v>
      </c>
      <c r="P533" s="51" t="str">
        <f>C533</f>
        <v>~/cdd/olddocs/Ayudas visuales/Camarillo/Ensamble general/CNWI-VSHP-000029 Rev. A (000300-1304).pub</v>
      </c>
      <c r="Q533" s="51" t="str">
        <f>E533</f>
        <v>pub</v>
      </c>
      <c r="R533" s="51"/>
      <c r="S533" s="51"/>
      <c r="T533" s="51"/>
      <c r="U533" s="51"/>
      <c r="V533" s="51"/>
      <c r="W533" s="51"/>
      <c r="X533" s="51"/>
      <c r="Y533" s="51"/>
      <c r="Z533" s="51"/>
      <c r="AA533" s="51"/>
      <c r="AB533" s="51"/>
      <c r="AC533" s="51"/>
      <c r="AD533" s="51"/>
      <c r="AE533" t="s">
        <v>2640</v>
      </c>
      <c r="AF533" t="s">
        <v>479</v>
      </c>
      <c r="AG533" t="s">
        <v>28</v>
      </c>
      <c r="AH533" s="51"/>
      <c r="AI533" s="51"/>
    </row>
    <row r="534" spans="2:35">
      <c r="B534" t="s">
        <v>2767</v>
      </c>
      <c r="C534" t="s">
        <v>3526</v>
      </c>
      <c r="D534">
        <v>6</v>
      </c>
      <c r="E534" t="s">
        <v>2795</v>
      </c>
      <c r="F534">
        <v>5</v>
      </c>
      <c r="G534">
        <v>9</v>
      </c>
      <c r="H534">
        <v>13</v>
      </c>
      <c r="I534" t="s">
        <v>2768</v>
      </c>
      <c r="J534" s="51">
        <v>40788</v>
      </c>
      <c r="K534" t="s">
        <v>27</v>
      </c>
      <c r="L534" t="s">
        <v>2427</v>
      </c>
      <c r="M534">
        <v>3</v>
      </c>
      <c r="N534" t="str">
        <f>L534</f>
        <v>NAM\MB1911</v>
      </c>
      <c r="O534" s="51">
        <f>J534</f>
        <v>40788</v>
      </c>
      <c r="P534" s="51" t="str">
        <f>C534</f>
        <v>~/cdd/olddocs/Ayudas visuales/Camarillo/Itron/CNWI-VSHP-000030 Rev.A Retrabajo (Convertir 28-3267-0001 a 28-3264-0001).pub</v>
      </c>
      <c r="Q534" s="51" t="str">
        <f>E534</f>
        <v>pub</v>
      </c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G534" t="s">
        <v>28</v>
      </c>
      <c r="AH534" s="51"/>
      <c r="AI534" s="51"/>
    </row>
    <row r="535" spans="2:35">
      <c r="B535" t="s">
        <v>2641</v>
      </c>
      <c r="C535" t="s">
        <v>3504</v>
      </c>
      <c r="D535">
        <v>6</v>
      </c>
      <c r="E535" t="s">
        <v>2795</v>
      </c>
      <c r="F535">
        <v>5</v>
      </c>
      <c r="G535">
        <v>36</v>
      </c>
      <c r="H535">
        <v>26</v>
      </c>
      <c r="I535" t="s">
        <v>2642</v>
      </c>
      <c r="J535" s="51">
        <v>40849</v>
      </c>
      <c r="K535" t="s">
        <v>27</v>
      </c>
      <c r="L535" t="s">
        <v>2427</v>
      </c>
      <c r="M535">
        <v>3</v>
      </c>
      <c r="N535" t="str">
        <f>L535</f>
        <v>NAM\MB1911</v>
      </c>
      <c r="O535" s="51">
        <f>J535</f>
        <v>40849</v>
      </c>
      <c r="P535" s="51" t="str">
        <f>C535</f>
        <v>~/cdd/olddocs/Ayudas visuales/Camarillo/Ensamble general/CNWI-VSHP-000031 Rev.A 000292-0000.pub</v>
      </c>
      <c r="Q535" s="51" t="str">
        <f>E535</f>
        <v>pub</v>
      </c>
      <c r="R535" s="51"/>
      <c r="S535" s="51"/>
      <c r="T535" s="51"/>
      <c r="U535" s="51"/>
      <c r="V535" s="51"/>
      <c r="W535" s="51"/>
      <c r="X535" s="51"/>
      <c r="Y535" s="51"/>
      <c r="Z535" s="51"/>
      <c r="AA535" s="51"/>
      <c r="AB535" s="51"/>
      <c r="AC535" s="51"/>
      <c r="AD535" s="51"/>
      <c r="AE535" t="s">
        <v>2643</v>
      </c>
      <c r="AF535" t="s">
        <v>479</v>
      </c>
      <c r="AG535" t="s">
        <v>28</v>
      </c>
      <c r="AH535" s="51"/>
      <c r="AI535" s="51"/>
    </row>
    <row r="536" spans="2:35">
      <c r="B536" t="s">
        <v>770</v>
      </c>
      <c r="C536" t="s">
        <v>3825</v>
      </c>
      <c r="D536">
        <v>6</v>
      </c>
      <c r="E536" t="s">
        <v>2795</v>
      </c>
      <c r="F536">
        <v>5</v>
      </c>
      <c r="G536">
        <v>12</v>
      </c>
      <c r="H536">
        <v>16</v>
      </c>
      <c r="I536" t="s">
        <v>771</v>
      </c>
      <c r="J536" s="51">
        <v>40818</v>
      </c>
      <c r="K536" t="s">
        <v>27</v>
      </c>
      <c r="L536" t="s">
        <v>605</v>
      </c>
      <c r="M536">
        <v>3</v>
      </c>
      <c r="N536" t="str">
        <f>L536</f>
        <v>NA/MB1049</v>
      </c>
      <c r="O536" s="51">
        <f>J536</f>
        <v>40818</v>
      </c>
      <c r="P536" s="51" t="str">
        <f>C536</f>
        <v>~cdd/olddocs/Ayudas visuales/Micromini/MS/CNWI-VSHP-000032 Rev. A (Colocacion de loctite).pub</v>
      </c>
      <c r="Q536" s="51" t="str">
        <f>E536</f>
        <v>pub</v>
      </c>
      <c r="R536" s="51"/>
      <c r="S536" s="51"/>
      <c r="T536" s="51"/>
      <c r="U536" s="51"/>
      <c r="V536" s="51"/>
      <c r="W536" s="51"/>
      <c r="X536" s="51"/>
      <c r="Y536" s="51"/>
      <c r="Z536" s="51"/>
      <c r="AA536" s="51"/>
      <c r="AB536" s="51"/>
      <c r="AC536" s="51"/>
      <c r="AD536" s="51"/>
      <c r="AG536" t="s">
        <v>88</v>
      </c>
      <c r="AH536" s="51"/>
      <c r="AI536" s="51"/>
    </row>
    <row r="537" spans="2:35">
      <c r="B537" t="s">
        <v>682</v>
      </c>
      <c r="C537" t="s">
        <v>3561</v>
      </c>
      <c r="D537">
        <v>6</v>
      </c>
      <c r="E537" t="s">
        <v>2795</v>
      </c>
      <c r="F537">
        <v>5</v>
      </c>
      <c r="G537">
        <v>12</v>
      </c>
      <c r="H537">
        <v>3</v>
      </c>
      <c r="I537" t="s">
        <v>683</v>
      </c>
      <c r="J537" s="51">
        <v>40818</v>
      </c>
      <c r="K537" t="s">
        <v>27</v>
      </c>
      <c r="L537" t="s">
        <v>605</v>
      </c>
      <c r="M537">
        <v>3</v>
      </c>
      <c r="N537" t="str">
        <f>L537</f>
        <v>NA/MB1049</v>
      </c>
      <c r="O537" s="51">
        <f>J537</f>
        <v>40818</v>
      </c>
      <c r="P537" s="51" t="str">
        <f>C537</f>
        <v>~/cdd/olddocs/Ayudas visuales/Micromini/A y B/CNWI-VSHP-000033 Rev.A 5000129-X.pub</v>
      </c>
      <c r="Q537" s="51" t="str">
        <f>E537</f>
        <v>pub</v>
      </c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G537" t="s">
        <v>28</v>
      </c>
      <c r="AH537" s="51"/>
      <c r="AI537" s="51"/>
    </row>
    <row r="538" spans="2:35">
      <c r="B538" t="s">
        <v>2644</v>
      </c>
      <c r="C538" t="s">
        <v>3505</v>
      </c>
      <c r="D538">
        <v>6</v>
      </c>
      <c r="E538" t="s">
        <v>2795</v>
      </c>
      <c r="F538">
        <v>5</v>
      </c>
      <c r="G538">
        <v>36</v>
      </c>
      <c r="H538">
        <v>26</v>
      </c>
      <c r="I538" t="s">
        <v>2645</v>
      </c>
      <c r="J538" s="51">
        <v>40589</v>
      </c>
      <c r="K538" t="s">
        <v>27</v>
      </c>
      <c r="L538" t="s">
        <v>2427</v>
      </c>
      <c r="M538">
        <v>3</v>
      </c>
      <c r="N538" t="str">
        <f>L538</f>
        <v>NAM\MB1911</v>
      </c>
      <c r="O538" s="51">
        <f>J538</f>
        <v>40589</v>
      </c>
      <c r="P538" s="51" t="str">
        <f>C538</f>
        <v>~/cdd/olddocs/Ayudas visuales/Camarillo/Ensamble general/CNWI-VSHP-000035 Rev. A. (000231-3854).pub</v>
      </c>
      <c r="Q538" s="51" t="str">
        <f>E538</f>
        <v>pub</v>
      </c>
      <c r="R538" s="51"/>
      <c r="S538" s="51"/>
      <c r="T538" s="51"/>
      <c r="U538" s="51"/>
      <c r="V538" s="51"/>
      <c r="W538" s="51"/>
      <c r="X538" s="51"/>
      <c r="Y538" s="51"/>
      <c r="Z538" s="51"/>
      <c r="AA538" s="51"/>
      <c r="AB538" s="51"/>
      <c r="AC538" s="51"/>
      <c r="AD538" s="51"/>
      <c r="AE538" t="s">
        <v>2637</v>
      </c>
      <c r="AF538" t="s">
        <v>479</v>
      </c>
      <c r="AG538" t="s">
        <v>2646</v>
      </c>
      <c r="AH538" s="51"/>
      <c r="AI538" s="51"/>
    </row>
    <row r="539" spans="2:35">
      <c r="B539" t="s">
        <v>2647</v>
      </c>
      <c r="C539" t="s">
        <v>3506</v>
      </c>
      <c r="D539">
        <v>6</v>
      </c>
      <c r="E539" t="s">
        <v>2795</v>
      </c>
      <c r="F539">
        <v>5</v>
      </c>
      <c r="G539">
        <v>36</v>
      </c>
      <c r="H539">
        <v>26</v>
      </c>
      <c r="I539" t="s">
        <v>2648</v>
      </c>
      <c r="J539" s="51">
        <v>40589</v>
      </c>
      <c r="K539" t="s">
        <v>27</v>
      </c>
      <c r="L539" t="s">
        <v>2427</v>
      </c>
      <c r="M539">
        <v>3</v>
      </c>
      <c r="N539" t="str">
        <f>L539</f>
        <v>NAM\MB1911</v>
      </c>
      <c r="O539" s="51">
        <f>J539</f>
        <v>40589</v>
      </c>
      <c r="P539" s="51" t="str">
        <f>C539</f>
        <v>~/cdd/olddocs/Ayudas visuales/Camarillo/Ensamble general/CNWI-VSHP-000036 Rev. A (004006-0000).pub</v>
      </c>
      <c r="Q539" s="51" t="str">
        <f>E539</f>
        <v>pub</v>
      </c>
      <c r="R539" s="51"/>
      <c r="S539" s="51"/>
      <c r="T539" s="51"/>
      <c r="U539" s="51"/>
      <c r="V539" s="51"/>
      <c r="W539" s="51"/>
      <c r="X539" s="51"/>
      <c r="Y539" s="51"/>
      <c r="Z539" s="51"/>
      <c r="AA539" s="51"/>
      <c r="AB539" s="51"/>
      <c r="AC539" s="51"/>
      <c r="AD539" s="51"/>
      <c r="AE539" t="s">
        <v>2637</v>
      </c>
      <c r="AF539" t="s">
        <v>479</v>
      </c>
      <c r="AG539" t="s">
        <v>2649</v>
      </c>
      <c r="AH539" s="51"/>
      <c r="AI539" s="51"/>
    </row>
    <row r="540" spans="2:35">
      <c r="B540" t="s">
        <v>2562</v>
      </c>
      <c r="C540" t="s">
        <v>3483</v>
      </c>
      <c r="D540">
        <v>6</v>
      </c>
      <c r="E540" t="s">
        <v>2795</v>
      </c>
      <c r="F540">
        <v>5</v>
      </c>
      <c r="G540">
        <v>10</v>
      </c>
      <c r="H540">
        <v>10</v>
      </c>
      <c r="I540" t="s">
        <v>2563</v>
      </c>
      <c r="J540" s="51">
        <v>40589</v>
      </c>
      <c r="K540" t="s">
        <v>27</v>
      </c>
      <c r="L540" t="s">
        <v>2427</v>
      </c>
      <c r="M540">
        <v>3</v>
      </c>
      <c r="N540" t="str">
        <f>L540</f>
        <v>NAM\MB1911</v>
      </c>
      <c r="O540" s="51">
        <f>J540</f>
        <v>40589</v>
      </c>
      <c r="P540" s="51" t="str">
        <f>C540</f>
        <v>~/cdd/olddocs/Ayudas visuales/Camarillo/Bonding/CNWI-VSHP-000038 Rev. A (000300-1562).pub</v>
      </c>
      <c r="Q540" s="51" t="str">
        <f>E540</f>
        <v>pub</v>
      </c>
      <c r="R540" s="51"/>
      <c r="S540" s="51"/>
      <c r="T540" s="51"/>
      <c r="U540" s="51"/>
      <c r="V540" s="51"/>
      <c r="W540" s="51"/>
      <c r="X540" s="51"/>
      <c r="Y540" s="51"/>
      <c r="Z540" s="51"/>
      <c r="AA540" s="51"/>
      <c r="AB540" s="51"/>
      <c r="AC540" s="51"/>
      <c r="AD540" s="51"/>
      <c r="AE540" t="s">
        <v>2565</v>
      </c>
      <c r="AF540" t="s">
        <v>1473</v>
      </c>
      <c r="AG540" t="s">
        <v>2564</v>
      </c>
      <c r="AH540" s="51"/>
      <c r="AI540" s="51"/>
    </row>
    <row r="541" spans="2:35">
      <c r="B541" t="s">
        <v>2650</v>
      </c>
      <c r="C541" t="s">
        <v>3507</v>
      </c>
      <c r="D541">
        <v>6</v>
      </c>
      <c r="E541" t="s">
        <v>2795</v>
      </c>
      <c r="F541">
        <v>5</v>
      </c>
      <c r="G541">
        <v>36</v>
      </c>
      <c r="H541">
        <v>26</v>
      </c>
      <c r="I541" t="s">
        <v>2651</v>
      </c>
      <c r="J541" s="51">
        <v>40589</v>
      </c>
      <c r="K541" t="s">
        <v>27</v>
      </c>
      <c r="L541" t="s">
        <v>2427</v>
      </c>
      <c r="M541">
        <v>3</v>
      </c>
      <c r="N541" t="str">
        <f>L541</f>
        <v>NAM\MB1911</v>
      </c>
      <c r="O541" s="51">
        <f>J541</f>
        <v>40589</v>
      </c>
      <c r="P541" s="51" t="str">
        <f>C541</f>
        <v>~/cdd/olddocs/Ayudas visuales/Camarillo/Ensamble general/CNWI-VSHP-000039 Rev.A (004008-0000).pub</v>
      </c>
      <c r="Q541" s="51" t="str">
        <f>E541</f>
        <v>pub</v>
      </c>
      <c r="R541" s="51"/>
      <c r="S541" s="51"/>
      <c r="T541" s="51"/>
      <c r="U541" s="51"/>
      <c r="V541" s="51"/>
      <c r="W541" s="51"/>
      <c r="X541" s="51"/>
      <c r="Y541" s="51"/>
      <c r="Z541" s="51"/>
      <c r="AA541" s="51"/>
      <c r="AB541" s="51"/>
      <c r="AC541" s="51"/>
      <c r="AD541" s="51"/>
      <c r="AE541" t="s">
        <v>2637</v>
      </c>
      <c r="AF541" t="s">
        <v>479</v>
      </c>
      <c r="AG541" t="s">
        <v>2652</v>
      </c>
      <c r="AH541" s="51"/>
      <c r="AI541" s="51"/>
    </row>
    <row r="542" spans="2:35">
      <c r="B542" t="s">
        <v>684</v>
      </c>
      <c r="C542" t="s">
        <v>3562</v>
      </c>
      <c r="D542">
        <v>6</v>
      </c>
      <c r="E542" t="s">
        <v>2795</v>
      </c>
      <c r="F542">
        <v>5</v>
      </c>
      <c r="G542">
        <v>12</v>
      </c>
      <c r="H542">
        <v>3</v>
      </c>
      <c r="I542" t="s">
        <v>685</v>
      </c>
      <c r="J542" s="51">
        <v>40588</v>
      </c>
      <c r="K542" t="s">
        <v>27</v>
      </c>
      <c r="L542" t="s">
        <v>605</v>
      </c>
      <c r="M542">
        <v>3</v>
      </c>
      <c r="N542" t="str">
        <f>L542</f>
        <v>NA/MB1049</v>
      </c>
      <c r="O542" s="51">
        <f>J542</f>
        <v>40588</v>
      </c>
      <c r="P542" s="51" t="str">
        <f>C542</f>
        <v>~/cdd/olddocs/Ayudas visuales/Micromini/A y B/CNWI-VSHP-000040 Rev. a (A89N-F10AF-5).pub</v>
      </c>
      <c r="Q542" s="51" t="str">
        <f>E542</f>
        <v>pub</v>
      </c>
      <c r="R542" s="51"/>
      <c r="S542" s="51"/>
      <c r="T542" s="51"/>
      <c r="U542" s="51"/>
      <c r="V542" s="51"/>
      <c r="W542" s="51"/>
      <c r="X542" s="51"/>
      <c r="Y542" s="51"/>
      <c r="Z542" s="51"/>
      <c r="AA542" s="51"/>
      <c r="AB542" s="51"/>
      <c r="AC542" s="51"/>
      <c r="AD542" s="51"/>
      <c r="AG542" t="s">
        <v>28</v>
      </c>
      <c r="AH542" s="51"/>
      <c r="AI542" s="51"/>
    </row>
    <row r="543" spans="2:35">
      <c r="B543" t="s">
        <v>686</v>
      </c>
      <c r="C543" t="s">
        <v>3563</v>
      </c>
      <c r="D543">
        <v>6</v>
      </c>
      <c r="E543" t="s">
        <v>2795</v>
      </c>
      <c r="F543">
        <v>5</v>
      </c>
      <c r="G543">
        <v>12</v>
      </c>
      <c r="H543">
        <v>3</v>
      </c>
      <c r="I543" t="s">
        <v>687</v>
      </c>
      <c r="J543" s="51">
        <v>40588</v>
      </c>
      <c r="K543" t="s">
        <v>27</v>
      </c>
      <c r="L543" t="s">
        <v>605</v>
      </c>
      <c r="M543">
        <v>3</v>
      </c>
      <c r="N543" t="str">
        <f>L543</f>
        <v>NA/MB1049</v>
      </c>
      <c r="O543" s="51">
        <f>J543</f>
        <v>40588</v>
      </c>
      <c r="P543" s="51" t="str">
        <f>C543</f>
        <v>~/cdd/olddocs/Ayudas visuales/Micromini/A y B/CNWI-VSHP-000041 Rev. A (A89N-F9AF-5).pub</v>
      </c>
      <c r="Q543" s="51" t="str">
        <f>E543</f>
        <v>pub</v>
      </c>
      <c r="R543" s="51"/>
      <c r="S543" s="51"/>
      <c r="T543" s="51"/>
      <c r="U543" s="51"/>
      <c r="V543" s="51"/>
      <c r="W543" s="51"/>
      <c r="X543" s="51"/>
      <c r="Y543" s="51"/>
      <c r="Z543" s="51"/>
      <c r="AA543" s="51"/>
      <c r="AB543" s="51"/>
      <c r="AC543" s="51"/>
      <c r="AD543" s="51"/>
      <c r="AG543" t="s">
        <v>28</v>
      </c>
      <c r="AH543" s="51"/>
      <c r="AI543" s="51"/>
    </row>
    <row r="544" spans="2:35">
      <c r="B544" t="s">
        <v>688</v>
      </c>
      <c r="C544" t="s">
        <v>3564</v>
      </c>
      <c r="D544">
        <v>6</v>
      </c>
      <c r="E544" t="s">
        <v>2795</v>
      </c>
      <c r="F544">
        <v>5</v>
      </c>
      <c r="G544">
        <v>12</v>
      </c>
      <c r="H544">
        <v>3</v>
      </c>
      <c r="I544" t="s">
        <v>689</v>
      </c>
      <c r="J544" s="51">
        <v>40589</v>
      </c>
      <c r="K544" t="s">
        <v>27</v>
      </c>
      <c r="L544" t="s">
        <v>605</v>
      </c>
      <c r="M544">
        <v>3</v>
      </c>
      <c r="N544" t="str">
        <f>L544</f>
        <v>NA/MB1049</v>
      </c>
      <c r="O544" s="51">
        <f>J544</f>
        <v>40589</v>
      </c>
      <c r="P544" s="51" t="str">
        <f>C544</f>
        <v>~/cdd/olddocs/Ayudas visuales/Micromini/A y B/CNWI-VSHP-000042 Rev. A (A89N-F12AF-5).pub</v>
      </c>
      <c r="Q544" s="51" t="str">
        <f>E544</f>
        <v>pub</v>
      </c>
      <c r="R544" s="51"/>
      <c r="S544" s="51"/>
      <c r="T544" s="51"/>
      <c r="U544" s="51"/>
      <c r="V544" s="51"/>
      <c r="W544" s="51"/>
      <c r="X544" s="51"/>
      <c r="Y544" s="51"/>
      <c r="Z544" s="51"/>
      <c r="AA544" s="51"/>
      <c r="AB544" s="51"/>
      <c r="AC544" s="51"/>
      <c r="AD544" s="51"/>
      <c r="AG544" t="s">
        <v>28</v>
      </c>
      <c r="AH544" s="51"/>
      <c r="AI544" s="51"/>
    </row>
    <row r="545" spans="2:35">
      <c r="B545" t="s">
        <v>690</v>
      </c>
      <c r="C545" t="s">
        <v>3565</v>
      </c>
      <c r="D545">
        <v>6</v>
      </c>
      <c r="E545" t="s">
        <v>2795</v>
      </c>
      <c r="F545">
        <v>5</v>
      </c>
      <c r="G545">
        <v>12</v>
      </c>
      <c r="H545">
        <v>3</v>
      </c>
      <c r="I545" t="s">
        <v>691</v>
      </c>
      <c r="J545" s="51">
        <v>40589</v>
      </c>
      <c r="K545" t="s">
        <v>27</v>
      </c>
      <c r="L545" t="s">
        <v>605</v>
      </c>
      <c r="M545">
        <v>3</v>
      </c>
      <c r="N545" t="str">
        <f>L545</f>
        <v>NA/MB1049</v>
      </c>
      <c r="O545" s="51">
        <f>J545</f>
        <v>40589</v>
      </c>
      <c r="P545" s="51" t="str">
        <f>C545</f>
        <v>~/cdd/olddocs/Ayudas visuales/Micromini/A y B/CNWI-VSHP-000043 Rev. A (LMA682).pub</v>
      </c>
      <c r="Q545" s="51" t="str">
        <f>E545</f>
        <v>pub</v>
      </c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G545" t="s">
        <v>28</v>
      </c>
      <c r="AH545" s="51"/>
      <c r="AI545" s="51"/>
    </row>
    <row r="546" spans="2:35">
      <c r="B546" t="s">
        <v>514</v>
      </c>
      <c r="C546" t="s">
        <v>3614</v>
      </c>
      <c r="D546">
        <v>6</v>
      </c>
      <c r="E546" t="s">
        <v>2795</v>
      </c>
      <c r="F546">
        <v>5</v>
      </c>
      <c r="G546">
        <v>12</v>
      </c>
      <c r="H546">
        <v>16</v>
      </c>
      <c r="I546" t="s">
        <v>516</v>
      </c>
      <c r="J546" s="51">
        <v>40589</v>
      </c>
      <c r="K546" t="s">
        <v>27</v>
      </c>
      <c r="L546" t="s">
        <v>509</v>
      </c>
      <c r="M546">
        <v>3</v>
      </c>
      <c r="N546" t="str">
        <f>L546</f>
        <v>NAM\C67EF</v>
      </c>
      <c r="O546" s="51">
        <f>J546</f>
        <v>40589</v>
      </c>
      <c r="P546" s="51" t="str">
        <f>C546</f>
        <v>~/cdd/olddocs/Ayudas visuales/Micromini/MS/CNWI-VSHP-000044 Rev. A (CHMEA0094) Soldadura.pub</v>
      </c>
      <c r="Q546" s="51" t="str">
        <f>E546</f>
        <v>pub</v>
      </c>
      <c r="R546" s="51"/>
      <c r="S546" s="51"/>
      <c r="T546" s="51"/>
      <c r="U546" s="51"/>
      <c r="V546" s="51"/>
      <c r="W546" s="51"/>
      <c r="X546" s="51"/>
      <c r="Y546" s="51"/>
      <c r="Z546" s="51"/>
      <c r="AA546" s="51"/>
      <c r="AB546" s="51"/>
      <c r="AC546" s="51"/>
      <c r="AD546" s="51"/>
      <c r="AG546" t="s">
        <v>88</v>
      </c>
      <c r="AH546" s="51"/>
      <c r="AI546" s="51"/>
    </row>
    <row r="547" spans="2:35">
      <c r="B547" t="s">
        <v>2566</v>
      </c>
      <c r="C547" t="s">
        <v>3484</v>
      </c>
      <c r="D547">
        <v>6</v>
      </c>
      <c r="E547" t="s">
        <v>2795</v>
      </c>
      <c r="F547">
        <v>5</v>
      </c>
      <c r="G547">
        <v>10</v>
      </c>
      <c r="H547">
        <v>10</v>
      </c>
      <c r="I547" t="s">
        <v>2567</v>
      </c>
      <c r="J547" s="51">
        <v>40590</v>
      </c>
      <c r="K547" t="s">
        <v>27</v>
      </c>
      <c r="L547" t="s">
        <v>2427</v>
      </c>
      <c r="M547">
        <v>3</v>
      </c>
      <c r="N547" t="str">
        <f>L547</f>
        <v>NAM\MB1911</v>
      </c>
      <c r="O547" s="51">
        <f>J547</f>
        <v>40590</v>
      </c>
      <c r="P547" s="51" t="str">
        <f>C547</f>
        <v>~/cdd/olddocs/Ayudas visuales/Camarillo/Bonding/CNWI-VSHP-000045 Rev. A (000103-0399).pub</v>
      </c>
      <c r="Q547" s="51" t="str">
        <f>E547</f>
        <v>pub</v>
      </c>
      <c r="R547" s="51"/>
      <c r="S547" s="51"/>
      <c r="T547" s="51"/>
      <c r="U547" s="51"/>
      <c r="V547" s="51"/>
      <c r="W547" s="51"/>
      <c r="X547" s="51"/>
      <c r="Y547" s="51"/>
      <c r="Z547" s="51"/>
      <c r="AA547" s="51"/>
      <c r="AB547" s="51"/>
      <c r="AC547" s="51"/>
      <c r="AD547" s="51"/>
      <c r="AE547" t="s">
        <v>2569</v>
      </c>
      <c r="AF547" t="s">
        <v>1473</v>
      </c>
      <c r="AG547" t="s">
        <v>2568</v>
      </c>
      <c r="AH547" s="51"/>
      <c r="AI547" s="51"/>
    </row>
    <row r="548" spans="2:35">
      <c r="B548" t="s">
        <v>2653</v>
      </c>
      <c r="C548" t="s">
        <v>3508</v>
      </c>
      <c r="D548">
        <v>6</v>
      </c>
      <c r="E548" t="s">
        <v>2795</v>
      </c>
      <c r="F548">
        <v>5</v>
      </c>
      <c r="G548">
        <v>36</v>
      </c>
      <c r="H548">
        <v>26</v>
      </c>
      <c r="I548" t="s">
        <v>2654</v>
      </c>
      <c r="J548" s="51">
        <v>40590</v>
      </c>
      <c r="K548" t="s">
        <v>27</v>
      </c>
      <c r="L548" t="s">
        <v>2427</v>
      </c>
      <c r="M548">
        <v>3</v>
      </c>
      <c r="N548" t="str">
        <f>L548</f>
        <v>NAM\MB1911</v>
      </c>
      <c r="O548" s="51">
        <f>J548</f>
        <v>40590</v>
      </c>
      <c r="P548" s="51" t="str">
        <f>C548</f>
        <v>~/cdd/olddocs/Ayudas visuales/Camarillo/Ensamble general/CNWI-VSHP-000046 Rev. A (002104-0000).pub</v>
      </c>
      <c r="Q548" s="51" t="str">
        <f>E548</f>
        <v>pub</v>
      </c>
      <c r="R548" s="51"/>
      <c r="S548" s="51"/>
      <c r="T548" s="51"/>
      <c r="U548" s="51"/>
      <c r="V548" s="51"/>
      <c r="W548" s="51"/>
      <c r="X548" s="51"/>
      <c r="Y548" s="51"/>
      <c r="Z548" s="51"/>
      <c r="AA548" s="51"/>
      <c r="AB548" s="51"/>
      <c r="AC548" s="51"/>
      <c r="AD548" s="51"/>
      <c r="AE548" t="s">
        <v>2637</v>
      </c>
      <c r="AF548" t="s">
        <v>479</v>
      </c>
      <c r="AG548" t="s">
        <v>2655</v>
      </c>
      <c r="AH548" s="51"/>
      <c r="AI548" s="51"/>
    </row>
    <row r="549" spans="2:35">
      <c r="B549" t="s">
        <v>2656</v>
      </c>
      <c r="C549" t="s">
        <v>3509</v>
      </c>
      <c r="D549">
        <v>6</v>
      </c>
      <c r="E549" t="s">
        <v>2795</v>
      </c>
      <c r="F549">
        <v>5</v>
      </c>
      <c r="G549">
        <v>36</v>
      </c>
      <c r="H549">
        <v>26</v>
      </c>
      <c r="I549" t="s">
        <v>2657</v>
      </c>
      <c r="J549" s="51">
        <v>40591</v>
      </c>
      <c r="K549" t="s">
        <v>27</v>
      </c>
      <c r="L549" t="s">
        <v>2427</v>
      </c>
      <c r="M549">
        <v>3</v>
      </c>
      <c r="N549" t="str">
        <f>L549</f>
        <v>NAM\MB1911</v>
      </c>
      <c r="O549" s="51">
        <f>J549</f>
        <v>40591</v>
      </c>
      <c r="P549" s="51" t="str">
        <f>C549</f>
        <v>~/cdd/olddocs/Ayudas visuales/Camarillo/Ensamble general/CNWI-VSHP-000047 Rev. A (000267-0000).pub</v>
      </c>
      <c r="Q549" s="51" t="str">
        <f>E549</f>
        <v>pub</v>
      </c>
      <c r="R549" s="51"/>
      <c r="S549" s="51"/>
      <c r="T549" s="51"/>
      <c r="U549" s="51"/>
      <c r="V549" s="51"/>
      <c r="W549" s="51"/>
      <c r="X549" s="51"/>
      <c r="Y549" s="51"/>
      <c r="Z549" s="51"/>
      <c r="AA549" s="51"/>
      <c r="AB549" s="51"/>
      <c r="AC549" s="51"/>
      <c r="AD549" s="51"/>
      <c r="AE549" t="s">
        <v>2637</v>
      </c>
      <c r="AF549" t="s">
        <v>479</v>
      </c>
      <c r="AG549" t="s">
        <v>2658</v>
      </c>
      <c r="AH549" s="51"/>
      <c r="AI549" s="51"/>
    </row>
    <row r="550" spans="2:35">
      <c r="B550" t="s">
        <v>2721</v>
      </c>
      <c r="C550" t="s">
        <v>3527</v>
      </c>
      <c r="D550">
        <v>6</v>
      </c>
      <c r="E550" t="s">
        <v>2795</v>
      </c>
      <c r="F550">
        <v>5</v>
      </c>
      <c r="G550">
        <v>9</v>
      </c>
      <c r="H550">
        <v>9</v>
      </c>
      <c r="I550" t="s">
        <v>2722</v>
      </c>
      <c r="J550" s="51">
        <v>40591</v>
      </c>
      <c r="K550" t="s">
        <v>27</v>
      </c>
      <c r="L550" t="s">
        <v>2427</v>
      </c>
      <c r="M550">
        <v>3</v>
      </c>
      <c r="N550" t="str">
        <f>L550</f>
        <v>NAM\MB1911</v>
      </c>
      <c r="O550" s="51">
        <f>J550</f>
        <v>40591</v>
      </c>
      <c r="P550" s="51" t="str">
        <f>C550</f>
        <v>~/cdd/olddocs/Ayudas visuales/Camarillo/Itron/CNWI-VSHP-000048 Rev. A (003053-0000).pub</v>
      </c>
      <c r="Q550" s="51" t="str">
        <f>E550</f>
        <v>pub</v>
      </c>
      <c r="R550" s="51"/>
      <c r="S550" s="51"/>
      <c r="T550" s="51"/>
      <c r="U550" s="51"/>
      <c r="V550" s="51"/>
      <c r="W550" s="51"/>
      <c r="X550" s="51"/>
      <c r="Y550" s="51"/>
      <c r="Z550" s="51"/>
      <c r="AA550" s="51"/>
      <c r="AB550" s="51"/>
      <c r="AC550" s="51"/>
      <c r="AD550" s="51"/>
      <c r="AG550" t="s">
        <v>2723</v>
      </c>
      <c r="AH550" s="51"/>
      <c r="AI550" s="51"/>
    </row>
    <row r="551" spans="2:35">
      <c r="B551" t="s">
        <v>2706</v>
      </c>
      <c r="C551" t="s">
        <v>3528</v>
      </c>
      <c r="D551">
        <v>6</v>
      </c>
      <c r="E551" t="s">
        <v>2795</v>
      </c>
      <c r="F551">
        <v>5</v>
      </c>
      <c r="G551">
        <v>9</v>
      </c>
      <c r="H551">
        <v>8</v>
      </c>
      <c r="I551" t="s">
        <v>2707</v>
      </c>
      <c r="J551" s="51">
        <v>40591</v>
      </c>
      <c r="K551" t="s">
        <v>27</v>
      </c>
      <c r="L551" t="s">
        <v>2427</v>
      </c>
      <c r="M551">
        <v>3</v>
      </c>
      <c r="N551" t="str">
        <f>L551</f>
        <v>NAM\MB1911</v>
      </c>
      <c r="O551" s="51">
        <f>J551</f>
        <v>40591</v>
      </c>
      <c r="P551" s="51" t="str">
        <f>C551</f>
        <v>~/cdd/olddocs/Ayudas visuales/Camarillo/Itron/CNWI-VSHP-000049 Rev. A (009-0542-300M).pub</v>
      </c>
      <c r="Q551" s="51" t="str">
        <f>E551</f>
        <v>pub</v>
      </c>
      <c r="R551" s="51"/>
      <c r="S551" s="51"/>
      <c r="T551" s="51"/>
      <c r="U551" s="51"/>
      <c r="V551" s="51"/>
      <c r="W551" s="51"/>
      <c r="X551" s="51"/>
      <c r="Y551" s="51"/>
      <c r="Z551" s="51"/>
      <c r="AA551" s="51"/>
      <c r="AB551" s="51"/>
      <c r="AC551" s="51"/>
      <c r="AD551" s="51"/>
      <c r="AG551" t="s">
        <v>2708</v>
      </c>
      <c r="AH551" s="51"/>
      <c r="AI551" s="51"/>
    </row>
    <row r="552" spans="2:35">
      <c r="B552" t="s">
        <v>692</v>
      </c>
      <c r="C552" t="s">
        <v>3566</v>
      </c>
      <c r="D552">
        <v>6</v>
      </c>
      <c r="E552" t="s">
        <v>2795</v>
      </c>
      <c r="F552">
        <v>5</v>
      </c>
      <c r="G552">
        <v>12</v>
      </c>
      <c r="H552">
        <v>3</v>
      </c>
      <c r="I552" t="s">
        <v>693</v>
      </c>
      <c r="J552" s="51">
        <v>40595</v>
      </c>
      <c r="K552" t="s">
        <v>27</v>
      </c>
      <c r="L552" t="s">
        <v>605</v>
      </c>
      <c r="M552">
        <v>3</v>
      </c>
      <c r="N552" t="str">
        <f>L552</f>
        <v>NA/MB1049</v>
      </c>
      <c r="O552" s="51">
        <f>J552</f>
        <v>40595</v>
      </c>
      <c r="P552" s="51" t="str">
        <f>C552</f>
        <v>~/cdd/olddocs/Ayudas visuales/Micromini/A y B/CNWI-VSHP-000050 Rev. A (A89N-F9AFNU-1).pub</v>
      </c>
      <c r="Q552" s="51" t="str">
        <f>E552</f>
        <v>pub</v>
      </c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G552" t="s">
        <v>694</v>
      </c>
      <c r="AH552" s="51"/>
      <c r="AI552" s="51"/>
    </row>
    <row r="553" spans="2:35">
      <c r="B553" t="s">
        <v>695</v>
      </c>
      <c r="C553" t="s">
        <v>3567</v>
      </c>
      <c r="D553">
        <v>6</v>
      </c>
      <c r="E553" t="s">
        <v>2795</v>
      </c>
      <c r="F553">
        <v>5</v>
      </c>
      <c r="G553">
        <v>12</v>
      </c>
      <c r="H553">
        <v>3</v>
      </c>
      <c r="I553" t="s">
        <v>696</v>
      </c>
      <c r="J553" s="51">
        <v>40595</v>
      </c>
      <c r="K553" t="s">
        <v>27</v>
      </c>
      <c r="L553" t="s">
        <v>605</v>
      </c>
      <c r="M553">
        <v>3</v>
      </c>
      <c r="N553" t="str">
        <f>L553</f>
        <v>NA/MB1049</v>
      </c>
      <c r="O553" s="51">
        <f>J553</f>
        <v>40595</v>
      </c>
      <c r="P553" s="51" t="str">
        <f>C553</f>
        <v>~/cdd/olddocs/Ayudas visuales/Micromini/A y B/CNWI-VSHP-000051 Rev. A (5000110-AY).pub</v>
      </c>
      <c r="Q553" s="51" t="str">
        <f>E553</f>
        <v>pub</v>
      </c>
      <c r="R553" s="51"/>
      <c r="S553" s="51"/>
      <c r="T553" s="51"/>
      <c r="U553" s="51"/>
      <c r="V553" s="51"/>
      <c r="W553" s="51"/>
      <c r="X553" s="51"/>
      <c r="Y553" s="51"/>
      <c r="Z553" s="51"/>
      <c r="AA553" s="51"/>
      <c r="AB553" s="51"/>
      <c r="AC553" s="51"/>
      <c r="AD553" s="51"/>
      <c r="AG553" t="s">
        <v>697</v>
      </c>
      <c r="AH553" s="51"/>
      <c r="AI553" s="51"/>
    </row>
    <row r="554" spans="2:35">
      <c r="B554" t="s">
        <v>2570</v>
      </c>
      <c r="C554" t="s">
        <v>3485</v>
      </c>
      <c r="D554">
        <v>6</v>
      </c>
      <c r="E554" t="s">
        <v>2795</v>
      </c>
      <c r="F554">
        <v>5</v>
      </c>
      <c r="G554">
        <v>10</v>
      </c>
      <c r="H554">
        <v>10</v>
      </c>
      <c r="I554" t="s">
        <v>2571</v>
      </c>
      <c r="J554" s="51">
        <v>40596</v>
      </c>
      <c r="K554" t="s">
        <v>27</v>
      </c>
      <c r="L554" t="s">
        <v>2427</v>
      </c>
      <c r="M554">
        <v>3</v>
      </c>
      <c r="N554" t="str">
        <f>L554</f>
        <v>NAM\MB1911</v>
      </c>
      <c r="O554" s="51">
        <f>J554</f>
        <v>40596</v>
      </c>
      <c r="P554" s="51" t="str">
        <f>C554</f>
        <v>~/cdd/olddocs/Ayudas visuales/Camarillo/Bonding/CNWI-VSHP-000052 Rev. A (002361-0000).pub</v>
      </c>
      <c r="Q554" s="51" t="str">
        <f>E554</f>
        <v>pub</v>
      </c>
      <c r="R554" s="51"/>
      <c r="S554" s="51"/>
      <c r="T554" s="51"/>
      <c r="U554" s="51"/>
      <c r="V554" s="51"/>
      <c r="W554" s="51"/>
      <c r="X554" s="51"/>
      <c r="Y554" s="51"/>
      <c r="Z554" s="51"/>
      <c r="AA554" s="51"/>
      <c r="AB554" s="51"/>
      <c r="AC554" s="51"/>
      <c r="AD554" s="51"/>
      <c r="AE554" t="s">
        <v>2573</v>
      </c>
      <c r="AF554" t="s">
        <v>1473</v>
      </c>
      <c r="AG554" t="s">
        <v>2572</v>
      </c>
      <c r="AH554" s="51"/>
      <c r="AI554" s="51"/>
    </row>
    <row r="555" spans="2:35">
      <c r="B555" t="s">
        <v>2574</v>
      </c>
      <c r="C555" t="s">
        <v>3486</v>
      </c>
      <c r="D555">
        <v>6</v>
      </c>
      <c r="E555" t="s">
        <v>2795</v>
      </c>
      <c r="F555">
        <v>5</v>
      </c>
      <c r="G555">
        <v>10</v>
      </c>
      <c r="H555">
        <v>10</v>
      </c>
      <c r="I555" t="s">
        <v>981</v>
      </c>
      <c r="J555" s="51">
        <v>40596</v>
      </c>
      <c r="K555" t="s">
        <v>27</v>
      </c>
      <c r="L555" t="s">
        <v>2427</v>
      </c>
      <c r="M555">
        <v>3</v>
      </c>
      <c r="N555" t="str">
        <f>L555</f>
        <v>NAM\MB1911</v>
      </c>
      <c r="O555" s="51">
        <f>J555</f>
        <v>40596</v>
      </c>
      <c r="P555" s="51" t="str">
        <f>C555</f>
        <v>~/cdd/olddocs/Ayudas visuales/Camarillo/Bonding/CNWI-VSHP-000053 Rev. A (002315-0000).pub</v>
      </c>
      <c r="Q555" s="51" t="str">
        <f>E555</f>
        <v>pub</v>
      </c>
      <c r="R555" s="51"/>
      <c r="S555" s="51"/>
      <c r="T555" s="51"/>
      <c r="U555" s="51"/>
      <c r="V555" s="51"/>
      <c r="W555" s="51"/>
      <c r="X555" s="51"/>
      <c r="Y555" s="51"/>
      <c r="Z555" s="51"/>
      <c r="AA555" s="51"/>
      <c r="AB555" s="51"/>
      <c r="AC555" s="51"/>
      <c r="AD555" s="51"/>
      <c r="AE555" t="s">
        <v>2576</v>
      </c>
      <c r="AF555" t="s">
        <v>1473</v>
      </c>
      <c r="AG555" t="s">
        <v>2575</v>
      </c>
      <c r="AH555" s="51"/>
      <c r="AI555" s="51"/>
    </row>
    <row r="556" spans="2:35">
      <c r="B556" t="s">
        <v>698</v>
      </c>
      <c r="C556" t="s">
        <v>3568</v>
      </c>
      <c r="D556">
        <v>6</v>
      </c>
      <c r="E556" t="s">
        <v>2795</v>
      </c>
      <c r="F556">
        <v>5</v>
      </c>
      <c r="G556">
        <v>12</v>
      </c>
      <c r="H556">
        <v>3</v>
      </c>
      <c r="I556" t="s">
        <v>699</v>
      </c>
      <c r="J556" s="51">
        <v>40595</v>
      </c>
      <c r="K556" t="s">
        <v>27</v>
      </c>
      <c r="L556" t="s">
        <v>605</v>
      </c>
      <c r="M556">
        <v>3</v>
      </c>
      <c r="N556" t="str">
        <f>L556</f>
        <v>NA/MB1049</v>
      </c>
      <c r="O556" s="51">
        <f>J556</f>
        <v>40595</v>
      </c>
      <c r="P556" s="51" t="str">
        <f>C556</f>
        <v>~/cdd/olddocs/Ayudas visuales/Micromini/A y B/CNWI-VSHP-000054 Rev. A (5000111-Q).pub</v>
      </c>
      <c r="Q556" s="51" t="str">
        <f>E556</f>
        <v>pub</v>
      </c>
      <c r="R556" s="51"/>
      <c r="S556" s="51"/>
      <c r="T556" s="51"/>
      <c r="U556" s="51"/>
      <c r="V556" s="51"/>
      <c r="W556" s="51"/>
      <c r="X556" s="51"/>
      <c r="Y556" s="51"/>
      <c r="Z556" s="51"/>
      <c r="AA556" s="51"/>
      <c r="AB556" s="51"/>
      <c r="AC556" s="51"/>
      <c r="AD556" s="51"/>
      <c r="AG556" t="s">
        <v>700</v>
      </c>
      <c r="AH556" s="51"/>
      <c r="AI556" s="51"/>
    </row>
    <row r="557" spans="2:35">
      <c r="B557" t="s">
        <v>752</v>
      </c>
      <c r="C557" t="s">
        <v>3585</v>
      </c>
      <c r="D557">
        <v>6</v>
      </c>
      <c r="E557" t="s">
        <v>2795</v>
      </c>
      <c r="F557">
        <v>5</v>
      </c>
      <c r="G557">
        <v>12</v>
      </c>
      <c r="H557">
        <v>4</v>
      </c>
      <c r="I557" t="s">
        <v>753</v>
      </c>
      <c r="J557" s="51">
        <v>40596</v>
      </c>
      <c r="K557" t="s">
        <v>27</v>
      </c>
      <c r="L557" t="s">
        <v>605</v>
      </c>
      <c r="M557">
        <v>3</v>
      </c>
      <c r="N557" t="str">
        <f>L557</f>
        <v>NA/MB1049</v>
      </c>
      <c r="O557" s="51">
        <f>J557</f>
        <v>40596</v>
      </c>
      <c r="P557" s="51" t="str">
        <f>C557</f>
        <v>~/cdd/olddocs/Ayudas visuales/Micromini/Change Out/CNWI-VSHP-000055 Rev. A (X8653-GJ).pub</v>
      </c>
      <c r="Q557" s="51" t="str">
        <f>E557</f>
        <v>pub</v>
      </c>
      <c r="R557" s="51"/>
      <c r="S557" s="51"/>
      <c r="T557" s="51"/>
      <c r="U557" s="51"/>
      <c r="V557" s="51"/>
      <c r="W557" s="51"/>
      <c r="X557" s="51"/>
      <c r="Y557" s="51"/>
      <c r="Z557" s="51"/>
      <c r="AA557" s="51"/>
      <c r="AB557" s="51"/>
      <c r="AC557" s="51"/>
      <c r="AD557" s="51"/>
      <c r="AG557" t="s">
        <v>754</v>
      </c>
      <c r="AH557" s="51"/>
      <c r="AI557" s="51"/>
    </row>
    <row r="558" spans="2:35">
      <c r="B558" t="s">
        <v>755</v>
      </c>
      <c r="C558" t="s">
        <v>3824</v>
      </c>
      <c r="D558">
        <v>6</v>
      </c>
      <c r="E558" t="s">
        <v>2795</v>
      </c>
      <c r="F558">
        <v>5</v>
      </c>
      <c r="G558">
        <v>12</v>
      </c>
      <c r="H558">
        <v>4</v>
      </c>
      <c r="I558" t="s">
        <v>756</v>
      </c>
      <c r="J558" s="51">
        <v>40595</v>
      </c>
      <c r="K558" t="s">
        <v>27</v>
      </c>
      <c r="L558" t="s">
        <v>605</v>
      </c>
      <c r="M558">
        <v>3</v>
      </c>
      <c r="N558" t="str">
        <f>L558</f>
        <v>NA/MB1049</v>
      </c>
      <c r="O558" s="51">
        <f>J558</f>
        <v>40595</v>
      </c>
      <c r="P558" s="51" t="str">
        <f>C558</f>
        <v>~cdd/olddocs/Ayudas visuales/Micromini/Change Out/CNWI-VSHP-000056 Rev. A (X8653-CX &amp; CW).pub</v>
      </c>
      <c r="Q558" s="51" t="str">
        <f>E558</f>
        <v>pub</v>
      </c>
      <c r="R558" s="51"/>
      <c r="S558" s="51"/>
      <c r="T558" s="51"/>
      <c r="U558" s="51"/>
      <c r="V558" s="51"/>
      <c r="W558" s="51"/>
      <c r="X558" s="51"/>
      <c r="Y558" s="51"/>
      <c r="Z558" s="51"/>
      <c r="AA558" s="51"/>
      <c r="AB558" s="51"/>
      <c r="AC558" s="51"/>
      <c r="AD558" s="51"/>
      <c r="AG558" t="s">
        <v>757</v>
      </c>
      <c r="AH558" s="51"/>
      <c r="AI558" s="51"/>
    </row>
    <row r="559" spans="2:35">
      <c r="B559" t="s">
        <v>701</v>
      </c>
      <c r="C559" t="s">
        <v>3569</v>
      </c>
      <c r="D559">
        <v>6</v>
      </c>
      <c r="E559" t="s">
        <v>2795</v>
      </c>
      <c r="F559">
        <v>5</v>
      </c>
      <c r="G559">
        <v>12</v>
      </c>
      <c r="H559">
        <v>3</v>
      </c>
      <c r="I559" t="s">
        <v>702</v>
      </c>
      <c r="J559" s="51">
        <v>40597</v>
      </c>
      <c r="K559" t="s">
        <v>27</v>
      </c>
      <c r="L559" t="s">
        <v>605</v>
      </c>
      <c r="M559">
        <v>3</v>
      </c>
      <c r="N559" t="str">
        <f>L559</f>
        <v>NA/MB1049</v>
      </c>
      <c r="O559" s="51">
        <f>J559</f>
        <v>40597</v>
      </c>
      <c r="P559" s="51" t="str">
        <f>C559</f>
        <v>~/cdd/olddocs/Ayudas visuales/Micromini/A y B/CNWI-VSHP-000057 Rev. A (PC5RADD-A).pub</v>
      </c>
      <c r="Q559" s="51" t="str">
        <f>E559</f>
        <v>pub</v>
      </c>
      <c r="R559" s="51"/>
      <c r="S559" s="51"/>
      <c r="T559" s="51"/>
      <c r="U559" s="51"/>
      <c r="V559" s="51"/>
      <c r="W559" s="51"/>
      <c r="X559" s="51"/>
      <c r="Y559" s="51"/>
      <c r="Z559" s="51"/>
      <c r="AA559" s="51"/>
      <c r="AB559" s="51"/>
      <c r="AC559" s="51"/>
      <c r="AD559" s="51"/>
      <c r="AG559" t="s">
        <v>703</v>
      </c>
      <c r="AH559" s="51"/>
      <c r="AI559" s="51"/>
    </row>
    <row r="560" spans="2:35">
      <c r="B560" t="s">
        <v>2577</v>
      </c>
      <c r="C560" t="s">
        <v>3487</v>
      </c>
      <c r="D560">
        <v>6</v>
      </c>
      <c r="E560" t="s">
        <v>2795</v>
      </c>
      <c r="F560">
        <v>5</v>
      </c>
      <c r="G560">
        <v>10</v>
      </c>
      <c r="H560">
        <v>10</v>
      </c>
      <c r="I560" t="s">
        <v>2578</v>
      </c>
      <c r="J560" s="51">
        <v>40598</v>
      </c>
      <c r="K560" t="s">
        <v>27</v>
      </c>
      <c r="L560" t="s">
        <v>2427</v>
      </c>
      <c r="M560">
        <v>3</v>
      </c>
      <c r="N560" t="str">
        <f>L560</f>
        <v>NAM\MB1911</v>
      </c>
      <c r="O560" s="51">
        <f>J560</f>
        <v>40598</v>
      </c>
      <c r="P560" s="51" t="str">
        <f>C560</f>
        <v>~/cdd/olddocs/Ayudas visuales/Camarillo/Bonding/CNWI-VSHP-000058 Rev. A (002371-0004M).pub</v>
      </c>
      <c r="Q560" s="51" t="str">
        <f>E560</f>
        <v>pub</v>
      </c>
      <c r="R560" s="51"/>
      <c r="S560" s="51"/>
      <c r="T560" s="51"/>
      <c r="U560" s="51"/>
      <c r="V560" s="51"/>
      <c r="W560" s="51"/>
      <c r="X560" s="51"/>
      <c r="Y560" s="51"/>
      <c r="Z560" s="51"/>
      <c r="AA560" s="51"/>
      <c r="AB560" s="51"/>
      <c r="AC560" s="51"/>
      <c r="AD560" s="51"/>
      <c r="AG560" t="s">
        <v>2579</v>
      </c>
      <c r="AH560" s="51"/>
      <c r="AI560" s="51"/>
    </row>
    <row r="561" spans="2:35">
      <c r="B561" t="s">
        <v>2580</v>
      </c>
      <c r="C561" t="s">
        <v>3488</v>
      </c>
      <c r="D561">
        <v>6</v>
      </c>
      <c r="E561" t="s">
        <v>2795</v>
      </c>
      <c r="F561">
        <v>5</v>
      </c>
      <c r="G561">
        <v>10</v>
      </c>
      <c r="H561">
        <v>10</v>
      </c>
      <c r="I561" t="s">
        <v>2581</v>
      </c>
      <c r="J561" s="51">
        <v>40598</v>
      </c>
      <c r="K561" t="s">
        <v>27</v>
      </c>
      <c r="L561" t="s">
        <v>2427</v>
      </c>
      <c r="M561">
        <v>3</v>
      </c>
      <c r="N561" t="str">
        <f>L561</f>
        <v>NAM\MB1911</v>
      </c>
      <c r="O561" s="51">
        <f>J561</f>
        <v>40598</v>
      </c>
      <c r="P561" s="51" t="str">
        <f>C561</f>
        <v>~/cdd/olddocs/Ayudas visuales/Camarillo/Bonding/CNWI-VSHP-000059 Rev. A (BACT44E-001M).pub</v>
      </c>
      <c r="Q561" s="51" t="str">
        <f>E561</f>
        <v>pub</v>
      </c>
      <c r="R561" s="51"/>
      <c r="S561" s="51"/>
      <c r="T561" s="51"/>
      <c r="U561" s="51"/>
      <c r="V561" s="51"/>
      <c r="W561" s="51"/>
      <c r="X561" s="51"/>
      <c r="Y561" s="51"/>
      <c r="Z561" s="51"/>
      <c r="AA561" s="51"/>
      <c r="AB561" s="51"/>
      <c r="AC561" s="51"/>
      <c r="AD561" s="51"/>
      <c r="AG561" t="s">
        <v>2582</v>
      </c>
      <c r="AH561" s="51"/>
      <c r="AI561" s="51"/>
    </row>
    <row r="562" spans="2:35">
      <c r="B562" t="s">
        <v>758</v>
      </c>
      <c r="C562" t="s">
        <v>3586</v>
      </c>
      <c r="D562">
        <v>6</v>
      </c>
      <c r="E562" t="s">
        <v>2795</v>
      </c>
      <c r="F562">
        <v>5</v>
      </c>
      <c r="G562">
        <v>12</v>
      </c>
      <c r="H562">
        <v>4</v>
      </c>
      <c r="I562" t="s">
        <v>759</v>
      </c>
      <c r="J562" s="51">
        <v>40598</v>
      </c>
      <c r="K562" t="s">
        <v>27</v>
      </c>
      <c r="L562" t="s">
        <v>605</v>
      </c>
      <c r="M562">
        <v>3</v>
      </c>
      <c r="N562" t="str">
        <f>L562</f>
        <v>NA/MB1049</v>
      </c>
      <c r="O562" s="51">
        <f>J562</f>
        <v>40598</v>
      </c>
      <c r="P562" s="51" t="str">
        <f>C562</f>
        <v>~/cdd/olddocs/Ayudas visuales/Micromini/Change Out/CNWI-VSHP-000060 Rev. A (X8653-GV).pub</v>
      </c>
      <c r="Q562" s="51" t="str">
        <f>E562</f>
        <v>pub</v>
      </c>
      <c r="R562" s="51"/>
      <c r="S562" s="51"/>
      <c r="T562" s="51"/>
      <c r="U562" s="51"/>
      <c r="V562" s="51"/>
      <c r="W562" s="51"/>
      <c r="X562" s="51"/>
      <c r="Y562" s="51"/>
      <c r="Z562" s="51"/>
      <c r="AA562" s="51"/>
      <c r="AB562" s="51"/>
      <c r="AC562" s="51"/>
      <c r="AD562" s="51"/>
      <c r="AG562" t="s">
        <v>760</v>
      </c>
      <c r="AH562" s="51"/>
      <c r="AI562" s="51"/>
    </row>
    <row r="563" spans="2:35">
      <c r="B563" t="s">
        <v>704</v>
      </c>
      <c r="C563" t="s">
        <v>3823</v>
      </c>
      <c r="D563">
        <v>6</v>
      </c>
      <c r="E563" t="s">
        <v>2795</v>
      </c>
      <c r="F563">
        <v>5</v>
      </c>
      <c r="G563">
        <v>12</v>
      </c>
      <c r="H563">
        <v>3</v>
      </c>
      <c r="I563" t="s">
        <v>705</v>
      </c>
      <c r="J563" s="51">
        <v>40598</v>
      </c>
      <c r="K563" t="s">
        <v>27</v>
      </c>
      <c r="L563" t="s">
        <v>605</v>
      </c>
      <c r="M563">
        <v>3</v>
      </c>
      <c r="N563" t="str">
        <f>L563</f>
        <v>NA/MB1049</v>
      </c>
      <c r="O563" s="51">
        <f>J563</f>
        <v>40598</v>
      </c>
      <c r="P563" s="51" t="str">
        <f>C563</f>
        <v>~cdd/olddocs/Ayudas visuales/Micromini/A y B/CNWI-VSHP-000061 Rev. A (PC5QADD-A).pub</v>
      </c>
      <c r="Q563" s="51" t="str">
        <f>E563</f>
        <v>pub</v>
      </c>
      <c r="R563" s="51"/>
      <c r="S563" s="51"/>
      <c r="T563" s="51"/>
      <c r="U563" s="51"/>
      <c r="V563" s="51"/>
      <c r="W563" s="51"/>
      <c r="X563" s="51"/>
      <c r="Y563" s="51"/>
      <c r="Z563" s="51"/>
      <c r="AA563" s="51"/>
      <c r="AB563" s="51"/>
      <c r="AC563" s="51"/>
      <c r="AD563" s="51"/>
      <c r="AG563" t="s">
        <v>706</v>
      </c>
      <c r="AH563" s="51"/>
      <c r="AI563" s="51"/>
    </row>
    <row r="564" spans="2:35">
      <c r="B564" t="s">
        <v>761</v>
      </c>
      <c r="C564" t="s">
        <v>3587</v>
      </c>
      <c r="D564">
        <v>6</v>
      </c>
      <c r="E564" t="s">
        <v>2795</v>
      </c>
      <c r="F564">
        <v>5</v>
      </c>
      <c r="G564">
        <v>12</v>
      </c>
      <c r="H564">
        <v>4</v>
      </c>
      <c r="I564" t="s">
        <v>762</v>
      </c>
      <c r="J564" s="51">
        <v>40598</v>
      </c>
      <c r="K564" t="s">
        <v>27</v>
      </c>
      <c r="L564" t="s">
        <v>605</v>
      </c>
      <c r="M564">
        <v>3</v>
      </c>
      <c r="N564" t="str">
        <f>L564</f>
        <v>NA/MB1049</v>
      </c>
      <c r="O564" s="51">
        <f>J564</f>
        <v>40598</v>
      </c>
      <c r="P564" s="51" t="str">
        <f>C564</f>
        <v>~/cdd/olddocs/Ayudas visuales/Micromini/Change Out/CNWI-VSHP-000062 Rev. A (X8653-KL).pub</v>
      </c>
      <c r="Q564" s="51" t="str">
        <f>E564</f>
        <v>pub</v>
      </c>
      <c r="R564" s="51"/>
      <c r="S564" s="51"/>
      <c r="T564" s="51"/>
      <c r="U564" s="51"/>
      <c r="V564" s="51"/>
      <c r="W564" s="51"/>
      <c r="X564" s="51"/>
      <c r="Y564" s="51"/>
      <c r="Z564" s="51"/>
      <c r="AA564" s="51"/>
      <c r="AB564" s="51"/>
      <c r="AC564" s="51"/>
      <c r="AD564" s="51"/>
      <c r="AG564" t="s">
        <v>763</v>
      </c>
      <c r="AH564" s="51"/>
      <c r="AI564" s="51"/>
    </row>
    <row r="565" spans="2:35">
      <c r="B565" t="s">
        <v>707</v>
      </c>
      <c r="C565" t="s">
        <v>3570</v>
      </c>
      <c r="D565">
        <v>6</v>
      </c>
      <c r="E565" t="s">
        <v>2795</v>
      </c>
      <c r="F565">
        <v>5</v>
      </c>
      <c r="G565">
        <v>12</v>
      </c>
      <c r="H565">
        <v>3</v>
      </c>
      <c r="I565" t="s">
        <v>708</v>
      </c>
      <c r="J565" s="51">
        <v>40598</v>
      </c>
      <c r="K565" t="s">
        <v>27</v>
      </c>
      <c r="L565" t="s">
        <v>605</v>
      </c>
      <c r="M565">
        <v>3</v>
      </c>
      <c r="N565" t="str">
        <f>L565</f>
        <v>NA/MB1049</v>
      </c>
      <c r="O565" s="51">
        <f>J565</f>
        <v>40598</v>
      </c>
      <c r="P565" s="51" t="str">
        <f>C565</f>
        <v>~/cdd/olddocs/Ayudas visuales/Micromini/A y B/CNWI-VSHP-000063 Rev. A (X8987-CB).pub</v>
      </c>
      <c r="Q565" s="51" t="str">
        <f>E565</f>
        <v>pub</v>
      </c>
      <c r="R565" s="51"/>
      <c r="S565" s="51"/>
      <c r="T565" s="51"/>
      <c r="U565" s="51"/>
      <c r="V565" s="51"/>
      <c r="W565" s="51"/>
      <c r="X565" s="51"/>
      <c r="Y565" s="51"/>
      <c r="Z565" s="51"/>
      <c r="AA565" s="51"/>
      <c r="AB565" s="51"/>
      <c r="AC565" s="51"/>
      <c r="AD565" s="51"/>
      <c r="AG565" t="s">
        <v>709</v>
      </c>
      <c r="AH565" s="51"/>
      <c r="AI565" s="51"/>
    </row>
    <row r="566" spans="2:35">
      <c r="B566" t="s">
        <v>710</v>
      </c>
      <c r="C566" t="s">
        <v>3571</v>
      </c>
      <c r="D566">
        <v>6</v>
      </c>
      <c r="E566" t="s">
        <v>2795</v>
      </c>
      <c r="F566">
        <v>5</v>
      </c>
      <c r="G566">
        <v>12</v>
      </c>
      <c r="H566">
        <v>3</v>
      </c>
      <c r="I566" t="s">
        <v>711</v>
      </c>
      <c r="J566" s="51">
        <v>40603</v>
      </c>
      <c r="K566" t="s">
        <v>27</v>
      </c>
      <c r="L566" t="s">
        <v>605</v>
      </c>
      <c r="M566">
        <v>3</v>
      </c>
      <c r="N566" t="str">
        <f>L566</f>
        <v>NA/MB1049</v>
      </c>
      <c r="O566" s="51">
        <f>J566</f>
        <v>40603</v>
      </c>
      <c r="P566" s="51" t="str">
        <f>C566</f>
        <v>~/cdd/olddocs/Ayudas visuales/Micromini/A y B/CNWI-VSHP-000064 Rev. A (X8987-T).pub</v>
      </c>
      <c r="Q566" s="51" t="str">
        <f>E566</f>
        <v>pub</v>
      </c>
      <c r="R566" s="51"/>
      <c r="S566" s="51"/>
      <c r="T566" s="51"/>
      <c r="U566" s="51"/>
      <c r="V566" s="51"/>
      <c r="W566" s="51"/>
      <c r="X566" s="51"/>
      <c r="Y566" s="51"/>
      <c r="Z566" s="51"/>
      <c r="AA566" s="51"/>
      <c r="AB566" s="51"/>
      <c r="AC566" s="51"/>
      <c r="AD566" s="51"/>
      <c r="AG566" t="s">
        <v>712</v>
      </c>
      <c r="AH566" s="51"/>
      <c r="AI566" s="51"/>
    </row>
    <row r="567" spans="2:35">
      <c r="B567" t="s">
        <v>622</v>
      </c>
      <c r="C567" t="s">
        <v>3596</v>
      </c>
      <c r="D567">
        <v>6</v>
      </c>
      <c r="E567" t="s">
        <v>2795</v>
      </c>
      <c r="F567">
        <v>5</v>
      </c>
      <c r="G567">
        <v>33</v>
      </c>
      <c r="H567">
        <v>28</v>
      </c>
      <c r="I567" t="s">
        <v>623</v>
      </c>
      <c r="J567" s="51">
        <v>40639</v>
      </c>
      <c r="K567" t="s">
        <v>27</v>
      </c>
      <c r="L567" t="s">
        <v>605</v>
      </c>
      <c r="M567">
        <v>3</v>
      </c>
      <c r="N567" t="str">
        <f>L567</f>
        <v>NA/MB1049</v>
      </c>
      <c r="O567" s="51">
        <f>J567</f>
        <v>40639</v>
      </c>
      <c r="P567" s="51" t="str">
        <f>C567</f>
        <v>~/cdd/olddocs/Ayudas visuales/Micromini/General/CNWI-VSHP-000065 Rev. A (Prueba electric Mayor a 2000V 2-12 cond).pub</v>
      </c>
      <c r="Q567" s="51" t="str">
        <f>E567</f>
        <v>pub</v>
      </c>
      <c r="R567" s="51"/>
      <c r="S567" s="51"/>
      <c r="T567" s="51"/>
      <c r="U567" s="51"/>
      <c r="V567" s="51"/>
      <c r="W567" s="51"/>
      <c r="X567" s="51"/>
      <c r="Y567" s="51"/>
      <c r="Z567" s="51"/>
      <c r="AA567" s="51"/>
      <c r="AB567" s="51"/>
      <c r="AC567" s="51"/>
      <c r="AD567" s="51"/>
      <c r="AE567" t="s">
        <v>624</v>
      </c>
      <c r="AF567" t="s">
        <v>90</v>
      </c>
      <c r="AG567" t="s">
        <v>88</v>
      </c>
      <c r="AH567" s="51"/>
      <c r="AI567" s="51"/>
    </row>
    <row r="568" spans="2:35">
      <c r="B568" t="s">
        <v>82</v>
      </c>
      <c r="C568" t="s">
        <v>3597</v>
      </c>
      <c r="D568">
        <v>6</v>
      </c>
      <c r="E568" t="s">
        <v>2795</v>
      </c>
      <c r="F568">
        <v>5</v>
      </c>
      <c r="G568">
        <v>33</v>
      </c>
      <c r="H568">
        <v>28</v>
      </c>
      <c r="I568" t="s">
        <v>87</v>
      </c>
      <c r="J568" s="51">
        <v>40599</v>
      </c>
      <c r="K568" t="s">
        <v>27</v>
      </c>
      <c r="L568" t="s">
        <v>63</v>
      </c>
      <c r="M568">
        <v>3</v>
      </c>
      <c r="N568" t="str">
        <f>L568</f>
        <v>NAM\D6B1B</v>
      </c>
      <c r="O568" s="51">
        <f>J568</f>
        <v>40599</v>
      </c>
      <c r="P568" s="51" t="str">
        <f>C568</f>
        <v>~/cdd/olddocs/Ayudas visuales/Micromini/General/CNWI-VSHP-000066 Rev. A (LIMPIEZA DE CHEMLOK).pub</v>
      </c>
      <c r="Q568" s="51" t="str">
        <f>E568</f>
        <v>pub</v>
      </c>
      <c r="R568" s="51"/>
      <c r="S568" s="51"/>
      <c r="T568" s="51"/>
      <c r="U568" s="51"/>
      <c r="V568" s="51"/>
      <c r="W568" s="51"/>
      <c r="X568" s="51"/>
      <c r="Y568" s="51"/>
      <c r="Z568" s="51"/>
      <c r="AA568" s="51"/>
      <c r="AB568" s="51"/>
      <c r="AC568" s="51"/>
      <c r="AD568" s="51"/>
      <c r="AE568" t="s">
        <v>89</v>
      </c>
      <c r="AF568" t="s">
        <v>90</v>
      </c>
      <c r="AG568" t="s">
        <v>88</v>
      </c>
      <c r="AH568" s="51"/>
      <c r="AI568" s="51"/>
    </row>
    <row r="569" spans="2:35">
      <c r="B569" t="s">
        <v>2709</v>
      </c>
      <c r="C569" t="s">
        <v>3529</v>
      </c>
      <c r="D569">
        <v>6</v>
      </c>
      <c r="E569" t="s">
        <v>2795</v>
      </c>
      <c r="F569">
        <v>5</v>
      </c>
      <c r="G569">
        <v>9</v>
      </c>
      <c r="H569">
        <v>8</v>
      </c>
      <c r="I569" t="s">
        <v>2710</v>
      </c>
      <c r="J569" s="51">
        <v>40602</v>
      </c>
      <c r="K569" t="s">
        <v>27</v>
      </c>
      <c r="L569" t="s">
        <v>2427</v>
      </c>
      <c r="M569">
        <v>3</v>
      </c>
      <c r="N569" t="str">
        <f>L569</f>
        <v>NAM\MB1911</v>
      </c>
      <c r="O569" s="51">
        <f>J569</f>
        <v>40602</v>
      </c>
      <c r="P569" s="51" t="str">
        <f>C569</f>
        <v>~/cdd/olddocs/Ayudas visuales/Camarillo/Itron/CNWI-VSHP-000067 Rev. A  (Set Up Maquina The Shot Gun).pub</v>
      </c>
      <c r="Q569" s="51" t="str">
        <f>E569</f>
        <v>pub</v>
      </c>
      <c r="R569" s="51"/>
      <c r="S569" s="51"/>
      <c r="T569" s="51"/>
      <c r="U569" s="51"/>
      <c r="V569" s="51"/>
      <c r="W569" s="51"/>
      <c r="X569" s="51"/>
      <c r="Y569" s="51"/>
      <c r="Z569" s="51"/>
      <c r="AA569" s="51"/>
      <c r="AB569" s="51"/>
      <c r="AC569" s="51"/>
      <c r="AD569" s="51"/>
      <c r="AE569" t="s">
        <v>610</v>
      </c>
      <c r="AF569" t="s">
        <v>1473</v>
      </c>
      <c r="AG569" t="s">
        <v>28</v>
      </c>
      <c r="AH569" s="51"/>
      <c r="AI569" s="51"/>
    </row>
    <row r="570" spans="2:35">
      <c r="B570" t="s">
        <v>2659</v>
      </c>
      <c r="C570" t="s">
        <v>3510</v>
      </c>
      <c r="D570">
        <v>6</v>
      </c>
      <c r="E570" t="s">
        <v>2795</v>
      </c>
      <c r="F570">
        <v>5</v>
      </c>
      <c r="G570">
        <v>36</v>
      </c>
      <c r="H570">
        <v>26</v>
      </c>
      <c r="I570" t="s">
        <v>2660</v>
      </c>
      <c r="J570" s="51">
        <v>40602</v>
      </c>
      <c r="K570" t="s">
        <v>27</v>
      </c>
      <c r="L570" t="s">
        <v>2427</v>
      </c>
      <c r="M570">
        <v>3</v>
      </c>
      <c r="N570" t="str">
        <f>L570</f>
        <v>NAM\MB1911</v>
      </c>
      <c r="O570" s="51">
        <f>J570</f>
        <v>40602</v>
      </c>
      <c r="P570" s="51" t="str">
        <f>C570</f>
        <v>~/cdd/olddocs/Ayudas visuales/Camarillo/Ensamble general/CNWI-VSHP-000068 Rev. A (002284-0000).pub</v>
      </c>
      <c r="Q570" s="51" t="str">
        <f>E570</f>
        <v>pub</v>
      </c>
      <c r="R570" s="51"/>
      <c r="S570" s="51"/>
      <c r="T570" s="51"/>
      <c r="U570" s="51"/>
      <c r="V570" s="51"/>
      <c r="W570" s="51"/>
      <c r="X570" s="51"/>
      <c r="Y570" s="51"/>
      <c r="Z570" s="51"/>
      <c r="AA570" s="51"/>
      <c r="AB570" s="51"/>
      <c r="AC570" s="51"/>
      <c r="AD570" s="51"/>
      <c r="AE570" t="s">
        <v>2662</v>
      </c>
      <c r="AF570" t="s">
        <v>479</v>
      </c>
      <c r="AG570" t="s">
        <v>2661</v>
      </c>
      <c r="AH570" s="51"/>
      <c r="AI570" s="51"/>
    </row>
    <row r="571" spans="2:35">
      <c r="B571" t="s">
        <v>793</v>
      </c>
      <c r="C571" t="s">
        <v>3624</v>
      </c>
      <c r="D571">
        <v>6</v>
      </c>
      <c r="E571" t="s">
        <v>2795</v>
      </c>
      <c r="F571">
        <v>5</v>
      </c>
      <c r="G571">
        <v>12</v>
      </c>
      <c r="H571">
        <v>18</v>
      </c>
      <c r="I571" t="s">
        <v>794</v>
      </c>
      <c r="J571" s="51">
        <v>40602</v>
      </c>
      <c r="K571" t="s">
        <v>27</v>
      </c>
      <c r="L571" t="s">
        <v>605</v>
      </c>
      <c r="M571">
        <v>3</v>
      </c>
      <c r="N571" t="str">
        <f>L571</f>
        <v>NA/MB1049</v>
      </c>
      <c r="O571" s="51">
        <f>J571</f>
        <v>40602</v>
      </c>
      <c r="P571" s="51" t="str">
        <f>C571</f>
        <v>~/cdd/olddocs/Ayudas visuales/Micromini/Potted/CNWI-VSHP-000069 Rev. A (5000129-Q).pub</v>
      </c>
      <c r="Q571" s="51" t="str">
        <f>E571</f>
        <v>pub</v>
      </c>
      <c r="R571" s="51"/>
      <c r="S571" s="51"/>
      <c r="T571" s="51"/>
      <c r="U571" s="51"/>
      <c r="V571" s="51"/>
      <c r="W571" s="51"/>
      <c r="X571" s="51"/>
      <c r="Y571" s="51"/>
      <c r="Z571" s="51"/>
      <c r="AA571" s="51"/>
      <c r="AB571" s="51"/>
      <c r="AC571" s="51"/>
      <c r="AD571" s="51"/>
      <c r="AG571" t="s">
        <v>795</v>
      </c>
      <c r="AH571" s="51"/>
      <c r="AI571" s="51"/>
    </row>
    <row r="572" spans="2:35">
      <c r="B572" t="s">
        <v>796</v>
      </c>
      <c r="C572" t="s">
        <v>3625</v>
      </c>
      <c r="D572">
        <v>6</v>
      </c>
      <c r="E572" t="s">
        <v>2795</v>
      </c>
      <c r="F572">
        <v>5</v>
      </c>
      <c r="G572">
        <v>12</v>
      </c>
      <c r="H572">
        <v>18</v>
      </c>
      <c r="I572" t="s">
        <v>797</v>
      </c>
      <c r="J572" s="51">
        <v>40602</v>
      </c>
      <c r="K572" t="s">
        <v>27</v>
      </c>
      <c r="L572" t="s">
        <v>605</v>
      </c>
      <c r="M572">
        <v>3</v>
      </c>
      <c r="N572" t="str">
        <f>L572</f>
        <v>NA/MB1049</v>
      </c>
      <c r="O572" s="51">
        <f>J572</f>
        <v>40602</v>
      </c>
      <c r="P572" s="51" t="str">
        <f>C572</f>
        <v>~/cdd/olddocs/Ayudas visuales/Micromini/Potted/CNWI-VSHP-000070 Rev. A (5000108-D).pub</v>
      </c>
      <c r="Q572" s="51" t="str">
        <f>E572</f>
        <v>pub</v>
      </c>
      <c r="R572" s="51"/>
      <c r="S572" s="51"/>
      <c r="T572" s="51"/>
      <c r="U572" s="51"/>
      <c r="V572" s="51"/>
      <c r="W572" s="51"/>
      <c r="X572" s="51"/>
      <c r="Y572" s="51"/>
      <c r="Z572" s="51"/>
      <c r="AA572" s="51"/>
      <c r="AB572" s="51"/>
      <c r="AC572" s="51"/>
      <c r="AD572" s="51"/>
      <c r="AG572" t="s">
        <v>798</v>
      </c>
      <c r="AH572" s="51"/>
      <c r="AI572" s="51"/>
    </row>
    <row r="573" spans="2:35">
      <c r="B573" t="s">
        <v>799</v>
      </c>
      <c r="C573" t="s">
        <v>3626</v>
      </c>
      <c r="D573">
        <v>6</v>
      </c>
      <c r="E573" t="s">
        <v>2795</v>
      </c>
      <c r="F573">
        <v>5</v>
      </c>
      <c r="G573">
        <v>12</v>
      </c>
      <c r="H573">
        <v>18</v>
      </c>
      <c r="I573" t="s">
        <v>800</v>
      </c>
      <c r="J573" s="51">
        <v>40602</v>
      </c>
      <c r="K573" t="s">
        <v>27</v>
      </c>
      <c r="L573" t="s">
        <v>605</v>
      </c>
      <c r="M573">
        <v>3</v>
      </c>
      <c r="N573" t="str">
        <f>L573</f>
        <v>NA/MB1049</v>
      </c>
      <c r="O573" s="51">
        <f>J573</f>
        <v>40602</v>
      </c>
      <c r="P573" s="51" t="str">
        <f>C573</f>
        <v>~/cdd/olddocs/Ayudas visuales/Micromini/Potted/CNWI-VSHP-000071 Rev. A (5000111-GZ).pub</v>
      </c>
      <c r="Q573" s="51" t="str">
        <f>E573</f>
        <v>pub</v>
      </c>
      <c r="R573" s="51"/>
      <c r="S573" s="51"/>
      <c r="T573" s="51"/>
      <c r="U573" s="51"/>
      <c r="V573" s="51"/>
      <c r="W573" s="51"/>
      <c r="X573" s="51"/>
      <c r="Y573" s="51"/>
      <c r="Z573" s="51"/>
      <c r="AA573" s="51"/>
      <c r="AB573" s="51"/>
      <c r="AC573" s="51"/>
      <c r="AD573" s="51"/>
      <c r="AG573" t="s">
        <v>801</v>
      </c>
      <c r="AH573" s="51"/>
      <c r="AI573" s="51"/>
    </row>
    <row r="574" spans="2:35">
      <c r="B574" t="s">
        <v>713</v>
      </c>
      <c r="C574" t="s">
        <v>3572</v>
      </c>
      <c r="D574">
        <v>6</v>
      </c>
      <c r="E574" t="s">
        <v>2795</v>
      </c>
      <c r="F574">
        <v>5</v>
      </c>
      <c r="G574">
        <v>12</v>
      </c>
      <c r="H574">
        <v>3</v>
      </c>
      <c r="I574" t="s">
        <v>714</v>
      </c>
      <c r="J574" s="51">
        <v>40602</v>
      </c>
      <c r="K574" t="s">
        <v>27</v>
      </c>
      <c r="L574" t="s">
        <v>605</v>
      </c>
      <c r="M574">
        <v>3</v>
      </c>
      <c r="N574" t="str">
        <f>L574</f>
        <v>NA/MB1049</v>
      </c>
      <c r="O574" s="51">
        <f>J574</f>
        <v>40602</v>
      </c>
      <c r="P574" s="51" t="str">
        <f>C574</f>
        <v>~/cdd/olddocs/Ayudas visuales/Micromini/A y B/CNWI-VSHP-000072 Rev. A (5000118-JC).pub</v>
      </c>
      <c r="Q574" s="51" t="str">
        <f>E574</f>
        <v>pub</v>
      </c>
      <c r="R574" s="51"/>
      <c r="S574" s="51"/>
      <c r="T574" s="51"/>
      <c r="U574" s="51"/>
      <c r="V574" s="51"/>
      <c r="W574" s="51"/>
      <c r="X574" s="51"/>
      <c r="Y574" s="51"/>
      <c r="Z574" s="51"/>
      <c r="AA574" s="51"/>
      <c r="AB574" s="51"/>
      <c r="AC574" s="51"/>
      <c r="AD574" s="51"/>
      <c r="AG574" t="s">
        <v>715</v>
      </c>
      <c r="AH574" s="51"/>
      <c r="AI574" s="51"/>
    </row>
    <row r="575" spans="2:35">
      <c r="B575" t="s">
        <v>802</v>
      </c>
      <c r="C575" t="s">
        <v>3627</v>
      </c>
      <c r="D575">
        <v>6</v>
      </c>
      <c r="E575" t="s">
        <v>2795</v>
      </c>
      <c r="F575">
        <v>5</v>
      </c>
      <c r="G575">
        <v>12</v>
      </c>
      <c r="H575">
        <v>18</v>
      </c>
      <c r="I575" t="s">
        <v>803</v>
      </c>
      <c r="J575" s="51">
        <v>40603</v>
      </c>
      <c r="K575" t="s">
        <v>27</v>
      </c>
      <c r="L575" t="s">
        <v>605</v>
      </c>
      <c r="M575">
        <v>3</v>
      </c>
      <c r="N575" t="str">
        <f>L575</f>
        <v>NA/MB1049</v>
      </c>
      <c r="O575" s="51">
        <f>J575</f>
        <v>40603</v>
      </c>
      <c r="P575" s="51" t="str">
        <f>C575</f>
        <v>~/cdd/olddocs/Ayudas visuales/Micromini/Potted/CNWI-VSHP-000073 Rev. A (5000129-CD).pub</v>
      </c>
      <c r="Q575" s="51" t="str">
        <f>E575</f>
        <v>pub</v>
      </c>
      <c r="R575" s="51"/>
      <c r="S575" s="51"/>
      <c r="T575" s="51"/>
      <c r="U575" s="51"/>
      <c r="V575" s="51"/>
      <c r="W575" s="51"/>
      <c r="X575" s="51"/>
      <c r="Y575" s="51"/>
      <c r="Z575" s="51"/>
      <c r="AA575" s="51"/>
      <c r="AB575" s="51"/>
      <c r="AC575" s="51"/>
      <c r="AD575" s="51"/>
      <c r="AG575" t="s">
        <v>804</v>
      </c>
      <c r="AH575" s="51"/>
      <c r="AI575" s="51"/>
    </row>
    <row r="576" spans="2:35">
      <c r="B576" t="s">
        <v>716</v>
      </c>
      <c r="C576" t="s">
        <v>3573</v>
      </c>
      <c r="D576">
        <v>6</v>
      </c>
      <c r="E576" t="s">
        <v>2795</v>
      </c>
      <c r="F576">
        <v>5</v>
      </c>
      <c r="G576">
        <v>12</v>
      </c>
      <c r="H576">
        <v>3</v>
      </c>
      <c r="I576" t="s">
        <v>717</v>
      </c>
      <c r="J576" s="51">
        <v>40602</v>
      </c>
      <c r="K576" t="s">
        <v>27</v>
      </c>
      <c r="L576" t="s">
        <v>605</v>
      </c>
      <c r="M576">
        <v>3</v>
      </c>
      <c r="N576" t="str">
        <f>L576</f>
        <v>NA/MB1049</v>
      </c>
      <c r="O576" s="51">
        <f>J576</f>
        <v>40602</v>
      </c>
      <c r="P576" s="51" t="str">
        <f>C576</f>
        <v>~/cdd/olddocs/Ayudas visuales/Micromini/A y B/CNWI-VSHP-000074 Rev. A (5000135-Z).pub</v>
      </c>
      <c r="Q576" s="51" t="str">
        <f>E576</f>
        <v>pub</v>
      </c>
      <c r="R576" s="51"/>
      <c r="S576" s="51"/>
      <c r="T576" s="51"/>
      <c r="U576" s="51"/>
      <c r="V576" s="51"/>
      <c r="W576" s="51"/>
      <c r="X576" s="51"/>
      <c r="Y576" s="51"/>
      <c r="Z576" s="51"/>
      <c r="AA576" s="51"/>
      <c r="AB576" s="51"/>
      <c r="AC576" s="51"/>
      <c r="AD576" s="51"/>
      <c r="AG576" t="s">
        <v>718</v>
      </c>
      <c r="AH576" s="51"/>
      <c r="AI576" s="51"/>
    </row>
    <row r="577" spans="2:35">
      <c r="B577" t="s">
        <v>805</v>
      </c>
      <c r="C577" t="s">
        <v>3628</v>
      </c>
      <c r="D577">
        <v>6</v>
      </c>
      <c r="E577" t="s">
        <v>2795</v>
      </c>
      <c r="F577">
        <v>5</v>
      </c>
      <c r="G577">
        <v>12</v>
      </c>
      <c r="H577">
        <v>18</v>
      </c>
      <c r="I577" t="s">
        <v>806</v>
      </c>
      <c r="J577" s="51">
        <v>40602</v>
      </c>
      <c r="K577" t="s">
        <v>27</v>
      </c>
      <c r="L577" t="s">
        <v>605</v>
      </c>
      <c r="M577">
        <v>3</v>
      </c>
      <c r="N577" t="str">
        <f>L577</f>
        <v>NA/MB1049</v>
      </c>
      <c r="O577" s="51">
        <f>J577</f>
        <v>40602</v>
      </c>
      <c r="P577" s="51" t="str">
        <f>C577</f>
        <v>~/cdd/olddocs/Ayudas visuales/Micromini/Potted/CNWI-VSHP-000075 Rev. A (A88N-D4AF1-1F).pub</v>
      </c>
      <c r="Q577" s="51" t="str">
        <f>E577</f>
        <v>pub</v>
      </c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G577" t="s">
        <v>807</v>
      </c>
      <c r="AH577" s="51"/>
      <c r="AI577" s="51"/>
    </row>
    <row r="578" spans="2:35">
      <c r="B578" t="s">
        <v>808</v>
      </c>
      <c r="C578" t="s">
        <v>3629</v>
      </c>
      <c r="D578">
        <v>6</v>
      </c>
      <c r="E578" t="s">
        <v>2795</v>
      </c>
      <c r="F578">
        <v>5</v>
      </c>
      <c r="G578">
        <v>12</v>
      </c>
      <c r="H578">
        <v>18</v>
      </c>
      <c r="I578" t="s">
        <v>809</v>
      </c>
      <c r="J578" s="51">
        <v>40602</v>
      </c>
      <c r="K578" t="s">
        <v>27</v>
      </c>
      <c r="L578" t="s">
        <v>605</v>
      </c>
      <c r="M578">
        <v>3</v>
      </c>
      <c r="N578" t="str">
        <f>L578</f>
        <v>NA/MB1049</v>
      </c>
      <c r="O578" s="51">
        <f>J578</f>
        <v>40602</v>
      </c>
      <c r="P578" s="51" t="str">
        <f>C578</f>
        <v>~/cdd/olddocs/Ayudas visuales/Micromini/Potted/CNWI-VSHP-000076 Rev. A (33165821A).pub</v>
      </c>
      <c r="Q578" s="51" t="str">
        <f>E578</f>
        <v>pub</v>
      </c>
      <c r="R578" s="51"/>
      <c r="S578" s="51"/>
      <c r="T578" s="51"/>
      <c r="U578" s="51"/>
      <c r="V578" s="51"/>
      <c r="W578" s="51"/>
      <c r="X578" s="51"/>
      <c r="Y578" s="51"/>
      <c r="Z578" s="51"/>
      <c r="AA578" s="51"/>
      <c r="AB578" s="51"/>
      <c r="AC578" s="51"/>
      <c r="AD578" s="51"/>
      <c r="AG578" t="s">
        <v>810</v>
      </c>
      <c r="AH578" s="51"/>
      <c r="AI578" s="51"/>
    </row>
    <row r="579" spans="2:35">
      <c r="B579" t="s">
        <v>719</v>
      </c>
      <c r="C579" t="s">
        <v>3574</v>
      </c>
      <c r="D579">
        <v>6</v>
      </c>
      <c r="E579" t="s">
        <v>2795</v>
      </c>
      <c r="F579">
        <v>5</v>
      </c>
      <c r="G579">
        <v>12</v>
      </c>
      <c r="H579">
        <v>3</v>
      </c>
      <c r="I579" t="s">
        <v>720</v>
      </c>
      <c r="J579" s="51">
        <v>40602</v>
      </c>
      <c r="K579" t="s">
        <v>27</v>
      </c>
      <c r="L579" t="s">
        <v>605</v>
      </c>
      <c r="M579">
        <v>3</v>
      </c>
      <c r="N579" t="str">
        <f>L579</f>
        <v>NA/MB1049</v>
      </c>
      <c r="O579" s="51">
        <f>J579</f>
        <v>40602</v>
      </c>
      <c r="P579" s="51" t="str">
        <f>C579</f>
        <v>~/cdd/olddocs/Ayudas visuales/Micromini/A y B/CNWI-VSHP-000077 Rev. A (A89N-R12AF-5).pub</v>
      </c>
      <c r="Q579" s="51" t="str">
        <f>E579</f>
        <v>pub</v>
      </c>
      <c r="R579" s="51"/>
      <c r="S579" s="51"/>
      <c r="T579" s="51"/>
      <c r="U579" s="51"/>
      <c r="V579" s="51"/>
      <c r="W579" s="51"/>
      <c r="X579" s="51"/>
      <c r="Y579" s="51"/>
      <c r="Z579" s="51"/>
      <c r="AA579" s="51"/>
      <c r="AB579" s="51"/>
      <c r="AC579" s="51"/>
      <c r="AD579" s="51"/>
      <c r="AG579" t="s">
        <v>721</v>
      </c>
      <c r="AH579" s="51"/>
      <c r="AI579" s="51"/>
    </row>
    <row r="580" spans="2:35">
      <c r="B580" t="s">
        <v>811</v>
      </c>
      <c r="C580" t="s">
        <v>3630</v>
      </c>
      <c r="D580">
        <v>6</v>
      </c>
      <c r="E580" t="s">
        <v>2795</v>
      </c>
      <c r="F580">
        <v>5</v>
      </c>
      <c r="G580">
        <v>12</v>
      </c>
      <c r="H580">
        <v>18</v>
      </c>
      <c r="I580" t="s">
        <v>812</v>
      </c>
      <c r="J580" s="51">
        <v>40613</v>
      </c>
      <c r="K580" t="s">
        <v>46</v>
      </c>
      <c r="L580" t="s">
        <v>605</v>
      </c>
      <c r="M580">
        <v>3</v>
      </c>
      <c r="N580" t="str">
        <f>L580</f>
        <v>NA/MB1049</v>
      </c>
      <c r="O580" s="51">
        <f>J580</f>
        <v>40613</v>
      </c>
      <c r="P580" s="51" t="str">
        <f>C580</f>
        <v>~/cdd/olddocs/Ayudas visuales/Micromini/Potted/CNWI-VSHP-000078 Rev. B (5000110-Y).pub</v>
      </c>
      <c r="Q580" s="51" t="str">
        <f>E580</f>
        <v>pub</v>
      </c>
      <c r="R580" s="51"/>
      <c r="S580" s="51"/>
      <c r="T580" s="51"/>
      <c r="U580" s="51"/>
      <c r="V580" s="51"/>
      <c r="W580" s="51"/>
      <c r="X580" s="51"/>
      <c r="Y580" s="51"/>
      <c r="Z580" s="51"/>
      <c r="AA580" s="51"/>
      <c r="AB580" s="51"/>
      <c r="AC580" s="51"/>
      <c r="AD580" s="51"/>
      <c r="AG580" t="s">
        <v>813</v>
      </c>
      <c r="AH580" s="51"/>
      <c r="AI580" s="51"/>
    </row>
    <row r="581" spans="2:35">
      <c r="B581" t="s">
        <v>625</v>
      </c>
      <c r="C581" t="s">
        <v>3598</v>
      </c>
      <c r="D581">
        <v>6</v>
      </c>
      <c r="E581" t="s">
        <v>2795</v>
      </c>
      <c r="F581">
        <v>5</v>
      </c>
      <c r="G581">
        <v>33</v>
      </c>
      <c r="H581">
        <v>28</v>
      </c>
      <c r="I581" t="s">
        <v>626</v>
      </c>
      <c r="J581" s="51">
        <v>40605</v>
      </c>
      <c r="K581" t="s">
        <v>27</v>
      </c>
      <c r="L581" t="s">
        <v>605</v>
      </c>
      <c r="M581">
        <v>3</v>
      </c>
      <c r="N581" t="str">
        <f>L581</f>
        <v>NA/MB1049</v>
      </c>
      <c r="O581" s="51">
        <f>J581</f>
        <v>40605</v>
      </c>
      <c r="P581" s="51" t="str">
        <f>C581</f>
        <v>~/cdd/olddocs/Ayudas visuales/Micromini/General/CNWI-VSHP-000080 Rev. A (Set Up bascula ULINE).pub</v>
      </c>
      <c r="Q581" s="51" t="str">
        <f>E581</f>
        <v>pub</v>
      </c>
      <c r="R581" s="51"/>
      <c r="S581" s="51"/>
      <c r="T581" s="51"/>
      <c r="U581" s="51"/>
      <c r="V581" s="51"/>
      <c r="W581" s="51"/>
      <c r="X581" s="51"/>
      <c r="Y581" s="51"/>
      <c r="Z581" s="51"/>
      <c r="AA581" s="51"/>
      <c r="AB581" s="51"/>
      <c r="AC581" s="51"/>
      <c r="AD581" s="51"/>
      <c r="AE581" t="s">
        <v>478</v>
      </c>
      <c r="AF581" t="s">
        <v>90</v>
      </c>
      <c r="AG581" t="s">
        <v>28</v>
      </c>
      <c r="AH581" s="51"/>
      <c r="AI581" s="51"/>
    </row>
    <row r="582" spans="2:35">
      <c r="B582" t="s">
        <v>2663</v>
      </c>
      <c r="C582" t="s">
        <v>3511</v>
      </c>
      <c r="D582">
        <v>6</v>
      </c>
      <c r="E582" t="s">
        <v>2795</v>
      </c>
      <c r="F582">
        <v>5</v>
      </c>
      <c r="G582">
        <v>36</v>
      </c>
      <c r="H582">
        <v>26</v>
      </c>
      <c r="I582" t="s">
        <v>2664</v>
      </c>
      <c r="J582" s="51">
        <v>40610</v>
      </c>
      <c r="K582" t="s">
        <v>27</v>
      </c>
      <c r="L582" t="s">
        <v>2427</v>
      </c>
      <c r="M582">
        <v>3</v>
      </c>
      <c r="N582" t="str">
        <f>L582</f>
        <v>NAM\MB1911</v>
      </c>
      <c r="O582" s="51">
        <f>J582</f>
        <v>40610</v>
      </c>
      <c r="P582" s="51" t="str">
        <f>C582</f>
        <v>~/cdd/olddocs/Ayudas visuales/Camarillo/Ensamble general/CNWI-VSHP-000081 Rev. A (28-7002-0000M).pub</v>
      </c>
      <c r="Q582" s="51" t="str">
        <f>E582</f>
        <v>pub</v>
      </c>
      <c r="R582" s="51"/>
      <c r="S582" s="51"/>
      <c r="T582" s="51"/>
      <c r="U582" s="51"/>
      <c r="V582" s="51"/>
      <c r="W582" s="51"/>
      <c r="X582" s="51"/>
      <c r="Y582" s="51"/>
      <c r="Z582" s="51"/>
      <c r="AA582" s="51"/>
      <c r="AB582" s="51"/>
      <c r="AC582" s="51"/>
      <c r="AD582" s="51"/>
      <c r="AE582" t="s">
        <v>2666</v>
      </c>
      <c r="AF582" t="s">
        <v>479</v>
      </c>
      <c r="AG582" t="s">
        <v>2665</v>
      </c>
      <c r="AH582" s="51"/>
      <c r="AI582" s="51"/>
    </row>
    <row r="583" spans="2:35">
      <c r="B583" t="s">
        <v>473</v>
      </c>
      <c r="C583" t="s">
        <v>3545</v>
      </c>
      <c r="D583">
        <v>6</v>
      </c>
      <c r="E583" t="s">
        <v>2795</v>
      </c>
      <c r="F583">
        <v>5</v>
      </c>
      <c r="G583">
        <v>13</v>
      </c>
      <c r="H583">
        <v>14</v>
      </c>
      <c r="I583" t="s">
        <v>476</v>
      </c>
      <c r="J583" s="51">
        <v>40610</v>
      </c>
      <c r="K583" t="s">
        <v>27</v>
      </c>
      <c r="L583" t="s">
        <v>438</v>
      </c>
      <c r="M583">
        <v>3</v>
      </c>
      <c r="N583" t="str">
        <f>L583</f>
        <v>NAM\D24B6</v>
      </c>
      <c r="O583" s="51">
        <f>J583</f>
        <v>40610</v>
      </c>
      <c r="P583" s="51" t="str">
        <f>C583</f>
        <v>~/cdd/olddocs/Ayudas visuales/Camarillo/Moldeo/CNWI-VSHP-000082 Rev. A (027-0231-000).pub</v>
      </c>
      <c r="Q583" s="51" t="str">
        <f>E583</f>
        <v>pub</v>
      </c>
      <c r="R583" s="51"/>
      <c r="S583" s="51"/>
      <c r="T583" s="51"/>
      <c r="U583" s="51"/>
      <c r="V583" s="51"/>
      <c r="W583" s="51"/>
      <c r="X583" s="51"/>
      <c r="Y583" s="51"/>
      <c r="Z583" s="51"/>
      <c r="AA583" s="51"/>
      <c r="AB583" s="51"/>
      <c r="AC583" s="51"/>
      <c r="AD583" s="51"/>
      <c r="AE583" t="s">
        <v>478</v>
      </c>
      <c r="AF583" t="s">
        <v>479</v>
      </c>
      <c r="AG583" t="s">
        <v>477</v>
      </c>
      <c r="AH583" s="51"/>
      <c r="AI583" s="51"/>
    </row>
    <row r="584" spans="2:35">
      <c r="B584" t="s">
        <v>480</v>
      </c>
      <c r="C584" t="s">
        <v>3546</v>
      </c>
      <c r="D584">
        <v>6</v>
      </c>
      <c r="E584" t="s">
        <v>2795</v>
      </c>
      <c r="F584">
        <v>5</v>
      </c>
      <c r="G584">
        <v>13</v>
      </c>
      <c r="H584">
        <v>14</v>
      </c>
      <c r="I584" t="s">
        <v>481</v>
      </c>
      <c r="J584" s="51">
        <v>40613</v>
      </c>
      <c r="K584" t="s">
        <v>27</v>
      </c>
      <c r="L584" t="s">
        <v>438</v>
      </c>
      <c r="M584">
        <v>3</v>
      </c>
      <c r="N584" t="str">
        <f>L584</f>
        <v>NAM\D24B6</v>
      </c>
      <c r="O584" s="51">
        <f>J584</f>
        <v>40613</v>
      </c>
      <c r="P584" s="51" t="str">
        <f>C584</f>
        <v>~/cdd/olddocs/Ayudas visuales/Camarillo/Moldeo/CNWI-VSHP-000083 Rev. A (027-0236-000).pub</v>
      </c>
      <c r="Q584" s="51" t="str">
        <f>E584</f>
        <v>pub</v>
      </c>
      <c r="R584" s="51"/>
      <c r="S584" s="51"/>
      <c r="T584" s="51"/>
      <c r="U584" s="51"/>
      <c r="V584" s="51"/>
      <c r="W584" s="51"/>
      <c r="X584" s="51"/>
      <c r="Y584" s="51"/>
      <c r="Z584" s="51"/>
      <c r="AA584" s="51"/>
      <c r="AB584" s="51"/>
      <c r="AC584" s="51"/>
      <c r="AD584" s="51"/>
      <c r="AE584" t="s">
        <v>478</v>
      </c>
      <c r="AF584" t="s">
        <v>479</v>
      </c>
      <c r="AG584" t="s">
        <v>482</v>
      </c>
      <c r="AH584" s="51"/>
      <c r="AI584" s="51"/>
    </row>
    <row r="585" spans="2:35">
      <c r="B585" t="s">
        <v>2667</v>
      </c>
      <c r="C585" t="s">
        <v>3512</v>
      </c>
      <c r="D585">
        <v>6</v>
      </c>
      <c r="E585" t="s">
        <v>2795</v>
      </c>
      <c r="F585">
        <v>5</v>
      </c>
      <c r="G585">
        <v>36</v>
      </c>
      <c r="H585">
        <v>26</v>
      </c>
      <c r="I585" t="s">
        <v>2668</v>
      </c>
      <c r="J585" s="51">
        <v>40613</v>
      </c>
      <c r="K585" t="s">
        <v>27</v>
      </c>
      <c r="L585" t="s">
        <v>2427</v>
      </c>
      <c r="M585">
        <v>3</v>
      </c>
      <c r="N585" t="str">
        <f>L585</f>
        <v>NAM\MB1911</v>
      </c>
      <c r="O585" s="51">
        <f>J585</f>
        <v>40613</v>
      </c>
      <c r="P585" s="51" t="str">
        <f>C585</f>
        <v>~/cdd/olddocs/Ayudas visuales/Camarillo/Ensamble general/CNWI-VSHP-000084 Rev. A (002144-0000).pub</v>
      </c>
      <c r="Q585" s="51" t="str">
        <f>E585</f>
        <v>pub</v>
      </c>
      <c r="R585" s="51"/>
      <c r="S585" s="51"/>
      <c r="T585" s="51"/>
      <c r="U585" s="51"/>
      <c r="V585" s="51"/>
      <c r="W585" s="51"/>
      <c r="X585" s="51"/>
      <c r="Y585" s="51"/>
      <c r="Z585" s="51"/>
      <c r="AA585" s="51"/>
      <c r="AB585" s="51"/>
      <c r="AC585" s="51"/>
      <c r="AD585" s="51"/>
      <c r="AE585" t="s">
        <v>2637</v>
      </c>
      <c r="AF585" t="s">
        <v>479</v>
      </c>
      <c r="AG585" t="s">
        <v>2669</v>
      </c>
      <c r="AH585" s="51"/>
      <c r="AI585" s="51"/>
    </row>
    <row r="586" spans="2:35">
      <c r="B586" t="s">
        <v>722</v>
      </c>
      <c r="C586" t="s">
        <v>3575</v>
      </c>
      <c r="D586">
        <v>6</v>
      </c>
      <c r="E586" t="s">
        <v>2795</v>
      </c>
      <c r="F586">
        <v>5</v>
      </c>
      <c r="G586">
        <v>12</v>
      </c>
      <c r="H586">
        <v>3</v>
      </c>
      <c r="I586" t="s">
        <v>723</v>
      </c>
      <c r="J586" s="51">
        <v>40610</v>
      </c>
      <c r="K586" t="s">
        <v>27</v>
      </c>
      <c r="L586" t="s">
        <v>605</v>
      </c>
      <c r="M586">
        <v>3</v>
      </c>
      <c r="N586" t="str">
        <f>L586</f>
        <v>NA/MB1049</v>
      </c>
      <c r="O586" s="51">
        <f>J586</f>
        <v>40610</v>
      </c>
      <c r="P586" s="51" t="str">
        <f>C586</f>
        <v>~/cdd/olddocs/Ayudas visuales/Micromini/A y B/CNWI-VSHP-000085 Rev. A (X8992-CS).pub</v>
      </c>
      <c r="Q586" s="51" t="str">
        <f>E586</f>
        <v>pub</v>
      </c>
      <c r="R586" s="51"/>
      <c r="S586" s="51"/>
      <c r="T586" s="51"/>
      <c r="U586" s="51"/>
      <c r="V586" s="51"/>
      <c r="W586" s="51"/>
      <c r="X586" s="51"/>
      <c r="Y586" s="51"/>
      <c r="Z586" s="51"/>
      <c r="AA586" s="51"/>
      <c r="AB586" s="51"/>
      <c r="AC586" s="51"/>
      <c r="AD586" s="51"/>
      <c r="AG586" t="s">
        <v>724</v>
      </c>
      <c r="AH586" s="51"/>
      <c r="AI586" s="51"/>
    </row>
    <row r="587" spans="2:35">
      <c r="B587" t="s">
        <v>725</v>
      </c>
      <c r="C587" t="s">
        <v>3576</v>
      </c>
      <c r="D587">
        <v>6</v>
      </c>
      <c r="E587" t="s">
        <v>2795</v>
      </c>
      <c r="F587">
        <v>5</v>
      </c>
      <c r="G587">
        <v>12</v>
      </c>
      <c r="H587">
        <v>3</v>
      </c>
      <c r="I587" t="s">
        <v>726</v>
      </c>
      <c r="J587" s="51">
        <v>40618</v>
      </c>
      <c r="K587" t="s">
        <v>27</v>
      </c>
      <c r="L587" t="s">
        <v>605</v>
      </c>
      <c r="M587">
        <v>3</v>
      </c>
      <c r="N587" t="str">
        <f>L587</f>
        <v>NA/MB1049</v>
      </c>
      <c r="O587" s="51">
        <f>J587</f>
        <v>40618</v>
      </c>
      <c r="P587" s="51" t="str">
        <f>C587</f>
        <v>~/cdd/olddocs/Ayudas visuales/Micromini/A y B/CNWI-VSHP-000086 Rev. A (X8992-BK).pub</v>
      </c>
      <c r="Q587" s="51" t="str">
        <f>E587</f>
        <v>pub</v>
      </c>
      <c r="R587" s="51"/>
      <c r="S587" s="51"/>
      <c r="T587" s="51"/>
      <c r="U587" s="51"/>
      <c r="V587" s="51"/>
      <c r="W587" s="51"/>
      <c r="X587" s="51"/>
      <c r="Y587" s="51"/>
      <c r="Z587" s="51"/>
      <c r="AA587" s="51"/>
      <c r="AB587" s="51"/>
      <c r="AC587" s="51"/>
      <c r="AD587" s="51"/>
      <c r="AG587" t="s">
        <v>727</v>
      </c>
      <c r="AH587" s="51"/>
      <c r="AI587" s="51"/>
    </row>
    <row r="588" spans="2:35">
      <c r="B588" t="s">
        <v>772</v>
      </c>
      <c r="C588" t="s">
        <v>3615</v>
      </c>
      <c r="D588">
        <v>6</v>
      </c>
      <c r="E588" t="s">
        <v>2795</v>
      </c>
      <c r="F588">
        <v>5</v>
      </c>
      <c r="G588">
        <v>12</v>
      </c>
      <c r="H588">
        <v>16</v>
      </c>
      <c r="I588" t="s">
        <v>773</v>
      </c>
      <c r="J588" s="51">
        <v>40616</v>
      </c>
      <c r="K588" t="s">
        <v>27</v>
      </c>
      <c r="L588" t="s">
        <v>605</v>
      </c>
      <c r="M588">
        <v>3</v>
      </c>
      <c r="N588" t="str">
        <f>L588</f>
        <v>NA/MB1049</v>
      </c>
      <c r="O588" s="51">
        <f>J588</f>
        <v>40616</v>
      </c>
      <c r="P588" s="51" t="str">
        <f>C588</f>
        <v>~/cdd/olddocs/Ayudas visuales/Micromini/MS/CNWI-VSHP-000087 Rev. A (X8653-FJ).pub</v>
      </c>
      <c r="Q588" s="51" t="str">
        <f>E588</f>
        <v>pub</v>
      </c>
      <c r="R588" s="51"/>
      <c r="S588" s="51"/>
      <c r="T588" s="51"/>
      <c r="U588" s="51"/>
      <c r="V588" s="51"/>
      <c r="W588" s="51"/>
      <c r="X588" s="51"/>
      <c r="Y588" s="51"/>
      <c r="Z588" s="51"/>
      <c r="AA588" s="51"/>
      <c r="AB588" s="51"/>
      <c r="AC588" s="51"/>
      <c r="AD588" s="51"/>
      <c r="AG588" t="s">
        <v>774</v>
      </c>
      <c r="AH588" s="51"/>
      <c r="AI588" s="51"/>
    </row>
    <row r="589" spans="2:35">
      <c r="B589" t="s">
        <v>483</v>
      </c>
      <c r="C589" t="s">
        <v>3547</v>
      </c>
      <c r="D589">
        <v>6</v>
      </c>
      <c r="E589" t="s">
        <v>2795</v>
      </c>
      <c r="F589">
        <v>5</v>
      </c>
      <c r="G589">
        <v>13</v>
      </c>
      <c r="H589">
        <v>14</v>
      </c>
      <c r="I589" t="s">
        <v>484</v>
      </c>
      <c r="J589" s="51">
        <v>40619</v>
      </c>
      <c r="K589" t="s">
        <v>27</v>
      </c>
      <c r="L589" t="s">
        <v>438</v>
      </c>
      <c r="M589">
        <v>3</v>
      </c>
      <c r="N589" t="str">
        <f>L589</f>
        <v>NAM\D24B6</v>
      </c>
      <c r="O589" s="51">
        <f>J589</f>
        <v>40619</v>
      </c>
      <c r="P589" s="51" t="str">
        <f>C589</f>
        <v>~/cdd/olddocs/Ayudas visuales/Camarillo/Moldeo/CNWI-VSHP-000089 Rev. A (027-0230-000).pub</v>
      </c>
      <c r="Q589" s="51" t="str">
        <f>E589</f>
        <v>pub</v>
      </c>
      <c r="R589" s="51"/>
      <c r="S589" s="51"/>
      <c r="T589" s="51"/>
      <c r="U589" s="51"/>
      <c r="V589" s="51"/>
      <c r="W589" s="51"/>
      <c r="X589" s="51"/>
      <c r="Y589" s="51"/>
      <c r="Z589" s="51"/>
      <c r="AA589" s="51"/>
      <c r="AB589" s="51"/>
      <c r="AC589" s="51"/>
      <c r="AD589" s="51"/>
      <c r="AE589" t="s">
        <v>478</v>
      </c>
      <c r="AF589" t="s">
        <v>479</v>
      </c>
      <c r="AG589" t="s">
        <v>485</v>
      </c>
      <c r="AH589" s="51"/>
      <c r="AI589" s="51"/>
    </row>
    <row r="590" spans="2:35">
      <c r="B590" t="s">
        <v>2583</v>
      </c>
      <c r="C590" t="s">
        <v>3489</v>
      </c>
      <c r="D590">
        <v>6</v>
      </c>
      <c r="E590" t="s">
        <v>2795</v>
      </c>
      <c r="F590">
        <v>5</v>
      </c>
      <c r="G590">
        <v>10</v>
      </c>
      <c r="H590">
        <v>10</v>
      </c>
      <c r="I590" t="s">
        <v>2584</v>
      </c>
      <c r="J590" s="51">
        <v>40619</v>
      </c>
      <c r="K590" t="s">
        <v>27</v>
      </c>
      <c r="L590" t="s">
        <v>2427</v>
      </c>
      <c r="M590">
        <v>3</v>
      </c>
      <c r="N590" t="str">
        <f>L590</f>
        <v>NAM\MB1911</v>
      </c>
      <c r="O590" s="51">
        <f>J590</f>
        <v>40619</v>
      </c>
      <c r="P590" s="51" t="str">
        <f>C590</f>
        <v>~/cdd/olddocs/Ayudas visuales/Camarillo/Bonding/CNWI-VSHP-000090 Rev. A (000102-0159).pub</v>
      </c>
      <c r="Q590" s="51" t="str">
        <f>E590</f>
        <v>pub</v>
      </c>
      <c r="R590" s="51"/>
      <c r="S590" s="51"/>
      <c r="T590" s="51"/>
      <c r="U590" s="51"/>
      <c r="V590" s="51"/>
      <c r="W590" s="51"/>
      <c r="X590" s="51"/>
      <c r="Y590" s="51"/>
      <c r="Z590" s="51"/>
      <c r="AA590" s="51"/>
      <c r="AB590" s="51"/>
      <c r="AC590" s="51"/>
      <c r="AD590" s="51"/>
      <c r="AG590" t="s">
        <v>2585</v>
      </c>
      <c r="AH590" s="51"/>
      <c r="AI590" s="51"/>
    </row>
    <row r="591" spans="2:35">
      <c r="B591" t="s">
        <v>728</v>
      </c>
      <c r="C591" t="s">
        <v>3577</v>
      </c>
      <c r="D591">
        <v>6</v>
      </c>
      <c r="E591" t="s">
        <v>2795</v>
      </c>
      <c r="F591">
        <v>5</v>
      </c>
      <c r="G591">
        <v>12</v>
      </c>
      <c r="H591">
        <v>3</v>
      </c>
      <c r="I591" t="s">
        <v>729</v>
      </c>
      <c r="J591" s="51">
        <v>40627</v>
      </c>
      <c r="K591" t="s">
        <v>27</v>
      </c>
      <c r="L591" t="s">
        <v>605</v>
      </c>
      <c r="M591">
        <v>3</v>
      </c>
      <c r="N591" t="str">
        <f>L591</f>
        <v>NA/MB1049</v>
      </c>
      <c r="O591" s="51">
        <f>J591</f>
        <v>40627</v>
      </c>
      <c r="P591" s="51" t="str">
        <f>C591</f>
        <v>~/cdd/olddocs/Ayudas visuales/Micromini/A y B/CNWI-VSHP-000093 Rev. A (ABP-P1E4-B).pub</v>
      </c>
      <c r="Q591" s="51" t="str">
        <f>E591</f>
        <v>pub</v>
      </c>
      <c r="R591" s="51"/>
      <c r="S591" s="51"/>
      <c r="T591" s="51"/>
      <c r="U591" s="51"/>
      <c r="V591" s="51"/>
      <c r="W591" s="51"/>
      <c r="X591" s="51"/>
      <c r="Y591" s="51"/>
      <c r="Z591" s="51"/>
      <c r="AA591" s="51"/>
      <c r="AB591" s="51"/>
      <c r="AC591" s="51"/>
      <c r="AD591" s="51"/>
      <c r="AG591" t="s">
        <v>730</v>
      </c>
      <c r="AH591" s="51"/>
      <c r="AI591" s="51"/>
    </row>
    <row r="592" spans="2:35">
      <c r="B592" t="s">
        <v>814</v>
      </c>
      <c r="C592" t="s">
        <v>3631</v>
      </c>
      <c r="D592">
        <v>6</v>
      </c>
      <c r="E592" t="s">
        <v>2795</v>
      </c>
      <c r="F592">
        <v>5</v>
      </c>
      <c r="G592">
        <v>12</v>
      </c>
      <c r="H592">
        <v>18</v>
      </c>
      <c r="I592" t="s">
        <v>815</v>
      </c>
      <c r="J592" s="51">
        <v>40627</v>
      </c>
      <c r="K592" t="s">
        <v>27</v>
      </c>
      <c r="L592" t="s">
        <v>605</v>
      </c>
      <c r="M592">
        <v>3</v>
      </c>
      <c r="N592" t="str">
        <f>L592</f>
        <v>NA/MB1049</v>
      </c>
      <c r="O592" s="51">
        <f>J592</f>
        <v>40627</v>
      </c>
      <c r="P592" s="51" t="str">
        <f>C592</f>
        <v>~/cdd/olddocs/Ayudas visuales/Micromini/Potted/CNWI-VSHP-000094 Rev. A (5000120-D).pub</v>
      </c>
      <c r="Q592" s="51" t="str">
        <f>E592</f>
        <v>pub</v>
      </c>
      <c r="R592" s="51"/>
      <c r="S592" s="51"/>
      <c r="T592" s="51"/>
      <c r="U592" s="51"/>
      <c r="V592" s="51"/>
      <c r="W592" s="51"/>
      <c r="X592" s="51"/>
      <c r="Y592" s="51"/>
      <c r="Z592" s="51"/>
      <c r="AA592" s="51"/>
      <c r="AB592" s="51"/>
      <c r="AC592" s="51"/>
      <c r="AD592" s="51"/>
      <c r="AG592" t="s">
        <v>816</v>
      </c>
      <c r="AH592" s="51"/>
      <c r="AI592" s="51"/>
    </row>
    <row r="593" spans="2:35">
      <c r="B593" t="s">
        <v>2724</v>
      </c>
      <c r="C593" t="s">
        <v>3530</v>
      </c>
      <c r="D593">
        <v>6</v>
      </c>
      <c r="E593" t="s">
        <v>2795</v>
      </c>
      <c r="F593">
        <v>5</v>
      </c>
      <c r="G593">
        <v>9</v>
      </c>
      <c r="H593">
        <v>9</v>
      </c>
      <c r="I593" t="s">
        <v>2725</v>
      </c>
      <c r="J593" s="51">
        <v>40630</v>
      </c>
      <c r="K593" t="s">
        <v>27</v>
      </c>
      <c r="L593" t="s">
        <v>2427</v>
      </c>
      <c r="M593">
        <v>3</v>
      </c>
      <c r="N593" t="str">
        <f>L593</f>
        <v>NAM\MB1911</v>
      </c>
      <c r="O593" s="51">
        <f>J593</f>
        <v>40630</v>
      </c>
      <c r="P593" s="51" t="str">
        <f>C593</f>
        <v>~/cdd/olddocs/Ayudas visuales/Camarillo/Itron/CNWI-VSHP-000095 Rev. A (CBA-0200-011).pub</v>
      </c>
      <c r="Q593" s="51" t="str">
        <f>E593</f>
        <v>pub</v>
      </c>
      <c r="R593" s="51"/>
      <c r="S593" s="51"/>
      <c r="T593" s="51"/>
      <c r="U593" s="51"/>
      <c r="V593" s="51"/>
      <c r="W593" s="51"/>
      <c r="X593" s="51"/>
      <c r="Y593" s="51"/>
      <c r="Z593" s="51"/>
      <c r="AA593" s="51"/>
      <c r="AB593" s="51"/>
      <c r="AC593" s="51"/>
      <c r="AD593" s="51"/>
      <c r="AG593" t="s">
        <v>2726</v>
      </c>
      <c r="AH593" s="51"/>
      <c r="AI593" s="51"/>
    </row>
    <row r="594" spans="2:35">
      <c r="B594" t="s">
        <v>764</v>
      </c>
      <c r="C594" t="s">
        <v>3588</v>
      </c>
      <c r="D594">
        <v>6</v>
      </c>
      <c r="E594" t="s">
        <v>2795</v>
      </c>
      <c r="F594">
        <v>5</v>
      </c>
      <c r="G594">
        <v>12</v>
      </c>
      <c r="H594">
        <v>4</v>
      </c>
      <c r="I594" t="s">
        <v>765</v>
      </c>
      <c r="J594" s="51">
        <v>40630</v>
      </c>
      <c r="K594" t="s">
        <v>27</v>
      </c>
      <c r="L594" t="s">
        <v>605</v>
      </c>
      <c r="M594">
        <v>3</v>
      </c>
      <c r="N594" t="str">
        <f>L594</f>
        <v>NA/MB1049</v>
      </c>
      <c r="O594" s="51">
        <f>J594</f>
        <v>40630</v>
      </c>
      <c r="P594" s="51" t="str">
        <f>C594</f>
        <v>~/cdd/olddocs/Ayudas visuales/Micromini/Change Out/CNWI-VSHP-000096 Rev. A (X8653-DA).pub</v>
      </c>
      <c r="Q594" s="51" t="str">
        <f>E594</f>
        <v>pub</v>
      </c>
      <c r="R594" s="51"/>
      <c r="S594" s="51"/>
      <c r="T594" s="51"/>
      <c r="U594" s="51"/>
      <c r="V594" s="51"/>
      <c r="W594" s="51"/>
      <c r="X594" s="51"/>
      <c r="Y594" s="51"/>
      <c r="Z594" s="51"/>
      <c r="AA594" s="51"/>
      <c r="AB594" s="51"/>
      <c r="AC594" s="51"/>
      <c r="AD594" s="51"/>
      <c r="AG594" t="s">
        <v>766</v>
      </c>
      <c r="AH594" s="51"/>
      <c r="AI594" s="51"/>
    </row>
    <row r="595" spans="2:35">
      <c r="B595" t="s">
        <v>817</v>
      </c>
      <c r="C595" t="s">
        <v>3632</v>
      </c>
      <c r="D595">
        <v>6</v>
      </c>
      <c r="E595" t="s">
        <v>2795</v>
      </c>
      <c r="F595">
        <v>5</v>
      </c>
      <c r="G595">
        <v>12</v>
      </c>
      <c r="H595">
        <v>18</v>
      </c>
      <c r="I595" t="s">
        <v>818</v>
      </c>
      <c r="J595" s="51">
        <v>40632</v>
      </c>
      <c r="K595" t="s">
        <v>27</v>
      </c>
      <c r="L595" t="s">
        <v>605</v>
      </c>
      <c r="M595">
        <v>3</v>
      </c>
      <c r="N595" t="str">
        <f>L595</f>
        <v>NA/MB1049</v>
      </c>
      <c r="O595" s="51">
        <f>J595</f>
        <v>40632</v>
      </c>
      <c r="P595" s="51" t="str">
        <f>C595</f>
        <v>~/cdd/olddocs/Ayudas visuales/Micromini/Potted/CNWI-VSHP-000098 Rev. A (1317731).pub</v>
      </c>
      <c r="Q595" s="51" t="str">
        <f>E595</f>
        <v>pub</v>
      </c>
      <c r="R595" s="51"/>
      <c r="S595" s="51"/>
      <c r="T595" s="51"/>
      <c r="U595" s="51"/>
      <c r="V595" s="51"/>
      <c r="W595" s="51"/>
      <c r="X595" s="51"/>
      <c r="Y595" s="51"/>
      <c r="Z595" s="51"/>
      <c r="AA595" s="51"/>
      <c r="AB595" s="51"/>
      <c r="AC595" s="51"/>
      <c r="AD595" s="51"/>
      <c r="AG595">
        <v>1317731</v>
      </c>
      <c r="AH595" s="51"/>
      <c r="AI595" s="51"/>
    </row>
    <row r="596" spans="2:35">
      <c r="B596" t="s">
        <v>486</v>
      </c>
      <c r="C596" t="s">
        <v>3548</v>
      </c>
      <c r="D596">
        <v>6</v>
      </c>
      <c r="E596" t="s">
        <v>2795</v>
      </c>
      <c r="F596">
        <v>5</v>
      </c>
      <c r="G596">
        <v>13</v>
      </c>
      <c r="H596">
        <v>14</v>
      </c>
      <c r="I596" t="s">
        <v>487</v>
      </c>
      <c r="J596" s="51">
        <v>40633</v>
      </c>
      <c r="K596" t="s">
        <v>27</v>
      </c>
      <c r="L596" t="s">
        <v>438</v>
      </c>
      <c r="M596">
        <v>3</v>
      </c>
      <c r="N596" t="str">
        <f>L596</f>
        <v>NAM\D24B6</v>
      </c>
      <c r="O596" s="51">
        <f>J596</f>
        <v>40633</v>
      </c>
      <c r="P596" s="51" t="str">
        <f>C596</f>
        <v>~/cdd/olddocs/Ayudas visuales/Camarillo/Moldeo/CNWI-VSHP-000099 Rev. A (027-0248-000).pub</v>
      </c>
      <c r="Q596" s="51" t="str">
        <f>E596</f>
        <v>pub</v>
      </c>
      <c r="R596" s="51"/>
      <c r="S596" s="51"/>
      <c r="T596" s="51"/>
      <c r="U596" s="51"/>
      <c r="V596" s="51"/>
      <c r="W596" s="51"/>
      <c r="X596" s="51"/>
      <c r="Y596" s="51"/>
      <c r="Z596" s="51"/>
      <c r="AA596" s="51"/>
      <c r="AB596" s="51"/>
      <c r="AC596" s="51"/>
      <c r="AD596" s="51"/>
      <c r="AE596" t="s">
        <v>478</v>
      </c>
      <c r="AF596" t="s">
        <v>479</v>
      </c>
      <c r="AG596" t="s">
        <v>488</v>
      </c>
      <c r="AH596" s="51"/>
      <c r="AI596" s="51"/>
    </row>
    <row r="597" spans="2:35">
      <c r="B597" t="s">
        <v>489</v>
      </c>
      <c r="C597" t="s">
        <v>3549</v>
      </c>
      <c r="D597">
        <v>6</v>
      </c>
      <c r="E597" t="s">
        <v>2795</v>
      </c>
      <c r="F597">
        <v>5</v>
      </c>
      <c r="G597">
        <v>13</v>
      </c>
      <c r="H597">
        <v>14</v>
      </c>
      <c r="I597" t="s">
        <v>490</v>
      </c>
      <c r="J597" s="51">
        <v>40633</v>
      </c>
      <c r="K597" t="s">
        <v>27</v>
      </c>
      <c r="L597" t="s">
        <v>438</v>
      </c>
      <c r="M597">
        <v>3</v>
      </c>
      <c r="N597" t="str">
        <f>L597</f>
        <v>NAM\D24B6</v>
      </c>
      <c r="O597" s="51">
        <f>J597</f>
        <v>40633</v>
      </c>
      <c r="P597" s="51" t="str">
        <f>C597</f>
        <v>~/cdd/olddocs/Ayudas visuales/Camarillo/Moldeo/CNWI-VSHP-000100 Rev. A (024-0317-000).pub</v>
      </c>
      <c r="Q597" s="51" t="str">
        <f>E597</f>
        <v>pub</v>
      </c>
      <c r="R597" s="51"/>
      <c r="S597" s="51"/>
      <c r="T597" s="51"/>
      <c r="U597" s="51"/>
      <c r="V597" s="51"/>
      <c r="W597" s="51"/>
      <c r="X597" s="51"/>
      <c r="Y597" s="51"/>
      <c r="Z597" s="51"/>
      <c r="AA597" s="51"/>
      <c r="AB597" s="51"/>
      <c r="AC597" s="51"/>
      <c r="AD597" s="51"/>
      <c r="AE597" t="s">
        <v>478</v>
      </c>
      <c r="AF597" t="s">
        <v>479</v>
      </c>
      <c r="AG597" t="s">
        <v>491</v>
      </c>
      <c r="AH597" s="51"/>
      <c r="AI597" s="51"/>
    </row>
    <row r="598" spans="2:35">
      <c r="B598" t="s">
        <v>492</v>
      </c>
      <c r="C598" t="s">
        <v>3550</v>
      </c>
      <c r="D598">
        <v>6</v>
      </c>
      <c r="E598" t="s">
        <v>2795</v>
      </c>
      <c r="F598">
        <v>5</v>
      </c>
      <c r="G598">
        <v>13</v>
      </c>
      <c r="H598">
        <v>14</v>
      </c>
      <c r="I598" t="s">
        <v>493</v>
      </c>
      <c r="J598" s="51">
        <v>40634</v>
      </c>
      <c r="K598" t="s">
        <v>27</v>
      </c>
      <c r="L598" t="s">
        <v>438</v>
      </c>
      <c r="M598">
        <v>3</v>
      </c>
      <c r="N598" t="str">
        <f>L598</f>
        <v>NAM\D24B6</v>
      </c>
      <c r="O598" s="51">
        <f>J598</f>
        <v>40634</v>
      </c>
      <c r="P598" s="51" t="str">
        <f>C598</f>
        <v>~/cdd/olddocs/Ayudas visuales/Camarillo/Moldeo/CNWI-VSHP-000102 Rev. A (084-0109-000).pub</v>
      </c>
      <c r="Q598" s="51" t="str">
        <f>E598</f>
        <v>pub</v>
      </c>
      <c r="R598" s="51"/>
      <c r="S598" s="51"/>
      <c r="T598" s="51"/>
      <c r="U598" s="51"/>
      <c r="V598" s="51"/>
      <c r="W598" s="51"/>
      <c r="X598" s="51"/>
      <c r="Y598" s="51"/>
      <c r="Z598" s="51"/>
      <c r="AA598" s="51"/>
      <c r="AB598" s="51"/>
      <c r="AC598" s="51"/>
      <c r="AD598" s="51"/>
      <c r="AE598" t="s">
        <v>478</v>
      </c>
      <c r="AF598" t="s">
        <v>479</v>
      </c>
      <c r="AG598" t="s">
        <v>494</v>
      </c>
      <c r="AH598" s="51"/>
      <c r="AI598" s="51"/>
    </row>
    <row r="599" spans="2:35">
      <c r="B599" t="s">
        <v>495</v>
      </c>
      <c r="C599" t="s">
        <v>3000</v>
      </c>
      <c r="D599">
        <v>6</v>
      </c>
      <c r="E599" t="s">
        <v>2790</v>
      </c>
      <c r="F599">
        <v>5</v>
      </c>
      <c r="G599">
        <v>13</v>
      </c>
      <c r="H599">
        <v>14</v>
      </c>
      <c r="I599" t="s">
        <v>496</v>
      </c>
      <c r="J599" s="51">
        <v>40637</v>
      </c>
      <c r="K599" t="s">
        <v>27</v>
      </c>
      <c r="L599" t="s">
        <v>438</v>
      </c>
      <c r="M599">
        <v>3</v>
      </c>
      <c r="N599" t="str">
        <f>L599</f>
        <v>NAM\D24B6</v>
      </c>
      <c r="O599" s="51">
        <f>J599</f>
        <v>40637</v>
      </c>
      <c r="P599" s="51" t="str">
        <f>C599</f>
        <v>~/cdd/olddocs/Formas/CNWI-HMRS (Recursos Humanos)/CNWI-HMRS-F018 Matriz de entrenamiento.xlsx</v>
      </c>
      <c r="Q599" s="51" t="str">
        <f>E599</f>
        <v>xlsx</v>
      </c>
      <c r="R599" s="51"/>
      <c r="S599" s="51"/>
      <c r="T599" s="51"/>
      <c r="U599" s="51"/>
      <c r="V599" s="51"/>
      <c r="W599" s="51"/>
      <c r="X599" s="51"/>
      <c r="Y599" s="51"/>
      <c r="Z599" s="51"/>
      <c r="AA599" s="51"/>
      <c r="AB599" s="51"/>
      <c r="AC599" s="51"/>
      <c r="AD599" s="51"/>
      <c r="AE599" t="s">
        <v>478</v>
      </c>
      <c r="AF599" t="s">
        <v>479</v>
      </c>
      <c r="AG599" t="s">
        <v>28</v>
      </c>
      <c r="AH599" s="51"/>
      <c r="AI599" s="51"/>
    </row>
    <row r="600" spans="2:35">
      <c r="B600" t="s">
        <v>2586</v>
      </c>
      <c r="C600" t="s">
        <v>3490</v>
      </c>
      <c r="D600">
        <v>6</v>
      </c>
      <c r="E600" t="s">
        <v>2795</v>
      </c>
      <c r="F600">
        <v>5</v>
      </c>
      <c r="G600">
        <v>10</v>
      </c>
      <c r="H600">
        <v>10</v>
      </c>
      <c r="I600" t="s">
        <v>2587</v>
      </c>
      <c r="J600" s="51">
        <v>40638</v>
      </c>
      <c r="K600" t="s">
        <v>27</v>
      </c>
      <c r="L600" t="s">
        <v>2427</v>
      </c>
      <c r="M600">
        <v>3</v>
      </c>
      <c r="N600" t="str">
        <f>L600</f>
        <v>NAM\MB1911</v>
      </c>
      <c r="O600" s="51">
        <f>J600</f>
        <v>40638</v>
      </c>
      <c r="P600" s="51" t="str">
        <f>C600</f>
        <v>~/cdd/olddocs/Ayudas visuales/Camarillo/Bonding/CNWI-VSHP-000107 Rev. A (000100-0179M).pub</v>
      </c>
      <c r="Q600" s="51" t="str">
        <f>E600</f>
        <v>pub</v>
      </c>
      <c r="R600" s="51"/>
      <c r="S600" s="51"/>
      <c r="T600" s="51"/>
      <c r="U600" s="51"/>
      <c r="V600" s="51"/>
      <c r="W600" s="51"/>
      <c r="X600" s="51"/>
      <c r="Y600" s="51"/>
      <c r="Z600" s="51"/>
      <c r="AA600" s="51"/>
      <c r="AB600" s="51"/>
      <c r="AC600" s="51"/>
      <c r="AD600" s="51"/>
      <c r="AG600" t="s">
        <v>2588</v>
      </c>
      <c r="AH600" s="51"/>
      <c r="AI600" s="51"/>
    </row>
    <row r="601" spans="2:35">
      <c r="B601" t="s">
        <v>2589</v>
      </c>
      <c r="C601" t="s">
        <v>3491</v>
      </c>
      <c r="D601">
        <v>6</v>
      </c>
      <c r="E601" t="s">
        <v>2795</v>
      </c>
      <c r="F601">
        <v>5</v>
      </c>
      <c r="G601">
        <v>10</v>
      </c>
      <c r="H601">
        <v>10</v>
      </c>
      <c r="I601" t="s">
        <v>2590</v>
      </c>
      <c r="J601" s="51">
        <v>40639</v>
      </c>
      <c r="K601" t="s">
        <v>27</v>
      </c>
      <c r="L601" t="s">
        <v>2427</v>
      </c>
      <c r="M601">
        <v>3</v>
      </c>
      <c r="N601" t="str">
        <f>L601</f>
        <v>NAM\MB1911</v>
      </c>
      <c r="O601" s="51">
        <f>J601</f>
        <v>40639</v>
      </c>
      <c r="P601" s="51" t="str">
        <f>C601</f>
        <v>~/cdd/olddocs/Ayudas visuales/Camarillo/Bonding/CNWI-VSHP-000108 Rev. A (BACC65AL-800M).pub</v>
      </c>
      <c r="Q601" s="51" t="str">
        <f>E601</f>
        <v>pub</v>
      </c>
      <c r="R601" s="51"/>
      <c r="S601" s="51"/>
      <c r="T601" s="51"/>
      <c r="U601" s="51"/>
      <c r="V601" s="51"/>
      <c r="W601" s="51"/>
      <c r="X601" s="51"/>
      <c r="Y601" s="51"/>
      <c r="Z601" s="51"/>
      <c r="AA601" s="51"/>
      <c r="AB601" s="51"/>
      <c r="AC601" s="51"/>
      <c r="AD601" s="51"/>
      <c r="AE601" t="s">
        <v>2592</v>
      </c>
      <c r="AF601" t="s">
        <v>1473</v>
      </c>
      <c r="AG601" t="s">
        <v>2591</v>
      </c>
      <c r="AH601" s="51"/>
      <c r="AI601" s="51"/>
    </row>
    <row r="602" spans="2:35">
      <c r="B602" t="s">
        <v>731</v>
      </c>
      <c r="C602" t="s">
        <v>3578</v>
      </c>
      <c r="D602">
        <v>6</v>
      </c>
      <c r="E602" t="s">
        <v>2795</v>
      </c>
      <c r="F602">
        <v>5</v>
      </c>
      <c r="G602">
        <v>12</v>
      </c>
      <c r="H602">
        <v>3</v>
      </c>
      <c r="I602" t="s">
        <v>732</v>
      </c>
      <c r="J602" s="51">
        <v>40639</v>
      </c>
      <c r="K602" t="s">
        <v>27</v>
      </c>
      <c r="L602" t="s">
        <v>605</v>
      </c>
      <c r="M602">
        <v>3</v>
      </c>
      <c r="N602" t="str">
        <f>L602</f>
        <v>NA/MB1049</v>
      </c>
      <c r="O602" s="51">
        <f>J602</f>
        <v>40639</v>
      </c>
      <c r="P602" s="51" t="str">
        <f>C602</f>
        <v>~/cdd/olddocs/Ayudas visuales/Micromini/A y B/CNWI-VSHP-000109 Rev. A (ABP-P1H4-S).pub</v>
      </c>
      <c r="Q602" s="51" t="str">
        <f>E602</f>
        <v>pub</v>
      </c>
      <c r="R602" s="51"/>
      <c r="S602" s="51"/>
      <c r="T602" s="51"/>
      <c r="U602" s="51"/>
      <c r="V602" s="51"/>
      <c r="W602" s="51"/>
      <c r="X602" s="51"/>
      <c r="Y602" s="51"/>
      <c r="Z602" s="51"/>
      <c r="AA602" s="51"/>
      <c r="AB602" s="51"/>
      <c r="AC602" s="51"/>
      <c r="AD602" s="51"/>
      <c r="AG602" t="s">
        <v>733</v>
      </c>
      <c r="AH602" s="51"/>
      <c r="AI602" s="51"/>
    </row>
    <row r="603" spans="2:35">
      <c r="B603" t="s">
        <v>819</v>
      </c>
      <c r="C603" t="s">
        <v>3633</v>
      </c>
      <c r="D603">
        <v>6</v>
      </c>
      <c r="E603" t="s">
        <v>2795</v>
      </c>
      <c r="F603">
        <v>5</v>
      </c>
      <c r="G603">
        <v>12</v>
      </c>
      <c r="H603">
        <v>18</v>
      </c>
      <c r="I603" t="s">
        <v>820</v>
      </c>
      <c r="J603" s="51">
        <v>40659</v>
      </c>
      <c r="K603" t="s">
        <v>27</v>
      </c>
      <c r="L603" t="s">
        <v>605</v>
      </c>
      <c r="M603">
        <v>3</v>
      </c>
      <c r="N603" t="str">
        <f>L603</f>
        <v>NA/MB1049</v>
      </c>
      <c r="O603" s="51">
        <f>J603</f>
        <v>40659</v>
      </c>
      <c r="P603" s="51" t="str">
        <f>C603</f>
        <v>~/cdd/olddocs/Ayudas visuales/Micromini/Potted/CNWI-VSHP-000110 Rev. A (1317142).pub</v>
      </c>
      <c r="Q603" s="51" t="str">
        <f>E603</f>
        <v>pub</v>
      </c>
      <c r="R603" s="51"/>
      <c r="S603" s="51"/>
      <c r="T603" s="51"/>
      <c r="U603" s="51"/>
      <c r="V603" s="51"/>
      <c r="W603" s="51"/>
      <c r="X603" s="51"/>
      <c r="Y603" s="51"/>
      <c r="Z603" s="51"/>
      <c r="AA603" s="51"/>
      <c r="AB603" s="51"/>
      <c r="AC603" s="51"/>
      <c r="AD603" s="51"/>
      <c r="AG603">
        <v>1317142</v>
      </c>
      <c r="AH603" s="51"/>
      <c r="AI603" s="51"/>
    </row>
    <row r="604" spans="2:35">
      <c r="B604" t="s">
        <v>2424</v>
      </c>
      <c r="C604" t="s">
        <v>3461</v>
      </c>
      <c r="D604">
        <v>6</v>
      </c>
      <c r="E604" t="s">
        <v>2796</v>
      </c>
      <c r="F604">
        <v>5</v>
      </c>
      <c r="G604">
        <v>10</v>
      </c>
      <c r="H604">
        <v>7</v>
      </c>
      <c r="I604" t="s">
        <v>2425</v>
      </c>
      <c r="J604" s="51">
        <v>41078</v>
      </c>
      <c r="K604" t="s">
        <v>159</v>
      </c>
      <c r="L604" t="s">
        <v>2427</v>
      </c>
      <c r="M604">
        <v>3</v>
      </c>
      <c r="N604" t="str">
        <f>L604</f>
        <v>NAM\MB1911</v>
      </c>
      <c r="O604" s="51">
        <f>J604</f>
        <v>41078</v>
      </c>
      <c r="P604" s="51" t="str">
        <f>C604</f>
        <v>~/cdd/olddocs/Ayudas visuales/Camarillo/Amsafe/CNWI-VSHP-000111 Rev  C  004005-XXXX  (507735).ppt</v>
      </c>
      <c r="Q604" s="51" t="str">
        <f>E604</f>
        <v>ppt</v>
      </c>
      <c r="R604" s="51"/>
      <c r="S604" s="51"/>
      <c r="T604" s="51"/>
      <c r="U604" s="51"/>
      <c r="V604" s="51"/>
      <c r="W604" s="51"/>
      <c r="X604" s="51"/>
      <c r="Y604" s="51"/>
      <c r="Z604" s="51"/>
      <c r="AA604" s="51"/>
      <c r="AB604" s="51"/>
      <c r="AC604" s="51"/>
      <c r="AD604" s="51"/>
      <c r="AG604">
        <v>507735</v>
      </c>
      <c r="AH604" s="51"/>
      <c r="AI604" s="51"/>
    </row>
    <row r="605" spans="2:35">
      <c r="B605" t="s">
        <v>821</v>
      </c>
      <c r="C605" t="s">
        <v>3634</v>
      </c>
      <c r="D605">
        <v>6</v>
      </c>
      <c r="E605" t="s">
        <v>2795</v>
      </c>
      <c r="F605">
        <v>5</v>
      </c>
      <c r="G605">
        <v>12</v>
      </c>
      <c r="H605">
        <v>18</v>
      </c>
      <c r="I605" t="s">
        <v>822</v>
      </c>
      <c r="J605" s="51">
        <v>40659</v>
      </c>
      <c r="K605" t="s">
        <v>27</v>
      </c>
      <c r="L605" t="s">
        <v>605</v>
      </c>
      <c r="M605">
        <v>3</v>
      </c>
      <c r="N605" t="str">
        <f>L605</f>
        <v>NA/MB1049</v>
      </c>
      <c r="O605" s="51">
        <f>J605</f>
        <v>40659</v>
      </c>
      <c r="P605" s="51" t="str">
        <f>C605</f>
        <v>~/cdd/olddocs/Ayudas visuales/Micromini/Potted/CNWI-VSHP-000112 Rev. A (ABF-P1R5-C).pub</v>
      </c>
      <c r="Q605" s="51" t="str">
        <f>E605</f>
        <v>pub</v>
      </c>
      <c r="R605" s="51"/>
      <c r="S605" s="51"/>
      <c r="T605" s="51"/>
      <c r="U605" s="51"/>
      <c r="V605" s="51"/>
      <c r="W605" s="51"/>
      <c r="X605" s="51"/>
      <c r="Y605" s="51"/>
      <c r="Z605" s="51"/>
      <c r="AA605" s="51"/>
      <c r="AB605" s="51"/>
      <c r="AC605" s="51"/>
      <c r="AD605" s="51"/>
      <c r="AG605" t="s">
        <v>823</v>
      </c>
      <c r="AH605" s="51"/>
      <c r="AI605" s="51"/>
    </row>
    <row r="606" spans="2:35">
      <c r="B606" t="s">
        <v>2769</v>
      </c>
      <c r="C606" t="s">
        <v>3531</v>
      </c>
      <c r="D606">
        <v>6</v>
      </c>
      <c r="E606" t="s">
        <v>2795</v>
      </c>
      <c r="F606">
        <v>5</v>
      </c>
      <c r="G606">
        <v>9</v>
      </c>
      <c r="H606">
        <v>13</v>
      </c>
      <c r="I606" t="s">
        <v>2770</v>
      </c>
      <c r="J606" s="51">
        <v>40672</v>
      </c>
      <c r="K606" t="s">
        <v>27</v>
      </c>
      <c r="L606" t="s">
        <v>2427</v>
      </c>
      <c r="M606">
        <v>3</v>
      </c>
      <c r="N606" t="str">
        <f>L606</f>
        <v>NAM\MB1911</v>
      </c>
      <c r="O606" s="51">
        <f>J606</f>
        <v>40672</v>
      </c>
      <c r="P606" s="51" t="str">
        <f>C606</f>
        <v>~/cdd/olddocs/Ayudas visuales/Camarillo/Itron/CNWI-VSHP-000113 Rev. A (CBA-0217-314).pub</v>
      </c>
      <c r="Q606" s="51" t="str">
        <f>E606</f>
        <v>pub</v>
      </c>
      <c r="R606" s="51"/>
      <c r="S606" s="51"/>
      <c r="T606" s="51"/>
      <c r="U606" s="51"/>
      <c r="V606" s="51"/>
      <c r="W606" s="51"/>
      <c r="X606" s="51"/>
      <c r="Y606" s="51"/>
      <c r="Z606" s="51"/>
      <c r="AA606" s="51"/>
      <c r="AB606" s="51"/>
      <c r="AC606" s="51"/>
      <c r="AD606" s="51"/>
      <c r="AG606" t="s">
        <v>2771</v>
      </c>
      <c r="AH606" s="51"/>
      <c r="AI606" s="51"/>
    </row>
    <row r="607" spans="2:35">
      <c r="B607" t="s">
        <v>2711</v>
      </c>
      <c r="C607" t="s">
        <v>3532</v>
      </c>
      <c r="D607">
        <v>6</v>
      </c>
      <c r="E607" t="s">
        <v>2795</v>
      </c>
      <c r="F607">
        <v>5</v>
      </c>
      <c r="G607">
        <v>9</v>
      </c>
      <c r="H607">
        <v>8</v>
      </c>
      <c r="I607" t="s">
        <v>2712</v>
      </c>
      <c r="J607" s="51">
        <v>40669</v>
      </c>
      <c r="K607" t="s">
        <v>27</v>
      </c>
      <c r="L607" t="s">
        <v>2427</v>
      </c>
      <c r="M607">
        <v>3</v>
      </c>
      <c r="N607" t="str">
        <f>L607</f>
        <v>NAM\MB1911</v>
      </c>
      <c r="O607" s="51">
        <f>J607</f>
        <v>40669</v>
      </c>
      <c r="P607" s="51" t="str">
        <f>C607</f>
        <v>~/cdd/olddocs/Ayudas visuales/Camarillo/Itron/CNWI-VSHP-000114 REV. A (CBA-0349-104).pub</v>
      </c>
      <c r="Q607" s="51" t="str">
        <f>E607</f>
        <v>pub</v>
      </c>
      <c r="R607" s="51"/>
      <c r="S607" s="51"/>
      <c r="T607" s="51"/>
      <c r="U607" s="51"/>
      <c r="V607" s="51"/>
      <c r="W607" s="51"/>
      <c r="X607" s="51"/>
      <c r="Y607" s="51"/>
      <c r="Z607" s="51"/>
      <c r="AA607" s="51"/>
      <c r="AB607" s="51"/>
      <c r="AC607" s="51"/>
      <c r="AD607" s="51"/>
      <c r="AG607" t="s">
        <v>2712</v>
      </c>
      <c r="AH607" s="51"/>
      <c r="AI607" s="51"/>
    </row>
    <row r="608" spans="2:35">
      <c r="B608" t="s">
        <v>2727</v>
      </c>
      <c r="C608" t="s">
        <v>3533</v>
      </c>
      <c r="D608">
        <v>6</v>
      </c>
      <c r="E608" t="s">
        <v>2795</v>
      </c>
      <c r="F608">
        <v>5</v>
      </c>
      <c r="G608">
        <v>9</v>
      </c>
      <c r="H608">
        <v>9</v>
      </c>
      <c r="I608" t="s">
        <v>2728</v>
      </c>
      <c r="J608" s="51">
        <v>40673</v>
      </c>
      <c r="K608" t="s">
        <v>27</v>
      </c>
      <c r="L608" t="s">
        <v>2427</v>
      </c>
      <c r="M608">
        <v>3</v>
      </c>
      <c r="N608" t="str">
        <f>L608</f>
        <v>NAM\MB1911</v>
      </c>
      <c r="O608" s="51">
        <f>J608</f>
        <v>40673</v>
      </c>
      <c r="P608" s="51" t="str">
        <f>C608</f>
        <v>~/cdd/olddocs/Ayudas visuales/Camarillo/Itron/CNWI-VSHP-000115 Rev. A (CBA-0349-105).pub</v>
      </c>
      <c r="Q608" s="51" t="str">
        <f>E608</f>
        <v>pub</v>
      </c>
      <c r="R608" s="51"/>
      <c r="S608" s="51"/>
      <c r="T608" s="51"/>
      <c r="U608" s="51"/>
      <c r="V608" s="51"/>
      <c r="W608" s="51"/>
      <c r="X608" s="51"/>
      <c r="Y608" s="51"/>
      <c r="Z608" s="51"/>
      <c r="AA608" s="51"/>
      <c r="AB608" s="51"/>
      <c r="AC608" s="51"/>
      <c r="AD608" s="51"/>
      <c r="AG608" t="s">
        <v>2729</v>
      </c>
      <c r="AH608" s="51"/>
      <c r="AI608" s="51"/>
    </row>
    <row r="609" spans="2:35">
      <c r="B609" t="s">
        <v>2593</v>
      </c>
      <c r="C609" t="s">
        <v>3492</v>
      </c>
      <c r="D609">
        <v>6</v>
      </c>
      <c r="E609" t="s">
        <v>2795</v>
      </c>
      <c r="F609">
        <v>5</v>
      </c>
      <c r="G609">
        <v>10</v>
      </c>
      <c r="H609">
        <v>10</v>
      </c>
      <c r="I609" t="s">
        <v>2594</v>
      </c>
      <c r="J609" s="51">
        <v>40696</v>
      </c>
      <c r="K609" t="s">
        <v>46</v>
      </c>
      <c r="L609" t="s">
        <v>2427</v>
      </c>
      <c r="M609">
        <v>3</v>
      </c>
      <c r="N609" t="str">
        <f>L609</f>
        <v>NAM\MB1911</v>
      </c>
      <c r="O609" s="51">
        <f>J609</f>
        <v>40696</v>
      </c>
      <c r="P609" s="51" t="str">
        <f>C609</f>
        <v>~/cdd/olddocs/Ayudas visuales/Camarillo/Bonding/CNWI-VSHP-000120 Rev  B (Empaque BACC65XX).pub</v>
      </c>
      <c r="Q609" s="51" t="str">
        <f>E609</f>
        <v>pub</v>
      </c>
      <c r="R609" s="51"/>
      <c r="S609" s="51"/>
      <c r="T609" s="51"/>
      <c r="U609" s="51"/>
      <c r="V609" s="51"/>
      <c r="W609" s="51"/>
      <c r="X609" s="51"/>
      <c r="Y609" s="51"/>
      <c r="Z609" s="51"/>
      <c r="AA609" s="51"/>
      <c r="AB609" s="51"/>
      <c r="AC609" s="51"/>
      <c r="AD609" s="51"/>
      <c r="AE609" t="s">
        <v>30</v>
      </c>
      <c r="AF609" t="s">
        <v>1473</v>
      </c>
      <c r="AG609" t="s">
        <v>28</v>
      </c>
      <c r="AH609" s="51"/>
      <c r="AI609" s="51"/>
    </row>
    <row r="610" spans="2:35">
      <c r="B610" t="s">
        <v>627</v>
      </c>
      <c r="C610" t="s">
        <v>3599</v>
      </c>
      <c r="D610">
        <v>6</v>
      </c>
      <c r="E610" t="s">
        <v>2795</v>
      </c>
      <c r="F610">
        <v>5</v>
      </c>
      <c r="G610">
        <v>33</v>
      </c>
      <c r="H610">
        <v>28</v>
      </c>
      <c r="I610" t="s">
        <v>628</v>
      </c>
      <c r="J610" s="51">
        <v>40708</v>
      </c>
      <c r="K610" t="s">
        <v>27</v>
      </c>
      <c r="L610" t="s">
        <v>605</v>
      </c>
      <c r="M610">
        <v>3</v>
      </c>
      <c r="N610" t="str">
        <f>L610</f>
        <v>NA/MB1049</v>
      </c>
      <c r="O610" s="51">
        <f>J610</f>
        <v>40708</v>
      </c>
      <c r="P610" s="51" t="str">
        <f>C610</f>
        <v>~/cdd/olddocs/Ayudas visuales/Micromini/General/CNWI-VSHP-000121 Formato ofical para ayudas visuales.pub</v>
      </c>
      <c r="Q610" s="51" t="str">
        <f>E610</f>
        <v>pub</v>
      </c>
      <c r="R610" s="51"/>
      <c r="S610" s="51"/>
      <c r="T610" s="51"/>
      <c r="U610" s="51"/>
      <c r="V610" s="51"/>
      <c r="W610" s="51"/>
      <c r="X610" s="51"/>
      <c r="Y610" s="51"/>
      <c r="Z610" s="51"/>
      <c r="AA610" s="51"/>
      <c r="AB610" s="51"/>
      <c r="AC610" s="51"/>
      <c r="AD610" s="51"/>
      <c r="AE610" t="s">
        <v>30</v>
      </c>
      <c r="AF610" t="s">
        <v>90</v>
      </c>
      <c r="AG610" t="s">
        <v>28</v>
      </c>
      <c r="AH610" s="51"/>
      <c r="AI610" s="51"/>
    </row>
    <row r="611" spans="2:35">
      <c r="B611" t="s">
        <v>2670</v>
      </c>
      <c r="C611" t="s">
        <v>3513</v>
      </c>
      <c r="D611">
        <v>6</v>
      </c>
      <c r="E611" t="s">
        <v>2795</v>
      </c>
      <c r="F611">
        <v>5</v>
      </c>
      <c r="G611">
        <v>36</v>
      </c>
      <c r="H611">
        <v>26</v>
      </c>
      <c r="I611" t="s">
        <v>2671</v>
      </c>
      <c r="J611" s="51">
        <v>40870</v>
      </c>
      <c r="K611" t="s">
        <v>27</v>
      </c>
      <c r="L611" t="s">
        <v>2427</v>
      </c>
      <c r="M611">
        <v>3</v>
      </c>
      <c r="N611" t="str">
        <f>L611</f>
        <v>NAM\MB1911</v>
      </c>
      <c r="O611" s="51">
        <f>J611</f>
        <v>40870</v>
      </c>
      <c r="P611" s="51" t="str">
        <f>C611</f>
        <v>~/cdd/olddocs/Ayudas visuales/Camarillo/Ensamble general/CNWI-VSHP-000126 REV.A (28-7603-0000).pub</v>
      </c>
      <c r="Q611" s="51" t="str">
        <f>E611</f>
        <v>pub</v>
      </c>
      <c r="R611" s="51"/>
      <c r="S611" s="51"/>
      <c r="T611" s="51"/>
      <c r="U611" s="51"/>
      <c r="V611" s="51"/>
      <c r="W611" s="51"/>
      <c r="X611" s="51"/>
      <c r="Y611" s="51"/>
      <c r="Z611" s="51"/>
      <c r="AA611" s="51"/>
      <c r="AB611" s="51"/>
      <c r="AC611" s="51"/>
      <c r="AD611" s="51"/>
      <c r="AE611" t="s">
        <v>30</v>
      </c>
      <c r="AF611" t="s">
        <v>479</v>
      </c>
      <c r="AG611" t="s">
        <v>2672</v>
      </c>
      <c r="AH611" s="51"/>
      <c r="AI611" s="51"/>
    </row>
    <row r="612" spans="2:35">
      <c r="B612" t="s">
        <v>2673</v>
      </c>
      <c r="C612" t="s">
        <v>3514</v>
      </c>
      <c r="D612">
        <v>6</v>
      </c>
      <c r="E612" t="s">
        <v>2795</v>
      </c>
      <c r="F612">
        <v>5</v>
      </c>
      <c r="G612">
        <v>36</v>
      </c>
      <c r="H612">
        <v>26</v>
      </c>
      <c r="I612" t="s">
        <v>2674</v>
      </c>
      <c r="J612" s="51">
        <v>40882</v>
      </c>
      <c r="K612" t="s">
        <v>27</v>
      </c>
      <c r="L612" t="s">
        <v>2427</v>
      </c>
      <c r="M612">
        <v>3</v>
      </c>
      <c r="N612" t="str">
        <f>L612</f>
        <v>NAM\MB1911</v>
      </c>
      <c r="O612" s="51">
        <f>J612</f>
        <v>40882</v>
      </c>
      <c r="P612" s="51" t="str">
        <f>C612</f>
        <v>~/cdd/olddocs/Ayudas visuales/Camarillo/Ensamble general/CNWI-VSHP-000127 REV.A 28-2241-0000.pub</v>
      </c>
      <c r="Q612" s="51" t="str">
        <f>E612</f>
        <v>pub</v>
      </c>
      <c r="R612" s="51"/>
      <c r="S612" s="51"/>
      <c r="T612" s="51"/>
      <c r="U612" s="51"/>
      <c r="V612" s="51"/>
      <c r="W612" s="51"/>
      <c r="X612" s="51"/>
      <c r="Y612" s="51"/>
      <c r="Z612" s="51"/>
      <c r="AA612" s="51"/>
      <c r="AB612" s="51"/>
      <c r="AC612" s="51"/>
      <c r="AD612" s="51"/>
      <c r="AE612" t="s">
        <v>30</v>
      </c>
      <c r="AF612" t="s">
        <v>479</v>
      </c>
      <c r="AG612" t="s">
        <v>2675</v>
      </c>
      <c r="AH612" s="51"/>
      <c r="AI612" s="51"/>
    </row>
    <row r="613" spans="2:35">
      <c r="B613" t="s">
        <v>2676</v>
      </c>
      <c r="C613" t="s">
        <v>3515</v>
      </c>
      <c r="D613">
        <v>6</v>
      </c>
      <c r="E613" t="s">
        <v>2795</v>
      </c>
      <c r="F613">
        <v>5</v>
      </c>
      <c r="G613">
        <v>36</v>
      </c>
      <c r="H613">
        <v>26</v>
      </c>
      <c r="I613" t="s">
        <v>2671</v>
      </c>
      <c r="J613" s="51">
        <v>40882</v>
      </c>
      <c r="K613" t="s">
        <v>27</v>
      </c>
      <c r="L613" t="s">
        <v>2427</v>
      </c>
      <c r="M613">
        <v>3</v>
      </c>
      <c r="N613" t="str">
        <f>L613</f>
        <v>NAM\MB1911</v>
      </c>
      <c r="O613" s="51">
        <f>J613</f>
        <v>40882</v>
      </c>
      <c r="P613" s="51" t="str">
        <f>C613</f>
        <v>~/cdd/olddocs/Ayudas visuales/Camarillo/Ensamble general/CNWI-VSHP-000128 REV.A 28-7603-0000.pub</v>
      </c>
      <c r="Q613" s="51" t="str">
        <f>E613</f>
        <v>pub</v>
      </c>
      <c r="R613" s="51"/>
      <c r="S613" s="51"/>
      <c r="T613" s="51"/>
      <c r="U613" s="51"/>
      <c r="V613" s="51"/>
      <c r="W613" s="51"/>
      <c r="X613" s="51"/>
      <c r="Y613" s="51"/>
      <c r="Z613" s="51"/>
      <c r="AA613" s="51"/>
      <c r="AB613" s="51"/>
      <c r="AC613" s="51"/>
      <c r="AD613" s="51"/>
      <c r="AE613" t="s">
        <v>30</v>
      </c>
      <c r="AF613" t="s">
        <v>479</v>
      </c>
      <c r="AG613" t="s">
        <v>2672</v>
      </c>
      <c r="AH613" s="51"/>
      <c r="AI613" s="51"/>
    </row>
    <row r="614" spans="2:35">
      <c r="B614" t="s">
        <v>2595</v>
      </c>
      <c r="C614" t="s">
        <v>3493</v>
      </c>
      <c r="D614">
        <v>6</v>
      </c>
      <c r="E614" t="s">
        <v>2795</v>
      </c>
      <c r="F614">
        <v>5</v>
      </c>
      <c r="G614">
        <v>10</v>
      </c>
      <c r="H614">
        <v>10</v>
      </c>
      <c r="I614" t="s">
        <v>2596</v>
      </c>
      <c r="J614" s="51">
        <v>40882</v>
      </c>
      <c r="K614" t="s">
        <v>27</v>
      </c>
      <c r="L614" t="s">
        <v>2427</v>
      </c>
      <c r="M614">
        <v>3</v>
      </c>
      <c r="N614" t="str">
        <f>L614</f>
        <v>NAM\MB1911</v>
      </c>
      <c r="O614" s="51">
        <f>J614</f>
        <v>40882</v>
      </c>
      <c r="P614" s="51" t="str">
        <f>C614</f>
        <v>~/cdd/olddocs/Ayudas visuales/Camarillo/Bonding/CNWI-VSHP-000129 REV. A 002359-0004.pub</v>
      </c>
      <c r="Q614" s="51" t="str">
        <f>E614</f>
        <v>pub</v>
      </c>
      <c r="R614" s="51"/>
      <c r="S614" s="51"/>
      <c r="T614" s="51"/>
      <c r="U614" s="51"/>
      <c r="V614" s="51"/>
      <c r="W614" s="51"/>
      <c r="X614" s="51"/>
      <c r="Y614" s="51"/>
      <c r="Z614" s="51"/>
      <c r="AA614" s="51"/>
      <c r="AB614" s="51"/>
      <c r="AC614" s="51"/>
      <c r="AD614" s="51"/>
      <c r="AE614" t="s">
        <v>30</v>
      </c>
      <c r="AF614" t="s">
        <v>1473</v>
      </c>
      <c r="AG614" t="s">
        <v>2597</v>
      </c>
      <c r="AH614" s="51"/>
      <c r="AI614" s="51"/>
    </row>
    <row r="615" spans="2:35">
      <c r="B615" t="s">
        <v>2677</v>
      </c>
      <c r="C615" t="s">
        <v>3516</v>
      </c>
      <c r="D615">
        <v>6</v>
      </c>
      <c r="E615" t="s">
        <v>2795</v>
      </c>
      <c r="F615">
        <v>5</v>
      </c>
      <c r="G615">
        <v>36</v>
      </c>
      <c r="H615">
        <v>26</v>
      </c>
      <c r="I615" t="s">
        <v>2678</v>
      </c>
      <c r="J615" s="51">
        <v>40885</v>
      </c>
      <c r="K615" t="s">
        <v>27</v>
      </c>
      <c r="L615" t="s">
        <v>2427</v>
      </c>
      <c r="M615">
        <v>3</v>
      </c>
      <c r="N615" t="str">
        <f>L615</f>
        <v>NAM\MB1911</v>
      </c>
      <c r="O615" s="51">
        <f>J615</f>
        <v>40885</v>
      </c>
      <c r="P615" s="51" t="str">
        <f>C615</f>
        <v>~/cdd/olddocs/Ayudas visuales/Camarillo/Ensamble general/CNWI-VSHP-000130 REV. A.pub</v>
      </c>
      <c r="Q615" s="51" t="str">
        <f>E615</f>
        <v>pub</v>
      </c>
      <c r="R615" s="51"/>
      <c r="S615" s="51"/>
      <c r="T615" s="51"/>
      <c r="U615" s="51"/>
      <c r="V615" s="51"/>
      <c r="W615" s="51"/>
      <c r="X615" s="51"/>
      <c r="Y615" s="51"/>
      <c r="Z615" s="51"/>
      <c r="AA615" s="51"/>
      <c r="AB615" s="51"/>
      <c r="AC615" s="51"/>
      <c r="AD615" s="51"/>
      <c r="AE615" t="s">
        <v>30</v>
      </c>
      <c r="AF615" t="s">
        <v>479</v>
      </c>
      <c r="AG615" t="s">
        <v>2679</v>
      </c>
      <c r="AH615" s="51"/>
      <c r="AI615" s="51"/>
    </row>
    <row r="616" spans="2:35">
      <c r="B616" t="s">
        <v>775</v>
      </c>
      <c r="C616" t="s">
        <v>3616</v>
      </c>
      <c r="D616">
        <v>6</v>
      </c>
      <c r="E616" t="s">
        <v>2795</v>
      </c>
      <c r="F616">
        <v>5</v>
      </c>
      <c r="G616">
        <v>12</v>
      </c>
      <c r="H616">
        <v>16</v>
      </c>
      <c r="I616" t="s">
        <v>776</v>
      </c>
      <c r="J616" s="51">
        <v>40885</v>
      </c>
      <c r="K616" t="s">
        <v>27</v>
      </c>
      <c r="L616" t="s">
        <v>605</v>
      </c>
      <c r="M616">
        <v>3</v>
      </c>
      <c r="N616" t="str">
        <f>L616</f>
        <v>NA/MB1049</v>
      </c>
      <c r="O616" s="51">
        <f>J616</f>
        <v>40885</v>
      </c>
      <c r="P616" s="51" t="str">
        <f>C616</f>
        <v>~/cdd/olddocs/Ayudas visuales/Micromini/MS/CNWI-VSHP-000132 REV. A SOLDADURA DE CONTACTOS.pub</v>
      </c>
      <c r="Q616" s="51" t="str">
        <f>E616</f>
        <v>pub</v>
      </c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t="s">
        <v>30</v>
      </c>
      <c r="AF616" t="s">
        <v>90</v>
      </c>
      <c r="AG616" t="s">
        <v>28</v>
      </c>
      <c r="AH616" s="51"/>
      <c r="AI616" s="51"/>
    </row>
    <row r="617" spans="2:35">
      <c r="B617" t="s">
        <v>2730</v>
      </c>
      <c r="C617" t="s">
        <v>3534</v>
      </c>
      <c r="D617">
        <v>6</v>
      </c>
      <c r="E617" t="s">
        <v>2795</v>
      </c>
      <c r="F617">
        <v>5</v>
      </c>
      <c r="G617">
        <v>9</v>
      </c>
      <c r="H617">
        <v>9</v>
      </c>
      <c r="I617" t="s">
        <v>2731</v>
      </c>
      <c r="J617" s="51">
        <v>40889</v>
      </c>
      <c r="K617" t="s">
        <v>27</v>
      </c>
      <c r="L617" t="s">
        <v>2427</v>
      </c>
      <c r="M617">
        <v>3</v>
      </c>
      <c r="N617" t="str">
        <f>L617</f>
        <v>NAM\MB1911</v>
      </c>
      <c r="O617" s="51">
        <f>J617</f>
        <v>40889</v>
      </c>
      <c r="P617" s="51" t="str">
        <f>C617</f>
        <v>~/cdd/olddocs/Ayudas visuales/Camarillo/Itron/CNWI-VSHP-000133 REV.A 28-3306-0001.pub</v>
      </c>
      <c r="Q617" s="51" t="str">
        <f>E617</f>
        <v>pub</v>
      </c>
      <c r="R617" s="51"/>
      <c r="S617" s="51"/>
      <c r="T617" s="51"/>
      <c r="U617" s="51"/>
      <c r="V617" s="51"/>
      <c r="W617" s="51"/>
      <c r="X617" s="51"/>
      <c r="Y617" s="51"/>
      <c r="Z617" s="51"/>
      <c r="AA617" s="51"/>
      <c r="AB617" s="51"/>
      <c r="AC617" s="51"/>
      <c r="AD617" s="51"/>
      <c r="AE617" t="s">
        <v>30</v>
      </c>
      <c r="AF617" t="s">
        <v>1473</v>
      </c>
      <c r="AG617" t="s">
        <v>28</v>
      </c>
      <c r="AH617" s="51"/>
      <c r="AI617" s="51"/>
    </row>
    <row r="618" spans="2:35">
      <c r="B618" t="s">
        <v>824</v>
      </c>
      <c r="C618" t="s">
        <v>3635</v>
      </c>
      <c r="D618">
        <v>6</v>
      </c>
      <c r="E618" t="s">
        <v>2795</v>
      </c>
      <c r="F618">
        <v>5</v>
      </c>
      <c r="G618">
        <v>12</v>
      </c>
      <c r="H618">
        <v>18</v>
      </c>
      <c r="I618" t="s">
        <v>825</v>
      </c>
      <c r="J618" s="51">
        <v>40893</v>
      </c>
      <c r="K618" t="s">
        <v>27</v>
      </c>
      <c r="L618" t="s">
        <v>605</v>
      </c>
      <c r="M618">
        <v>3</v>
      </c>
      <c r="N618" t="str">
        <f>L618</f>
        <v>NA/MB1049</v>
      </c>
      <c r="O618" s="51">
        <f>J618</f>
        <v>40893</v>
      </c>
      <c r="P618" s="51" t="str">
        <f>C618</f>
        <v>~/cdd/olddocs/Ayudas visuales/Micromini/Potted/CNWI-VSHP-000135 Rev. A (5000113).pub</v>
      </c>
      <c r="Q618" s="51" t="str">
        <f>E618</f>
        <v>pub</v>
      </c>
      <c r="R618" s="51"/>
      <c r="S618" s="51"/>
      <c r="T618" s="51"/>
      <c r="U618" s="51"/>
      <c r="V618" s="51"/>
      <c r="W618" s="51"/>
      <c r="X618" s="51"/>
      <c r="Y618" s="51"/>
      <c r="Z618" s="51"/>
      <c r="AA618" s="51"/>
      <c r="AB618" s="51"/>
      <c r="AC618" s="51"/>
      <c r="AD618" s="51"/>
      <c r="AE618" t="s">
        <v>30</v>
      </c>
      <c r="AF618" t="s">
        <v>90</v>
      </c>
      <c r="AG618" t="s">
        <v>826</v>
      </c>
      <c r="AH618" s="51"/>
      <c r="AI618" s="51"/>
    </row>
    <row r="619" spans="2:35">
      <c r="B619" t="s">
        <v>2713</v>
      </c>
      <c r="C619" t="s">
        <v>3535</v>
      </c>
      <c r="D619">
        <v>6</v>
      </c>
      <c r="E619" t="s">
        <v>2795</v>
      </c>
      <c r="F619">
        <v>5</v>
      </c>
      <c r="G619">
        <v>9</v>
      </c>
      <c r="H619">
        <v>8</v>
      </c>
      <c r="I619" t="s">
        <v>2714</v>
      </c>
      <c r="J619" s="51">
        <v>40897</v>
      </c>
      <c r="K619" t="s">
        <v>27</v>
      </c>
      <c r="L619" t="s">
        <v>2427</v>
      </c>
      <c r="M619">
        <v>3</v>
      </c>
      <c r="N619" t="str">
        <f>L619</f>
        <v>NAM\MB1911</v>
      </c>
      <c r="O619" s="51">
        <f>J619</f>
        <v>40897</v>
      </c>
      <c r="P619" s="51" t="str">
        <f>C619</f>
        <v>~/cdd/olddocs/Ayudas visuales/Camarillo/Itron/CNWI-VSHP-000136  CBA-1300-905 REV A ( 28-2307-0001).pub</v>
      </c>
      <c r="Q619" s="51" t="str">
        <f>E619</f>
        <v>pub</v>
      </c>
      <c r="R619" s="51"/>
      <c r="S619" s="51"/>
      <c r="T619" s="51"/>
      <c r="U619" s="51"/>
      <c r="V619" s="51"/>
      <c r="W619" s="51"/>
      <c r="X619" s="51"/>
      <c r="Y619" s="51"/>
      <c r="Z619" s="51"/>
      <c r="AA619" s="51"/>
      <c r="AB619" s="51"/>
      <c r="AC619" s="51"/>
      <c r="AD619" s="51"/>
      <c r="AE619" t="s">
        <v>30</v>
      </c>
      <c r="AF619" t="s">
        <v>1473</v>
      </c>
      <c r="AG619" t="s">
        <v>2715</v>
      </c>
      <c r="AH619" s="51"/>
      <c r="AI619" s="51"/>
    </row>
    <row r="620" spans="2:35">
      <c r="B620" t="s">
        <v>2680</v>
      </c>
      <c r="C620" t="s">
        <v>3517</v>
      </c>
      <c r="D620">
        <v>6</v>
      </c>
      <c r="E620" t="s">
        <v>2795</v>
      </c>
      <c r="F620">
        <v>5</v>
      </c>
      <c r="G620">
        <v>36</v>
      </c>
      <c r="H620">
        <v>26</v>
      </c>
      <c r="I620" t="s">
        <v>2681</v>
      </c>
      <c r="J620" s="51">
        <v>40898</v>
      </c>
      <c r="K620" t="s">
        <v>27</v>
      </c>
      <c r="L620" t="s">
        <v>2427</v>
      </c>
      <c r="M620">
        <v>3</v>
      </c>
      <c r="N620" t="str">
        <f>L620</f>
        <v>NAM\MB1911</v>
      </c>
      <c r="O620" s="51">
        <f>J620</f>
        <v>40898</v>
      </c>
      <c r="P620" s="51" t="str">
        <f>C620</f>
        <v>~/cdd/olddocs/Ayudas visuales/Camarillo/Ensamble general/CNWI-VSHP-000137 REV. A 000101-0172M (000101-0172).pub</v>
      </c>
      <c r="Q620" s="51" t="str">
        <f>E620</f>
        <v>pub</v>
      </c>
      <c r="R620" s="51"/>
      <c r="S620" s="51"/>
      <c r="T620" s="51"/>
      <c r="U620" s="51"/>
      <c r="V620" s="51"/>
      <c r="W620" s="51"/>
      <c r="X620" s="51"/>
      <c r="Y620" s="51"/>
      <c r="Z620" s="51"/>
      <c r="AA620" s="51"/>
      <c r="AB620" s="51"/>
      <c r="AC620" s="51"/>
      <c r="AD620" s="51"/>
      <c r="AE620" t="s">
        <v>30</v>
      </c>
      <c r="AF620" t="s">
        <v>479</v>
      </c>
      <c r="AG620" t="s">
        <v>2605</v>
      </c>
      <c r="AH620" s="51"/>
      <c r="AI620" s="51"/>
    </row>
    <row r="621" spans="2:35">
      <c r="B621" t="s">
        <v>2754</v>
      </c>
      <c r="C621" t="s">
        <v>3536</v>
      </c>
      <c r="D621">
        <v>6</v>
      </c>
      <c r="E621" t="s">
        <v>2795</v>
      </c>
      <c r="F621">
        <v>5</v>
      </c>
      <c r="G621">
        <v>9</v>
      </c>
      <c r="H621">
        <v>1</v>
      </c>
      <c r="I621" t="s">
        <v>2755</v>
      </c>
      <c r="J621" s="51">
        <v>40906</v>
      </c>
      <c r="K621" t="s">
        <v>27</v>
      </c>
      <c r="L621" t="s">
        <v>2427</v>
      </c>
      <c r="M621">
        <v>3</v>
      </c>
      <c r="N621" t="str">
        <f>L621</f>
        <v>NAM\MB1911</v>
      </c>
      <c r="O621" s="51">
        <f>J621</f>
        <v>40906</v>
      </c>
      <c r="P621" s="51" t="str">
        <f>C621</f>
        <v>~/cdd/olddocs/Ayudas visuales/Camarillo/Itron/CNWI-VSHP-000138 REV. A (28-7502-0007M).pub</v>
      </c>
      <c r="Q621" s="51" t="str">
        <f>E621</f>
        <v>pub</v>
      </c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t="s">
        <v>30</v>
      </c>
      <c r="AF621" t="s">
        <v>1473</v>
      </c>
      <c r="AG621" t="s">
        <v>2756</v>
      </c>
      <c r="AH621" s="51"/>
      <c r="AI621" s="51"/>
    </row>
    <row r="622" spans="2:35">
      <c r="B622" t="s">
        <v>827</v>
      </c>
      <c r="C622" t="s">
        <v>3636</v>
      </c>
      <c r="D622">
        <v>6</v>
      </c>
      <c r="E622" t="s">
        <v>2795</v>
      </c>
      <c r="F622">
        <v>5</v>
      </c>
      <c r="G622">
        <v>12</v>
      </c>
      <c r="H622">
        <v>18</v>
      </c>
      <c r="I622" t="s">
        <v>828</v>
      </c>
      <c r="J622" s="51">
        <v>40928</v>
      </c>
      <c r="K622" t="s">
        <v>27</v>
      </c>
      <c r="L622" t="s">
        <v>605</v>
      </c>
      <c r="M622">
        <v>3</v>
      </c>
      <c r="N622" t="str">
        <f>L622</f>
        <v>NA/MB1049</v>
      </c>
      <c r="O622" s="51">
        <f>J622</f>
        <v>40928</v>
      </c>
      <c r="P622" s="51" t="str">
        <f>C622</f>
        <v>~/cdd/olddocs/Ayudas visuales/Micromini/Potted/CNWI-VSHP-000140 REV. A (ENSAMBLE CAP AB-A-C1).pub</v>
      </c>
      <c r="Q622" s="51" t="str">
        <f>E622</f>
        <v>pub</v>
      </c>
      <c r="R622" s="51"/>
      <c r="S622" s="51"/>
      <c r="T622" s="51"/>
      <c r="U622" s="51"/>
      <c r="V622" s="51"/>
      <c r="W622" s="51"/>
      <c r="X622" s="51"/>
      <c r="Y622" s="51"/>
      <c r="Z622" s="51"/>
      <c r="AA622" s="51"/>
      <c r="AB622" s="51"/>
      <c r="AC622" s="51"/>
      <c r="AD622" s="51"/>
      <c r="AE622" t="s">
        <v>30</v>
      </c>
      <c r="AF622" t="s">
        <v>90</v>
      </c>
      <c r="AG622" t="s">
        <v>829</v>
      </c>
      <c r="AH622" s="51"/>
      <c r="AI622" s="51"/>
    </row>
    <row r="623" spans="2:35">
      <c r="B623" t="s">
        <v>2716</v>
      </c>
      <c r="C623" t="s">
        <v>3537</v>
      </c>
      <c r="D623">
        <v>6</v>
      </c>
      <c r="E623" t="s">
        <v>2795</v>
      </c>
      <c r="F623">
        <v>5</v>
      </c>
      <c r="G623">
        <v>9</v>
      </c>
      <c r="H623">
        <v>8</v>
      </c>
      <c r="I623" t="s">
        <v>2717</v>
      </c>
      <c r="J623" s="51">
        <v>40952</v>
      </c>
      <c r="K623" t="s">
        <v>27</v>
      </c>
      <c r="L623" t="s">
        <v>2427</v>
      </c>
      <c r="M623">
        <v>3</v>
      </c>
      <c r="N623" t="str">
        <f>L623</f>
        <v>NAM\MB1911</v>
      </c>
      <c r="O623" s="51">
        <f>J623</f>
        <v>40952</v>
      </c>
      <c r="P623" s="51" t="str">
        <f>C623</f>
        <v>~/cdd/olddocs/Ayudas visuales/Camarillo/Itron/CNWI-VSHP-000150  REV. A (28-3289-0001).pub</v>
      </c>
      <c r="Q623" s="51" t="str">
        <f>E623</f>
        <v>pub</v>
      </c>
      <c r="R623" s="51"/>
      <c r="S623" s="51"/>
      <c r="T623" s="51"/>
      <c r="U623" s="51"/>
      <c r="V623" s="51"/>
      <c r="W623" s="51"/>
      <c r="X623" s="51"/>
      <c r="Y623" s="51"/>
      <c r="Z623" s="51"/>
      <c r="AA623" s="51"/>
      <c r="AB623" s="51"/>
      <c r="AC623" s="51"/>
      <c r="AD623" s="51"/>
      <c r="AE623" t="s">
        <v>30</v>
      </c>
      <c r="AF623" t="s">
        <v>1473</v>
      </c>
      <c r="AG623" t="s">
        <v>2718</v>
      </c>
      <c r="AH623" s="51"/>
      <c r="AI623" s="51"/>
    </row>
    <row r="624" spans="2:35">
      <c r="B624" t="s">
        <v>2598</v>
      </c>
      <c r="C624" t="s">
        <v>3494</v>
      </c>
      <c r="D624">
        <v>6</v>
      </c>
      <c r="E624" t="s">
        <v>2795</v>
      </c>
      <c r="F624">
        <v>5</v>
      </c>
      <c r="G624">
        <v>10</v>
      </c>
      <c r="H624">
        <v>10</v>
      </c>
      <c r="I624" t="s">
        <v>2599</v>
      </c>
      <c r="J624" s="51">
        <v>40992</v>
      </c>
      <c r="K624" t="s">
        <v>27</v>
      </c>
      <c r="L624" t="s">
        <v>2427</v>
      </c>
      <c r="M624">
        <v>3</v>
      </c>
      <c r="N624" t="str">
        <f>L624</f>
        <v>NAM\MB1911</v>
      </c>
      <c r="O624" s="51">
        <f>J624</f>
        <v>40992</v>
      </c>
      <c r="P624" s="51" t="str">
        <f>C624</f>
        <v>~/cdd/olddocs/Ayudas visuales/Camarillo/Bonding/CNWI-VSHP-000153 REV. A (002360-0006 y 002360-0004).pub</v>
      </c>
      <c r="Q624" s="51" t="str">
        <f>E624</f>
        <v>pub</v>
      </c>
      <c r="R624" s="51"/>
      <c r="S624" s="51"/>
      <c r="T624" s="51"/>
      <c r="U624" s="51"/>
      <c r="V624" s="51"/>
      <c r="W624" s="51"/>
      <c r="X624" s="51"/>
      <c r="Y624" s="51"/>
      <c r="Z624" s="51"/>
      <c r="AA624" s="51"/>
      <c r="AB624" s="51"/>
      <c r="AC624" s="51"/>
      <c r="AD624" s="51"/>
      <c r="AE624" t="s">
        <v>30</v>
      </c>
      <c r="AF624" t="s">
        <v>1473</v>
      </c>
      <c r="AG624" t="s">
        <v>2600</v>
      </c>
      <c r="AH624" s="51"/>
      <c r="AI624" s="51"/>
    </row>
    <row r="625" spans="2:35">
      <c r="B625" t="s">
        <v>2601</v>
      </c>
      <c r="C625" t="s">
        <v>3495</v>
      </c>
      <c r="D625">
        <v>6</v>
      </c>
      <c r="E625" t="s">
        <v>2795</v>
      </c>
      <c r="F625">
        <v>5</v>
      </c>
      <c r="G625">
        <v>10</v>
      </c>
      <c r="H625">
        <v>10</v>
      </c>
      <c r="I625" t="s">
        <v>2602</v>
      </c>
      <c r="J625" s="51">
        <v>40995</v>
      </c>
      <c r="K625" t="s">
        <v>27</v>
      </c>
      <c r="L625" t="s">
        <v>2427</v>
      </c>
      <c r="M625">
        <v>3</v>
      </c>
      <c r="N625" t="str">
        <f>L625</f>
        <v>NAM\MB1911</v>
      </c>
      <c r="O625" s="51">
        <f>J625</f>
        <v>40995</v>
      </c>
      <c r="P625" s="51" t="str">
        <f>C625</f>
        <v>~/cdd/olddocs/Ayudas visuales/Camarillo/Bonding/CNWI-VSHP-000155 Rev. A (002359-0006).pub</v>
      </c>
      <c r="Q625" s="51" t="str">
        <f>E625</f>
        <v>pub</v>
      </c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t="s">
        <v>30</v>
      </c>
      <c r="AF625" t="s">
        <v>1473</v>
      </c>
      <c r="AG625" t="s">
        <v>2603</v>
      </c>
      <c r="AH625" s="51"/>
      <c r="AI625" s="51"/>
    </row>
    <row r="626" spans="2:35">
      <c r="B626" t="s">
        <v>2604</v>
      </c>
      <c r="C626" t="s">
        <v>3496</v>
      </c>
      <c r="D626">
        <v>6</v>
      </c>
      <c r="E626" t="s">
        <v>2795</v>
      </c>
      <c r="F626">
        <v>5</v>
      </c>
      <c r="G626">
        <v>10</v>
      </c>
      <c r="H626">
        <v>10</v>
      </c>
      <c r="I626" t="s">
        <v>2605</v>
      </c>
      <c r="J626" s="51">
        <v>41003</v>
      </c>
      <c r="K626" t="s">
        <v>27</v>
      </c>
      <c r="L626" t="s">
        <v>2427</v>
      </c>
      <c r="M626">
        <v>3</v>
      </c>
      <c r="N626" t="str">
        <f>L626</f>
        <v>NAM\MB1911</v>
      </c>
      <c r="O626" s="51">
        <f>J626</f>
        <v>41003</v>
      </c>
      <c r="P626" s="51" t="str">
        <f>C626</f>
        <v>~/cdd/olddocs/Ayudas visuales/Camarillo/Bonding/CNWI-VSHP-000158 (000101-0172M).pub</v>
      </c>
      <c r="Q626" s="51" t="str">
        <f>E626</f>
        <v>pub</v>
      </c>
      <c r="R626" s="51"/>
      <c r="S626" s="51"/>
      <c r="T626" s="51"/>
      <c r="U626" s="51"/>
      <c r="V626" s="51"/>
      <c r="W626" s="51"/>
      <c r="X626" s="51"/>
      <c r="Y626" s="51"/>
      <c r="Z626" s="51"/>
      <c r="AA626" s="51"/>
      <c r="AB626" s="51"/>
      <c r="AC626" s="51"/>
      <c r="AD626" s="51"/>
      <c r="AE626" t="s">
        <v>30</v>
      </c>
      <c r="AF626" t="s">
        <v>1473</v>
      </c>
      <c r="AG626" t="s">
        <v>2605</v>
      </c>
      <c r="AH626" s="51"/>
      <c r="AI626" s="51"/>
    </row>
    <row r="627" spans="2:35">
      <c r="B627" t="s">
        <v>2428</v>
      </c>
      <c r="C627" t="s">
        <v>3462</v>
      </c>
      <c r="D627">
        <v>6</v>
      </c>
      <c r="E627" t="s">
        <v>2796</v>
      </c>
      <c r="F627">
        <v>5</v>
      </c>
      <c r="G627">
        <v>10</v>
      </c>
      <c r="H627">
        <v>7</v>
      </c>
      <c r="I627" t="s">
        <v>3775</v>
      </c>
      <c r="J627" s="51">
        <v>41029</v>
      </c>
      <c r="K627" t="s">
        <v>159</v>
      </c>
      <c r="L627" t="s">
        <v>2427</v>
      </c>
      <c r="M627">
        <v>3</v>
      </c>
      <c r="N627" t="str">
        <f>L627</f>
        <v>NAM\MB1911</v>
      </c>
      <c r="O627" s="51">
        <f>J627</f>
        <v>41029</v>
      </c>
      <c r="P627" s="51" t="str">
        <f>C627</f>
        <v>~/cdd/olddocs/Ayudas visuales/Camarillo/Amsafe/CNWI-VSHP-000159 REV C 508978-C.ppt</v>
      </c>
      <c r="Q627" s="51" t="str">
        <f>E627</f>
        <v>ppt</v>
      </c>
      <c r="R627" s="51"/>
      <c r="S627" s="51"/>
      <c r="T627" s="51"/>
      <c r="U627" s="51"/>
      <c r="V627" s="51"/>
      <c r="W627" s="51"/>
      <c r="X627" s="51"/>
      <c r="Y627" s="51"/>
      <c r="Z627" s="51"/>
      <c r="AA627" s="51"/>
      <c r="AB627" s="51"/>
      <c r="AC627" s="51"/>
      <c r="AD627" s="51"/>
      <c r="AE627" t="s">
        <v>2430</v>
      </c>
      <c r="AF627" t="s">
        <v>479</v>
      </c>
      <c r="AG627">
        <v>508978</v>
      </c>
      <c r="AH627" s="51"/>
      <c r="AI627" s="51"/>
    </row>
    <row r="628" spans="2:35">
      <c r="B628" t="s">
        <v>2682</v>
      </c>
      <c r="C628" t="s">
        <v>3518</v>
      </c>
      <c r="D628">
        <v>6</v>
      </c>
      <c r="E628" t="s">
        <v>2795</v>
      </c>
      <c r="F628">
        <v>5</v>
      </c>
      <c r="G628">
        <v>36</v>
      </c>
      <c r="H628">
        <v>26</v>
      </c>
      <c r="I628" t="s">
        <v>2683</v>
      </c>
      <c r="J628" s="51">
        <v>41004</v>
      </c>
      <c r="K628" t="s">
        <v>27</v>
      </c>
      <c r="L628" t="s">
        <v>2427</v>
      </c>
      <c r="M628">
        <v>3</v>
      </c>
      <c r="N628" t="str">
        <f>L628</f>
        <v>NAM\MB1911</v>
      </c>
      <c r="O628" s="51">
        <f>J628</f>
        <v>41004</v>
      </c>
      <c r="P628" s="51" t="str">
        <f>C628</f>
        <v>~/cdd/olddocs/Ayudas visuales/Camarillo/Ensamble general/CNWI-VSHP-000160 28-7502-0002.pub</v>
      </c>
      <c r="Q628" s="51" t="str">
        <f>E628</f>
        <v>pub</v>
      </c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t="s">
        <v>30</v>
      </c>
      <c r="AF628" t="s">
        <v>479</v>
      </c>
      <c r="AG628" t="s">
        <v>2684</v>
      </c>
      <c r="AH628" s="51"/>
      <c r="AI628" s="51"/>
    </row>
    <row r="629" spans="2:35">
      <c r="B629" t="s">
        <v>2431</v>
      </c>
      <c r="C629" t="s">
        <v>3463</v>
      </c>
      <c r="D629">
        <v>6</v>
      </c>
      <c r="E629" t="s">
        <v>2795</v>
      </c>
      <c r="F629">
        <v>5</v>
      </c>
      <c r="G629">
        <v>10</v>
      </c>
      <c r="H629">
        <v>7</v>
      </c>
      <c r="I629" t="s">
        <v>3776</v>
      </c>
      <c r="J629" s="51">
        <v>41009</v>
      </c>
      <c r="K629" t="s">
        <v>2433</v>
      </c>
      <c r="L629" t="s">
        <v>2427</v>
      </c>
      <c r="M629">
        <v>3</v>
      </c>
      <c r="N629" t="str">
        <f>L629</f>
        <v>NAM\MB1911</v>
      </c>
      <c r="O629" s="51">
        <f>J629</f>
        <v>41009</v>
      </c>
      <c r="P629" s="51" t="str">
        <f>C629</f>
        <v>~/cdd/olddocs/Ayudas visuales/Camarillo/Amsafe/CNWI-VSHP-000161 509976-C.pub</v>
      </c>
      <c r="Q629" s="51" t="str">
        <f>E629</f>
        <v>pub</v>
      </c>
      <c r="R629" s="51"/>
      <c r="S629" s="51"/>
      <c r="T629" s="51"/>
      <c r="U629" s="51"/>
      <c r="V629" s="51"/>
      <c r="W629" s="51"/>
      <c r="X629" s="51"/>
      <c r="Y629" s="51"/>
      <c r="Z629" s="51"/>
      <c r="AA629" s="51"/>
      <c r="AB629" s="51"/>
      <c r="AC629" s="51"/>
      <c r="AD629" s="51"/>
      <c r="AE629" t="s">
        <v>30</v>
      </c>
      <c r="AF629" t="s">
        <v>479</v>
      </c>
      <c r="AG629">
        <v>509976</v>
      </c>
      <c r="AH629" s="51"/>
      <c r="AI629" s="51"/>
    </row>
    <row r="630" spans="2:35">
      <c r="B630" t="s">
        <v>629</v>
      </c>
      <c r="C630" t="s">
        <v>3600</v>
      </c>
      <c r="D630">
        <v>6</v>
      </c>
      <c r="E630" t="s">
        <v>2795</v>
      </c>
      <c r="F630">
        <v>5</v>
      </c>
      <c r="G630">
        <v>33</v>
      </c>
      <c r="H630">
        <v>28</v>
      </c>
      <c r="I630" t="s">
        <v>630</v>
      </c>
      <c r="J630" s="51">
        <v>41016</v>
      </c>
      <c r="K630" t="s">
        <v>46</v>
      </c>
      <c r="L630" t="s">
        <v>605</v>
      </c>
      <c r="M630">
        <v>3</v>
      </c>
      <c r="N630" t="str">
        <f>L630</f>
        <v>NA/MB1049</v>
      </c>
      <c r="O630" s="51">
        <f>J630</f>
        <v>41016</v>
      </c>
      <c r="P630" s="51" t="str">
        <f>C630</f>
        <v>~/cdd/olddocs/Ayudas visuales/Micromini/General/CNWI-VSHP-000162 Remocion de molde.pub</v>
      </c>
      <c r="Q630" s="51" t="str">
        <f>E630</f>
        <v>pub</v>
      </c>
      <c r="R630" s="51"/>
      <c r="S630" s="51"/>
      <c r="T630" s="51"/>
      <c r="U630" s="51"/>
      <c r="V630" s="51"/>
      <c r="W630" s="51"/>
      <c r="X630" s="51"/>
      <c r="Y630" s="51"/>
      <c r="Z630" s="51"/>
      <c r="AA630" s="51"/>
      <c r="AB630" s="51"/>
      <c r="AC630" s="51"/>
      <c r="AD630" s="51"/>
      <c r="AE630" t="s">
        <v>30</v>
      </c>
      <c r="AF630" t="s">
        <v>90</v>
      </c>
      <c r="AG630" t="s">
        <v>28</v>
      </c>
      <c r="AH630" s="51"/>
      <c r="AI630" s="51"/>
    </row>
    <row r="631" spans="2:35">
      <c r="B631" t="s">
        <v>2685</v>
      </c>
      <c r="C631" t="s">
        <v>3519</v>
      </c>
      <c r="D631">
        <v>6</v>
      </c>
      <c r="E631" t="s">
        <v>2795</v>
      </c>
      <c r="F631">
        <v>5</v>
      </c>
      <c r="G631">
        <v>36</v>
      </c>
      <c r="H631">
        <v>26</v>
      </c>
      <c r="I631" t="s">
        <v>2686</v>
      </c>
      <c r="J631" s="51">
        <v>41015</v>
      </c>
      <c r="K631" t="s">
        <v>27</v>
      </c>
      <c r="L631" t="s">
        <v>2427</v>
      </c>
      <c r="M631">
        <v>3</v>
      </c>
      <c r="N631" t="str">
        <f>L631</f>
        <v>NAM\MB1911</v>
      </c>
      <c r="O631" s="51">
        <f>J631</f>
        <v>41015</v>
      </c>
      <c r="P631" s="51" t="str">
        <f>C631</f>
        <v>~/cdd/olddocs/Ayudas visuales/Camarillo/Ensamble general/CNWI-VSHP-000166  001-0130-001.pub</v>
      </c>
      <c r="Q631" s="51" t="str">
        <f>E631</f>
        <v>pub</v>
      </c>
      <c r="R631" s="51"/>
      <c r="S631" s="51"/>
      <c r="T631" s="51"/>
      <c r="U631" s="51"/>
      <c r="V631" s="51"/>
      <c r="W631" s="51"/>
      <c r="X631" s="51"/>
      <c r="Y631" s="51"/>
      <c r="Z631" s="51"/>
      <c r="AA631" s="51"/>
      <c r="AB631" s="51"/>
      <c r="AC631" s="51"/>
      <c r="AD631" s="51"/>
      <c r="AE631" t="s">
        <v>30</v>
      </c>
      <c r="AF631" t="s">
        <v>479</v>
      </c>
      <c r="AG631" t="s">
        <v>2687</v>
      </c>
      <c r="AH631" s="51"/>
      <c r="AI631" s="51"/>
    </row>
    <row r="632" spans="2:35">
      <c r="B632" t="s">
        <v>734</v>
      </c>
      <c r="C632" t="s">
        <v>3579</v>
      </c>
      <c r="D632">
        <v>6</v>
      </c>
      <c r="E632" t="s">
        <v>2795</v>
      </c>
      <c r="F632">
        <v>5</v>
      </c>
      <c r="G632">
        <v>12</v>
      </c>
      <c r="H632">
        <v>3</v>
      </c>
      <c r="I632" t="s">
        <v>735</v>
      </c>
      <c r="J632" s="51">
        <v>41016</v>
      </c>
      <c r="K632" t="s">
        <v>27</v>
      </c>
      <c r="L632" t="s">
        <v>605</v>
      </c>
      <c r="M632">
        <v>3</v>
      </c>
      <c r="N632" t="str">
        <f>L632</f>
        <v>NA/MB1049</v>
      </c>
      <c r="O632" s="51">
        <f>J632</f>
        <v>41016</v>
      </c>
      <c r="P632" s="51" t="str">
        <f>C632</f>
        <v>~/cdd/olddocs/Ayudas visuales/Micromini/A y B/CNWI-VSHP-000167  5000109-BE.pub</v>
      </c>
      <c r="Q632" s="51" t="str">
        <f>E632</f>
        <v>pub</v>
      </c>
      <c r="R632" s="51"/>
      <c r="S632" s="51"/>
      <c r="T632" s="51"/>
      <c r="U632" s="51"/>
      <c r="V632" s="51"/>
      <c r="W632" s="51"/>
      <c r="X632" s="51"/>
      <c r="Y632" s="51"/>
      <c r="Z632" s="51"/>
      <c r="AA632" s="51"/>
      <c r="AB632" s="51"/>
      <c r="AC632" s="51"/>
      <c r="AD632" s="51"/>
      <c r="AE632" t="s">
        <v>30</v>
      </c>
      <c r="AF632" t="s">
        <v>90</v>
      </c>
      <c r="AG632" t="s">
        <v>735</v>
      </c>
      <c r="AH632" s="51"/>
      <c r="AI632" s="51"/>
    </row>
    <row r="633" spans="2:35">
      <c r="B633" t="s">
        <v>830</v>
      </c>
      <c r="C633" t="s">
        <v>3637</v>
      </c>
      <c r="D633">
        <v>6</v>
      </c>
      <c r="E633" t="s">
        <v>2793</v>
      </c>
      <c r="F633">
        <v>5</v>
      </c>
      <c r="G633">
        <v>12</v>
      </c>
      <c r="H633">
        <v>18</v>
      </c>
      <c r="I633" t="s">
        <v>831</v>
      </c>
      <c r="J633" s="51">
        <v>41026</v>
      </c>
      <c r="K633" t="s">
        <v>27</v>
      </c>
      <c r="L633" t="s">
        <v>605</v>
      </c>
      <c r="M633">
        <v>3</v>
      </c>
      <c r="N633" t="str">
        <f>L633</f>
        <v>NA/MB1049</v>
      </c>
      <c r="O633" s="51">
        <f>J633</f>
        <v>41026</v>
      </c>
      <c r="P633" s="51" t="str">
        <f>C633</f>
        <v>~/cdd/olddocs/Ayudas visuales/Micromini/Potted/CNWI-VSHP-000169 Rev A (5000109-GR1).pptx</v>
      </c>
      <c r="Q633" s="51" t="str">
        <f>E633</f>
        <v>pptx</v>
      </c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F633" t="s">
        <v>90</v>
      </c>
      <c r="AG633" t="s">
        <v>832</v>
      </c>
      <c r="AH633" s="51"/>
      <c r="AI633" s="51"/>
    </row>
    <row r="634" spans="2:35">
      <c r="B634" t="s">
        <v>497</v>
      </c>
      <c r="C634" t="s">
        <v>3000</v>
      </c>
      <c r="D634">
        <v>6</v>
      </c>
      <c r="E634" t="s">
        <v>2790</v>
      </c>
      <c r="F634">
        <v>5</v>
      </c>
      <c r="G634">
        <v>13</v>
      </c>
      <c r="H634">
        <v>14</v>
      </c>
      <c r="I634" t="s">
        <v>498</v>
      </c>
      <c r="J634" s="51">
        <v>41023</v>
      </c>
      <c r="K634" t="s">
        <v>27</v>
      </c>
      <c r="L634" t="s">
        <v>438</v>
      </c>
      <c r="M634">
        <v>3</v>
      </c>
      <c r="N634" t="str">
        <f>L634</f>
        <v>NAM\D24B6</v>
      </c>
      <c r="O634" s="51">
        <f>J634</f>
        <v>41023</v>
      </c>
      <c r="P634" s="51" t="str">
        <f>C634</f>
        <v>~/cdd/olddocs/Formas/CNWI-HMRS (Recursos Humanos)/CNWI-HMRS-F018 Matriz de entrenamiento.xlsx</v>
      </c>
      <c r="Q634" s="51" t="str">
        <f>E634</f>
        <v>xlsx</v>
      </c>
      <c r="R634" s="51"/>
      <c r="S634" s="51"/>
      <c r="T634" s="51"/>
      <c r="U634" s="51"/>
      <c r="V634" s="51"/>
      <c r="W634" s="51"/>
      <c r="X634" s="51"/>
      <c r="Y634" s="51"/>
      <c r="Z634" s="51"/>
      <c r="AA634" s="51"/>
      <c r="AB634" s="51"/>
      <c r="AC634" s="51"/>
      <c r="AD634" s="51"/>
      <c r="AE634" t="s">
        <v>30</v>
      </c>
      <c r="AF634" t="s">
        <v>479</v>
      </c>
      <c r="AG634" t="s">
        <v>28</v>
      </c>
      <c r="AH634" s="51"/>
      <c r="AI634" s="51"/>
    </row>
    <row r="635" spans="2:35">
      <c r="B635" t="s">
        <v>631</v>
      </c>
      <c r="C635" t="s">
        <v>3601</v>
      </c>
      <c r="D635">
        <v>6</v>
      </c>
      <c r="E635" t="s">
        <v>2795</v>
      </c>
      <c r="F635">
        <v>5</v>
      </c>
      <c r="G635">
        <v>33</v>
      </c>
      <c r="H635">
        <v>28</v>
      </c>
      <c r="I635" t="s">
        <v>632</v>
      </c>
      <c r="J635" s="51">
        <v>41019</v>
      </c>
      <c r="K635" t="s">
        <v>27</v>
      </c>
      <c r="L635" t="s">
        <v>605</v>
      </c>
      <c r="M635">
        <v>3</v>
      </c>
      <c r="N635" t="str">
        <f>L635</f>
        <v>NA/MB1049</v>
      </c>
      <c r="O635" s="51">
        <f>J635</f>
        <v>41019</v>
      </c>
      <c r="P635" s="51" t="str">
        <f>C635</f>
        <v>~/cdd/olddocs/Ayudas visuales/Micromini/General/CNWI-VSHP-000173 retiro piezas de molde.pub</v>
      </c>
      <c r="Q635" s="51" t="str">
        <f>E635</f>
        <v>pub</v>
      </c>
      <c r="R635" s="51"/>
      <c r="S635" s="51"/>
      <c r="T635" s="51"/>
      <c r="U635" s="51"/>
      <c r="V635" s="51"/>
      <c r="W635" s="51"/>
      <c r="X635" s="51"/>
      <c r="Y635" s="51"/>
      <c r="Z635" s="51"/>
      <c r="AA635" s="51"/>
      <c r="AB635" s="51"/>
      <c r="AC635" s="51"/>
      <c r="AD635" s="51"/>
      <c r="AE635" t="s">
        <v>30</v>
      </c>
      <c r="AF635" t="s">
        <v>90</v>
      </c>
      <c r="AG635" t="s">
        <v>28</v>
      </c>
      <c r="AH635" s="51"/>
      <c r="AI635" s="51"/>
    </row>
    <row r="636" spans="2:35">
      <c r="B636" t="s">
        <v>777</v>
      </c>
      <c r="C636" t="s">
        <v>3617</v>
      </c>
      <c r="D636">
        <v>6</v>
      </c>
      <c r="E636" t="s">
        <v>2793</v>
      </c>
      <c r="F636">
        <v>5</v>
      </c>
      <c r="G636">
        <v>12</v>
      </c>
      <c r="H636">
        <v>16</v>
      </c>
      <c r="I636" t="s">
        <v>778</v>
      </c>
      <c r="J636" s="51">
        <v>41029</v>
      </c>
      <c r="K636" t="s">
        <v>27</v>
      </c>
      <c r="L636" t="s">
        <v>605</v>
      </c>
      <c r="M636">
        <v>3</v>
      </c>
      <c r="N636" t="str">
        <f>L636</f>
        <v>NA/MB1049</v>
      </c>
      <c r="O636" s="51">
        <f>J636</f>
        <v>41029</v>
      </c>
      <c r="P636" s="51" t="str">
        <f>C636</f>
        <v>~/cdd/olddocs/Ayudas visuales/Micromini/MS/CNWI-VSHP-000176 REV A COLOCACION O-RING.pptx</v>
      </c>
      <c r="Q636" s="51" t="str">
        <f>E636</f>
        <v>pptx</v>
      </c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t="s">
        <v>30</v>
      </c>
      <c r="AF636" t="s">
        <v>90</v>
      </c>
      <c r="AG636" t="s">
        <v>28</v>
      </c>
      <c r="AH636" s="51"/>
      <c r="AI636" s="51"/>
    </row>
    <row r="637" spans="2:35">
      <c r="B637" t="s">
        <v>2434</v>
      </c>
      <c r="C637" t="s">
        <v>3464</v>
      </c>
      <c r="D637">
        <v>6</v>
      </c>
      <c r="E637" t="s">
        <v>2796</v>
      </c>
      <c r="F637">
        <v>5</v>
      </c>
      <c r="G637">
        <v>10</v>
      </c>
      <c r="H637">
        <v>7</v>
      </c>
      <c r="I637" t="s">
        <v>3777</v>
      </c>
      <c r="J637" s="51">
        <v>41031</v>
      </c>
      <c r="K637" t="s">
        <v>46</v>
      </c>
      <c r="L637" t="s">
        <v>2427</v>
      </c>
      <c r="M637">
        <v>3</v>
      </c>
      <c r="N637" t="str">
        <f>L637</f>
        <v>NAM\MB1911</v>
      </c>
      <c r="O637" s="51">
        <f>J637</f>
        <v>41031</v>
      </c>
      <c r="P637" s="51" t="str">
        <f>C637</f>
        <v>~/cdd/olddocs/Ayudas visuales/Camarillo/Amsafe/CNWI-VSHP-000177 Rev B  508978.ppt</v>
      </c>
      <c r="Q637" s="51" t="str">
        <f>E637</f>
        <v>ppt</v>
      </c>
      <c r="R637" s="51"/>
      <c r="S637" s="51"/>
      <c r="T637" s="51"/>
      <c r="U637" s="51"/>
      <c r="V637" s="51"/>
      <c r="W637" s="51"/>
      <c r="X637" s="51"/>
      <c r="Y637" s="51"/>
      <c r="Z637" s="51"/>
      <c r="AA637" s="51"/>
      <c r="AB637" s="51"/>
      <c r="AC637" s="51"/>
      <c r="AD637" s="51"/>
      <c r="AE637" t="s">
        <v>2436</v>
      </c>
      <c r="AF637" t="s">
        <v>479</v>
      </c>
      <c r="AG637">
        <v>508978</v>
      </c>
      <c r="AH637" s="51"/>
      <c r="AI637" s="51"/>
    </row>
    <row r="638" spans="2:35">
      <c r="B638" t="s">
        <v>2688</v>
      </c>
      <c r="C638" t="s">
        <v>3520</v>
      </c>
      <c r="D638">
        <v>6</v>
      </c>
      <c r="E638" t="s">
        <v>2796</v>
      </c>
      <c r="F638">
        <v>5</v>
      </c>
      <c r="G638">
        <v>36</v>
      </c>
      <c r="H638">
        <v>26</v>
      </c>
      <c r="I638" t="s">
        <v>2689</v>
      </c>
      <c r="J638" s="51">
        <v>41036</v>
      </c>
      <c r="K638" t="s">
        <v>27</v>
      </c>
      <c r="L638" t="s">
        <v>2427</v>
      </c>
      <c r="M638">
        <v>3</v>
      </c>
      <c r="N638" t="str">
        <f>L638</f>
        <v>NAM\MB1911</v>
      </c>
      <c r="O638" s="51">
        <f>J638</f>
        <v>41036</v>
      </c>
      <c r="P638" s="51" t="str">
        <f>C638</f>
        <v>~/cdd/olddocs/Ayudas visuales/Camarillo/Ensamble general/CNWI-VSHP-000179 Verificacion de cumplimiento   28-3256-0001.ppt</v>
      </c>
      <c r="Q638" s="51" t="str">
        <f>E638</f>
        <v>ppt</v>
      </c>
      <c r="R638" s="51"/>
      <c r="S638" s="51"/>
      <c r="T638" s="51"/>
      <c r="U638" s="51"/>
      <c r="V638" s="51"/>
      <c r="W638" s="51"/>
      <c r="X638" s="51"/>
      <c r="Y638" s="51"/>
      <c r="Z638" s="51"/>
      <c r="AA638" s="51"/>
      <c r="AB638" s="51"/>
      <c r="AC638" s="51"/>
      <c r="AD638" s="51"/>
      <c r="AE638" t="s">
        <v>30</v>
      </c>
      <c r="AF638" t="s">
        <v>479</v>
      </c>
      <c r="AG638" t="s">
        <v>28</v>
      </c>
      <c r="AH638" s="51"/>
      <c r="AI638" s="51"/>
    </row>
    <row r="639" spans="2:35">
      <c r="B639" t="s">
        <v>2690</v>
      </c>
      <c r="C639" t="s">
        <v>3521</v>
      </c>
      <c r="D639">
        <v>6</v>
      </c>
      <c r="E639" t="s">
        <v>2796</v>
      </c>
      <c r="F639">
        <v>5</v>
      </c>
      <c r="G639">
        <v>36</v>
      </c>
      <c r="H639">
        <v>26</v>
      </c>
      <c r="I639" t="s">
        <v>2691</v>
      </c>
      <c r="J639" s="51">
        <v>41036</v>
      </c>
      <c r="K639" t="s">
        <v>27</v>
      </c>
      <c r="L639" t="s">
        <v>2427</v>
      </c>
      <c r="M639">
        <v>3</v>
      </c>
      <c r="N639" t="str">
        <f>L639</f>
        <v>NAM\MB1911</v>
      </c>
      <c r="O639" s="51">
        <f>J639</f>
        <v>41036</v>
      </c>
      <c r="P639" s="51" t="str">
        <f>C639</f>
        <v>~/cdd/olddocs/Ayudas visuales/Camarillo/Ensamble general/CNWI-VSHP-000180  28-3257-0001.ppt</v>
      </c>
      <c r="Q639" s="51" t="str">
        <f>E639</f>
        <v>ppt</v>
      </c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t="s">
        <v>30</v>
      </c>
      <c r="AF639" t="s">
        <v>479</v>
      </c>
      <c r="AG639" t="s">
        <v>28</v>
      </c>
      <c r="AH639" s="51"/>
      <c r="AI639" s="51"/>
    </row>
    <row r="640" spans="2:35">
      <c r="B640" t="s">
        <v>468</v>
      </c>
      <c r="C640" t="s">
        <v>3551</v>
      </c>
      <c r="D640">
        <v>6</v>
      </c>
      <c r="E640" t="s">
        <v>2793</v>
      </c>
      <c r="F640">
        <v>5</v>
      </c>
      <c r="G640">
        <v>13</v>
      </c>
      <c r="H640">
        <v>15</v>
      </c>
      <c r="I640" t="s">
        <v>472</v>
      </c>
      <c r="J640" s="51">
        <v>41036</v>
      </c>
      <c r="K640" t="s">
        <v>27</v>
      </c>
      <c r="L640" t="s">
        <v>438</v>
      </c>
      <c r="M640">
        <v>3</v>
      </c>
      <c r="N640" t="str">
        <f>L640</f>
        <v>NAM\D24B6</v>
      </c>
      <c r="O640" s="51">
        <f>J640</f>
        <v>41036</v>
      </c>
      <c r="P640" s="51" t="str">
        <f>C640</f>
        <v>~/cdd/olddocs/Ayudas visuales/Camarillo/Moldeo/CNWI-vshp-000181 Rev A  Acoplamiento Dust Cap 009-0537-001.pptx</v>
      </c>
      <c r="Q640" s="51" t="str">
        <f>E640</f>
        <v>pptx</v>
      </c>
      <c r="R640" s="51"/>
      <c r="S640" s="51"/>
      <c r="T640" s="51"/>
      <c r="U640" s="51"/>
      <c r="V640" s="51"/>
      <c r="W640" s="51"/>
      <c r="X640" s="51"/>
      <c r="Y640" s="51"/>
      <c r="Z640" s="51"/>
      <c r="AA640" s="51"/>
      <c r="AB640" s="51"/>
      <c r="AC640" s="51"/>
      <c r="AD640" s="51"/>
      <c r="AG640" t="s">
        <v>28</v>
      </c>
      <c r="AH640" s="51"/>
      <c r="AI640" s="51"/>
    </row>
    <row r="641" spans="2:35">
      <c r="B641" t="s">
        <v>833</v>
      </c>
      <c r="C641" t="s">
        <v>3638</v>
      </c>
      <c r="D641">
        <v>6</v>
      </c>
      <c r="E641" t="s">
        <v>2793</v>
      </c>
      <c r="F641">
        <v>5</v>
      </c>
      <c r="G641">
        <v>12</v>
      </c>
      <c r="H641">
        <v>18</v>
      </c>
      <c r="I641" t="s">
        <v>834</v>
      </c>
      <c r="J641" s="51">
        <v>41046</v>
      </c>
      <c r="K641" t="s">
        <v>27</v>
      </c>
      <c r="L641" t="s">
        <v>605</v>
      </c>
      <c r="M641">
        <v>3</v>
      </c>
      <c r="N641" t="str">
        <f>L641</f>
        <v>NA/MB1049</v>
      </c>
      <c r="O641" s="51">
        <f>J641</f>
        <v>41046</v>
      </c>
      <c r="P641" s="51" t="str">
        <f>C641</f>
        <v>~/cdd/olddocs/Ayudas visuales/Micromini/Potted/CNWI-VSHP-000186   ALTURA CONTACTOS 5000111-D.pptx</v>
      </c>
      <c r="Q641" s="51" t="str">
        <f>E641</f>
        <v>pptx</v>
      </c>
      <c r="R641" s="51"/>
      <c r="S641" s="51"/>
      <c r="T641" s="51"/>
      <c r="U641" s="51"/>
      <c r="V641" s="51"/>
      <c r="W641" s="51"/>
      <c r="X641" s="51"/>
      <c r="Y641" s="51"/>
      <c r="Z641" s="51"/>
      <c r="AA641" s="51"/>
      <c r="AB641" s="51"/>
      <c r="AC641" s="51"/>
      <c r="AD641" s="51"/>
      <c r="AF641" t="s">
        <v>90</v>
      </c>
      <c r="AG641" t="s">
        <v>835</v>
      </c>
      <c r="AH641" s="51"/>
      <c r="AI641" s="51"/>
    </row>
    <row r="642" spans="2:35">
      <c r="B642" t="s">
        <v>836</v>
      </c>
      <c r="C642" t="s">
        <v>3639</v>
      </c>
      <c r="D642">
        <v>6</v>
      </c>
      <c r="E642" t="s">
        <v>2793</v>
      </c>
      <c r="F642">
        <v>5</v>
      </c>
      <c r="G642">
        <v>12</v>
      </c>
      <c r="H642">
        <v>18</v>
      </c>
      <c r="I642" t="s">
        <v>837</v>
      </c>
      <c r="J642" s="51">
        <v>41046</v>
      </c>
      <c r="K642" t="s">
        <v>27</v>
      </c>
      <c r="L642" t="s">
        <v>605</v>
      </c>
      <c r="M642">
        <v>3</v>
      </c>
      <c r="N642" t="str">
        <f>L642</f>
        <v>NA/MB1049</v>
      </c>
      <c r="O642" s="51">
        <f>J642</f>
        <v>41046</v>
      </c>
      <c r="P642" s="51" t="str">
        <f>C642</f>
        <v>~/cdd/olddocs/Ayudas visuales/Micromini/Potted/CNWI-VSHP-000187   ENSAMBLE DE LOCK NUT Y GASKET A ENSAMBLE FINAL SEGUN DIBUJO MR3F4B00C-A.pptx</v>
      </c>
      <c r="Q642" s="51" t="str">
        <f>E642</f>
        <v>pptx</v>
      </c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t="s">
        <v>30</v>
      </c>
      <c r="AF642" t="s">
        <v>90</v>
      </c>
      <c r="AG642" t="s">
        <v>838</v>
      </c>
      <c r="AH642" s="51"/>
      <c r="AI642" s="51"/>
    </row>
    <row r="643" spans="2:35">
      <c r="B643" t="s">
        <v>736</v>
      </c>
      <c r="C643" t="s">
        <v>3580</v>
      </c>
      <c r="D643">
        <v>6</v>
      </c>
      <c r="E643" t="s">
        <v>2793</v>
      </c>
      <c r="F643">
        <v>5</v>
      </c>
      <c r="G643">
        <v>12</v>
      </c>
      <c r="H643">
        <v>3</v>
      </c>
      <c r="I643" t="s">
        <v>737</v>
      </c>
      <c r="J643" s="51">
        <v>41046</v>
      </c>
      <c r="K643" t="s">
        <v>27</v>
      </c>
      <c r="L643" t="s">
        <v>605</v>
      </c>
      <c r="M643">
        <v>3</v>
      </c>
      <c r="N643" t="str">
        <f>L643</f>
        <v>NA/MB1049</v>
      </c>
      <c r="O643" s="51">
        <f>J643</f>
        <v>41046</v>
      </c>
      <c r="P643" s="51" t="str">
        <f>C643</f>
        <v>~/cdd/olddocs/Ayudas visuales/Micromini/A y B/CNWI-VSHP-000188 Rev A  ALTURA CONTACTOS DM4Q2M24E-A.pptx</v>
      </c>
      <c r="Q643" s="51" t="str">
        <f>E643</f>
        <v>pptx</v>
      </c>
      <c r="R643" s="51"/>
      <c r="S643" s="51"/>
      <c r="T643" s="51"/>
      <c r="U643" s="51"/>
      <c r="V643" s="51"/>
      <c r="W643" s="51"/>
      <c r="X643" s="51"/>
      <c r="Y643" s="51"/>
      <c r="Z643" s="51"/>
      <c r="AA643" s="51"/>
      <c r="AB643" s="51"/>
      <c r="AC643" s="51"/>
      <c r="AD643" s="51"/>
      <c r="AE643" t="s">
        <v>30</v>
      </c>
      <c r="AF643" t="s">
        <v>90</v>
      </c>
      <c r="AG643" t="s">
        <v>28</v>
      </c>
      <c r="AH643" s="51"/>
      <c r="AI643" s="51"/>
    </row>
    <row r="644" spans="2:35">
      <c r="B644" t="s">
        <v>738</v>
      </c>
      <c r="C644" t="s">
        <v>3581</v>
      </c>
      <c r="D644">
        <v>6</v>
      </c>
      <c r="E644" t="s">
        <v>2793</v>
      </c>
      <c r="F644">
        <v>5</v>
      </c>
      <c r="G644">
        <v>12</v>
      </c>
      <c r="H644">
        <v>3</v>
      </c>
      <c r="I644" t="s">
        <v>739</v>
      </c>
      <c r="J644" s="51">
        <v>41051</v>
      </c>
      <c r="K644" t="s">
        <v>27</v>
      </c>
      <c r="L644" t="s">
        <v>605</v>
      </c>
      <c r="M644">
        <v>3</v>
      </c>
      <c r="N644" t="str">
        <f>L644</f>
        <v>NA/MB1049</v>
      </c>
      <c r="O644" s="51">
        <f>J644</f>
        <v>41051</v>
      </c>
      <c r="P644" s="51" t="str">
        <f>C644</f>
        <v>~/cdd/olddocs/Ayudas visuales/Micromini/A y B/CNWI-VSHP-000189 ALTURA DE CONTACTOS TEE DIBUJO CHDN-TAER Y  CHDN-TAER-N Y A98N-43PB-N4.pptx</v>
      </c>
      <c r="Q644" s="51" t="str">
        <f>E644</f>
        <v>pptx</v>
      </c>
      <c r="R644" s="51"/>
      <c r="S644" s="51"/>
      <c r="T644" s="51"/>
      <c r="U644" s="51"/>
      <c r="V644" s="51"/>
      <c r="W644" s="51"/>
      <c r="X644" s="51"/>
      <c r="Y644" s="51"/>
      <c r="Z644" s="51"/>
      <c r="AA644" s="51"/>
      <c r="AB644" s="51"/>
      <c r="AC644" s="51"/>
      <c r="AD644" s="51"/>
      <c r="AE644" t="s">
        <v>30</v>
      </c>
      <c r="AF644" t="s">
        <v>90</v>
      </c>
      <c r="AG644" t="s">
        <v>740</v>
      </c>
      <c r="AH644" s="51"/>
      <c r="AI644" s="51"/>
    </row>
    <row r="645" spans="2:35">
      <c r="B645" t="s">
        <v>91</v>
      </c>
      <c r="C645" t="s">
        <v>3451</v>
      </c>
      <c r="D645">
        <v>6</v>
      </c>
      <c r="E645" t="s">
        <v>2796</v>
      </c>
      <c r="F645">
        <v>5</v>
      </c>
      <c r="G645">
        <v>6</v>
      </c>
      <c r="H645">
        <v>14</v>
      </c>
      <c r="I645" t="s">
        <v>95</v>
      </c>
      <c r="J645" s="51">
        <v>41051</v>
      </c>
      <c r="K645" t="s">
        <v>27</v>
      </c>
      <c r="L645" t="s">
        <v>63</v>
      </c>
      <c r="M645">
        <v>3</v>
      </c>
      <c r="N645" t="str">
        <f>L645</f>
        <v>NAM\D6B1B</v>
      </c>
      <c r="O645" s="51">
        <f>J645</f>
        <v>41051</v>
      </c>
      <c r="P645" s="51" t="str">
        <f>C645</f>
        <v>~/cdd/olddocs/Ayudas visuales/Avenal-Solar/CNWI-VSHP-000190 Rev A Proceso de ensamble del area Solar.ppt</v>
      </c>
      <c r="Q645" s="51" t="str">
        <f>E645</f>
        <v>ppt</v>
      </c>
      <c r="R645" s="51"/>
      <c r="S645" s="51"/>
      <c r="T645" s="51"/>
      <c r="U645" s="51"/>
      <c r="V645" s="51"/>
      <c r="W645" s="51"/>
      <c r="X645" s="51"/>
      <c r="Y645" s="51"/>
      <c r="Z645" s="51"/>
      <c r="AA645" s="51"/>
      <c r="AB645" s="51"/>
      <c r="AC645" s="51"/>
      <c r="AD645" s="51"/>
      <c r="AE645" t="s">
        <v>96</v>
      </c>
      <c r="AF645" t="s">
        <v>97</v>
      </c>
      <c r="AG645" t="s">
        <v>28</v>
      </c>
      <c r="AH645" s="51"/>
      <c r="AI645" s="51"/>
    </row>
    <row r="646" spans="2:35">
      <c r="B646" t="s">
        <v>98</v>
      </c>
      <c r="C646" t="s">
        <v>3452</v>
      </c>
      <c r="D646">
        <v>6</v>
      </c>
      <c r="E646" t="s">
        <v>2796</v>
      </c>
      <c r="F646">
        <v>5</v>
      </c>
      <c r="G646">
        <v>6</v>
      </c>
      <c r="H646">
        <v>14</v>
      </c>
      <c r="I646" t="s">
        <v>99</v>
      </c>
      <c r="J646" s="51">
        <v>41052</v>
      </c>
      <c r="K646" t="s">
        <v>27</v>
      </c>
      <c r="L646" t="s">
        <v>63</v>
      </c>
      <c r="M646">
        <v>3</v>
      </c>
      <c r="N646" t="str">
        <f>L646</f>
        <v>NAM\D6B1B</v>
      </c>
      <c r="O646" s="51">
        <f>J646</f>
        <v>41052</v>
      </c>
      <c r="P646" s="51" t="str">
        <f>C646</f>
        <v>~/cdd/olddocs/Ayudas visuales/Avenal-Solar/CNWI-VSHP-000191 Rev  A Proceso de Ensanble del area solar IC-B13-P y IC-B13-N.ppt</v>
      </c>
      <c r="Q646" s="51" t="str">
        <f>E646</f>
        <v>ppt</v>
      </c>
      <c r="R646" s="51"/>
      <c r="S646" s="51"/>
      <c r="T646" s="51"/>
      <c r="U646" s="51"/>
      <c r="V646" s="51"/>
      <c r="W646" s="51"/>
      <c r="X646" s="51"/>
      <c r="Y646" s="51"/>
      <c r="Z646" s="51"/>
      <c r="AA646" s="51"/>
      <c r="AB646" s="51"/>
      <c r="AC646" s="51"/>
      <c r="AD646" s="51"/>
      <c r="AE646" t="s">
        <v>101</v>
      </c>
      <c r="AF646" t="s">
        <v>97</v>
      </c>
      <c r="AG646" t="s">
        <v>100</v>
      </c>
      <c r="AH646" s="51"/>
      <c r="AI646" s="51"/>
    </row>
    <row r="647" spans="2:35">
      <c r="B647" t="s">
        <v>2437</v>
      </c>
      <c r="C647" t="s">
        <v>3465</v>
      </c>
      <c r="D647">
        <v>6</v>
      </c>
      <c r="E647" t="s">
        <v>2796</v>
      </c>
      <c r="F647">
        <v>5</v>
      </c>
      <c r="G647">
        <v>10</v>
      </c>
      <c r="H647">
        <v>7</v>
      </c>
      <c r="I647" t="s">
        <v>2438</v>
      </c>
      <c r="J647" s="51">
        <v>41054</v>
      </c>
      <c r="K647" t="s">
        <v>27</v>
      </c>
      <c r="L647" t="s">
        <v>2427</v>
      </c>
      <c r="M647">
        <v>3</v>
      </c>
      <c r="N647" t="str">
        <f>L647</f>
        <v>NAM\MB1911</v>
      </c>
      <c r="O647" s="51">
        <f>J647</f>
        <v>41054</v>
      </c>
      <c r="P647" s="51" t="str">
        <f>C647</f>
        <v>~/cdd/olddocs/Ayudas visuales/Camarillo/Amsafe/CNWI-VSHP-000200 Rev A CABLE ASSEMBLY INTERFACE 004003-0001.ppt</v>
      </c>
      <c r="Q647" s="51" t="str">
        <f>E647</f>
        <v>ppt</v>
      </c>
      <c r="R647" s="51"/>
      <c r="S647" s="51"/>
      <c r="T647" s="51"/>
      <c r="U647" s="51"/>
      <c r="V647" s="51"/>
      <c r="W647" s="51"/>
      <c r="X647" s="51"/>
      <c r="Y647" s="51"/>
      <c r="Z647" s="51"/>
      <c r="AA647" s="51"/>
      <c r="AB647" s="51"/>
      <c r="AC647" s="51"/>
      <c r="AD647" s="51"/>
      <c r="AE647" t="s">
        <v>30</v>
      </c>
      <c r="AF647" t="s">
        <v>479</v>
      </c>
      <c r="AG647" t="s">
        <v>2439</v>
      </c>
      <c r="AH647" s="51"/>
      <c r="AI647" s="51"/>
    </row>
    <row r="648" spans="2:35">
      <c r="B648" t="s">
        <v>2440</v>
      </c>
      <c r="C648" t="s">
        <v>3466</v>
      </c>
      <c r="D648">
        <v>6</v>
      </c>
      <c r="E648" t="s">
        <v>2796</v>
      </c>
      <c r="F648">
        <v>5</v>
      </c>
      <c r="G648">
        <v>10</v>
      </c>
      <c r="H648">
        <v>7</v>
      </c>
      <c r="I648" t="s">
        <v>2441</v>
      </c>
      <c r="J648" s="51">
        <v>41057</v>
      </c>
      <c r="K648" t="s">
        <v>27</v>
      </c>
      <c r="L648" t="s">
        <v>2427</v>
      </c>
      <c r="M648">
        <v>3</v>
      </c>
      <c r="N648" t="str">
        <f>L648</f>
        <v>NAM\MB1911</v>
      </c>
      <c r="O648" s="51">
        <f>J648</f>
        <v>41057</v>
      </c>
      <c r="P648" s="51" t="str">
        <f>C648</f>
        <v>~/cdd/olddocs/Ayudas visuales/Camarillo/Amsafe/CNWI-VSHP-000201 Rev A  CABLE ASSEMBLY INTERFACE 508976 partes004022-0001 , 004036-0001.ppt</v>
      </c>
      <c r="Q648" s="51" t="str">
        <f>E648</f>
        <v>ppt</v>
      </c>
      <c r="R648" s="51"/>
      <c r="S648" s="51"/>
      <c r="T648" s="51"/>
      <c r="U648" s="51"/>
      <c r="V648" s="51"/>
      <c r="W648" s="51"/>
      <c r="X648" s="51"/>
      <c r="Y648" s="51"/>
      <c r="Z648" s="51"/>
      <c r="AA648" s="51"/>
      <c r="AB648" s="51"/>
      <c r="AC648" s="51"/>
      <c r="AD648" s="51"/>
      <c r="AE648" t="s">
        <v>30</v>
      </c>
      <c r="AF648" t="s">
        <v>479</v>
      </c>
      <c r="AG648">
        <v>508976</v>
      </c>
      <c r="AH648" s="51"/>
      <c r="AI648" s="51"/>
    </row>
    <row r="649" spans="2:35">
      <c r="B649" t="s">
        <v>839</v>
      </c>
      <c r="C649" t="s">
        <v>3640</v>
      </c>
      <c r="D649">
        <v>6</v>
      </c>
      <c r="E649" t="s">
        <v>2793</v>
      </c>
      <c r="F649">
        <v>5</v>
      </c>
      <c r="G649">
        <v>12</v>
      </c>
      <c r="H649">
        <v>18</v>
      </c>
      <c r="I649" t="s">
        <v>840</v>
      </c>
      <c r="J649" s="51">
        <v>41057</v>
      </c>
      <c r="K649" t="s">
        <v>27</v>
      </c>
      <c r="L649" t="s">
        <v>605</v>
      </c>
      <c r="M649">
        <v>3</v>
      </c>
      <c r="N649" t="str">
        <f>L649</f>
        <v>NA/MB1049</v>
      </c>
      <c r="O649" s="51">
        <f>J649</f>
        <v>41057</v>
      </c>
      <c r="P649" s="51" t="str">
        <f>C649</f>
        <v>~/cdd/olddocs/Ayudas visuales/Micromini/Potted/CNWI-VSHP-000202 Rev A  USO DE HORNO POTTED.pptx</v>
      </c>
      <c r="Q649" s="51" t="str">
        <f>E649</f>
        <v>pptx</v>
      </c>
      <c r="R649" s="51"/>
      <c r="S649" s="51"/>
      <c r="T649" s="51"/>
      <c r="U649" s="51"/>
      <c r="V649" s="51"/>
      <c r="W649" s="51"/>
      <c r="X649" s="51"/>
      <c r="Y649" s="51"/>
      <c r="Z649" s="51"/>
      <c r="AA649" s="51"/>
      <c r="AB649" s="51"/>
      <c r="AC649" s="51"/>
      <c r="AD649" s="51"/>
      <c r="AE649" t="s">
        <v>30</v>
      </c>
      <c r="AF649" t="s">
        <v>90</v>
      </c>
      <c r="AG649" t="s">
        <v>28</v>
      </c>
      <c r="AH649" s="51"/>
      <c r="AI649" s="51"/>
    </row>
    <row r="650" spans="2:35">
      <c r="B650" t="s">
        <v>102</v>
      </c>
      <c r="C650" t="s">
        <v>3453</v>
      </c>
      <c r="D650">
        <v>6</v>
      </c>
      <c r="E650" t="s">
        <v>2796</v>
      </c>
      <c r="F650">
        <v>5</v>
      </c>
      <c r="G650">
        <v>6</v>
      </c>
      <c r="H650">
        <v>14</v>
      </c>
      <c r="I650" t="s">
        <v>103</v>
      </c>
      <c r="J650" s="51">
        <v>41057</v>
      </c>
      <c r="K650" t="s">
        <v>27</v>
      </c>
      <c r="L650" t="s">
        <v>63</v>
      </c>
      <c r="M650">
        <v>3</v>
      </c>
      <c r="N650" t="str">
        <f>L650</f>
        <v>NAM\D6B1B</v>
      </c>
      <c r="O650" s="51">
        <f>J650</f>
        <v>41057</v>
      </c>
      <c r="P650" s="51" t="str">
        <f>C650</f>
        <v>~/cdd/olddocs/Ayudas visuales/Avenal-Solar/CNWI-VSHP-000203 Rev A Proceso de estacion de trabajo de soldadura del area solar.ppt</v>
      </c>
      <c r="Q650" s="51" t="str">
        <f>E650</f>
        <v>ppt</v>
      </c>
      <c r="R650" s="51"/>
      <c r="S650" s="51"/>
      <c r="T650" s="51"/>
      <c r="U650" s="51"/>
      <c r="V650" s="51"/>
      <c r="W650" s="51"/>
      <c r="X650" s="51"/>
      <c r="Y650" s="51"/>
      <c r="Z650" s="51"/>
      <c r="AA650" s="51"/>
      <c r="AB650" s="51"/>
      <c r="AC650" s="51"/>
      <c r="AD650" s="51"/>
      <c r="AE650" t="s">
        <v>101</v>
      </c>
      <c r="AF650" t="s">
        <v>97</v>
      </c>
      <c r="AG650" t="s">
        <v>28</v>
      </c>
      <c r="AH650" s="51"/>
      <c r="AI650" s="51"/>
    </row>
    <row r="651" spans="2:35">
      <c r="B651" t="s">
        <v>104</v>
      </c>
      <c r="C651" t="s">
        <v>3454</v>
      </c>
      <c r="D651">
        <v>6</v>
      </c>
      <c r="E651" t="s">
        <v>2796</v>
      </c>
      <c r="F651">
        <v>5</v>
      </c>
      <c r="G651">
        <v>6</v>
      </c>
      <c r="H651">
        <v>14</v>
      </c>
      <c r="I651" t="s">
        <v>105</v>
      </c>
      <c r="J651" s="51">
        <v>41058</v>
      </c>
      <c r="K651" t="s">
        <v>27</v>
      </c>
      <c r="L651" t="s">
        <v>63</v>
      </c>
      <c r="M651">
        <v>3</v>
      </c>
      <c r="N651" t="str">
        <f>L651</f>
        <v>NAM\D6B1B</v>
      </c>
      <c r="O651" s="51">
        <f>J651</f>
        <v>41058</v>
      </c>
      <c r="P651" s="51" t="str">
        <f>C651</f>
        <v>~/cdd/olddocs/Ayudas visuales/Avenal-Solar/CNWI-VSHP-000204 Rev A Ilustrar el proceso correcto de aplicación de goma en Solar.ppt</v>
      </c>
      <c r="Q651" s="51" t="str">
        <f>E651</f>
        <v>ppt</v>
      </c>
      <c r="R651" s="51"/>
      <c r="S651" s="51"/>
      <c r="T651" s="51"/>
      <c r="U651" s="51"/>
      <c r="V651" s="51"/>
      <c r="W651" s="51"/>
      <c r="X651" s="51"/>
      <c r="Y651" s="51"/>
      <c r="Z651" s="51"/>
      <c r="AA651" s="51"/>
      <c r="AB651" s="51"/>
      <c r="AC651" s="51"/>
      <c r="AD651" s="51"/>
      <c r="AE651" t="s">
        <v>106</v>
      </c>
      <c r="AF651" t="s">
        <v>97</v>
      </c>
      <c r="AG651" t="s">
        <v>28</v>
      </c>
      <c r="AH651" s="51"/>
      <c r="AI651" s="51"/>
    </row>
    <row r="652" spans="2:35">
      <c r="B652" t="s">
        <v>779</v>
      </c>
      <c r="C652" t="s">
        <v>3618</v>
      </c>
      <c r="D652">
        <v>6</v>
      </c>
      <c r="E652" t="s">
        <v>2793</v>
      </c>
      <c r="F652">
        <v>5</v>
      </c>
      <c r="G652">
        <v>12</v>
      </c>
      <c r="H652">
        <v>16</v>
      </c>
      <c r="I652" t="s">
        <v>780</v>
      </c>
      <c r="J652" s="51">
        <v>41061</v>
      </c>
      <c r="K652" t="s">
        <v>27</v>
      </c>
      <c r="L652" t="s">
        <v>605</v>
      </c>
      <c r="M652">
        <v>3</v>
      </c>
      <c r="N652" t="str">
        <f>L652</f>
        <v>NA/MB1049</v>
      </c>
      <c r="O652" s="51">
        <f>J652</f>
        <v>41061</v>
      </c>
      <c r="P652" s="51" t="str">
        <f>C652</f>
        <v>~/cdd/olddocs/Ayudas visuales/Micromini/MS/CNWI-VSHP-000217 Rev A GAP DEL DIBUJO 568055-A, 568055-B Y 568055-C.pptx</v>
      </c>
      <c r="Q652" s="51" t="str">
        <f>E652</f>
        <v>pptx</v>
      </c>
      <c r="R652" s="51"/>
      <c r="S652" s="51"/>
      <c r="T652" s="51"/>
      <c r="U652" s="51"/>
      <c r="V652" s="51"/>
      <c r="W652" s="51"/>
      <c r="X652" s="51"/>
      <c r="Y652" s="51"/>
      <c r="Z652" s="51"/>
      <c r="AA652" s="51"/>
      <c r="AB652" s="51"/>
      <c r="AC652" s="51"/>
      <c r="AD652" s="51"/>
      <c r="AE652" t="s">
        <v>30</v>
      </c>
      <c r="AF652" t="s">
        <v>90</v>
      </c>
      <c r="AG652" t="s">
        <v>781</v>
      </c>
      <c r="AH652" s="51"/>
      <c r="AI652" s="51"/>
    </row>
    <row r="653" spans="2:35">
      <c r="B653" t="s">
        <v>107</v>
      </c>
      <c r="C653" t="s">
        <v>3455</v>
      </c>
      <c r="D653">
        <v>6</v>
      </c>
      <c r="E653" t="s">
        <v>2796</v>
      </c>
      <c r="F653">
        <v>5</v>
      </c>
      <c r="G653">
        <v>6</v>
      </c>
      <c r="H653">
        <v>14</v>
      </c>
      <c r="I653" t="s">
        <v>108</v>
      </c>
      <c r="J653" s="51">
        <v>41066</v>
      </c>
      <c r="K653" t="s">
        <v>27</v>
      </c>
      <c r="L653" t="s">
        <v>63</v>
      </c>
      <c r="M653">
        <v>3</v>
      </c>
      <c r="N653" t="str">
        <f>L653</f>
        <v>NAM\D6B1B</v>
      </c>
      <c r="O653" s="51">
        <f>J653</f>
        <v>41066</v>
      </c>
      <c r="P653" s="51" t="str">
        <f>C653</f>
        <v>~/cdd/olddocs/Ayudas visuales/Avenal-Solar/CNWI-VSHP-000218 Rev  A Formato para Instruccion de trabajo  (IC-A92-001).ppt</v>
      </c>
      <c r="Q653" s="51" t="str">
        <f>E653</f>
        <v>ppt</v>
      </c>
      <c r="R653" s="51"/>
      <c r="S653" s="51"/>
      <c r="T653" s="51"/>
      <c r="U653" s="51"/>
      <c r="V653" s="51"/>
      <c r="W653" s="51"/>
      <c r="X653" s="51"/>
      <c r="Y653" s="51"/>
      <c r="Z653" s="51"/>
      <c r="AA653" s="51"/>
      <c r="AB653" s="51"/>
      <c r="AC653" s="51"/>
      <c r="AD653" s="51"/>
      <c r="AE653" t="s">
        <v>101</v>
      </c>
      <c r="AF653" t="s">
        <v>97</v>
      </c>
      <c r="AG653" t="s">
        <v>28</v>
      </c>
      <c r="AH653" s="51"/>
      <c r="AI653" s="51"/>
    </row>
    <row r="654" spans="2:35">
      <c r="B654" t="s">
        <v>845</v>
      </c>
      <c r="C654" t="s">
        <v>3643</v>
      </c>
      <c r="D654">
        <v>6</v>
      </c>
      <c r="E654" t="s">
        <v>2793</v>
      </c>
      <c r="F654">
        <v>5</v>
      </c>
      <c r="G654">
        <v>12</v>
      </c>
      <c r="H654">
        <v>20</v>
      </c>
      <c r="I654" t="s">
        <v>848</v>
      </c>
      <c r="J654" s="51">
        <v>41067</v>
      </c>
      <c r="K654" t="s">
        <v>27</v>
      </c>
      <c r="L654" t="s">
        <v>605</v>
      </c>
      <c r="M654">
        <v>3</v>
      </c>
      <c r="N654" t="str">
        <f>L654</f>
        <v>NA/MB1049</v>
      </c>
      <c r="O654" s="51">
        <f>J654</f>
        <v>41067</v>
      </c>
      <c r="P654" s="51" t="str">
        <f>C654</f>
        <v>~/cdd/olddocs/Ayudas visuales/Micromini/Rocwell/CNWI-VSHP-000220 Rev A EMPAQUE DE COMPONENTES SERIES 1786.pptx</v>
      </c>
      <c r="Q654" s="51" t="str">
        <f>E654</f>
        <v>pptx</v>
      </c>
      <c r="R654" s="51"/>
      <c r="S654" s="51"/>
      <c r="T654" s="51"/>
      <c r="U654" s="51"/>
      <c r="V654" s="51"/>
      <c r="W654" s="51"/>
      <c r="X654" s="51"/>
      <c r="Y654" s="51"/>
      <c r="Z654" s="51"/>
      <c r="AA654" s="51"/>
      <c r="AB654" s="51"/>
      <c r="AC654" s="51"/>
      <c r="AD654" s="51"/>
      <c r="AE654" t="s">
        <v>30</v>
      </c>
      <c r="AF654" t="s">
        <v>601</v>
      </c>
      <c r="AG654" t="s">
        <v>28</v>
      </c>
      <c r="AH654" s="51"/>
      <c r="AI654" s="51"/>
    </row>
    <row r="655" spans="2:35">
      <c r="B655" t="s">
        <v>1214</v>
      </c>
      <c r="C655" t="s">
        <v>3232</v>
      </c>
      <c r="D655">
        <v>5</v>
      </c>
      <c r="E655" t="s">
        <v>2792</v>
      </c>
      <c r="F655">
        <v>6</v>
      </c>
      <c r="G655">
        <v>7</v>
      </c>
      <c r="I655" t="s">
        <v>1217</v>
      </c>
      <c r="J655" s="51" t="s">
        <v>1218</v>
      </c>
      <c r="K655" t="s">
        <v>27</v>
      </c>
      <c r="L655" t="s">
        <v>1220</v>
      </c>
      <c r="M655">
        <v>3</v>
      </c>
      <c r="N655" t="str">
        <f>L655</f>
        <v>NAM\MA6898</v>
      </c>
      <c r="O655" s="51" t="str">
        <f>J655</f>
        <v>05/17/2011</v>
      </c>
      <c r="P655" s="51" t="str">
        <f>C655</f>
        <v>~/cdd/olddocs/Formas/CNWI-WRHS (Almacen)/CNWI-WRHS-F001 Identificacion de ordenes.xls</v>
      </c>
      <c r="Q655" s="51" t="str">
        <f>E655</f>
        <v>xls</v>
      </c>
      <c r="R655" s="51"/>
      <c r="S655" s="51"/>
      <c r="T655" s="51"/>
      <c r="U655" s="51"/>
      <c r="V655" s="51"/>
      <c r="W655" s="51"/>
      <c r="X655" s="51"/>
      <c r="Y655" s="51"/>
      <c r="Z655" s="51"/>
      <c r="AA655" s="51"/>
      <c r="AB655" s="51"/>
      <c r="AC655" s="51"/>
      <c r="AD655" s="51"/>
      <c r="AG655" t="s">
        <v>28</v>
      </c>
      <c r="AH655" s="51"/>
      <c r="AI655" s="51"/>
    </row>
    <row r="656" spans="2:35">
      <c r="B656" t="s">
        <v>1221</v>
      </c>
      <c r="C656" t="s">
        <v>3233</v>
      </c>
      <c r="D656">
        <v>5</v>
      </c>
      <c r="E656" t="s">
        <v>2792</v>
      </c>
      <c r="F656">
        <v>6</v>
      </c>
      <c r="G656">
        <v>7</v>
      </c>
      <c r="I656" t="s">
        <v>1223</v>
      </c>
      <c r="J656" s="51" t="s">
        <v>1218</v>
      </c>
      <c r="K656" t="s">
        <v>27</v>
      </c>
      <c r="L656" t="s">
        <v>1220</v>
      </c>
      <c r="M656">
        <v>3</v>
      </c>
      <c r="N656" t="str">
        <f>L656</f>
        <v>NAM\MA6898</v>
      </c>
      <c r="O656" s="51" t="str">
        <f>J656</f>
        <v>05/17/2011</v>
      </c>
      <c r="P656" s="51" t="str">
        <f>C656</f>
        <v>~/cdd/olddocs/Formas/CNWI-WRHS (Almacen)/CNWI-WRHS-F002 Requisicion de Matarial.xls</v>
      </c>
      <c r="Q656" s="51" t="str">
        <f>E656</f>
        <v>xls</v>
      </c>
      <c r="R656" s="51"/>
      <c r="S656" s="51"/>
      <c r="T656" s="51"/>
      <c r="U656" s="51"/>
      <c r="V656" s="51"/>
      <c r="W656" s="51"/>
      <c r="X656" s="51"/>
      <c r="Y656" s="51"/>
      <c r="Z656" s="51"/>
      <c r="AA656" s="51"/>
      <c r="AB656" s="51"/>
      <c r="AC656" s="51"/>
      <c r="AD656" s="51"/>
      <c r="AG656" t="s">
        <v>28</v>
      </c>
      <c r="AH656" s="51"/>
      <c r="AI656" s="51"/>
    </row>
    <row r="657" spans="2:35">
      <c r="B657" t="s">
        <v>1224</v>
      </c>
      <c r="C657" t="s">
        <v>3234</v>
      </c>
      <c r="D657">
        <v>5</v>
      </c>
      <c r="E657" t="s">
        <v>2792</v>
      </c>
      <c r="F657">
        <v>6</v>
      </c>
      <c r="G657">
        <v>7</v>
      </c>
      <c r="I657" t="s">
        <v>1225</v>
      </c>
      <c r="J657" s="51" t="s">
        <v>1218</v>
      </c>
      <c r="K657" t="s">
        <v>27</v>
      </c>
      <c r="L657" t="s">
        <v>1220</v>
      </c>
      <c r="M657">
        <v>3</v>
      </c>
      <c r="N657" t="str">
        <f>L657</f>
        <v>NAM\MA6898</v>
      </c>
      <c r="O657" s="51" t="str">
        <f>J657</f>
        <v>05/17/2011</v>
      </c>
      <c r="P657" s="51" t="str">
        <f>C657</f>
        <v>~/cdd/olddocs/Formas/CNWI-WRHS (Almacen)/CNWI-WRHS-F003 FORMA CICLOCUENTO.xls</v>
      </c>
      <c r="Q657" s="51" t="str">
        <f>E657</f>
        <v>xls</v>
      </c>
      <c r="R657" s="51"/>
      <c r="S657" s="51"/>
      <c r="T657" s="51"/>
      <c r="U657" s="51"/>
      <c r="V657" s="51"/>
      <c r="W657" s="51"/>
      <c r="X657" s="51"/>
      <c r="Y657" s="51"/>
      <c r="Z657" s="51"/>
      <c r="AA657" s="51"/>
      <c r="AB657" s="51"/>
      <c r="AC657" s="51"/>
      <c r="AD657" s="51"/>
      <c r="AG657" t="s">
        <v>28</v>
      </c>
      <c r="AH657" s="51"/>
      <c r="AI657" s="51"/>
    </row>
    <row r="658" spans="2:35">
      <c r="B658" t="s">
        <v>1226</v>
      </c>
      <c r="C658" t="s">
        <v>3235</v>
      </c>
      <c r="D658">
        <v>5</v>
      </c>
      <c r="E658" t="s">
        <v>2792</v>
      </c>
      <c r="F658">
        <v>6</v>
      </c>
      <c r="G658">
        <v>7</v>
      </c>
      <c r="I658" t="s">
        <v>1227</v>
      </c>
      <c r="J658" s="51" t="s">
        <v>1218</v>
      </c>
      <c r="K658" t="s">
        <v>27</v>
      </c>
      <c r="L658" t="s">
        <v>1220</v>
      </c>
      <c r="M658">
        <v>3</v>
      </c>
      <c r="N658" t="str">
        <f>L658</f>
        <v>NAM\MA6898</v>
      </c>
      <c r="O658" s="51" t="str">
        <f>J658</f>
        <v>05/17/2011</v>
      </c>
      <c r="P658" s="51" t="str">
        <f>C658</f>
        <v>~/cdd/olddocs/Formas/CNWI-WRHS (Almacen)/CNWI-WRHS-F004 FIRMA ACCESO ALMACEN.xls</v>
      </c>
      <c r="Q658" s="51" t="str">
        <f>E658</f>
        <v>xls</v>
      </c>
      <c r="R658" s="51"/>
      <c r="S658" s="51"/>
      <c r="T658" s="51"/>
      <c r="U658" s="51"/>
      <c r="V658" s="51"/>
      <c r="W658" s="51"/>
      <c r="X658" s="51"/>
      <c r="Y658" s="51"/>
      <c r="Z658" s="51"/>
      <c r="AA658" s="51"/>
      <c r="AB658" s="51"/>
      <c r="AC658" s="51"/>
      <c r="AD658" s="51"/>
      <c r="AG658" t="s">
        <v>28</v>
      </c>
      <c r="AH658" s="51"/>
      <c r="AI658" s="51"/>
    </row>
    <row r="659" spans="2:35">
      <c r="B659" t="s">
        <v>1228</v>
      </c>
      <c r="C659" t="s">
        <v>3236</v>
      </c>
      <c r="D659">
        <v>5</v>
      </c>
      <c r="E659" t="s">
        <v>2792</v>
      </c>
      <c r="F659">
        <v>6</v>
      </c>
      <c r="G659">
        <v>7</v>
      </c>
      <c r="I659" t="s">
        <v>1229</v>
      </c>
      <c r="J659" s="51">
        <v>40799</v>
      </c>
      <c r="K659" t="s">
        <v>27</v>
      </c>
      <c r="L659" t="s">
        <v>1220</v>
      </c>
      <c r="M659">
        <v>3</v>
      </c>
      <c r="N659" t="str">
        <f>L659</f>
        <v>NAM\MA6898</v>
      </c>
      <c r="O659" s="51">
        <f>J659</f>
        <v>40799</v>
      </c>
      <c r="P659" s="51" t="str">
        <f>C659</f>
        <v>~/cdd/olddocs/Formas/CNWI-WRHS (Almacen)/CNWI-WRHS-F005 Control recibo de Medidores.xls</v>
      </c>
      <c r="Q659" s="51" t="str">
        <f>E659</f>
        <v>xls</v>
      </c>
      <c r="R659" s="51"/>
      <c r="S659" s="51"/>
      <c r="T659" s="51"/>
      <c r="U659" s="51"/>
      <c r="V659" s="51"/>
      <c r="W659" s="51"/>
      <c r="X659" s="51"/>
      <c r="Y659" s="51"/>
      <c r="Z659" s="51"/>
      <c r="AA659" s="51"/>
      <c r="AB659" s="51"/>
      <c r="AC659" s="51"/>
      <c r="AD659" s="51"/>
      <c r="AG659" t="s">
        <v>28</v>
      </c>
      <c r="AH659" s="51"/>
      <c r="AI659" s="51"/>
    </row>
    <row r="660" spans="2:35">
      <c r="B660" t="s">
        <v>533</v>
      </c>
      <c r="C660" t="s">
        <v>3378</v>
      </c>
      <c r="D660">
        <v>4</v>
      </c>
      <c r="E660" t="s">
        <v>2791</v>
      </c>
      <c r="F660">
        <v>6</v>
      </c>
      <c r="G660">
        <v>7</v>
      </c>
      <c r="I660" t="s">
        <v>3780</v>
      </c>
      <c r="J660" s="51">
        <v>40668</v>
      </c>
      <c r="K660" t="s">
        <v>27</v>
      </c>
      <c r="L660" t="s">
        <v>532</v>
      </c>
      <c r="M660">
        <v>3</v>
      </c>
      <c r="N660" t="str">
        <f>L660</f>
        <v>NAM\MB0615</v>
      </c>
      <c r="O660" s="51">
        <f>J660</f>
        <v>40668</v>
      </c>
      <c r="P660" s="51" t="str">
        <f>C660</f>
        <v>~/cdd/olddocs/Instructivos/CNWI-WRHS/CNWI-WRHS-0001 Instruccion de Almacen.pdf</v>
      </c>
      <c r="Q660" s="51" t="str">
        <f>E660</f>
        <v>pdf</v>
      </c>
      <c r="R660" s="51"/>
      <c r="S660" s="51"/>
      <c r="T660" s="51"/>
      <c r="U660" s="51"/>
      <c r="V660" s="51"/>
      <c r="W660" s="51"/>
      <c r="X660" s="51"/>
      <c r="Y660" s="51"/>
      <c r="Z660" s="51"/>
      <c r="AA660" s="51"/>
      <c r="AB660" s="51"/>
      <c r="AC660" s="51"/>
      <c r="AD660" s="51"/>
      <c r="AG660" t="s">
        <v>28</v>
      </c>
      <c r="AH660" s="51"/>
      <c r="AI660" s="51"/>
    </row>
    <row r="661" spans="2:35">
      <c r="B661" t="s">
        <v>537</v>
      </c>
      <c r="C661" t="s">
        <v>3379</v>
      </c>
      <c r="D661">
        <v>4</v>
      </c>
      <c r="E661" t="s">
        <v>2791</v>
      </c>
      <c r="F661">
        <v>6</v>
      </c>
      <c r="G661">
        <v>7</v>
      </c>
      <c r="I661" t="s">
        <v>538</v>
      </c>
      <c r="J661" s="51" t="s">
        <v>539</v>
      </c>
      <c r="K661" t="s">
        <v>27</v>
      </c>
      <c r="L661" t="s">
        <v>532</v>
      </c>
      <c r="M661">
        <v>3</v>
      </c>
      <c r="N661" t="str">
        <f>L661</f>
        <v>NAM\MB0615</v>
      </c>
      <c r="O661" s="51" t="str">
        <f>J661</f>
        <v>05/23/2011</v>
      </c>
      <c r="P661" s="51" t="str">
        <f>C661</f>
        <v>~/cdd/olddocs/Instructivos/CNWI-WRHS/CNWI-WRHS-F002 Utilizacion de basculas para pines y contactos.pdf</v>
      </c>
      <c r="Q661" s="51" t="str">
        <f>E661</f>
        <v>pdf</v>
      </c>
      <c r="R661" s="51"/>
      <c r="S661" s="51"/>
      <c r="T661" s="51"/>
      <c r="U661" s="51"/>
      <c r="V661" s="51"/>
      <c r="W661" s="51"/>
      <c r="X661" s="51"/>
      <c r="Y661" s="51"/>
      <c r="Z661" s="51"/>
      <c r="AA661" s="51"/>
      <c r="AB661" s="51"/>
      <c r="AC661" s="51"/>
      <c r="AD661" s="51"/>
      <c r="AG661" t="s">
        <v>28</v>
      </c>
      <c r="AH661" s="51"/>
      <c r="AI661" s="51"/>
    </row>
    <row r="662" spans="2:35">
      <c r="B662" t="s">
        <v>540</v>
      </c>
      <c r="C662" t="s">
        <v>3374</v>
      </c>
      <c r="D662">
        <v>4</v>
      </c>
      <c r="E662" t="s">
        <v>2791</v>
      </c>
      <c r="F662">
        <v>6</v>
      </c>
      <c r="G662">
        <v>7</v>
      </c>
      <c r="I662" t="s">
        <v>541</v>
      </c>
      <c r="J662" s="51">
        <v>40998</v>
      </c>
      <c r="K662" t="s">
        <v>27</v>
      </c>
      <c r="L662" t="s">
        <v>532</v>
      </c>
      <c r="M662">
        <v>3</v>
      </c>
      <c r="N662" t="str">
        <f>L662</f>
        <v>NAM\MB0615</v>
      </c>
      <c r="O662" s="51">
        <f>J662</f>
        <v>40998</v>
      </c>
      <c r="P662" s="51" t="str">
        <f>C662</f>
        <v>~/cdd/olddocs/Instructivos/CNWI-WRHS/CNWI-WHSE-0003 Manejo y Preservacion de Materiales.pdf</v>
      </c>
      <c r="Q662" s="51" t="str">
        <f>E662</f>
        <v>pdf</v>
      </c>
      <c r="R662" s="51"/>
      <c r="S662" s="51"/>
      <c r="T662" s="51"/>
      <c r="U662" s="51"/>
      <c r="V662" s="51"/>
      <c r="W662" s="51"/>
      <c r="X662" s="51"/>
      <c r="Y662" s="51"/>
      <c r="Z662" s="51"/>
      <c r="AA662" s="51"/>
      <c r="AB662" s="51"/>
      <c r="AC662" s="51"/>
      <c r="AD662" s="51"/>
      <c r="AG662" t="s">
        <v>28</v>
      </c>
      <c r="AH662" s="51"/>
      <c r="AI662" s="51"/>
    </row>
    <row r="663" spans="2:35">
      <c r="B663" t="s">
        <v>542</v>
      </c>
      <c r="C663" t="s">
        <v>3375</v>
      </c>
      <c r="D663">
        <v>4</v>
      </c>
      <c r="E663" t="s">
        <v>2791</v>
      </c>
      <c r="F663">
        <v>6</v>
      </c>
      <c r="G663">
        <v>7</v>
      </c>
      <c r="I663" t="s">
        <v>543</v>
      </c>
      <c r="J663" s="51">
        <v>40999</v>
      </c>
      <c r="K663" t="s">
        <v>27</v>
      </c>
      <c r="L663" t="s">
        <v>532</v>
      </c>
      <c r="M663">
        <v>3</v>
      </c>
      <c r="N663" t="str">
        <f>L663</f>
        <v>NAM\MB0615</v>
      </c>
      <c r="O663" s="51">
        <f>J663</f>
        <v>40999</v>
      </c>
      <c r="P663" s="51" t="str">
        <f>C663</f>
        <v>~/cdd/olddocs/Instructivos/CNWI-WRHS/CNWI-WHSE-0004 Recibo de Materiales.pdf</v>
      </c>
      <c r="Q663" s="51" t="str">
        <f>E663</f>
        <v>pdf</v>
      </c>
      <c r="R663" s="51"/>
      <c r="S663" s="51"/>
      <c r="T663" s="51"/>
      <c r="U663" s="51"/>
      <c r="V663" s="51"/>
      <c r="W663" s="51"/>
      <c r="X663" s="51"/>
      <c r="Y663" s="51"/>
      <c r="Z663" s="51"/>
      <c r="AA663" s="51"/>
      <c r="AB663" s="51"/>
      <c r="AC663" s="51"/>
      <c r="AD663" s="51"/>
      <c r="AG663" t="s">
        <v>28</v>
      </c>
      <c r="AH663" s="51"/>
      <c r="AI663" s="51"/>
    </row>
    <row r="664" spans="2:35">
      <c r="B664" t="s">
        <v>544</v>
      </c>
      <c r="C664" t="s">
        <v>3376</v>
      </c>
      <c r="D664">
        <v>4</v>
      </c>
      <c r="E664" t="s">
        <v>2791</v>
      </c>
      <c r="F664">
        <v>6</v>
      </c>
      <c r="G664">
        <v>7</v>
      </c>
      <c r="I664" t="s">
        <v>545</v>
      </c>
      <c r="J664" s="51">
        <v>41114</v>
      </c>
      <c r="K664" t="s">
        <v>27</v>
      </c>
      <c r="L664" t="s">
        <v>532</v>
      </c>
      <c r="M664">
        <v>3</v>
      </c>
      <c r="N664" t="str">
        <f>L664</f>
        <v>NAM\MB0615</v>
      </c>
      <c r="O664" s="51">
        <f>J664</f>
        <v>41114</v>
      </c>
      <c r="P664" s="51" t="str">
        <f>C664</f>
        <v>~/cdd/olddocs/Instructivos/CNWI-WRHS/CNWI-WHSE-0005 Procedimiento para surtir ordenes de trabajo.pdf</v>
      </c>
      <c r="Q664" s="51" t="str">
        <f>E664</f>
        <v>pdf</v>
      </c>
      <c r="R664" s="51"/>
      <c r="S664" s="51"/>
      <c r="T664" s="51"/>
      <c r="U664" s="51"/>
      <c r="V664" s="51"/>
      <c r="W664" s="51"/>
      <c r="X664" s="51"/>
      <c r="Y664" s="51"/>
      <c r="Z664" s="51"/>
      <c r="AA664" s="51"/>
      <c r="AB664" s="51"/>
      <c r="AC664" s="51"/>
      <c r="AD664" s="51"/>
      <c r="AG664" t="s">
        <v>28</v>
      </c>
      <c r="AH664" s="51"/>
      <c r="AI664" s="51"/>
    </row>
    <row r="665" spans="2:35">
      <c r="B665" t="s">
        <v>546</v>
      </c>
      <c r="C665" t="s">
        <v>3377</v>
      </c>
      <c r="D665">
        <v>4</v>
      </c>
      <c r="E665" t="s">
        <v>2791</v>
      </c>
      <c r="F665">
        <v>6</v>
      </c>
      <c r="G665">
        <v>7</v>
      </c>
      <c r="I665" t="s">
        <v>547</v>
      </c>
      <c r="J665" s="51">
        <v>41120</v>
      </c>
      <c r="K665" t="s">
        <v>27</v>
      </c>
      <c r="L665" t="s">
        <v>532</v>
      </c>
      <c r="M665">
        <v>3</v>
      </c>
      <c r="N665" t="str">
        <f>L665</f>
        <v>NAM\MB0615</v>
      </c>
      <c r="O665" s="51">
        <f>J665</f>
        <v>41120</v>
      </c>
      <c r="P665" s="51" t="str">
        <f>C665</f>
        <v>~/cdd/olddocs/Instructivos/CNWI-WRHS/CNWI-WHSE-0006 Procedimiento para confirmacion y localizacion de ensambles y subensambles.pdf</v>
      </c>
      <c r="Q665" s="51" t="str">
        <f>E665</f>
        <v>pdf</v>
      </c>
      <c r="R665" s="51"/>
      <c r="S665" s="51"/>
      <c r="T665" s="51"/>
      <c r="U665" s="51"/>
      <c r="V665" s="51"/>
      <c r="W665" s="51"/>
      <c r="X665" s="51"/>
      <c r="Y665" s="51"/>
      <c r="Z665" s="51"/>
      <c r="AA665" s="51"/>
      <c r="AB665" s="51"/>
      <c r="AC665" s="51"/>
      <c r="AD665" s="51"/>
      <c r="AG665" t="s">
        <v>28</v>
      </c>
      <c r="AH665" s="51"/>
      <c r="AI665" s="51"/>
    </row>
    <row r="666" spans="2:35">
      <c r="B666" t="s">
        <v>1230</v>
      </c>
      <c r="C666" t="s">
        <v>3237</v>
      </c>
      <c r="D666">
        <v>5</v>
      </c>
      <c r="E666" t="s">
        <v>2792</v>
      </c>
      <c r="F666">
        <v>6</v>
      </c>
      <c r="G666">
        <v>7</v>
      </c>
      <c r="I666" t="s">
        <v>1231</v>
      </c>
      <c r="J666" s="51">
        <v>40742</v>
      </c>
      <c r="K666" t="s">
        <v>27</v>
      </c>
      <c r="L666" t="s">
        <v>1220</v>
      </c>
      <c r="M666">
        <v>3</v>
      </c>
      <c r="N666" t="str">
        <f>L666</f>
        <v>NAM\MA6898</v>
      </c>
      <c r="O666" s="51">
        <f>J666</f>
        <v>40742</v>
      </c>
      <c r="P666" s="51" t="str">
        <f>C666</f>
        <v>~/cdd/olddocs/Formas/CNWI-WRHS (Almacen)/CNWI-WRHS-F006 Etiqueta identificacion de material almacen para orden de produccion.xls</v>
      </c>
      <c r="Q666" s="51" t="str">
        <f>E666</f>
        <v>xls</v>
      </c>
      <c r="R666" s="51"/>
      <c r="S666" s="51"/>
      <c r="T666" s="51"/>
      <c r="U666" s="51"/>
      <c r="V666" s="51"/>
      <c r="W666" s="51"/>
      <c r="X666" s="51"/>
      <c r="Y666" s="51"/>
      <c r="Z666" s="51"/>
      <c r="AA666" s="51"/>
      <c r="AB666" s="51"/>
      <c r="AC666" s="51"/>
      <c r="AD666" s="51"/>
      <c r="AG666" t="s">
        <v>28</v>
      </c>
      <c r="AH666" s="51"/>
      <c r="AI666" s="51"/>
    </row>
    <row r="667" spans="2:35">
      <c r="B667" t="s">
        <v>1232</v>
      </c>
      <c r="C667" t="s">
        <v>3238</v>
      </c>
      <c r="D667">
        <v>5</v>
      </c>
      <c r="E667" t="s">
        <v>2791</v>
      </c>
      <c r="F667">
        <v>6</v>
      </c>
      <c r="G667">
        <v>7</v>
      </c>
      <c r="I667" t="s">
        <v>1233</v>
      </c>
      <c r="J667" s="51">
        <v>40716</v>
      </c>
      <c r="K667" t="s">
        <v>27</v>
      </c>
      <c r="L667" t="s">
        <v>1220</v>
      </c>
      <c r="M667">
        <v>3</v>
      </c>
      <c r="N667" t="str">
        <f>L667</f>
        <v>NAM\MA6898</v>
      </c>
      <c r="O667" s="51">
        <f>J667</f>
        <v>40716</v>
      </c>
      <c r="P667" s="51" t="str">
        <f>C667</f>
        <v>~/cdd/olddocs/Formas/CNWI-WRHS (Almacen)/CNWI-WRHS-F007 Checklist de almacen.pdf</v>
      </c>
      <c r="Q667" s="51" t="str">
        <f>E667</f>
        <v>pdf</v>
      </c>
      <c r="R667" s="51"/>
      <c r="S667" s="51"/>
      <c r="T667" s="51"/>
      <c r="U667" s="51"/>
      <c r="V667" s="51"/>
      <c r="W667" s="51"/>
      <c r="X667" s="51"/>
      <c r="Y667" s="51"/>
      <c r="Z667" s="51"/>
      <c r="AA667" s="51"/>
      <c r="AB667" s="51"/>
      <c r="AC667" s="51"/>
      <c r="AD667" s="51"/>
      <c r="AG667" t="s">
        <v>28</v>
      </c>
      <c r="AH667" s="51"/>
      <c r="AI667" s="51"/>
    </row>
    <row r="668" spans="2:35">
      <c r="B668" t="s">
        <v>1234</v>
      </c>
      <c r="C668" t="s">
        <v>3239</v>
      </c>
      <c r="D668">
        <v>5</v>
      </c>
      <c r="E668" t="s">
        <v>2792</v>
      </c>
      <c r="F668">
        <v>6</v>
      </c>
      <c r="G668">
        <v>7</v>
      </c>
      <c r="I668" t="s">
        <v>1235</v>
      </c>
      <c r="J668" s="51">
        <v>40787</v>
      </c>
      <c r="K668" t="s">
        <v>27</v>
      </c>
      <c r="L668" t="s">
        <v>1220</v>
      </c>
      <c r="M668">
        <v>3</v>
      </c>
      <c r="N668" t="str">
        <f>L668</f>
        <v>NAM\MA6898</v>
      </c>
      <c r="O668" s="51">
        <f>J668</f>
        <v>40787</v>
      </c>
      <c r="P668" s="51" t="str">
        <f>C668</f>
        <v>~/cdd/olddocs/Formas/CNWI-WRHS (Almacen)/CNWI-WRHS-F008 Control de contactos en almacen.xls</v>
      </c>
      <c r="Q668" s="51" t="str">
        <f>E668</f>
        <v>xls</v>
      </c>
      <c r="R668" s="51"/>
      <c r="S668" s="51"/>
      <c r="T668" s="51"/>
      <c r="U668" s="51"/>
      <c r="V668" s="51"/>
      <c r="W668" s="51"/>
      <c r="X668" s="51"/>
      <c r="Y668" s="51"/>
      <c r="Z668" s="51"/>
      <c r="AA668" s="51"/>
      <c r="AB668" s="51"/>
      <c r="AC668" s="51"/>
      <c r="AD668" s="51"/>
      <c r="AG668" t="s">
        <v>28</v>
      </c>
      <c r="AH668" s="51"/>
      <c r="AI668" s="51"/>
    </row>
    <row r="669" spans="2:35">
      <c r="B669" t="s">
        <v>1236</v>
      </c>
      <c r="C669" t="s">
        <v>3240</v>
      </c>
      <c r="D669">
        <v>5</v>
      </c>
      <c r="E669" t="s">
        <v>2790</v>
      </c>
      <c r="F669">
        <v>6</v>
      </c>
      <c r="G669">
        <v>7</v>
      </c>
      <c r="I669" t="s">
        <v>1237</v>
      </c>
      <c r="J669" s="51">
        <v>40857</v>
      </c>
      <c r="K669" t="s">
        <v>27</v>
      </c>
      <c r="L669" t="s">
        <v>1220</v>
      </c>
      <c r="M669">
        <v>3</v>
      </c>
      <c r="N669" t="str">
        <f>L669</f>
        <v>NAM\MA6898</v>
      </c>
      <c r="O669" s="51">
        <f>J669</f>
        <v>40857</v>
      </c>
      <c r="P669" s="51" t="str">
        <f>C669</f>
        <v>~/cdd/olddocs/Formas/CNWI-WRHS (Almacen)/CNWI-WRHS-F009 Reporte de Recibo y Discrepancia diaria.xlsx</v>
      </c>
      <c r="Q669" s="51" t="str">
        <f>E669</f>
        <v>xlsx</v>
      </c>
      <c r="R669" s="51"/>
      <c r="S669" s="51"/>
      <c r="T669" s="51"/>
      <c r="U669" s="51"/>
      <c r="V669" s="51"/>
      <c r="W669" s="51"/>
      <c r="X669" s="51"/>
      <c r="Y669" s="51"/>
      <c r="Z669" s="51"/>
      <c r="AA669" s="51"/>
      <c r="AB669" s="51"/>
      <c r="AC669" s="51"/>
      <c r="AD669" s="51"/>
      <c r="AG669" t="s">
        <v>28</v>
      </c>
      <c r="AH669" s="51"/>
      <c r="AI669" s="51"/>
    </row>
    <row r="670" spans="2:35">
      <c r="B670" t="s">
        <v>1238</v>
      </c>
      <c r="C670" t="s">
        <v>3241</v>
      </c>
      <c r="D670">
        <v>5</v>
      </c>
      <c r="E670" t="s">
        <v>2792</v>
      </c>
      <c r="F670">
        <v>6</v>
      </c>
      <c r="G670">
        <v>7</v>
      </c>
      <c r="I670" t="s">
        <v>1239</v>
      </c>
      <c r="J670" s="51">
        <v>40938</v>
      </c>
      <c r="K670" t="s">
        <v>27</v>
      </c>
      <c r="L670" t="s">
        <v>1220</v>
      </c>
      <c r="M670">
        <v>3</v>
      </c>
      <c r="N670" t="str">
        <f>L670</f>
        <v>NAM\MA6898</v>
      </c>
      <c r="O670" s="51">
        <f>J670</f>
        <v>40938</v>
      </c>
      <c r="P670" s="51" t="str">
        <f>C670</f>
        <v>~/cdd/olddocs/Formas/CNWI-WRHS (Almacen)/CNWI-WRHS-F010 LSW.xls</v>
      </c>
      <c r="Q670" s="51" t="str">
        <f>E670</f>
        <v>xls</v>
      </c>
      <c r="R670" s="51"/>
      <c r="S670" s="51"/>
      <c r="T670" s="51"/>
      <c r="U670" s="51"/>
      <c r="V670" s="51"/>
      <c r="W670" s="51"/>
      <c r="X670" s="51"/>
      <c r="Y670" s="51"/>
      <c r="Z670" s="51"/>
      <c r="AA670" s="51"/>
      <c r="AB670" s="51"/>
      <c r="AC670" s="51"/>
      <c r="AD670" s="51"/>
      <c r="AG670" t="s">
        <v>28</v>
      </c>
      <c r="AH670" s="51"/>
      <c r="AI670" s="51"/>
    </row>
    <row r="671" spans="2:35">
      <c r="B671" t="s">
        <v>1240</v>
      </c>
      <c r="C671" t="s">
        <v>3242</v>
      </c>
      <c r="D671">
        <v>5</v>
      </c>
      <c r="E671" t="s">
        <v>2792</v>
      </c>
      <c r="F671">
        <v>6</v>
      </c>
      <c r="G671">
        <v>7</v>
      </c>
      <c r="I671" t="s">
        <v>1241</v>
      </c>
      <c r="J671" s="51">
        <v>40976</v>
      </c>
      <c r="K671" t="s">
        <v>27</v>
      </c>
      <c r="L671" t="s">
        <v>1220</v>
      </c>
      <c r="M671">
        <v>3</v>
      </c>
      <c r="N671" t="str">
        <f>L671</f>
        <v>NAM\MA6898</v>
      </c>
      <c r="O671" s="51">
        <f>J671</f>
        <v>40976</v>
      </c>
      <c r="P671" s="51" t="str">
        <f>C671</f>
        <v>~/cdd/olddocs/Formas/CNWI-WRHS (Almacen)/CNWI-WRHS-F011 CONTROL DE ORDENES PARA SOLAR.xls</v>
      </c>
      <c r="Q671" s="51" t="str">
        <f>E671</f>
        <v>xls</v>
      </c>
      <c r="R671" s="51"/>
      <c r="S671" s="51"/>
      <c r="T671" s="51"/>
      <c r="U671" s="51"/>
      <c r="V671" s="51"/>
      <c r="W671" s="51"/>
      <c r="X671" s="51"/>
      <c r="Y671" s="51"/>
      <c r="Z671" s="51"/>
      <c r="AA671" s="51"/>
      <c r="AB671" s="51"/>
      <c r="AC671" s="51"/>
      <c r="AD671" s="51"/>
      <c r="AG671" t="s">
        <v>28</v>
      </c>
      <c r="AH671" s="51"/>
      <c r="AI671" s="51"/>
    </row>
    <row r="672" spans="2:35">
      <c r="B672" t="s">
        <v>1242</v>
      </c>
      <c r="C672" t="s">
        <v>3895</v>
      </c>
      <c r="D672">
        <v>5</v>
      </c>
      <c r="E672" t="s">
        <v>2791</v>
      </c>
      <c r="F672">
        <v>6</v>
      </c>
      <c r="G672">
        <v>7</v>
      </c>
      <c r="I672" t="s">
        <v>1243</v>
      </c>
      <c r="J672" s="51">
        <v>41036</v>
      </c>
      <c r="K672" t="s">
        <v>27</v>
      </c>
      <c r="L672" t="s">
        <v>1220</v>
      </c>
      <c r="M672">
        <v>3</v>
      </c>
      <c r="N672" t="str">
        <f>L672</f>
        <v>NAM\MA6898</v>
      </c>
      <c r="O672" s="51">
        <f>J672</f>
        <v>41036</v>
      </c>
      <c r="P672" s="51" t="str">
        <f>C672</f>
        <v>~cdd/olddocs/Formas/CNWI-WRHS (Almacen)/CNWI-WRHS-F012 Control de material a embarcar.pdf</v>
      </c>
      <c r="Q672" s="51" t="str">
        <f>E672</f>
        <v>pdf</v>
      </c>
      <c r="R672" s="51"/>
      <c r="S672" s="51"/>
      <c r="T672" s="51"/>
      <c r="U672" s="51"/>
      <c r="V672" s="51"/>
      <c r="W672" s="51"/>
      <c r="X672" s="51"/>
      <c r="Y672" s="51"/>
      <c r="Z672" s="51"/>
      <c r="AA672" s="51"/>
      <c r="AB672" s="51"/>
      <c r="AC672" s="51"/>
      <c r="AD672" s="51"/>
      <c r="AG672" t="s">
        <v>28</v>
      </c>
      <c r="AH672" s="51"/>
      <c r="AI672" s="51"/>
    </row>
    <row r="673" spans="2:35">
      <c r="B673" t="s">
        <v>1244</v>
      </c>
      <c r="C673" t="s">
        <v>3896</v>
      </c>
      <c r="D673">
        <v>5</v>
      </c>
      <c r="E673" t="s">
        <v>2791</v>
      </c>
      <c r="F673">
        <v>6</v>
      </c>
      <c r="G673">
        <v>7</v>
      </c>
      <c r="I673" t="s">
        <v>1245</v>
      </c>
      <c r="J673" s="51">
        <v>41081</v>
      </c>
      <c r="K673" t="s">
        <v>27</v>
      </c>
      <c r="L673" t="s">
        <v>1220</v>
      </c>
      <c r="M673">
        <v>3</v>
      </c>
      <c r="N673" t="str">
        <f>L673</f>
        <v>NAM\MA6898</v>
      </c>
      <c r="O673" s="51">
        <f>J673</f>
        <v>41081</v>
      </c>
      <c r="P673" s="51" t="str">
        <f>C673</f>
        <v>~cdd/olddocs/Formas/CNWI-WRHS (Almacen)/CNWI-WRHS-F013 Updated air freight approval process.pdf</v>
      </c>
      <c r="Q673" s="51" t="str">
        <f>E673</f>
        <v>pdf</v>
      </c>
      <c r="R673" s="51"/>
      <c r="S673" s="51"/>
      <c r="T673" s="51"/>
      <c r="U673" s="51"/>
      <c r="V673" s="51"/>
      <c r="W673" s="51"/>
      <c r="X673" s="51"/>
      <c r="Y673" s="51"/>
      <c r="Z673" s="51"/>
      <c r="AA673" s="51"/>
      <c r="AB673" s="51"/>
      <c r="AC673" s="51"/>
      <c r="AD673" s="51"/>
      <c r="AG673" t="s">
        <v>28</v>
      </c>
      <c r="AH673" s="51"/>
      <c r="AI673" s="51"/>
    </row>
    <row r="674" spans="2:35">
      <c r="B674" t="s">
        <v>660</v>
      </c>
      <c r="C674" t="s">
        <v>2835</v>
      </c>
      <c r="D674">
        <v>12</v>
      </c>
      <c r="E674" t="s">
        <v>2790</v>
      </c>
      <c r="F674">
        <v>5</v>
      </c>
      <c r="G674">
        <v>33</v>
      </c>
      <c r="I674" t="s">
        <v>660</v>
      </c>
      <c r="J674" s="51">
        <v>41037</v>
      </c>
      <c r="K674" t="s">
        <v>131</v>
      </c>
      <c r="L674" t="s">
        <v>605</v>
      </c>
      <c r="M674">
        <v>3</v>
      </c>
      <c r="N674" t="str">
        <f>L674</f>
        <v>NA/MB1049</v>
      </c>
      <c r="O674" s="51">
        <f>J674</f>
        <v>41037</v>
      </c>
      <c r="P674" s="51" t="str">
        <f>C674</f>
        <v>~/cdd/olddocs/Especificaciones genericas/Micromini/General/CNWI-ENGI-F019 Rev. J Especificaciones de Corte Micro-Mini.xlsx</v>
      </c>
      <c r="Q674" s="51" t="str">
        <f>E674</f>
        <v>xlsx</v>
      </c>
      <c r="R674" s="51"/>
      <c r="S674" s="51"/>
      <c r="T674" s="51"/>
      <c r="U674" s="51"/>
      <c r="V674" s="51"/>
      <c r="W674" s="51"/>
      <c r="X674" s="51"/>
      <c r="Y674" s="51"/>
      <c r="Z674" s="51"/>
      <c r="AA674" s="51"/>
      <c r="AB674" s="51"/>
      <c r="AC674" s="51"/>
      <c r="AD674" s="51"/>
      <c r="AE674" t="s">
        <v>30</v>
      </c>
      <c r="AF674" t="s">
        <v>31</v>
      </c>
      <c r="AG674" t="s">
        <v>28</v>
      </c>
      <c r="AH674" s="51"/>
      <c r="AI674" s="51"/>
    </row>
    <row r="675" spans="2:35">
      <c r="B675" t="s">
        <v>1588</v>
      </c>
      <c r="C675" t="s">
        <v>3685</v>
      </c>
      <c r="D675">
        <v>9</v>
      </c>
      <c r="E675" t="s">
        <v>2791</v>
      </c>
      <c r="F675">
        <v>5</v>
      </c>
      <c r="G675">
        <v>12</v>
      </c>
      <c r="H675">
        <v>3</v>
      </c>
      <c r="I675" t="s">
        <v>1589</v>
      </c>
      <c r="J675" s="51">
        <v>41083</v>
      </c>
      <c r="K675" t="s">
        <v>27</v>
      </c>
      <c r="L675" t="s">
        <v>1584</v>
      </c>
      <c r="M675">
        <v>3</v>
      </c>
      <c r="N675" t="str">
        <f>L675</f>
        <v>NAM\A8070</v>
      </c>
      <c r="O675" s="51">
        <f>J675</f>
        <v>41083</v>
      </c>
      <c r="P675" s="51" t="str">
        <f>C675</f>
        <v>~/cdd/olddocs/Control Plans/MICROMINI/CELDA A&amp;B/CP-A&amp;B-002  A89N-F8AF-2.pdf</v>
      </c>
      <c r="Q675" s="51" t="str">
        <f>E675</f>
        <v>pdf</v>
      </c>
      <c r="R675" s="51"/>
      <c r="S675" s="51"/>
      <c r="T675" s="51"/>
      <c r="U675" s="51"/>
      <c r="V675" s="51"/>
      <c r="W675" s="51"/>
      <c r="X675" s="51"/>
      <c r="Y675" s="51"/>
      <c r="Z675" s="51"/>
      <c r="AA675" s="51"/>
      <c r="AB675" s="51"/>
      <c r="AC675" s="51"/>
      <c r="AD675" s="51"/>
      <c r="AG675" t="s">
        <v>1590</v>
      </c>
      <c r="AH675" s="51"/>
      <c r="AI675" s="51"/>
    </row>
    <row r="676" spans="2:35">
      <c r="B676" t="s">
        <v>1591</v>
      </c>
      <c r="C676" t="s">
        <v>3686</v>
      </c>
      <c r="D676">
        <v>9</v>
      </c>
      <c r="E676" t="s">
        <v>2791</v>
      </c>
      <c r="F676">
        <v>5</v>
      </c>
      <c r="G676">
        <v>12</v>
      </c>
      <c r="H676">
        <v>3</v>
      </c>
      <c r="I676" t="s">
        <v>1592</v>
      </c>
      <c r="J676" s="51">
        <v>41047</v>
      </c>
      <c r="K676" t="s">
        <v>27</v>
      </c>
      <c r="L676" t="s">
        <v>1584</v>
      </c>
      <c r="M676">
        <v>3</v>
      </c>
      <c r="N676" t="str">
        <f>L676</f>
        <v>NAM\A8070</v>
      </c>
      <c r="O676" s="51">
        <f>J676</f>
        <v>41047</v>
      </c>
      <c r="P676" s="51" t="str">
        <f>C676</f>
        <v>~/cdd/olddocs/Control Plans/MICROMINI/CELDA A&amp;B/CP-A&amp;B-005  AT3RC3R.pdf</v>
      </c>
      <c r="Q676" s="51" t="str">
        <f>E676</f>
        <v>pdf</v>
      </c>
      <c r="R676" s="51"/>
      <c r="S676" s="51"/>
      <c r="T676" s="51"/>
      <c r="U676" s="51"/>
      <c r="V676" s="51"/>
      <c r="W676" s="51"/>
      <c r="X676" s="51"/>
      <c r="Y676" s="51"/>
      <c r="Z676" s="51"/>
      <c r="AA676" s="51"/>
      <c r="AB676" s="51"/>
      <c r="AC676" s="51"/>
      <c r="AD676" s="51"/>
      <c r="AG676" t="s">
        <v>1593</v>
      </c>
      <c r="AH676" s="51"/>
      <c r="AI676" s="51"/>
    </row>
    <row r="677" spans="2:35">
      <c r="B677" t="s">
        <v>1594</v>
      </c>
      <c r="C677" t="s">
        <v>3687</v>
      </c>
      <c r="D677">
        <v>9</v>
      </c>
      <c r="E677" t="s">
        <v>2791</v>
      </c>
      <c r="F677">
        <v>5</v>
      </c>
      <c r="G677">
        <v>12</v>
      </c>
      <c r="H677">
        <v>3</v>
      </c>
      <c r="I677" t="s">
        <v>1595</v>
      </c>
      <c r="J677" s="51">
        <v>41045</v>
      </c>
      <c r="K677" t="s">
        <v>27</v>
      </c>
      <c r="L677" t="s">
        <v>1584</v>
      </c>
      <c r="M677">
        <v>3</v>
      </c>
      <c r="N677" t="str">
        <f>L677</f>
        <v>NAM\A8070</v>
      </c>
      <c r="O677" s="51">
        <f>J677</f>
        <v>41045</v>
      </c>
      <c r="P677" s="51" t="str">
        <f>C677</f>
        <v>~/cdd/olddocs/Control Plans/MICROMINI/CELDA A&amp;B/CP-A&amp;B-006  DM4R2ME-C.pdf</v>
      </c>
      <c r="Q677" s="51" t="str">
        <f>E677</f>
        <v>pdf</v>
      </c>
      <c r="R677" s="51"/>
      <c r="S677" s="51"/>
      <c r="T677" s="51"/>
      <c r="U677" s="51"/>
      <c r="V677" s="51"/>
      <c r="W677" s="51"/>
      <c r="X677" s="51"/>
      <c r="Y677" s="51"/>
      <c r="Z677" s="51"/>
      <c r="AA677" s="51"/>
      <c r="AB677" s="51"/>
      <c r="AC677" s="51"/>
      <c r="AD677" s="51"/>
      <c r="AG677" t="s">
        <v>1596</v>
      </c>
      <c r="AH677" s="51"/>
      <c r="AI677" s="51"/>
    </row>
    <row r="678" spans="2:35">
      <c r="B678" t="s">
        <v>1597</v>
      </c>
      <c r="C678" t="s">
        <v>3688</v>
      </c>
      <c r="D678">
        <v>9</v>
      </c>
      <c r="E678" t="s">
        <v>2791</v>
      </c>
      <c r="F678">
        <v>5</v>
      </c>
      <c r="G678">
        <v>12</v>
      </c>
      <c r="H678">
        <v>3</v>
      </c>
      <c r="I678" t="s">
        <v>1598</v>
      </c>
      <c r="J678" s="51">
        <v>41079</v>
      </c>
      <c r="K678" t="s">
        <v>27</v>
      </c>
      <c r="L678" t="s">
        <v>1584</v>
      </c>
      <c r="M678">
        <v>3</v>
      </c>
      <c r="N678" t="str">
        <f>L678</f>
        <v>NAM\A8070</v>
      </c>
      <c r="O678" s="51">
        <f>J678</f>
        <v>41079</v>
      </c>
      <c r="P678" s="51" t="str">
        <f>C678</f>
        <v>~/cdd/olddocs/Control Plans/MICROMINI/CELDA A&amp;B/CP-A&amp;B-007  A98N-43PB-N4.pdf</v>
      </c>
      <c r="Q678" s="51" t="str">
        <f>E678</f>
        <v>pdf</v>
      </c>
      <c r="R678" s="51"/>
      <c r="S678" s="51"/>
      <c r="T678" s="51"/>
      <c r="U678" s="51"/>
      <c r="V678" s="51"/>
      <c r="W678" s="51"/>
      <c r="X678" s="51"/>
      <c r="Y678" s="51"/>
      <c r="Z678" s="51"/>
      <c r="AA678" s="51"/>
      <c r="AB678" s="51"/>
      <c r="AC678" s="51"/>
      <c r="AD678" s="51"/>
      <c r="AG678" t="s">
        <v>1599</v>
      </c>
      <c r="AH678" s="51"/>
      <c r="AI678" s="51"/>
    </row>
    <row r="679" spans="2:35">
      <c r="B679" t="s">
        <v>1600</v>
      </c>
      <c r="C679" t="s">
        <v>3689</v>
      </c>
      <c r="D679">
        <v>9</v>
      </c>
      <c r="E679" t="s">
        <v>2791</v>
      </c>
      <c r="F679">
        <v>5</v>
      </c>
      <c r="G679">
        <v>12</v>
      </c>
      <c r="H679">
        <v>3</v>
      </c>
      <c r="I679" t="s">
        <v>1601</v>
      </c>
      <c r="J679" s="51">
        <v>41079</v>
      </c>
      <c r="K679" t="s">
        <v>27</v>
      </c>
      <c r="L679" t="s">
        <v>1584</v>
      </c>
      <c r="M679">
        <v>3</v>
      </c>
      <c r="N679" t="str">
        <f>L679</f>
        <v>NAM\A8070</v>
      </c>
      <c r="O679" s="51">
        <f>J679</f>
        <v>41079</v>
      </c>
      <c r="P679" s="51" t="str">
        <f>C679</f>
        <v>~/cdd/olddocs/Control Plans/MICROMINI/CELDA A&amp;B/CP-A&amp;B-008  CHDN-TAER-N.pdf</v>
      </c>
      <c r="Q679" s="51" t="str">
        <f>E679</f>
        <v>pdf</v>
      </c>
      <c r="R679" s="51"/>
      <c r="S679" s="51"/>
      <c r="T679" s="51"/>
      <c r="U679" s="51"/>
      <c r="V679" s="51"/>
      <c r="W679" s="51"/>
      <c r="X679" s="51"/>
      <c r="Y679" s="51"/>
      <c r="Z679" s="51"/>
      <c r="AA679" s="51"/>
      <c r="AB679" s="51"/>
      <c r="AC679" s="51"/>
      <c r="AD679" s="51"/>
      <c r="AG679" t="s">
        <v>1602</v>
      </c>
      <c r="AH679" s="51"/>
      <c r="AI679" s="51"/>
    </row>
    <row r="680" spans="2:35">
      <c r="B680" t="s">
        <v>1603</v>
      </c>
      <c r="C680" t="s">
        <v>3690</v>
      </c>
      <c r="D680">
        <v>9</v>
      </c>
      <c r="E680" t="s">
        <v>2791</v>
      </c>
      <c r="F680">
        <v>5</v>
      </c>
      <c r="G680">
        <v>12</v>
      </c>
      <c r="H680">
        <v>3</v>
      </c>
      <c r="I680" t="s">
        <v>1601</v>
      </c>
      <c r="J680" s="51">
        <v>41079</v>
      </c>
      <c r="K680" t="s">
        <v>27</v>
      </c>
      <c r="L680" t="s">
        <v>1584</v>
      </c>
      <c r="M680">
        <v>3</v>
      </c>
      <c r="N680" t="str">
        <f>L680</f>
        <v>NAM\A8070</v>
      </c>
      <c r="O680" s="51">
        <f>J680</f>
        <v>41079</v>
      </c>
      <c r="P680" s="51" t="str">
        <f>C680</f>
        <v>~/cdd/olddocs/Control Plans/MICROMINI/CELDA A&amp;B/CP-A&amp;B-009  CHDN-TAER-NG.pdf</v>
      </c>
      <c r="Q680" s="51" t="str">
        <f>E680</f>
        <v>pdf</v>
      </c>
      <c r="R680" s="51"/>
      <c r="S680" s="51"/>
      <c r="T680" s="51"/>
      <c r="U680" s="51"/>
      <c r="V680" s="51"/>
      <c r="W680" s="51"/>
      <c r="X680" s="51"/>
      <c r="Y680" s="51"/>
      <c r="Z680" s="51"/>
      <c r="AA680" s="51"/>
      <c r="AB680" s="51"/>
      <c r="AC680" s="51"/>
      <c r="AD680" s="51"/>
      <c r="AG680" t="s">
        <v>1604</v>
      </c>
      <c r="AH680" s="51"/>
      <c r="AI680" s="51"/>
    </row>
    <row r="681" spans="2:35">
      <c r="B681" t="s">
        <v>1605</v>
      </c>
      <c r="C681" t="s">
        <v>3691</v>
      </c>
      <c r="D681">
        <v>9</v>
      </c>
      <c r="E681" t="s">
        <v>2791</v>
      </c>
      <c r="F681">
        <v>5</v>
      </c>
      <c r="G681">
        <v>12</v>
      </c>
      <c r="H681">
        <v>3</v>
      </c>
      <c r="I681" t="s">
        <v>1606</v>
      </c>
      <c r="J681" s="51">
        <v>41046</v>
      </c>
      <c r="K681" t="s">
        <v>27</v>
      </c>
      <c r="L681" t="s">
        <v>1584</v>
      </c>
      <c r="M681">
        <v>3</v>
      </c>
      <c r="N681" t="str">
        <f>L681</f>
        <v>NAM\A8070</v>
      </c>
      <c r="O681" s="51">
        <f>J681</f>
        <v>41046</v>
      </c>
      <c r="P681" s="51" t="str">
        <f>C681</f>
        <v>~/cdd/olddocs/Control Plans/MICROMINI/CELDA A&amp;B/CP-A&amp;B-010  DM4Q2M24E.pdf</v>
      </c>
      <c r="Q681" s="51" t="str">
        <f>E681</f>
        <v>pdf</v>
      </c>
      <c r="R681" s="51"/>
      <c r="S681" s="51"/>
      <c r="T681" s="51"/>
      <c r="U681" s="51"/>
      <c r="V681" s="51"/>
      <c r="W681" s="51"/>
      <c r="X681" s="51"/>
      <c r="Y681" s="51"/>
      <c r="Z681" s="51"/>
      <c r="AA681" s="51"/>
      <c r="AB681" s="51"/>
      <c r="AC681" s="51"/>
      <c r="AD681" s="51"/>
      <c r="AG681" t="s">
        <v>1607</v>
      </c>
      <c r="AH681" s="51"/>
      <c r="AI681" s="51"/>
    </row>
    <row r="682" spans="2:35">
      <c r="B682" t="s">
        <v>1608</v>
      </c>
      <c r="C682" t="s">
        <v>3692</v>
      </c>
      <c r="D682">
        <v>9</v>
      </c>
      <c r="E682" t="s">
        <v>2791</v>
      </c>
      <c r="F682">
        <v>5</v>
      </c>
      <c r="G682">
        <v>12</v>
      </c>
      <c r="H682">
        <v>3</v>
      </c>
      <c r="I682" t="s">
        <v>1592</v>
      </c>
      <c r="J682" s="51">
        <v>41047</v>
      </c>
      <c r="K682" t="s">
        <v>27</v>
      </c>
      <c r="L682" t="s">
        <v>1584</v>
      </c>
      <c r="M682">
        <v>3</v>
      </c>
      <c r="N682" t="str">
        <f>L682</f>
        <v>NAM\A8070</v>
      </c>
      <c r="O682" s="51">
        <f>J682</f>
        <v>41047</v>
      </c>
      <c r="P682" s="51" t="str">
        <f>C682</f>
        <v>~/cdd/olddocs/Control Plans/MICROMINI/CELDA A&amp;B/CP-A&amp;B-011  AT3RC3R.pdf</v>
      </c>
      <c r="Q682" s="51" t="str">
        <f>E682</f>
        <v>pdf</v>
      </c>
      <c r="R682" s="51"/>
      <c r="S682" s="51"/>
      <c r="T682" s="51"/>
      <c r="U682" s="51"/>
      <c r="V682" s="51"/>
      <c r="W682" s="51"/>
      <c r="X682" s="51"/>
      <c r="Y682" s="51"/>
      <c r="Z682" s="51"/>
      <c r="AA682" s="51"/>
      <c r="AB682" s="51"/>
      <c r="AC682" s="51"/>
      <c r="AD682" s="51"/>
      <c r="AG682" t="s">
        <v>1609</v>
      </c>
      <c r="AH682" s="51"/>
      <c r="AI682" s="51"/>
    </row>
    <row r="683" spans="2:35">
      <c r="B683" t="s">
        <v>1610</v>
      </c>
      <c r="C683" t="s">
        <v>3926</v>
      </c>
      <c r="D683">
        <v>9</v>
      </c>
      <c r="E683" t="s">
        <v>2790</v>
      </c>
      <c r="F683">
        <v>5</v>
      </c>
      <c r="G683">
        <v>12</v>
      </c>
      <c r="H683">
        <v>3</v>
      </c>
      <c r="I683" t="s">
        <v>1611</v>
      </c>
      <c r="J683" s="51">
        <v>41047</v>
      </c>
      <c r="K683" t="s">
        <v>27</v>
      </c>
      <c r="L683" t="s">
        <v>1584</v>
      </c>
      <c r="M683">
        <v>3</v>
      </c>
      <c r="N683" t="str">
        <f>L683</f>
        <v>NAM\A8070</v>
      </c>
      <c r="O683" s="51">
        <f>J683</f>
        <v>41047</v>
      </c>
      <c r="P683" s="51" t="str">
        <f>C683</f>
        <v>~/cdd/olddocs/CN-QAAS (Aseguranza de calidad)/Control Plans/MICROMINI/CELDA A-B/CP-A&amp;B-012  Rev. A  PDR1-18.xlsx</v>
      </c>
      <c r="Q683" s="51" t="str">
        <f>E683</f>
        <v>xlsx</v>
      </c>
      <c r="R683" s="51"/>
      <c r="S683" s="51"/>
      <c r="T683" s="51"/>
      <c r="U683" s="51"/>
      <c r="V683" s="51"/>
      <c r="W683" s="51"/>
      <c r="X683" s="51"/>
      <c r="Y683" s="51"/>
      <c r="Z683" s="51"/>
      <c r="AA683" s="51"/>
      <c r="AB683" s="51"/>
      <c r="AC683" s="51"/>
      <c r="AD683" s="51"/>
      <c r="AG683" t="s">
        <v>1612</v>
      </c>
      <c r="AH683" s="51"/>
      <c r="AI683" s="51"/>
    </row>
    <row r="684" spans="2:35">
      <c r="B684" t="s">
        <v>1613</v>
      </c>
      <c r="C684" t="s">
        <v>3693</v>
      </c>
      <c r="D684">
        <v>9</v>
      </c>
      <c r="E684" t="s">
        <v>2791</v>
      </c>
      <c r="F684">
        <v>5</v>
      </c>
      <c r="G684">
        <v>12</v>
      </c>
      <c r="H684">
        <v>3</v>
      </c>
      <c r="I684" t="s">
        <v>1614</v>
      </c>
      <c r="J684" s="51">
        <v>41076</v>
      </c>
      <c r="K684" t="s">
        <v>27</v>
      </c>
      <c r="L684" t="s">
        <v>1584</v>
      </c>
      <c r="M684">
        <v>3</v>
      </c>
      <c r="N684" t="str">
        <f>L684</f>
        <v>NAM\A8070</v>
      </c>
      <c r="O684" s="51">
        <f>J684</f>
        <v>41076</v>
      </c>
      <c r="P684" s="51" t="str">
        <f>C684</f>
        <v>~/cdd/olddocs/Control Plans/MICROMINI/CELDA A&amp;B/CP-A&amp;B-013  1326304.pdf</v>
      </c>
      <c r="Q684" s="51" t="str">
        <f>E684</f>
        <v>pdf</v>
      </c>
      <c r="R684" s="51"/>
      <c r="S684" s="51"/>
      <c r="T684" s="51"/>
      <c r="U684" s="51"/>
      <c r="V684" s="51"/>
      <c r="W684" s="51"/>
      <c r="X684" s="51"/>
      <c r="Y684" s="51"/>
      <c r="Z684" s="51"/>
      <c r="AA684" s="51"/>
      <c r="AB684" s="51"/>
      <c r="AC684" s="51"/>
      <c r="AD684" s="51"/>
      <c r="AG684">
        <v>1326304</v>
      </c>
      <c r="AH684" s="51"/>
      <c r="AI684" s="51"/>
    </row>
    <row r="685" spans="2:35">
      <c r="B685" t="s">
        <v>1615</v>
      </c>
      <c r="C685" t="s">
        <v>3694</v>
      </c>
      <c r="D685">
        <v>9</v>
      </c>
      <c r="E685" t="s">
        <v>2791</v>
      </c>
      <c r="F685">
        <v>5</v>
      </c>
      <c r="G685">
        <v>12</v>
      </c>
      <c r="H685">
        <v>3</v>
      </c>
      <c r="I685" t="s">
        <v>1616</v>
      </c>
      <c r="J685" s="51">
        <v>41083</v>
      </c>
      <c r="K685" t="s">
        <v>27</v>
      </c>
      <c r="L685" t="s">
        <v>1584</v>
      </c>
      <c r="M685">
        <v>3</v>
      </c>
      <c r="N685" t="str">
        <f>L685</f>
        <v>NAM\A8070</v>
      </c>
      <c r="O685" s="51">
        <f>J685</f>
        <v>41083</v>
      </c>
      <c r="P685" s="51" t="str">
        <f>C685</f>
        <v>~/cdd/olddocs/Control Plans/MICROMINI/CELDA A&amp;B/CP-A&amp;B-014  A89N-F7AF-5.pdf</v>
      </c>
      <c r="Q685" s="51" t="str">
        <f>E685</f>
        <v>pdf</v>
      </c>
      <c r="R685" s="51"/>
      <c r="S685" s="51"/>
      <c r="T685" s="51"/>
      <c r="U685" s="51"/>
      <c r="V685" s="51"/>
      <c r="W685" s="51"/>
      <c r="X685" s="51"/>
      <c r="Y685" s="51"/>
      <c r="Z685" s="51"/>
      <c r="AA685" s="51"/>
      <c r="AB685" s="51"/>
      <c r="AC685" s="51"/>
      <c r="AD685" s="51"/>
      <c r="AG685" t="s">
        <v>1617</v>
      </c>
      <c r="AH685" s="51"/>
      <c r="AI685" s="51"/>
    </row>
    <row r="686" spans="2:35">
      <c r="B686" t="s">
        <v>1618</v>
      </c>
      <c r="C686" t="s">
        <v>3695</v>
      </c>
      <c r="D686">
        <v>9</v>
      </c>
      <c r="E686" t="s">
        <v>2791</v>
      </c>
      <c r="F686">
        <v>5</v>
      </c>
      <c r="G686">
        <v>12</v>
      </c>
      <c r="H686">
        <v>3</v>
      </c>
      <c r="I686" t="s">
        <v>1619</v>
      </c>
      <c r="J686" s="51">
        <v>41036</v>
      </c>
      <c r="K686" t="s">
        <v>27</v>
      </c>
      <c r="L686" t="s">
        <v>1584</v>
      </c>
      <c r="M686">
        <v>3</v>
      </c>
      <c r="N686" t="str">
        <f>L686</f>
        <v>NAM\A8070</v>
      </c>
      <c r="O686" s="51">
        <f>J686</f>
        <v>41036</v>
      </c>
      <c r="P686" s="51" t="str">
        <f>C686</f>
        <v>~/cdd/olddocs/Control Plans/MICROMINI/CELDA A&amp;B/CP-A&amp;B-015  XC6XXXXXXXXX.pdf</v>
      </c>
      <c r="Q686" s="51" t="str">
        <f>E686</f>
        <v>pdf</v>
      </c>
      <c r="R686" s="51"/>
      <c r="S686" s="51"/>
      <c r="T686" s="51"/>
      <c r="U686" s="51"/>
      <c r="V686" s="51"/>
      <c r="W686" s="51"/>
      <c r="X686" s="51"/>
      <c r="Y686" s="51"/>
      <c r="Z686" s="51"/>
      <c r="AA686" s="51"/>
      <c r="AB686" s="51"/>
      <c r="AC686" s="51"/>
      <c r="AD686" s="51"/>
      <c r="AG686" t="s">
        <v>1620</v>
      </c>
      <c r="AH686" s="51"/>
      <c r="AI686" s="51"/>
    </row>
    <row r="687" spans="2:35">
      <c r="B687" t="s">
        <v>1621</v>
      </c>
      <c r="C687" t="s">
        <v>3696</v>
      </c>
      <c r="D687">
        <v>9</v>
      </c>
      <c r="E687" t="s">
        <v>2791</v>
      </c>
      <c r="F687">
        <v>5</v>
      </c>
      <c r="G687">
        <v>12</v>
      </c>
      <c r="H687">
        <v>3</v>
      </c>
      <c r="I687" t="s">
        <v>1622</v>
      </c>
      <c r="J687" s="51">
        <v>40980</v>
      </c>
      <c r="K687" t="s">
        <v>27</v>
      </c>
      <c r="L687" t="s">
        <v>1584</v>
      </c>
      <c r="M687">
        <v>3</v>
      </c>
      <c r="N687" t="str">
        <f>L687</f>
        <v>NAM\A8070</v>
      </c>
      <c r="O687" s="51">
        <f>J687</f>
        <v>40980</v>
      </c>
      <c r="P687" s="51" t="str">
        <f>C687</f>
        <v>~/cdd/olddocs/Control Plans/MICROMINI/CELDA A&amp;B/CP-A&amp;B-016  ML4C4TC.pdf</v>
      </c>
      <c r="Q687" s="51" t="str">
        <f>E687</f>
        <v>pdf</v>
      </c>
      <c r="R687" s="51"/>
      <c r="S687" s="51"/>
      <c r="T687" s="51"/>
      <c r="U687" s="51"/>
      <c r="V687" s="51"/>
      <c r="W687" s="51"/>
      <c r="X687" s="51"/>
      <c r="Y687" s="51"/>
      <c r="Z687" s="51"/>
      <c r="AA687" s="51"/>
      <c r="AB687" s="51"/>
      <c r="AC687" s="51"/>
      <c r="AD687" s="51"/>
      <c r="AG687" t="s">
        <v>1623</v>
      </c>
      <c r="AH687" s="51"/>
      <c r="AI687" s="51"/>
    </row>
    <row r="688" spans="2:35">
      <c r="B688" t="s">
        <v>1624</v>
      </c>
      <c r="C688" t="s">
        <v>3696</v>
      </c>
      <c r="D688">
        <v>9</v>
      </c>
      <c r="E688" t="s">
        <v>2791</v>
      </c>
      <c r="F688">
        <v>5</v>
      </c>
      <c r="G688">
        <v>12</v>
      </c>
      <c r="H688">
        <v>3</v>
      </c>
      <c r="I688" t="s">
        <v>1625</v>
      </c>
      <c r="J688" s="51">
        <v>41025</v>
      </c>
      <c r="K688" t="s">
        <v>27</v>
      </c>
      <c r="L688" t="s">
        <v>1584</v>
      </c>
      <c r="M688">
        <v>3</v>
      </c>
      <c r="N688" t="str">
        <f>L688</f>
        <v>NAM\A8070</v>
      </c>
      <c r="O688" s="51">
        <f>J688</f>
        <v>41025</v>
      </c>
      <c r="P688" s="51" t="str">
        <f>C688</f>
        <v>~/cdd/olddocs/Control Plans/MICROMINI/CELDA A&amp;B/CP-A&amp;B-016  ML4C4TC.pdf</v>
      </c>
      <c r="Q688" s="51" t="str">
        <f>E688</f>
        <v>pdf</v>
      </c>
      <c r="R688" s="51"/>
      <c r="S688" s="51"/>
      <c r="T688" s="51"/>
      <c r="U688" s="51"/>
      <c r="V688" s="51"/>
      <c r="W688" s="51"/>
      <c r="X688" s="51"/>
      <c r="Y688" s="51"/>
      <c r="Z688" s="51"/>
      <c r="AA688" s="51"/>
      <c r="AB688" s="51"/>
      <c r="AC688" s="51"/>
      <c r="AD688" s="51"/>
      <c r="AG688" t="s">
        <v>1626</v>
      </c>
      <c r="AH688" s="51"/>
      <c r="AI688" s="51"/>
    </row>
    <row r="689" spans="2:35">
      <c r="B689" t="s">
        <v>1627</v>
      </c>
      <c r="C689" t="s">
        <v>3697</v>
      </c>
      <c r="D689">
        <v>9</v>
      </c>
      <c r="E689" t="s">
        <v>2791</v>
      </c>
      <c r="F689">
        <v>5</v>
      </c>
      <c r="G689">
        <v>12</v>
      </c>
      <c r="H689">
        <v>3</v>
      </c>
      <c r="I689" t="s">
        <v>1595</v>
      </c>
      <c r="J689" s="51">
        <v>40997</v>
      </c>
      <c r="K689" t="s">
        <v>27</v>
      </c>
      <c r="L689" t="s">
        <v>1584</v>
      </c>
      <c r="M689">
        <v>3</v>
      </c>
      <c r="N689" t="str">
        <f>L689</f>
        <v>NAM\A8070</v>
      </c>
      <c r="O689" s="51">
        <f>J689</f>
        <v>40997</v>
      </c>
      <c r="P689" s="51" t="str">
        <f>C689</f>
        <v>~/cdd/olddocs/Control Plans/MICROMINI/CELDA A&amp;B/CP-A&amp;B-018  ADM4Q2M24E.pdf</v>
      </c>
      <c r="Q689" s="51" t="str">
        <f>E689</f>
        <v>pdf</v>
      </c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G689" t="s">
        <v>1628</v>
      </c>
      <c r="AH689" s="51"/>
      <c r="AI689" s="51"/>
    </row>
    <row r="690" spans="2:35">
      <c r="B690" t="s">
        <v>1629</v>
      </c>
      <c r="C690" t="s">
        <v>3698</v>
      </c>
      <c r="D690">
        <v>9</v>
      </c>
      <c r="E690" t="s">
        <v>2791</v>
      </c>
      <c r="F690">
        <v>5</v>
      </c>
      <c r="G690">
        <v>12</v>
      </c>
      <c r="H690">
        <v>3</v>
      </c>
      <c r="I690" t="s">
        <v>1630</v>
      </c>
      <c r="J690" s="51">
        <v>40980</v>
      </c>
      <c r="K690" t="s">
        <v>27</v>
      </c>
      <c r="L690" t="s">
        <v>1584</v>
      </c>
      <c r="M690">
        <v>3</v>
      </c>
      <c r="N690" t="str">
        <f>L690</f>
        <v>NAM\A8070</v>
      </c>
      <c r="O690" s="51">
        <f>J690</f>
        <v>40980</v>
      </c>
      <c r="P690" s="51" t="str">
        <f>C690</f>
        <v>~/cdd/olddocs/Control Plans/MICROMINI/CELDA A&amp;B/CP-A&amp;B-019  DM4F2TE.pdf</v>
      </c>
      <c r="Q690" s="51" t="str">
        <f>E690</f>
        <v>pdf</v>
      </c>
      <c r="R690" s="51"/>
      <c r="S690" s="51"/>
      <c r="T690" s="51"/>
      <c r="U690" s="51"/>
      <c r="V690" s="51"/>
      <c r="W690" s="51"/>
      <c r="X690" s="51"/>
      <c r="Y690" s="51"/>
      <c r="Z690" s="51"/>
      <c r="AA690" s="51"/>
      <c r="AB690" s="51"/>
      <c r="AC690" s="51"/>
      <c r="AD690" s="51"/>
      <c r="AG690" t="s">
        <v>1631</v>
      </c>
      <c r="AH690" s="51"/>
      <c r="AI690" s="51"/>
    </row>
    <row r="691" spans="2:35">
      <c r="B691" t="s">
        <v>1632</v>
      </c>
      <c r="C691" t="s">
        <v>3699</v>
      </c>
      <c r="D691">
        <v>9</v>
      </c>
      <c r="E691" t="s">
        <v>2791</v>
      </c>
      <c r="F691">
        <v>5</v>
      </c>
      <c r="G691">
        <v>12</v>
      </c>
      <c r="H691">
        <v>3</v>
      </c>
      <c r="I691" t="s">
        <v>1633</v>
      </c>
      <c r="J691" s="51">
        <v>40997</v>
      </c>
      <c r="K691" t="s">
        <v>27</v>
      </c>
      <c r="L691" t="s">
        <v>1584</v>
      </c>
      <c r="M691">
        <v>3</v>
      </c>
      <c r="N691" t="str">
        <f>L691</f>
        <v>NAM\A8070</v>
      </c>
      <c r="O691" s="51">
        <f>J691</f>
        <v>40997</v>
      </c>
      <c r="P691" s="51" t="str">
        <f>C691</f>
        <v>~/cdd/olddocs/Control Plans/MICROMINI/CELDA A&amp;B/CP-A&amp;B-020  DM4B2ME010M.pdf</v>
      </c>
      <c r="Q691" s="51" t="str">
        <f>E691</f>
        <v>pdf</v>
      </c>
      <c r="R691" s="51"/>
      <c r="S691" s="51"/>
      <c r="T691" s="51"/>
      <c r="U691" s="51"/>
      <c r="V691" s="51"/>
      <c r="W691" s="51"/>
      <c r="X691" s="51"/>
      <c r="Y691" s="51"/>
      <c r="Z691" s="51"/>
      <c r="AA691" s="51"/>
      <c r="AB691" s="51"/>
      <c r="AC691" s="51"/>
      <c r="AD691" s="51"/>
      <c r="AG691" t="s">
        <v>1634</v>
      </c>
      <c r="AH691" s="51"/>
      <c r="AI691" s="51"/>
    </row>
    <row r="692" spans="2:35">
      <c r="B692" t="s">
        <v>1635</v>
      </c>
      <c r="C692" t="s">
        <v>3700</v>
      </c>
      <c r="D692">
        <v>9</v>
      </c>
      <c r="E692" t="s">
        <v>2791</v>
      </c>
      <c r="F692">
        <v>5</v>
      </c>
      <c r="G692">
        <v>12</v>
      </c>
      <c r="H692">
        <v>3</v>
      </c>
      <c r="I692" t="s">
        <v>1636</v>
      </c>
      <c r="J692" s="51">
        <v>41079</v>
      </c>
      <c r="K692" t="s">
        <v>27</v>
      </c>
      <c r="L692" t="s">
        <v>1584</v>
      </c>
      <c r="M692">
        <v>3</v>
      </c>
      <c r="N692" t="str">
        <f>L692</f>
        <v>NAM\A8070</v>
      </c>
      <c r="O692" s="51">
        <f>J692</f>
        <v>41079</v>
      </c>
      <c r="P692" s="51" t="str">
        <f>C692</f>
        <v>~/cdd/olddocs/Control Plans/MICROMINI/CELDA A&amp;B/CP-A&amp;B-021  CHDN-TAER-NG.pdf</v>
      </c>
      <c r="Q692" s="51" t="str">
        <f>E692</f>
        <v>pdf</v>
      </c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G692" t="s">
        <v>1637</v>
      </c>
      <c r="AH692" s="51"/>
      <c r="AI692" s="51"/>
    </row>
    <row r="693" spans="2:35">
      <c r="B693" t="s">
        <v>1638</v>
      </c>
      <c r="C693" t="s">
        <v>3701</v>
      </c>
      <c r="D693">
        <v>9</v>
      </c>
      <c r="E693" t="s">
        <v>2791</v>
      </c>
      <c r="F693">
        <v>5</v>
      </c>
      <c r="G693">
        <v>12</v>
      </c>
      <c r="H693">
        <v>3</v>
      </c>
      <c r="I693" t="s">
        <v>1639</v>
      </c>
      <c r="J693" s="51">
        <v>41074</v>
      </c>
      <c r="K693" t="s">
        <v>27</v>
      </c>
      <c r="L693" t="s">
        <v>1584</v>
      </c>
      <c r="M693">
        <v>3</v>
      </c>
      <c r="N693" t="str">
        <f>L693</f>
        <v>NAM\A8070</v>
      </c>
      <c r="O693" s="51">
        <f>J693</f>
        <v>41074</v>
      </c>
      <c r="P693" s="51" t="str">
        <f>C693</f>
        <v>~/cdd/olddocs/Control Plans/MICROMINI/CELDA A&amp;B/CP-A&amp;B-022  CA4P7C09C040MY.pdf</v>
      </c>
      <c r="Q693" s="51" t="str">
        <f>E693</f>
        <v>pdf</v>
      </c>
      <c r="R693" s="51"/>
      <c r="S693" s="51"/>
      <c r="T693" s="51"/>
      <c r="U693" s="51"/>
      <c r="V693" s="51"/>
      <c r="W693" s="51"/>
      <c r="X693" s="51"/>
      <c r="Y693" s="51"/>
      <c r="Z693" s="51"/>
      <c r="AA693" s="51"/>
      <c r="AB693" s="51"/>
      <c r="AC693" s="51"/>
      <c r="AD693" s="51"/>
      <c r="AG693" t="s">
        <v>1640</v>
      </c>
      <c r="AH693" s="51"/>
      <c r="AI693" s="51"/>
    </row>
    <row r="694" spans="2:35">
      <c r="B694" t="s">
        <v>1641</v>
      </c>
      <c r="C694" t="s">
        <v>3702</v>
      </c>
      <c r="D694">
        <v>9</v>
      </c>
      <c r="E694" t="s">
        <v>2791</v>
      </c>
      <c r="F694">
        <v>5</v>
      </c>
      <c r="G694">
        <v>12</v>
      </c>
      <c r="H694">
        <v>3</v>
      </c>
      <c r="I694" t="s">
        <v>1592</v>
      </c>
      <c r="J694" s="51">
        <v>41047</v>
      </c>
      <c r="K694" t="s">
        <v>27</v>
      </c>
      <c r="L694" t="s">
        <v>1584</v>
      </c>
      <c r="M694">
        <v>3</v>
      </c>
      <c r="N694" t="str">
        <f>L694</f>
        <v>NAM\A8070</v>
      </c>
      <c r="O694" s="51">
        <f>J694</f>
        <v>41047</v>
      </c>
      <c r="P694" s="51" t="str">
        <f>C694</f>
        <v>~/cdd/olddocs/Control Plans/MICROMINI/CELDA A&amp;B/CP-A&amp;B-023  AT3RC3R.pdf</v>
      </c>
      <c r="Q694" s="51" t="str">
        <f>E694</f>
        <v>pdf</v>
      </c>
      <c r="R694" s="51"/>
      <c r="S694" s="51"/>
      <c r="T694" s="51"/>
      <c r="U694" s="51"/>
      <c r="V694" s="51"/>
      <c r="W694" s="51"/>
      <c r="X694" s="51"/>
      <c r="Y694" s="51"/>
      <c r="Z694" s="51"/>
      <c r="AA694" s="51"/>
      <c r="AB694" s="51"/>
      <c r="AC694" s="51"/>
      <c r="AD694" s="51"/>
      <c r="AG694" t="s">
        <v>1593</v>
      </c>
      <c r="AH694" s="51"/>
      <c r="AI694" s="51"/>
    </row>
    <row r="695" spans="2:35">
      <c r="B695" t="s">
        <v>1642</v>
      </c>
      <c r="C695" t="s">
        <v>3703</v>
      </c>
      <c r="D695">
        <v>9</v>
      </c>
      <c r="E695" t="s">
        <v>2791</v>
      </c>
      <c r="F695">
        <v>5</v>
      </c>
      <c r="G695">
        <v>12</v>
      </c>
      <c r="H695">
        <v>3</v>
      </c>
      <c r="I695" t="s">
        <v>1643</v>
      </c>
      <c r="J695" s="51">
        <v>41048</v>
      </c>
      <c r="K695" t="s">
        <v>27</v>
      </c>
      <c r="L695" t="s">
        <v>1584</v>
      </c>
      <c r="M695">
        <v>3</v>
      </c>
      <c r="N695" t="str">
        <f>L695</f>
        <v>NAM\A8070</v>
      </c>
      <c r="O695" s="51">
        <f>J695</f>
        <v>41048</v>
      </c>
      <c r="P695" s="51" t="str">
        <f>C695</f>
        <v>~/cdd/olddocs/Control Plans/MICROMINI/CELDA A&amp;B/CP-A&amp;B-024  AM3F2MG.pdf</v>
      </c>
      <c r="Q695" s="51" t="str">
        <f>E695</f>
        <v>pdf</v>
      </c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G695" t="s">
        <v>1644</v>
      </c>
      <c r="AH695" s="51"/>
      <c r="AI695" s="51"/>
    </row>
    <row r="696" spans="2:35">
      <c r="B696" t="s">
        <v>1645</v>
      </c>
      <c r="C696" t="s">
        <v>3704</v>
      </c>
      <c r="D696">
        <v>9</v>
      </c>
      <c r="E696" t="s">
        <v>2791</v>
      </c>
      <c r="F696">
        <v>5</v>
      </c>
      <c r="G696">
        <v>12</v>
      </c>
      <c r="H696">
        <v>3</v>
      </c>
      <c r="I696" t="s">
        <v>1646</v>
      </c>
      <c r="J696" s="51">
        <v>41030</v>
      </c>
      <c r="K696" t="s">
        <v>27</v>
      </c>
      <c r="L696" t="s">
        <v>1584</v>
      </c>
      <c r="M696">
        <v>3</v>
      </c>
      <c r="N696" t="str">
        <f>L696</f>
        <v>NAM\A8070</v>
      </c>
      <c r="O696" s="51">
        <f>J696</f>
        <v>41030</v>
      </c>
      <c r="P696" s="51" t="str">
        <f>C696</f>
        <v>~/cdd/olddocs/Control Plans/MICROMINI/CELDA A&amp;B/CP-A&amp;B-025  ABSP4R5C.pdf</v>
      </c>
      <c r="Q696" s="51" t="str">
        <f>E696</f>
        <v>pdf</v>
      </c>
      <c r="R696" s="51"/>
      <c r="S696" s="51"/>
      <c r="T696" s="51"/>
      <c r="U696" s="51"/>
      <c r="V696" s="51"/>
      <c r="W696" s="51"/>
      <c r="X696" s="51"/>
      <c r="Y696" s="51"/>
      <c r="Z696" s="51"/>
      <c r="AA696" s="51"/>
      <c r="AB696" s="51"/>
      <c r="AC696" s="51"/>
      <c r="AD696" s="51"/>
      <c r="AG696" t="s">
        <v>1647</v>
      </c>
      <c r="AH696" s="51"/>
      <c r="AI696" s="51"/>
    </row>
    <row r="697" spans="2:35">
      <c r="B697" t="s">
        <v>1648</v>
      </c>
      <c r="C697" t="s">
        <v>3705</v>
      </c>
      <c r="D697">
        <v>9</v>
      </c>
      <c r="E697" t="s">
        <v>2791</v>
      </c>
      <c r="F697">
        <v>5</v>
      </c>
      <c r="G697">
        <v>12</v>
      </c>
      <c r="H697">
        <v>3</v>
      </c>
      <c r="I697" t="s">
        <v>1649</v>
      </c>
      <c r="J697" s="51">
        <v>41079</v>
      </c>
      <c r="K697" t="s">
        <v>27</v>
      </c>
      <c r="L697" t="s">
        <v>1584</v>
      </c>
      <c r="M697">
        <v>3</v>
      </c>
      <c r="N697" t="str">
        <f>L697</f>
        <v>NAM\A8070</v>
      </c>
      <c r="O697" s="51">
        <f>J697</f>
        <v>41079</v>
      </c>
      <c r="P697" s="51" t="str">
        <f>C697</f>
        <v>~/cdd/olddocs/Control Plans/MICROMINI/CELDA A&amp;B/CP-A&amp;B-026  A98N43PBN4.pdf</v>
      </c>
      <c r="Q697" s="51" t="str">
        <f>E697</f>
        <v>pdf</v>
      </c>
      <c r="R697" s="51"/>
      <c r="S697" s="51"/>
      <c r="T697" s="51"/>
      <c r="U697" s="51"/>
      <c r="V697" s="51"/>
      <c r="W697" s="51"/>
      <c r="X697" s="51"/>
      <c r="Y697" s="51"/>
      <c r="Z697" s="51"/>
      <c r="AA697" s="51"/>
      <c r="AB697" s="51"/>
      <c r="AC697" s="51"/>
      <c r="AD697" s="51"/>
      <c r="AG697" t="s">
        <v>1650</v>
      </c>
      <c r="AH697" s="51"/>
      <c r="AI697" s="51"/>
    </row>
    <row r="698" spans="2:35">
      <c r="B698" t="s">
        <v>1651</v>
      </c>
      <c r="C698" t="s">
        <v>3706</v>
      </c>
      <c r="D698">
        <v>9</v>
      </c>
      <c r="E698" t="s">
        <v>2791</v>
      </c>
      <c r="F698">
        <v>5</v>
      </c>
      <c r="G698">
        <v>12</v>
      </c>
      <c r="H698">
        <v>3</v>
      </c>
      <c r="I698" t="s">
        <v>1652</v>
      </c>
      <c r="J698" s="51">
        <v>41046</v>
      </c>
      <c r="K698" t="s">
        <v>27</v>
      </c>
      <c r="L698" t="s">
        <v>1584</v>
      </c>
      <c r="M698">
        <v>3</v>
      </c>
      <c r="N698" t="str">
        <f>L698</f>
        <v>NAM\A8070</v>
      </c>
      <c r="O698" s="51">
        <f>J698</f>
        <v>41046</v>
      </c>
      <c r="P698" s="51" t="str">
        <f>C698</f>
        <v>~/cdd/olddocs/Control Plans/MICROMINI/CELDA A&amp;B/CP-A&amp;B-027  A89DR4HC.pdf</v>
      </c>
      <c r="Q698" s="51" t="str">
        <f>E698</f>
        <v>pdf</v>
      </c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G698" t="s">
        <v>1653</v>
      </c>
      <c r="AH698" s="51"/>
      <c r="AI698" s="51"/>
    </row>
    <row r="699" spans="2:35">
      <c r="B699" t="s">
        <v>1654</v>
      </c>
      <c r="C699" t="s">
        <v>3707</v>
      </c>
      <c r="D699">
        <v>9</v>
      </c>
      <c r="E699" t="s">
        <v>2791</v>
      </c>
      <c r="F699">
        <v>5</v>
      </c>
      <c r="G699">
        <v>12</v>
      </c>
      <c r="H699">
        <v>3</v>
      </c>
      <c r="I699" t="s">
        <v>1655</v>
      </c>
      <c r="J699" s="51">
        <v>41017</v>
      </c>
      <c r="K699" t="s">
        <v>27</v>
      </c>
      <c r="L699" t="s">
        <v>1584</v>
      </c>
      <c r="M699">
        <v>3</v>
      </c>
      <c r="N699" t="str">
        <f>L699</f>
        <v>NAM\A8070</v>
      </c>
      <c r="O699" s="51">
        <f>J699</f>
        <v>41017</v>
      </c>
      <c r="P699" s="51" t="str">
        <f>C699</f>
        <v>~/cdd/olddocs/Control Plans/MICROMINI/CELDA A&amp;B/CP-A&amp;B-028  A79DM3AERF50F5.pdf</v>
      </c>
      <c r="Q699" s="51" t="str">
        <f>E699</f>
        <v>pdf</v>
      </c>
      <c r="R699" s="51"/>
      <c r="S699" s="51"/>
      <c r="T699" s="51"/>
      <c r="U699" s="51"/>
      <c r="V699" s="51"/>
      <c r="W699" s="51"/>
      <c r="X699" s="51"/>
      <c r="Y699" s="51"/>
      <c r="Z699" s="51"/>
      <c r="AA699" s="51"/>
      <c r="AB699" s="51"/>
      <c r="AC699" s="51"/>
      <c r="AD699" s="51"/>
      <c r="AG699" t="s">
        <v>1656</v>
      </c>
      <c r="AH699" s="51"/>
      <c r="AI699" s="51"/>
    </row>
    <row r="700" spans="2:35">
      <c r="B700" t="s">
        <v>1657</v>
      </c>
      <c r="C700" t="s">
        <v>3708</v>
      </c>
      <c r="D700">
        <v>9</v>
      </c>
      <c r="E700" t="s">
        <v>2791</v>
      </c>
      <c r="F700">
        <v>5</v>
      </c>
      <c r="G700">
        <v>12</v>
      </c>
      <c r="H700">
        <v>3</v>
      </c>
      <c r="I700" t="s">
        <v>1614</v>
      </c>
      <c r="J700" s="51">
        <v>41076</v>
      </c>
      <c r="K700" t="s">
        <v>27</v>
      </c>
      <c r="L700" t="s">
        <v>1584</v>
      </c>
      <c r="M700">
        <v>3</v>
      </c>
      <c r="N700" t="str">
        <f>L700</f>
        <v>NAM\A8070</v>
      </c>
      <c r="O700" s="51">
        <f>J700</f>
        <v>41076</v>
      </c>
      <c r="P700" s="51" t="str">
        <f>C700</f>
        <v>~/cdd/olddocs/Control Plans/MICROMINI/CELDA A&amp;B/CP-A&amp;B-029  1326304.pdf</v>
      </c>
      <c r="Q700" s="51" t="str">
        <f>E700</f>
        <v>pdf</v>
      </c>
      <c r="R700" s="51"/>
      <c r="S700" s="51"/>
      <c r="T700" s="51"/>
      <c r="U700" s="51"/>
      <c r="V700" s="51"/>
      <c r="W700" s="51"/>
      <c r="X700" s="51"/>
      <c r="Y700" s="51"/>
      <c r="Z700" s="51"/>
      <c r="AA700" s="51"/>
      <c r="AB700" s="51"/>
      <c r="AC700" s="51"/>
      <c r="AD700" s="51"/>
      <c r="AG700">
        <v>1326304</v>
      </c>
      <c r="AH700" s="51"/>
      <c r="AI700" s="51"/>
    </row>
    <row r="701" spans="2:35">
      <c r="B701" t="s">
        <v>1658</v>
      </c>
      <c r="C701" t="s">
        <v>3709</v>
      </c>
      <c r="D701">
        <v>9</v>
      </c>
      <c r="E701" t="s">
        <v>2791</v>
      </c>
      <c r="F701">
        <v>5</v>
      </c>
      <c r="G701">
        <v>12</v>
      </c>
      <c r="H701">
        <v>3</v>
      </c>
      <c r="I701" t="s">
        <v>1659</v>
      </c>
      <c r="J701" s="51">
        <v>41036</v>
      </c>
      <c r="K701" t="s">
        <v>27</v>
      </c>
      <c r="L701" t="s">
        <v>1584</v>
      </c>
      <c r="M701">
        <v>3</v>
      </c>
      <c r="N701" t="str">
        <f>L701</f>
        <v>NAM\A8070</v>
      </c>
      <c r="O701" s="51">
        <f>J701</f>
        <v>41036</v>
      </c>
      <c r="P701" s="51" t="str">
        <f>C701</f>
        <v>~/cdd/olddocs/Control Plans/MICROMINI/CELDA A&amp;B/CP-A&amp;B-030  ZC5XXXXXXXXX.pdf</v>
      </c>
      <c r="Q701" s="51" t="str">
        <f>E701</f>
        <v>pdf</v>
      </c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G701" t="s">
        <v>1660</v>
      </c>
      <c r="AH701" s="51"/>
      <c r="AI701" s="51"/>
    </row>
    <row r="702" spans="2:35">
      <c r="B702" t="s">
        <v>1661</v>
      </c>
      <c r="C702" t="s">
        <v>3710</v>
      </c>
      <c r="D702">
        <v>9</v>
      </c>
      <c r="E702" t="s">
        <v>2791</v>
      </c>
      <c r="F702">
        <v>5</v>
      </c>
      <c r="G702">
        <v>12</v>
      </c>
      <c r="H702">
        <v>3</v>
      </c>
      <c r="I702" t="s">
        <v>1662</v>
      </c>
      <c r="J702" s="51">
        <v>41036</v>
      </c>
      <c r="K702" t="s">
        <v>27</v>
      </c>
      <c r="L702" t="s">
        <v>1584</v>
      </c>
      <c r="M702">
        <v>3</v>
      </c>
      <c r="N702" t="str">
        <f>L702</f>
        <v>NAM\A8070</v>
      </c>
      <c r="O702" s="51">
        <f>J702</f>
        <v>41036</v>
      </c>
      <c r="P702" s="51" t="str">
        <f>C702</f>
        <v>~/cdd/olddocs/Control Plans/MICROMINI/CELDA A&amp;B/CP-A&amp;B-031 ZC2XXXXXXXXX.pdf</v>
      </c>
      <c r="Q702" s="51" t="str">
        <f>E702</f>
        <v>pdf</v>
      </c>
      <c r="R702" s="51"/>
      <c r="S702" s="51"/>
      <c r="T702" s="51"/>
      <c r="U702" s="51"/>
      <c r="V702" s="51"/>
      <c r="W702" s="51"/>
      <c r="X702" s="51"/>
      <c r="Y702" s="51"/>
      <c r="Z702" s="51"/>
      <c r="AA702" s="51"/>
      <c r="AB702" s="51"/>
      <c r="AC702" s="51"/>
      <c r="AD702" s="51"/>
      <c r="AG702" t="s">
        <v>1663</v>
      </c>
      <c r="AH702" s="51"/>
      <c r="AI702" s="51"/>
    </row>
    <row r="703" spans="2:35">
      <c r="B703" t="s">
        <v>1664</v>
      </c>
      <c r="C703" t="s">
        <v>3711</v>
      </c>
      <c r="D703">
        <v>9</v>
      </c>
      <c r="E703" t="s">
        <v>2791</v>
      </c>
      <c r="F703">
        <v>5</v>
      </c>
      <c r="G703">
        <v>12</v>
      </c>
      <c r="H703">
        <v>3</v>
      </c>
      <c r="I703" t="s">
        <v>1665</v>
      </c>
      <c r="J703" s="51">
        <v>41036</v>
      </c>
      <c r="K703" t="s">
        <v>27</v>
      </c>
      <c r="L703" t="s">
        <v>1584</v>
      </c>
      <c r="M703">
        <v>3</v>
      </c>
      <c r="N703" t="str">
        <f>L703</f>
        <v>NAM\A8070</v>
      </c>
      <c r="O703" s="51">
        <f>J703</f>
        <v>41036</v>
      </c>
      <c r="P703" s="51" t="str">
        <f>C703</f>
        <v>~/cdd/olddocs/Control Plans/MICROMINI/CELDA A&amp;B/CP-A&amp;B-032  XC3XXXXXXXXX.pdf</v>
      </c>
      <c r="Q703" s="51" t="str">
        <f>E703</f>
        <v>pdf</v>
      </c>
      <c r="R703" s="51"/>
      <c r="S703" s="51"/>
      <c r="T703" s="51"/>
      <c r="U703" s="51"/>
      <c r="V703" s="51"/>
      <c r="W703" s="51"/>
      <c r="X703" s="51"/>
      <c r="Y703" s="51"/>
      <c r="Z703" s="51"/>
      <c r="AA703" s="51"/>
      <c r="AB703" s="51"/>
      <c r="AC703" s="51"/>
      <c r="AD703" s="51"/>
      <c r="AG703" t="s">
        <v>1666</v>
      </c>
      <c r="AH703" s="51"/>
      <c r="AI703" s="51"/>
    </row>
    <row r="704" spans="2:35">
      <c r="B704" t="s">
        <v>1667</v>
      </c>
      <c r="C704" t="s">
        <v>3826</v>
      </c>
      <c r="D704">
        <v>9</v>
      </c>
      <c r="E704" t="s">
        <v>2791</v>
      </c>
      <c r="F704">
        <v>5</v>
      </c>
      <c r="G704">
        <v>12</v>
      </c>
      <c r="H704">
        <v>3</v>
      </c>
      <c r="I704" t="s">
        <v>1668</v>
      </c>
      <c r="J704" s="51">
        <v>41095</v>
      </c>
      <c r="K704" t="s">
        <v>27</v>
      </c>
      <c r="L704" t="s">
        <v>1584</v>
      </c>
      <c r="M704">
        <v>3</v>
      </c>
      <c r="N704" t="str">
        <f>L704</f>
        <v>NAM\A8070</v>
      </c>
      <c r="O704" s="51">
        <f>J704</f>
        <v>41095</v>
      </c>
      <c r="P704" s="51" t="str">
        <f>C704</f>
        <v>~cdd/olddocs/Control Plans/MICROMINI/CELDA A&amp;B/CP-A&amp;B-033  A89DF4HEDM-XXX.pdf</v>
      </c>
      <c r="Q704" s="51" t="str">
        <f>E704</f>
        <v>pdf</v>
      </c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G704" t="s">
        <v>1669</v>
      </c>
      <c r="AH704" s="51"/>
      <c r="AI704" s="51"/>
    </row>
    <row r="705" spans="2:35">
      <c r="B705" t="s">
        <v>1670</v>
      </c>
      <c r="C705" t="s">
        <v>3712</v>
      </c>
      <c r="D705">
        <v>9</v>
      </c>
      <c r="E705" t="s">
        <v>2791</v>
      </c>
      <c r="F705">
        <v>5</v>
      </c>
      <c r="G705">
        <v>12</v>
      </c>
      <c r="H705">
        <v>3</v>
      </c>
      <c r="I705" t="s">
        <v>1671</v>
      </c>
      <c r="J705" s="51">
        <v>41104</v>
      </c>
      <c r="K705" t="s">
        <v>27</v>
      </c>
      <c r="L705" t="s">
        <v>1584</v>
      </c>
      <c r="M705">
        <v>3</v>
      </c>
      <c r="N705" t="str">
        <f>L705</f>
        <v>NAM\A8070</v>
      </c>
      <c r="O705" s="51">
        <f>J705</f>
        <v>41104</v>
      </c>
      <c r="P705" s="51" t="str">
        <f>C705</f>
        <v>~/cdd/olddocs/Control Plans/MICROMINI/CELDA A&amp;B/CP-A&amp;B-034  ABT-P1M4-MN5R1.pdf</v>
      </c>
      <c r="Q705" s="51" t="str">
        <f>E705</f>
        <v>pdf</v>
      </c>
      <c r="R705" s="51"/>
      <c r="S705" s="51"/>
      <c r="T705" s="51"/>
      <c r="U705" s="51"/>
      <c r="V705" s="51"/>
      <c r="W705" s="51"/>
      <c r="X705" s="51"/>
      <c r="Y705" s="51"/>
      <c r="Z705" s="51"/>
      <c r="AA705" s="51"/>
      <c r="AB705" s="51"/>
      <c r="AC705" s="51"/>
      <c r="AD705" s="51"/>
      <c r="AG705" t="s">
        <v>1672</v>
      </c>
      <c r="AH705" s="51"/>
      <c r="AI705" s="51"/>
    </row>
    <row r="706" spans="2:35">
      <c r="B706" t="s">
        <v>1673</v>
      </c>
      <c r="C706" t="s">
        <v>3713</v>
      </c>
      <c r="D706">
        <v>9</v>
      </c>
      <c r="E706" t="s">
        <v>2791</v>
      </c>
      <c r="F706">
        <v>5</v>
      </c>
      <c r="G706">
        <v>12</v>
      </c>
      <c r="H706">
        <v>3</v>
      </c>
      <c r="I706" t="s">
        <v>1674</v>
      </c>
      <c r="J706" s="51">
        <v>41104</v>
      </c>
      <c r="K706" t="s">
        <v>27</v>
      </c>
      <c r="L706" t="s">
        <v>1584</v>
      </c>
      <c r="M706">
        <v>3</v>
      </c>
      <c r="N706" t="str">
        <f>L706</f>
        <v>NAM\A8070</v>
      </c>
      <c r="O706" s="51">
        <f>J706</f>
        <v>41104</v>
      </c>
      <c r="P706" s="51" t="str">
        <f>C706</f>
        <v>~/cdd/olddocs/Control Plans/MICROMINI/CELDA A&amp;B/CP-A&amp;B-035 5000129-BE.pdf</v>
      </c>
      <c r="Q706" s="51" t="str">
        <f>E706</f>
        <v>pdf</v>
      </c>
      <c r="R706" s="51"/>
      <c r="S706" s="51"/>
      <c r="T706" s="51"/>
      <c r="U706" s="51"/>
      <c r="V706" s="51"/>
      <c r="W706" s="51"/>
      <c r="X706" s="51"/>
      <c r="Y706" s="51"/>
      <c r="Z706" s="51"/>
      <c r="AA706" s="51"/>
      <c r="AB706" s="51"/>
      <c r="AC706" s="51"/>
      <c r="AD706" s="51"/>
      <c r="AG706" t="s">
        <v>1675</v>
      </c>
      <c r="AH706" s="51"/>
      <c r="AI706" s="51"/>
    </row>
    <row r="707" spans="2:35">
      <c r="B707" t="s">
        <v>1676</v>
      </c>
      <c r="C707" t="s">
        <v>3827</v>
      </c>
      <c r="D707">
        <v>9</v>
      </c>
      <c r="E707" t="s">
        <v>2791</v>
      </c>
      <c r="F707">
        <v>5</v>
      </c>
      <c r="G707">
        <v>12</v>
      </c>
      <c r="H707">
        <v>3</v>
      </c>
      <c r="I707" t="s">
        <v>1677</v>
      </c>
      <c r="J707" s="51">
        <v>41104</v>
      </c>
      <c r="K707" t="s">
        <v>27</v>
      </c>
      <c r="L707" t="s">
        <v>1584</v>
      </c>
      <c r="M707">
        <v>3</v>
      </c>
      <c r="N707" t="str">
        <f>L707</f>
        <v>NAM\A8070</v>
      </c>
      <c r="O707" s="51">
        <f>J707</f>
        <v>41104</v>
      </c>
      <c r="P707" s="51" t="str">
        <f>C707</f>
        <v>~cdd/olddocs/Control Plans/MICROMINI/CELDA A&amp;B/CP-A&amp;B-036  PC5QADD0XXM.pdf</v>
      </c>
      <c r="Q707" s="51" t="str">
        <f>E707</f>
        <v>pdf</v>
      </c>
      <c r="R707" s="51"/>
      <c r="S707" s="51"/>
      <c r="T707" s="51"/>
      <c r="U707" s="51"/>
      <c r="V707" s="51"/>
      <c r="W707" s="51"/>
      <c r="X707" s="51"/>
      <c r="Y707" s="51"/>
      <c r="Z707" s="51"/>
      <c r="AA707" s="51"/>
      <c r="AB707" s="51"/>
      <c r="AC707" s="51"/>
      <c r="AD707" s="51"/>
      <c r="AG707" t="s">
        <v>1678</v>
      </c>
      <c r="AH707" s="51"/>
      <c r="AI707" s="51"/>
    </row>
    <row r="708" spans="2:35">
      <c r="B708" t="s">
        <v>1679</v>
      </c>
      <c r="C708" t="s">
        <v>3828</v>
      </c>
      <c r="D708">
        <v>9</v>
      </c>
      <c r="E708" t="s">
        <v>2791</v>
      </c>
      <c r="F708">
        <v>5</v>
      </c>
      <c r="G708">
        <v>12</v>
      </c>
      <c r="H708">
        <v>3</v>
      </c>
      <c r="I708" t="s">
        <v>1680</v>
      </c>
      <c r="J708" s="51">
        <v>41115</v>
      </c>
      <c r="K708" t="s">
        <v>27</v>
      </c>
      <c r="L708" t="s">
        <v>1584</v>
      </c>
      <c r="M708">
        <v>3</v>
      </c>
      <c r="N708" t="str">
        <f>L708</f>
        <v>NAM\A8070</v>
      </c>
      <c r="O708" s="51">
        <f>J708</f>
        <v>41115</v>
      </c>
      <c r="P708" s="51" t="str">
        <f>C708</f>
        <v>~cdd/olddocs/Control Plans/MICROMINI/CELDA A&amp;B/CP-A&amp;B-037 Control Plan ABC-P6N5-M5  MM-A-B.xlsx.pdf</v>
      </c>
      <c r="Q708" s="51" t="str">
        <f>E708</f>
        <v>pdf</v>
      </c>
      <c r="R708" s="51"/>
      <c r="S708" s="51"/>
      <c r="T708" s="51"/>
      <c r="U708" s="51"/>
      <c r="V708" s="51"/>
      <c r="W708" s="51"/>
      <c r="X708" s="51"/>
      <c r="Y708" s="51"/>
      <c r="Z708" s="51"/>
      <c r="AA708" s="51"/>
      <c r="AB708" s="51"/>
      <c r="AC708" s="51"/>
      <c r="AD708" s="51"/>
      <c r="AG708" t="s">
        <v>1681</v>
      </c>
      <c r="AH708" s="51"/>
      <c r="AI708" s="51"/>
    </row>
    <row r="709" spans="2:35">
      <c r="B709" t="s">
        <v>1682</v>
      </c>
      <c r="C709" t="s">
        <v>3714</v>
      </c>
      <c r="D709">
        <v>9</v>
      </c>
      <c r="E709" t="s">
        <v>2791</v>
      </c>
      <c r="F709">
        <v>5</v>
      </c>
      <c r="G709">
        <v>12</v>
      </c>
      <c r="H709">
        <v>3</v>
      </c>
      <c r="I709" t="s">
        <v>1683</v>
      </c>
      <c r="J709" s="51">
        <v>41129</v>
      </c>
      <c r="K709" t="s">
        <v>27</v>
      </c>
      <c r="L709" t="s">
        <v>1584</v>
      </c>
      <c r="M709">
        <v>3</v>
      </c>
      <c r="N709" t="str">
        <f>L709</f>
        <v>NAM\A8070</v>
      </c>
      <c r="O709" s="51">
        <f>J709</f>
        <v>41129</v>
      </c>
      <c r="P709" s="51" t="str">
        <f>C709</f>
        <v>~/cdd/olddocs/Control Plans/MICROMINI/CELDA A&amp;B/CP-A&amp;B-038 Rev. 5000118-JY.pdf</v>
      </c>
      <c r="Q709" s="51" t="str">
        <f>E709</f>
        <v>pdf</v>
      </c>
      <c r="R709" s="51"/>
      <c r="S709" s="51"/>
      <c r="T709" s="51"/>
      <c r="U709" s="51"/>
      <c r="V709" s="51"/>
      <c r="W709" s="51"/>
      <c r="X709" s="51"/>
      <c r="Y709" s="51"/>
      <c r="Z709" s="51"/>
      <c r="AA709" s="51"/>
      <c r="AB709" s="51"/>
      <c r="AC709" s="51"/>
      <c r="AD709" s="51"/>
      <c r="AG709" t="s">
        <v>1684</v>
      </c>
      <c r="AH709" s="51"/>
      <c r="AI709" s="51"/>
    </row>
    <row r="710" spans="2:35">
      <c r="B710" t="s">
        <v>1685</v>
      </c>
      <c r="C710" t="s">
        <v>3927</v>
      </c>
      <c r="D710">
        <v>9</v>
      </c>
      <c r="E710" t="s">
        <v>2790</v>
      </c>
      <c r="F710">
        <v>5</v>
      </c>
      <c r="G710">
        <v>12</v>
      </c>
      <c r="H710">
        <v>3</v>
      </c>
      <c r="I710" t="s">
        <v>1686</v>
      </c>
      <c r="J710" s="51">
        <v>41138</v>
      </c>
      <c r="K710" t="s">
        <v>27</v>
      </c>
      <c r="L710" t="s">
        <v>1584</v>
      </c>
      <c r="M710">
        <v>3</v>
      </c>
      <c r="N710" t="str">
        <f>L710</f>
        <v>NAM\A8070</v>
      </c>
      <c r="O710" s="51">
        <f>J710</f>
        <v>41138</v>
      </c>
      <c r="P710" s="51" t="str">
        <f>C710</f>
        <v>~/cdd/olddocs/CN-QAAS (Aseguranza de calidad)/Control Plans/MICROMINI/CELDA A-B/CP-A&amp;B-039 Rev. A 5000118-DM.xlsx</v>
      </c>
      <c r="Q710" s="51" t="str">
        <f>E710</f>
        <v>xlsx</v>
      </c>
      <c r="R710" s="51"/>
      <c r="S710" s="51"/>
      <c r="T710" s="51"/>
      <c r="U710" s="51"/>
      <c r="V710" s="51"/>
      <c r="W710" s="51"/>
      <c r="X710" s="51"/>
      <c r="Y710" s="51"/>
      <c r="Z710" s="51"/>
      <c r="AA710" s="51"/>
      <c r="AB710" s="51"/>
      <c r="AC710" s="51"/>
      <c r="AD710" s="51"/>
      <c r="AG710" t="s">
        <v>1687</v>
      </c>
      <c r="AH710" s="51"/>
      <c r="AI710" s="51"/>
    </row>
    <row r="711" spans="2:35">
      <c r="B711" t="s">
        <v>1249</v>
      </c>
      <c r="C711" t="s">
        <v>3715</v>
      </c>
      <c r="D711">
        <v>9</v>
      </c>
      <c r="E711" t="s">
        <v>2791</v>
      </c>
      <c r="F711">
        <v>5</v>
      </c>
      <c r="G711">
        <v>12</v>
      </c>
      <c r="H711">
        <v>3</v>
      </c>
      <c r="I711" t="s">
        <v>1250</v>
      </c>
      <c r="J711" s="51">
        <v>41206</v>
      </c>
      <c r="K711" t="s">
        <v>27</v>
      </c>
      <c r="L711" t="s">
        <v>1253</v>
      </c>
      <c r="M711">
        <v>3</v>
      </c>
      <c r="N711" t="str">
        <f>L711</f>
        <v>NAM\MB3505</v>
      </c>
      <c r="O711" s="51">
        <f>J711</f>
        <v>41206</v>
      </c>
      <c r="P711" s="51" t="str">
        <f>C711</f>
        <v>~/cdd/olddocs/Control Plans/MICROMINI/CELDA A&amp;B/CP-A&amp;B-040  AM2C2MG030F, AM3C2MG030F, AM4C2MG030F, AM5C2MG030F.pdf</v>
      </c>
      <c r="Q711" s="51" t="str">
        <f>E711</f>
        <v>pdf</v>
      </c>
      <c r="R711" s="51"/>
      <c r="S711" s="51"/>
      <c r="T711" s="51"/>
      <c r="U711" s="51"/>
      <c r="V711" s="51"/>
      <c r="W711" s="51"/>
      <c r="X711" s="51"/>
      <c r="Y711" s="51"/>
      <c r="Z711" s="51"/>
      <c r="AA711" s="51"/>
      <c r="AB711" s="51"/>
      <c r="AC711" s="51"/>
      <c r="AD711" s="51"/>
      <c r="AG711" t="s">
        <v>1251</v>
      </c>
      <c r="AH711" s="51"/>
      <c r="AI711" s="51"/>
    </row>
    <row r="712" spans="2:35">
      <c r="B712" t="s">
        <v>1254</v>
      </c>
      <c r="C712" t="s">
        <v>3716</v>
      </c>
      <c r="D712">
        <v>9</v>
      </c>
      <c r="E712" t="s">
        <v>2791</v>
      </c>
      <c r="F712">
        <v>5</v>
      </c>
      <c r="G712">
        <v>12</v>
      </c>
      <c r="H712">
        <v>3</v>
      </c>
      <c r="I712" t="s">
        <v>1255</v>
      </c>
      <c r="J712" s="51">
        <v>41206</v>
      </c>
      <c r="K712" t="s">
        <v>27</v>
      </c>
      <c r="L712" t="s">
        <v>1253</v>
      </c>
      <c r="M712">
        <v>3</v>
      </c>
      <c r="N712" t="str">
        <f>L712</f>
        <v>NAM\MB3505</v>
      </c>
      <c r="O712" s="51">
        <f>J712</f>
        <v>41206</v>
      </c>
      <c r="P712" s="51" t="str">
        <f>C712</f>
        <v>~/cdd/olddocs/Control Plans/MICROMINI/CELDA A&amp;B/CP-A&amp;B-041 DM2B3JE010M, DM3B3JE010M,DM4B3JE010M,DM5B3JE010M.pdf</v>
      </c>
      <c r="Q712" s="51" t="str">
        <f>E712</f>
        <v>pdf</v>
      </c>
      <c r="R712" s="51"/>
      <c r="S712" s="51"/>
      <c r="T712" s="51"/>
      <c r="U712" s="51"/>
      <c r="V712" s="51"/>
      <c r="W712" s="51"/>
      <c r="X712" s="51"/>
      <c r="Y712" s="51"/>
      <c r="Z712" s="51"/>
      <c r="AA712" s="51"/>
      <c r="AB712" s="51"/>
      <c r="AC712" s="51"/>
      <c r="AD712" s="51"/>
      <c r="AG712" t="s">
        <v>1256</v>
      </c>
      <c r="AH712" s="51"/>
      <c r="AI712" s="51"/>
    </row>
    <row r="713" spans="2:35">
      <c r="B713" t="s">
        <v>1257</v>
      </c>
      <c r="C713" t="s">
        <v>3717</v>
      </c>
      <c r="D713">
        <v>9</v>
      </c>
      <c r="E713" t="s">
        <v>2791</v>
      </c>
      <c r="F713">
        <v>5</v>
      </c>
      <c r="G713">
        <v>12</v>
      </c>
      <c r="H713">
        <v>3</v>
      </c>
      <c r="I713" t="s">
        <v>1258</v>
      </c>
      <c r="J713" s="51">
        <v>41206</v>
      </c>
      <c r="K713" t="s">
        <v>27</v>
      </c>
      <c r="L713" t="s">
        <v>1253</v>
      </c>
      <c r="M713">
        <v>3</v>
      </c>
      <c r="N713" t="str">
        <f>L713</f>
        <v>NAM\MB3505</v>
      </c>
      <c r="O713" s="51">
        <f>J713</f>
        <v>41206</v>
      </c>
      <c r="P713" s="51" t="str">
        <f>C713</f>
        <v>~/cdd/olddocs/Control Plans/MICROMINI/CELDA A&amp;B/CP-A&amp;B-042 DM2C2ME010M, DM3C2ME010M, DM4C2ME010M, DM5C2ME010M, DM6C2ME010M.pdf</v>
      </c>
      <c r="Q713" s="51" t="str">
        <f>E713</f>
        <v>pdf</v>
      </c>
      <c r="R713" s="51"/>
      <c r="S713" s="51"/>
      <c r="T713" s="51"/>
      <c r="U713" s="51"/>
      <c r="V713" s="51"/>
      <c r="W713" s="51"/>
      <c r="X713" s="51"/>
      <c r="Y713" s="51"/>
      <c r="Z713" s="51"/>
      <c r="AA713" s="51"/>
      <c r="AB713" s="51"/>
      <c r="AC713" s="51"/>
      <c r="AD713" s="51"/>
      <c r="AG713" t="s">
        <v>1259</v>
      </c>
      <c r="AH713" s="51"/>
      <c r="AI713" s="51"/>
    </row>
    <row r="714" spans="2:35">
      <c r="B714" t="s">
        <v>1260</v>
      </c>
      <c r="C714" t="s">
        <v>3829</v>
      </c>
      <c r="D714">
        <v>9</v>
      </c>
      <c r="E714" t="s">
        <v>2790</v>
      </c>
      <c r="F714">
        <v>5</v>
      </c>
      <c r="G714">
        <v>12</v>
      </c>
      <c r="H714">
        <v>3</v>
      </c>
      <c r="I714" t="s">
        <v>1261</v>
      </c>
      <c r="J714" s="51">
        <v>41206</v>
      </c>
      <c r="K714" t="s">
        <v>27</v>
      </c>
      <c r="L714" t="s">
        <v>1253</v>
      </c>
      <c r="M714">
        <v>3</v>
      </c>
      <c r="N714" t="str">
        <f>L714</f>
        <v>NAM\MB3505</v>
      </c>
      <c r="O714" s="51">
        <f>J714</f>
        <v>41206</v>
      </c>
      <c r="P714" s="51" t="str">
        <f>C714</f>
        <v>~cdd/olddocs/Control Plans/MICROMINI/CELDA A&amp;B/CP-A&amp;B-043 Rev. A .xlsx</v>
      </c>
      <c r="Q714" s="51" t="str">
        <f>E714</f>
        <v>xlsx</v>
      </c>
      <c r="R714" s="51"/>
      <c r="S714" s="51"/>
      <c r="T714" s="51"/>
      <c r="U714" s="51"/>
      <c r="V714" s="51"/>
      <c r="W714" s="51"/>
      <c r="X714" s="51"/>
      <c r="Y714" s="51"/>
      <c r="Z714" s="51"/>
      <c r="AA714" s="51"/>
      <c r="AB714" s="51"/>
      <c r="AC714" s="51"/>
      <c r="AD714" s="51"/>
      <c r="AG714" t="s">
        <v>1259</v>
      </c>
      <c r="AH714" s="51"/>
      <c r="AI714" s="51"/>
    </row>
    <row r="715" spans="2:35">
      <c r="B715" t="s">
        <v>872</v>
      </c>
      <c r="C715" t="s">
        <v>3646</v>
      </c>
      <c r="D715">
        <v>9</v>
      </c>
      <c r="E715" t="s">
        <v>2791</v>
      </c>
      <c r="F715">
        <v>5</v>
      </c>
      <c r="G715">
        <v>10</v>
      </c>
      <c r="H715">
        <v>7</v>
      </c>
      <c r="I715" t="s">
        <v>877</v>
      </c>
      <c r="K715" t="s">
        <v>27</v>
      </c>
      <c r="L715" t="s">
        <v>880</v>
      </c>
      <c r="M715">
        <v>3</v>
      </c>
      <c r="N715" t="str">
        <f>L715</f>
        <v>NAM\MB3488</v>
      </c>
      <c r="O715" s="51">
        <f>J715</f>
        <v>0</v>
      </c>
      <c r="P715" s="51" t="str">
        <f>C715</f>
        <v>~/cdd/olddocs/Control Plans/ITRON/AMSAFE/CP-AMSA-001  004065-0001, 004065-0002, 004065-0006, 004065-0007 &amp; 004065-008.pdf</v>
      </c>
      <c r="Q715" s="51" t="str">
        <f>E715</f>
        <v>pdf</v>
      </c>
      <c r="R715" s="51"/>
      <c r="S715" s="51"/>
      <c r="T715" s="51"/>
      <c r="U715" s="51"/>
      <c r="V715" s="51"/>
      <c r="W715" s="51"/>
      <c r="X715" s="51"/>
      <c r="Y715" s="51"/>
      <c r="Z715" s="51"/>
      <c r="AA715" s="51"/>
      <c r="AB715" s="51"/>
      <c r="AC715" s="51"/>
      <c r="AD715" s="51"/>
      <c r="AE715">
        <v>41141</v>
      </c>
      <c r="AG715" t="s">
        <v>878</v>
      </c>
      <c r="AH715" s="51"/>
      <c r="AI715" s="51"/>
    </row>
    <row r="716" spans="2:35">
      <c r="B716" t="s">
        <v>881</v>
      </c>
      <c r="C716" t="s">
        <v>3647</v>
      </c>
      <c r="D716">
        <v>9</v>
      </c>
      <c r="E716" t="s">
        <v>2791</v>
      </c>
      <c r="F716">
        <v>5</v>
      </c>
      <c r="G716">
        <v>10</v>
      </c>
      <c r="H716">
        <v>7</v>
      </c>
      <c r="I716" t="s">
        <v>882</v>
      </c>
      <c r="K716" t="s">
        <v>27</v>
      </c>
      <c r="L716" t="s">
        <v>880</v>
      </c>
      <c r="M716">
        <v>3</v>
      </c>
      <c r="N716" t="str">
        <f>L716</f>
        <v>NAM\MB3488</v>
      </c>
      <c r="O716" s="51">
        <f>J716</f>
        <v>0</v>
      </c>
      <c r="P716" s="51" t="str">
        <f>C716</f>
        <v>~/cdd/olddocs/Control Plans/ITRON/AMSAFE/CP-AMSA-002 004046-0083 004043-0001.pdf</v>
      </c>
      <c r="Q716" s="51" t="str">
        <f>E716</f>
        <v>pdf</v>
      </c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>
        <v>41141</v>
      </c>
      <c r="AG716" t="s">
        <v>883</v>
      </c>
      <c r="AH716" s="51"/>
      <c r="AI716" s="51"/>
    </row>
    <row r="717" spans="2:35">
      <c r="B717" t="s">
        <v>884</v>
      </c>
      <c r="C717" t="s">
        <v>3648</v>
      </c>
      <c r="D717">
        <v>9</v>
      </c>
      <c r="E717" t="s">
        <v>2791</v>
      </c>
      <c r="F717">
        <v>5</v>
      </c>
      <c r="G717">
        <v>10</v>
      </c>
      <c r="H717">
        <v>7</v>
      </c>
      <c r="I717" t="s">
        <v>885</v>
      </c>
      <c r="K717" t="s">
        <v>27</v>
      </c>
      <c r="L717" t="s">
        <v>880</v>
      </c>
      <c r="M717">
        <v>3</v>
      </c>
      <c r="N717" t="str">
        <f>L717</f>
        <v>NAM\MB3488</v>
      </c>
      <c r="O717" s="51">
        <f>J717</f>
        <v>0</v>
      </c>
      <c r="P717" s="51" t="str">
        <f>C717</f>
        <v>~/cdd/olddocs/Control Plans/ITRON/AMSAFE/CP-AMSA-003 509800004038-0001 004038-0002 004038-0003  004038-0005.pdf</v>
      </c>
      <c r="Q717" s="51" t="str">
        <f>E717</f>
        <v>pdf</v>
      </c>
      <c r="R717" s="51"/>
      <c r="S717" s="51"/>
      <c r="T717" s="51"/>
      <c r="U717" s="51"/>
      <c r="V717" s="51"/>
      <c r="W717" s="51"/>
      <c r="X717" s="51"/>
      <c r="Y717" s="51"/>
      <c r="Z717" s="51"/>
      <c r="AA717" s="51"/>
      <c r="AB717" s="51"/>
      <c r="AC717" s="51"/>
      <c r="AD717" s="51"/>
      <c r="AE717">
        <v>41141</v>
      </c>
      <c r="AG717" t="s">
        <v>886</v>
      </c>
      <c r="AH717" s="51"/>
      <c r="AI717" s="51"/>
    </row>
    <row r="718" spans="2:35">
      <c r="B718" t="s">
        <v>887</v>
      </c>
      <c r="C718" t="s">
        <v>3649</v>
      </c>
      <c r="D718">
        <v>9</v>
      </c>
      <c r="E718" t="s">
        <v>2791</v>
      </c>
      <c r="F718">
        <v>5</v>
      </c>
      <c r="G718">
        <v>10</v>
      </c>
      <c r="H718">
        <v>7</v>
      </c>
      <c r="I718" t="s">
        <v>888</v>
      </c>
      <c r="K718" t="s">
        <v>27</v>
      </c>
      <c r="L718" t="s">
        <v>880</v>
      </c>
      <c r="M718">
        <v>3</v>
      </c>
      <c r="N718" t="str">
        <f>L718</f>
        <v>NAM\MB3488</v>
      </c>
      <c r="O718" s="51">
        <f>J718</f>
        <v>0</v>
      </c>
      <c r="P718" s="51" t="str">
        <f>C718</f>
        <v>~/cdd/olddocs/Control Plans/ITRON/AMSAFE/CP-AMSA-004 A 004035-TAB 004034-0001 004014-0001  003082-0001.pdf</v>
      </c>
      <c r="Q718" s="51" t="str">
        <f>E718</f>
        <v>pdf</v>
      </c>
      <c r="R718" s="51"/>
      <c r="S718" s="51"/>
      <c r="T718" s="51"/>
      <c r="U718" s="51"/>
      <c r="V718" s="51"/>
      <c r="W718" s="51"/>
      <c r="X718" s="51"/>
      <c r="Y718" s="51"/>
      <c r="Z718" s="51"/>
      <c r="AA718" s="51"/>
      <c r="AB718" s="51"/>
      <c r="AC718" s="51"/>
      <c r="AD718" s="51"/>
      <c r="AE718">
        <v>41141</v>
      </c>
      <c r="AG718" t="s">
        <v>889</v>
      </c>
      <c r="AH718" s="51"/>
      <c r="AI718" s="51"/>
    </row>
    <row r="719" spans="2:35">
      <c r="B719" t="s">
        <v>890</v>
      </c>
      <c r="C719" t="s">
        <v>3650</v>
      </c>
      <c r="D719">
        <v>9</v>
      </c>
      <c r="E719" t="s">
        <v>2791</v>
      </c>
      <c r="F719">
        <v>5</v>
      </c>
      <c r="G719">
        <v>10</v>
      </c>
      <c r="H719">
        <v>7</v>
      </c>
      <c r="I719" t="s">
        <v>891</v>
      </c>
      <c r="K719" t="s">
        <v>27</v>
      </c>
      <c r="L719" t="s">
        <v>880</v>
      </c>
      <c r="M719">
        <v>3</v>
      </c>
      <c r="N719" t="str">
        <f>L719</f>
        <v>NAM\MB3488</v>
      </c>
      <c r="O719" s="51">
        <f>J719</f>
        <v>0</v>
      </c>
      <c r="P719" s="51" t="str">
        <f>C719</f>
        <v>~/cdd/olddocs/Control Plans/ITRON/AMSAFE/CP-AMSA-005 003064-0001.pdf</v>
      </c>
      <c r="Q719" s="51" t="str">
        <f>E719</f>
        <v>pdf</v>
      </c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>
        <v>41141</v>
      </c>
      <c r="AG719" t="s">
        <v>892</v>
      </c>
      <c r="AH719" s="51"/>
      <c r="AI719" s="51"/>
    </row>
    <row r="720" spans="2:35">
      <c r="B720" t="s">
        <v>893</v>
      </c>
      <c r="C720" t="s">
        <v>3651</v>
      </c>
      <c r="D720">
        <v>9</v>
      </c>
      <c r="E720" t="s">
        <v>2791</v>
      </c>
      <c r="F720">
        <v>5</v>
      </c>
      <c r="G720">
        <v>10</v>
      </c>
      <c r="H720">
        <v>7</v>
      </c>
      <c r="I720" t="s">
        <v>894</v>
      </c>
      <c r="K720" t="s">
        <v>27</v>
      </c>
      <c r="L720" t="s">
        <v>880</v>
      </c>
      <c r="M720">
        <v>3</v>
      </c>
      <c r="N720" t="str">
        <f>L720</f>
        <v>NAM\MB3488</v>
      </c>
      <c r="O720" s="51">
        <f>J720</f>
        <v>0</v>
      </c>
      <c r="P720" s="51" t="str">
        <f>C720</f>
        <v>~/cdd/olddocs/Control Plans/ITRON/AMSAFE/CP-AMSA-006  004005-TAB.pdf</v>
      </c>
      <c r="Q720" s="51" t="str">
        <f>E720</f>
        <v>pdf</v>
      </c>
      <c r="R720" s="51"/>
      <c r="S720" s="51"/>
      <c r="T720" s="51"/>
      <c r="U720" s="51"/>
      <c r="V720" s="51"/>
      <c r="W720" s="51"/>
      <c r="X720" s="51"/>
      <c r="Y720" s="51"/>
      <c r="Z720" s="51"/>
      <c r="AA720" s="51"/>
      <c r="AB720" s="51"/>
      <c r="AC720" s="51"/>
      <c r="AD720" s="51"/>
      <c r="AE720">
        <v>41141</v>
      </c>
      <c r="AG720" t="s">
        <v>895</v>
      </c>
      <c r="AH720" s="51"/>
      <c r="AI720" s="51"/>
    </row>
    <row r="721" spans="2:35">
      <c r="B721" t="s">
        <v>896</v>
      </c>
      <c r="C721" t="s">
        <v>3652</v>
      </c>
      <c r="D721">
        <v>9</v>
      </c>
      <c r="E721" t="s">
        <v>2791</v>
      </c>
      <c r="F721">
        <v>5</v>
      </c>
      <c r="G721">
        <v>10</v>
      </c>
      <c r="H721">
        <v>7</v>
      </c>
      <c r="I721" t="s">
        <v>897</v>
      </c>
      <c r="K721" t="s">
        <v>27</v>
      </c>
      <c r="L721" t="s">
        <v>880</v>
      </c>
      <c r="M721">
        <v>3</v>
      </c>
      <c r="N721" t="str">
        <f>L721</f>
        <v>NAM\MB3488</v>
      </c>
      <c r="O721" s="51">
        <f>J721</f>
        <v>0</v>
      </c>
      <c r="P721" s="51" t="str">
        <f>C721</f>
        <v>~/cdd/olddocs/Control Plans/ITRON/AMSAFE/CP-AMSA-007  0004080-0001 AL 004080-0012.pdf</v>
      </c>
      <c r="Q721" s="51" t="str">
        <f>E721</f>
        <v>pdf</v>
      </c>
      <c r="R721" s="51"/>
      <c r="S721" s="51"/>
      <c r="T721" s="51"/>
      <c r="U721" s="51"/>
      <c r="V721" s="51"/>
      <c r="W721" s="51"/>
      <c r="X721" s="51"/>
      <c r="Y721" s="51"/>
      <c r="Z721" s="51"/>
      <c r="AA721" s="51"/>
      <c r="AB721" s="51"/>
      <c r="AC721" s="51"/>
      <c r="AD721" s="51"/>
      <c r="AE721">
        <v>41164</v>
      </c>
      <c r="AG721" t="s">
        <v>898</v>
      </c>
      <c r="AH721" s="51"/>
      <c r="AI721" s="51"/>
    </row>
    <row r="722" spans="2:35">
      <c r="B722" t="s">
        <v>899</v>
      </c>
      <c r="C722" t="s">
        <v>3653</v>
      </c>
      <c r="D722">
        <v>9</v>
      </c>
      <c r="E722" t="s">
        <v>2791</v>
      </c>
      <c r="F722">
        <v>5</v>
      </c>
      <c r="G722">
        <v>10</v>
      </c>
      <c r="H722">
        <v>7</v>
      </c>
      <c r="I722" t="s">
        <v>900</v>
      </c>
      <c r="K722" t="s">
        <v>27</v>
      </c>
      <c r="L722" t="s">
        <v>880</v>
      </c>
      <c r="M722">
        <v>3</v>
      </c>
      <c r="N722" t="str">
        <f>L722</f>
        <v>NAM\MB3488</v>
      </c>
      <c r="O722" s="51">
        <f>J722</f>
        <v>0</v>
      </c>
      <c r="P722" s="51" t="str">
        <f>C722</f>
        <v>~/cdd/olddocs/Control Plans/ITRON/AMSAFE/CP-AMSA-008  4004070-0001.pdf</v>
      </c>
      <c r="Q722" s="51" t="str">
        <f>E722</f>
        <v>pdf</v>
      </c>
      <c r="R722" s="51"/>
      <c r="S722" s="51"/>
      <c r="T722" s="51"/>
      <c r="U722" s="51"/>
      <c r="V722" s="51"/>
      <c r="W722" s="51"/>
      <c r="X722" s="51"/>
      <c r="Y722" s="51"/>
      <c r="Z722" s="51"/>
      <c r="AA722" s="51"/>
      <c r="AB722" s="51"/>
      <c r="AC722" s="51"/>
      <c r="AD722" s="51"/>
      <c r="AE722">
        <v>41164</v>
      </c>
      <c r="AG722" t="s">
        <v>901</v>
      </c>
      <c r="AH722" s="51"/>
      <c r="AI722" s="51"/>
    </row>
    <row r="723" spans="2:35">
      <c r="B723" t="s">
        <v>902</v>
      </c>
      <c r="C723" t="s">
        <v>3654</v>
      </c>
      <c r="D723">
        <v>9</v>
      </c>
      <c r="E723" t="s">
        <v>2791</v>
      </c>
      <c r="F723">
        <v>5</v>
      </c>
      <c r="G723">
        <v>10</v>
      </c>
      <c r="H723">
        <v>7</v>
      </c>
      <c r="I723" t="s">
        <v>903</v>
      </c>
      <c r="K723" t="s">
        <v>27</v>
      </c>
      <c r="L723" t="s">
        <v>880</v>
      </c>
      <c r="M723">
        <v>3</v>
      </c>
      <c r="N723" t="str">
        <f>L723</f>
        <v>NAM\MB3488</v>
      </c>
      <c r="O723" s="51">
        <f>J723</f>
        <v>0</v>
      </c>
      <c r="P723" s="51" t="str">
        <f>C723</f>
        <v>~/cdd/olddocs/Control Plans/ITRON/AMSAFE/CP-AMSA-009  0004071-0001.pdf</v>
      </c>
      <c r="Q723" s="51" t="str">
        <f>E723</f>
        <v>pdf</v>
      </c>
      <c r="R723" s="51"/>
      <c r="S723" s="51"/>
      <c r="T723" s="51"/>
      <c r="U723" s="51"/>
      <c r="V723" s="51"/>
      <c r="W723" s="51"/>
      <c r="X723" s="51"/>
      <c r="Y723" s="51"/>
      <c r="Z723" s="51"/>
      <c r="AA723" s="51"/>
      <c r="AB723" s="51"/>
      <c r="AC723" s="51"/>
      <c r="AD723" s="51"/>
      <c r="AE723">
        <v>41164</v>
      </c>
      <c r="AG723" t="s">
        <v>904</v>
      </c>
      <c r="AH723" s="51"/>
      <c r="AI723" s="51"/>
    </row>
    <row r="724" spans="2:35">
      <c r="B724" t="s">
        <v>905</v>
      </c>
      <c r="C724" t="s">
        <v>3655</v>
      </c>
      <c r="D724">
        <v>9</v>
      </c>
      <c r="E724" t="s">
        <v>2791</v>
      </c>
      <c r="F724">
        <v>5</v>
      </c>
      <c r="G724">
        <v>10</v>
      </c>
      <c r="H724">
        <v>7</v>
      </c>
      <c r="I724" t="s">
        <v>877</v>
      </c>
      <c r="K724" t="s">
        <v>27</v>
      </c>
      <c r="L724" t="s">
        <v>880</v>
      </c>
      <c r="M724">
        <v>3</v>
      </c>
      <c r="N724" t="str">
        <f>L724</f>
        <v>NAM\MB3488</v>
      </c>
      <c r="O724" s="51">
        <f>J724</f>
        <v>0</v>
      </c>
      <c r="P724" s="51" t="str">
        <f>C724</f>
        <v>~/cdd/olddocs/Control Plans/ITRON/AMSAFE/CP-AMSA-010  004049-0001.pdf</v>
      </c>
      <c r="Q724" s="51" t="str">
        <f>E724</f>
        <v>pdf</v>
      </c>
      <c r="R724" s="51"/>
      <c r="S724" s="51"/>
      <c r="T724" s="51"/>
      <c r="U724" s="51"/>
      <c r="V724" s="51"/>
      <c r="W724" s="51"/>
      <c r="X724" s="51"/>
      <c r="Y724" s="51"/>
      <c r="Z724" s="51"/>
      <c r="AA724" s="51"/>
      <c r="AB724" s="51"/>
      <c r="AC724" s="51"/>
      <c r="AD724" s="51"/>
      <c r="AE724">
        <v>41165</v>
      </c>
      <c r="AG724" t="s">
        <v>906</v>
      </c>
      <c r="AH724" s="51"/>
      <c r="AI724" s="51"/>
    </row>
    <row r="725" spans="2:35">
      <c r="B725" t="s">
        <v>907</v>
      </c>
      <c r="C725" t="s">
        <v>3656</v>
      </c>
      <c r="D725">
        <v>9</v>
      </c>
      <c r="E725" t="s">
        <v>2791</v>
      </c>
      <c r="F725">
        <v>5</v>
      </c>
      <c r="G725">
        <v>10</v>
      </c>
      <c r="H725">
        <v>7</v>
      </c>
      <c r="I725" t="s">
        <v>908</v>
      </c>
      <c r="K725" t="s">
        <v>27</v>
      </c>
      <c r="L725" t="s">
        <v>880</v>
      </c>
      <c r="M725">
        <v>3</v>
      </c>
      <c r="N725" t="str">
        <f>L725</f>
        <v>NAM\MB3488</v>
      </c>
      <c r="O725" s="51">
        <f>J725</f>
        <v>0</v>
      </c>
      <c r="P725" s="51" t="str">
        <f>C725</f>
        <v>~/cdd/olddocs/Control Plans/ITRON/AMSAFE/CP-AMSA-011 004041-0001 &amp; 004041-0002.pdf</v>
      </c>
      <c r="Q725" s="51" t="str">
        <f>E725</f>
        <v>pdf</v>
      </c>
      <c r="R725" s="51"/>
      <c r="S725" s="51"/>
      <c r="T725" s="51"/>
      <c r="U725" s="51"/>
      <c r="V725" s="51"/>
      <c r="W725" s="51"/>
      <c r="X725" s="51"/>
      <c r="Y725" s="51"/>
      <c r="Z725" s="51"/>
      <c r="AA725" s="51"/>
      <c r="AB725" s="51"/>
      <c r="AC725" s="51"/>
      <c r="AD725" s="51"/>
      <c r="AE725">
        <v>41165</v>
      </c>
      <c r="AG725" t="s">
        <v>909</v>
      </c>
      <c r="AH725" s="51"/>
      <c r="AI725" s="51"/>
    </row>
    <row r="726" spans="2:35">
      <c r="B726" t="s">
        <v>910</v>
      </c>
      <c r="C726" t="s">
        <v>3657</v>
      </c>
      <c r="D726">
        <v>9</v>
      </c>
      <c r="E726" t="s">
        <v>2791</v>
      </c>
      <c r="F726">
        <v>5</v>
      </c>
      <c r="G726">
        <v>10</v>
      </c>
      <c r="H726">
        <v>7</v>
      </c>
      <c r="I726" t="s">
        <v>911</v>
      </c>
      <c r="K726" t="s">
        <v>27</v>
      </c>
      <c r="L726" t="s">
        <v>880</v>
      </c>
      <c r="M726">
        <v>3</v>
      </c>
      <c r="N726" t="str">
        <f>L726</f>
        <v>NAM\MB3488</v>
      </c>
      <c r="O726" s="51">
        <f>J726</f>
        <v>0</v>
      </c>
      <c r="P726" s="51" t="str">
        <f>C726</f>
        <v>~/cdd/olddocs/Control Plans/ITRON/AMSAFE/CP-AMSA-012 004002-0001.pdf</v>
      </c>
      <c r="Q726" s="51" t="str">
        <f>E726</f>
        <v>pdf</v>
      </c>
      <c r="R726" s="51"/>
      <c r="S726" s="51"/>
      <c r="T726" s="51"/>
      <c r="U726" s="51"/>
      <c r="V726" s="51"/>
      <c r="W726" s="51"/>
      <c r="X726" s="51"/>
      <c r="Y726" s="51"/>
      <c r="Z726" s="51"/>
      <c r="AA726" s="51"/>
      <c r="AB726" s="51"/>
      <c r="AC726" s="51"/>
      <c r="AD726" s="51"/>
      <c r="AE726">
        <v>41165</v>
      </c>
      <c r="AG726" t="s">
        <v>912</v>
      </c>
      <c r="AH726" s="51"/>
      <c r="AI726" s="51"/>
    </row>
    <row r="727" spans="2:35">
      <c r="B727" t="s">
        <v>913</v>
      </c>
      <c r="C727" t="s">
        <v>3658</v>
      </c>
      <c r="D727">
        <v>9</v>
      </c>
      <c r="E727" t="s">
        <v>2791</v>
      </c>
      <c r="F727">
        <v>5</v>
      </c>
      <c r="G727">
        <v>10</v>
      </c>
      <c r="H727">
        <v>7</v>
      </c>
      <c r="I727" t="s">
        <v>914</v>
      </c>
      <c r="K727" t="s">
        <v>27</v>
      </c>
      <c r="L727" t="s">
        <v>880</v>
      </c>
      <c r="M727">
        <v>3</v>
      </c>
      <c r="N727" t="str">
        <f>L727</f>
        <v>NAM\MB3488</v>
      </c>
      <c r="O727" s="51">
        <f>J727</f>
        <v>0</v>
      </c>
      <c r="P727" s="51" t="str">
        <f>C727</f>
        <v>~/cdd/olddocs/Control Plans/ITRON/AMSAFE/CP-AMSA-013 004055-0002.pdf</v>
      </c>
      <c r="Q727" s="51" t="str">
        <f>E727</f>
        <v>pdf</v>
      </c>
      <c r="R727" s="51"/>
      <c r="S727" s="51"/>
      <c r="T727" s="51"/>
      <c r="U727" s="51"/>
      <c r="V727" s="51"/>
      <c r="W727" s="51"/>
      <c r="X727" s="51"/>
      <c r="Y727" s="51"/>
      <c r="Z727" s="51"/>
      <c r="AA727" s="51"/>
      <c r="AB727" s="51"/>
      <c r="AC727" s="51"/>
      <c r="AD727" s="51"/>
      <c r="AE727">
        <v>41165</v>
      </c>
      <c r="AG727" t="s">
        <v>915</v>
      </c>
      <c r="AH727" s="51"/>
      <c r="AI727" s="51"/>
    </row>
    <row r="728" spans="2:35">
      <c r="B728" t="s">
        <v>916</v>
      </c>
      <c r="C728" t="s">
        <v>3645</v>
      </c>
      <c r="D728">
        <v>9</v>
      </c>
      <c r="E728" t="s">
        <v>2791</v>
      </c>
      <c r="F728">
        <v>5</v>
      </c>
      <c r="G728">
        <v>10</v>
      </c>
      <c r="H728">
        <v>7</v>
      </c>
      <c r="I728" t="s">
        <v>917</v>
      </c>
      <c r="K728" t="s">
        <v>27</v>
      </c>
      <c r="L728" t="s">
        <v>880</v>
      </c>
      <c r="M728">
        <v>3</v>
      </c>
      <c r="N728" t="str">
        <f>L728</f>
        <v>NAM\MB3488</v>
      </c>
      <c r="O728" s="51">
        <f>J728</f>
        <v>0</v>
      </c>
      <c r="P728" s="51" t="str">
        <f>C728</f>
        <v>~/cdd/olddocs/Control Plans/ITRON/AMSAFE/CP-AMSA -014 003075-0001.pdf</v>
      </c>
      <c r="Q728" s="51" t="str">
        <f>E728</f>
        <v>pdf</v>
      </c>
      <c r="R728" s="51"/>
      <c r="S728" s="51"/>
      <c r="T728" s="51"/>
      <c r="U728" s="51"/>
      <c r="V728" s="51"/>
      <c r="W728" s="51"/>
      <c r="X728" s="51"/>
      <c r="Y728" s="51"/>
      <c r="Z728" s="51"/>
      <c r="AA728" s="51"/>
      <c r="AB728" s="51"/>
      <c r="AC728" s="51"/>
      <c r="AD728" s="51"/>
      <c r="AE728">
        <v>41165</v>
      </c>
      <c r="AG728" t="s">
        <v>918</v>
      </c>
      <c r="AH728" s="51"/>
      <c r="AI728" s="51"/>
    </row>
    <row r="729" spans="2:35">
      <c r="B729" t="s">
        <v>919</v>
      </c>
      <c r="C729" t="e">
        <v>#VALUE!</v>
      </c>
      <c r="D729">
        <v>9</v>
      </c>
      <c r="E729" t="e">
        <v>#VALUE!</v>
      </c>
      <c r="F729">
        <v>5</v>
      </c>
      <c r="G729">
        <v>10</v>
      </c>
      <c r="H729">
        <v>7</v>
      </c>
      <c r="I729" t="s">
        <v>891</v>
      </c>
      <c r="K729" t="s">
        <v>27</v>
      </c>
      <c r="L729" t="s">
        <v>880</v>
      </c>
      <c r="M729">
        <v>3</v>
      </c>
      <c r="N729" t="str">
        <f>L729</f>
        <v>NAM\MB3488</v>
      </c>
      <c r="O729" s="51">
        <f>J729</f>
        <v>0</v>
      </c>
      <c r="P729" s="51" t="e">
        <f>C729</f>
        <v>#VALUE!</v>
      </c>
      <c r="Q729" s="51" t="e">
        <f>E729</f>
        <v>#VALUE!</v>
      </c>
      <c r="R729" s="51"/>
      <c r="S729" s="51"/>
      <c r="T729" s="51"/>
      <c r="U729" s="51"/>
      <c r="V729" s="51"/>
      <c r="W729" s="51"/>
      <c r="X729" s="51"/>
      <c r="Y729" s="51"/>
      <c r="Z729" s="51"/>
      <c r="AA729" s="51"/>
      <c r="AB729" s="51"/>
      <c r="AC729" s="51"/>
      <c r="AD729" s="51"/>
      <c r="AE729">
        <v>41165</v>
      </c>
      <c r="AG729" t="s">
        <v>920</v>
      </c>
      <c r="AH729" s="51"/>
      <c r="AI729" s="51"/>
    </row>
    <row r="730" spans="2:35">
      <c r="B730" t="s">
        <v>921</v>
      </c>
      <c r="C730" t="e">
        <v>#VALUE!</v>
      </c>
      <c r="D730">
        <v>9</v>
      </c>
      <c r="E730" t="e">
        <v>#VALUE!</v>
      </c>
      <c r="F730">
        <v>5</v>
      </c>
      <c r="G730">
        <v>10</v>
      </c>
      <c r="H730">
        <v>7</v>
      </c>
      <c r="I730" t="s">
        <v>911</v>
      </c>
      <c r="K730" t="s">
        <v>27</v>
      </c>
      <c r="L730" t="s">
        <v>880</v>
      </c>
      <c r="M730">
        <v>3</v>
      </c>
      <c r="N730" t="str">
        <f>L730</f>
        <v>NAM\MB3488</v>
      </c>
      <c r="O730" s="51">
        <f>J730</f>
        <v>0</v>
      </c>
      <c r="P730" s="51" t="e">
        <f>C730</f>
        <v>#VALUE!</v>
      </c>
      <c r="Q730" s="51" t="e">
        <f>E730</f>
        <v>#VALUE!</v>
      </c>
      <c r="R730" s="51"/>
      <c r="S730" s="51"/>
      <c r="T730" s="51"/>
      <c r="U730" s="51"/>
      <c r="V730" s="51"/>
      <c r="W730" s="51"/>
      <c r="X730" s="51"/>
      <c r="Y730" s="51"/>
      <c r="Z730" s="51"/>
      <c r="AA730" s="51"/>
      <c r="AB730" s="51"/>
      <c r="AC730" s="51"/>
      <c r="AD730" s="51"/>
      <c r="AE730">
        <v>41165</v>
      </c>
      <c r="AG730" t="s">
        <v>922</v>
      </c>
      <c r="AH730" s="51"/>
      <c r="AI730" s="51"/>
    </row>
    <row r="731" spans="2:35">
      <c r="B731" t="s">
        <v>923</v>
      </c>
      <c r="C731" t="e">
        <v>#VALUE!</v>
      </c>
      <c r="D731">
        <v>9</v>
      </c>
      <c r="E731" t="e">
        <v>#VALUE!</v>
      </c>
      <c r="F731">
        <v>5</v>
      </c>
      <c r="G731">
        <v>10</v>
      </c>
      <c r="H731">
        <v>7</v>
      </c>
      <c r="I731" t="s">
        <v>924</v>
      </c>
      <c r="K731" t="s">
        <v>27</v>
      </c>
      <c r="L731" t="s">
        <v>880</v>
      </c>
      <c r="M731">
        <v>3</v>
      </c>
      <c r="N731" t="str">
        <f>L731</f>
        <v>NAM\MB3488</v>
      </c>
      <c r="O731" s="51">
        <f>J731</f>
        <v>0</v>
      </c>
      <c r="P731" s="51" t="e">
        <f>C731</f>
        <v>#VALUE!</v>
      </c>
      <c r="Q731" s="51" t="e">
        <f>E731</f>
        <v>#VALUE!</v>
      </c>
      <c r="R731" s="51"/>
      <c r="S731" s="51"/>
      <c r="T731" s="51"/>
      <c r="U731" s="51"/>
      <c r="V731" s="51"/>
      <c r="W731" s="51"/>
      <c r="X731" s="51"/>
      <c r="Y731" s="51"/>
      <c r="Z731" s="51"/>
      <c r="AA731" s="51"/>
      <c r="AB731" s="51"/>
      <c r="AC731" s="51"/>
      <c r="AD731" s="51"/>
      <c r="AE731">
        <v>41165</v>
      </c>
      <c r="AG731" t="s">
        <v>925</v>
      </c>
      <c r="AH731" s="51"/>
      <c r="AI731" s="51"/>
    </row>
    <row r="732" spans="2:35">
      <c r="B732" t="s">
        <v>926</v>
      </c>
      <c r="C732" t="s">
        <v>3659</v>
      </c>
      <c r="D732">
        <v>9</v>
      </c>
      <c r="E732" t="s">
        <v>2791</v>
      </c>
      <c r="F732">
        <v>5</v>
      </c>
      <c r="G732">
        <v>10</v>
      </c>
      <c r="H732">
        <v>7</v>
      </c>
      <c r="I732" t="s">
        <v>911</v>
      </c>
      <c r="K732" t="s">
        <v>27</v>
      </c>
      <c r="L732" t="s">
        <v>880</v>
      </c>
      <c r="M732">
        <v>3</v>
      </c>
      <c r="N732" t="str">
        <f>L732</f>
        <v>NAM\MB3488</v>
      </c>
      <c r="O732" s="51">
        <f>J732</f>
        <v>0</v>
      </c>
      <c r="P732" s="51" t="str">
        <f>C732</f>
        <v>~/cdd/olddocs/Control Plans/ITRON/AMSAFE/CP-AMSA-018  004062-0001.pdf</v>
      </c>
      <c r="Q732" s="51" t="str">
        <f>E732</f>
        <v>pdf</v>
      </c>
      <c r="R732" s="51"/>
      <c r="S732" s="51"/>
      <c r="T732" s="51"/>
      <c r="U732" s="51"/>
      <c r="V732" s="51"/>
      <c r="W732" s="51"/>
      <c r="X732" s="51"/>
      <c r="Y732" s="51"/>
      <c r="Z732" s="51"/>
      <c r="AA732" s="51"/>
      <c r="AB732" s="51"/>
      <c r="AC732" s="51"/>
      <c r="AD732" s="51"/>
      <c r="AE732">
        <v>41165</v>
      </c>
      <c r="AG732" t="s">
        <v>927</v>
      </c>
      <c r="AH732" s="51"/>
      <c r="AI732" s="51"/>
    </row>
    <row r="733" spans="2:35">
      <c r="B733" t="s">
        <v>928</v>
      </c>
      <c r="C733" t="s">
        <v>3660</v>
      </c>
      <c r="D733">
        <v>9</v>
      </c>
      <c r="E733" t="s">
        <v>2791</v>
      </c>
      <c r="F733">
        <v>5</v>
      </c>
      <c r="G733">
        <v>10</v>
      </c>
      <c r="H733">
        <v>7</v>
      </c>
      <c r="I733" t="s">
        <v>882</v>
      </c>
      <c r="K733" t="s">
        <v>27</v>
      </c>
      <c r="L733" t="s">
        <v>880</v>
      </c>
      <c r="M733">
        <v>3</v>
      </c>
      <c r="N733" t="str">
        <f>L733</f>
        <v>NAM\MB3488</v>
      </c>
      <c r="O733" s="51">
        <f>J733</f>
        <v>0</v>
      </c>
      <c r="P733" s="51" t="str">
        <f>C733</f>
        <v>~/cdd/olddocs/Control Plans/ITRON/AMSAFE/CP-AMSA-019  3084 3085 3086 3087 3088 3093 3095 4000 4001.pdf</v>
      </c>
      <c r="Q733" s="51" t="str">
        <f>E733</f>
        <v>pdf</v>
      </c>
      <c r="R733" s="51"/>
      <c r="S733" s="51"/>
      <c r="T733" s="51"/>
      <c r="U733" s="51"/>
      <c r="V733" s="51"/>
      <c r="W733" s="51"/>
      <c r="X733" s="51"/>
      <c r="Y733" s="51"/>
      <c r="Z733" s="51"/>
      <c r="AA733" s="51"/>
      <c r="AB733" s="51"/>
      <c r="AC733" s="51"/>
      <c r="AD733" s="51"/>
      <c r="AE733">
        <v>41172</v>
      </c>
      <c r="AG733" t="s">
        <v>929</v>
      </c>
      <c r="AH733" s="51"/>
      <c r="AI733" s="51"/>
    </row>
    <row r="734" spans="2:35">
      <c r="B734" t="s">
        <v>966</v>
      </c>
      <c r="C734" t="s">
        <v>3661</v>
      </c>
      <c r="D734">
        <v>9</v>
      </c>
      <c r="E734" t="s">
        <v>2791</v>
      </c>
      <c r="F734">
        <v>5</v>
      </c>
      <c r="G734">
        <v>10</v>
      </c>
      <c r="H734">
        <v>10</v>
      </c>
      <c r="I734" t="s">
        <v>969</v>
      </c>
      <c r="K734" t="s">
        <v>27</v>
      </c>
      <c r="L734" t="s">
        <v>880</v>
      </c>
      <c r="M734">
        <v>3</v>
      </c>
      <c r="N734" t="str">
        <f>L734</f>
        <v>NAM\MB3488</v>
      </c>
      <c r="O734" s="51">
        <f>J734</f>
        <v>0</v>
      </c>
      <c r="P734" s="51" t="str">
        <f>C734</f>
        <v>~/cdd/olddocs/Control Plans/ITRON/BONDING/CP-BOND-001  000100-0113M, 000100-0179, 000102-TAB, 000103-TAB, 000104-TAB &amp; 000105-TAB..pdf</v>
      </c>
      <c r="Q734" s="51" t="str">
        <f>E734</f>
        <v>pdf</v>
      </c>
      <c r="R734" s="51"/>
      <c r="S734" s="51"/>
      <c r="T734" s="51"/>
      <c r="U734" s="51"/>
      <c r="V734" s="51"/>
      <c r="W734" s="51"/>
      <c r="X734" s="51"/>
      <c r="Y734" s="51"/>
      <c r="Z734" s="51"/>
      <c r="AA734" s="51"/>
      <c r="AB734" s="51"/>
      <c r="AC734" s="51"/>
      <c r="AD734" s="51"/>
      <c r="AE734">
        <v>41141</v>
      </c>
      <c r="AG734" t="s">
        <v>970</v>
      </c>
      <c r="AH734" s="51"/>
      <c r="AI734" s="51"/>
    </row>
    <row r="735" spans="2:35">
      <c r="B735" t="s">
        <v>971</v>
      </c>
      <c r="C735" t="s">
        <v>3662</v>
      </c>
      <c r="D735">
        <v>9</v>
      </c>
      <c r="E735" t="s">
        <v>2791</v>
      </c>
      <c r="F735">
        <v>5</v>
      </c>
      <c r="G735">
        <v>10</v>
      </c>
      <c r="H735">
        <v>10</v>
      </c>
      <c r="I735" t="s">
        <v>972</v>
      </c>
      <c r="K735" t="s">
        <v>27</v>
      </c>
      <c r="L735" t="s">
        <v>880</v>
      </c>
      <c r="M735">
        <v>3</v>
      </c>
      <c r="N735" t="str">
        <f>L735</f>
        <v>NAM\MB3488</v>
      </c>
      <c r="O735" s="51">
        <f>J735</f>
        <v>0</v>
      </c>
      <c r="P735" s="51" t="str">
        <f>C735</f>
        <v>~/cdd/olddocs/Control Plans/ITRON/BONDING/CP-BOND-002  002359-TAB 002360-TAB  002361-TAB.pdf</v>
      </c>
      <c r="Q735" s="51" t="str">
        <f>E735</f>
        <v>pdf</v>
      </c>
      <c r="R735" s="51"/>
      <c r="S735" s="51"/>
      <c r="T735" s="51"/>
      <c r="U735" s="51"/>
      <c r="V735" s="51"/>
      <c r="W735" s="51"/>
      <c r="X735" s="51"/>
      <c r="Y735" s="51"/>
      <c r="Z735" s="51"/>
      <c r="AA735" s="51"/>
      <c r="AB735" s="51"/>
      <c r="AC735" s="51"/>
      <c r="AD735" s="51"/>
      <c r="AE735">
        <v>41149</v>
      </c>
      <c r="AG735" t="s">
        <v>973</v>
      </c>
      <c r="AH735" s="51"/>
      <c r="AI735" s="51"/>
    </row>
    <row r="736" spans="2:35">
      <c r="B736" t="s">
        <v>974</v>
      </c>
      <c r="C736" t="s">
        <v>3663</v>
      </c>
      <c r="D736">
        <v>9</v>
      </c>
      <c r="E736" t="s">
        <v>2791</v>
      </c>
      <c r="F736">
        <v>5</v>
      </c>
      <c r="G736">
        <v>10</v>
      </c>
      <c r="H736">
        <v>10</v>
      </c>
      <c r="I736" t="s">
        <v>975</v>
      </c>
      <c r="K736" t="s">
        <v>27</v>
      </c>
      <c r="L736" t="s">
        <v>880</v>
      </c>
      <c r="M736">
        <v>3</v>
      </c>
      <c r="N736" t="str">
        <f>L736</f>
        <v>NAM\MB3488</v>
      </c>
      <c r="O736" s="51">
        <f>J736</f>
        <v>0</v>
      </c>
      <c r="P736" s="51" t="str">
        <f>C736</f>
        <v>~/cdd/olddocs/Control Plans/ITRON/BONDING/CP-BOND-003  Conector BACC65 TODOS.pdf</v>
      </c>
      <c r="Q736" s="51" t="str">
        <f>E736</f>
        <v>pdf</v>
      </c>
      <c r="R736" s="51"/>
      <c r="S736" s="51"/>
      <c r="T736" s="51"/>
      <c r="U736" s="51"/>
      <c r="V736" s="51"/>
      <c r="W736" s="51"/>
      <c r="X736" s="51"/>
      <c r="Y736" s="51"/>
      <c r="Z736" s="51"/>
      <c r="AA736" s="51"/>
      <c r="AB736" s="51"/>
      <c r="AC736" s="51"/>
      <c r="AD736" s="51"/>
      <c r="AE736">
        <v>41180</v>
      </c>
      <c r="AG736" t="s">
        <v>976</v>
      </c>
      <c r="AH736" s="51"/>
      <c r="AI736" s="51"/>
    </row>
    <row r="737" spans="2:35">
      <c r="B737" t="s">
        <v>977</v>
      </c>
      <c r="C737" t="s">
        <v>3664</v>
      </c>
      <c r="D737">
        <v>9</v>
      </c>
      <c r="E737" t="s">
        <v>2791</v>
      </c>
      <c r="F737">
        <v>5</v>
      </c>
      <c r="G737">
        <v>10</v>
      </c>
      <c r="H737">
        <v>10</v>
      </c>
      <c r="I737" t="s">
        <v>972</v>
      </c>
      <c r="K737" t="s">
        <v>27</v>
      </c>
      <c r="L737" t="s">
        <v>880</v>
      </c>
      <c r="M737">
        <v>3</v>
      </c>
      <c r="N737" t="str">
        <f>L737</f>
        <v>NAM\MB3488</v>
      </c>
      <c r="O737" s="51">
        <f>J737</f>
        <v>0</v>
      </c>
      <c r="P737" s="51" t="str">
        <f>C737</f>
        <v>~/cdd/olddocs/Control Plans/ITRON/BONDING/CP-BOND-004  002359-TAB, 002360-TAB &amp; 002361-TAB..pdf</v>
      </c>
      <c r="Q737" s="51" t="str">
        <f>E737</f>
        <v>pdf</v>
      </c>
      <c r="R737" s="51"/>
      <c r="S737" s="51"/>
      <c r="T737" s="51"/>
      <c r="U737" s="51"/>
      <c r="V737" s="51"/>
      <c r="W737" s="51"/>
      <c r="X737" s="51"/>
      <c r="Y737" s="51"/>
      <c r="Z737" s="51"/>
      <c r="AA737" s="51"/>
      <c r="AB737" s="51"/>
      <c r="AC737" s="51"/>
      <c r="AD737" s="51"/>
      <c r="AE737">
        <v>41206</v>
      </c>
      <c r="AG737" t="s">
        <v>973</v>
      </c>
      <c r="AH737" s="51"/>
      <c r="AI737" s="51"/>
    </row>
    <row r="738" spans="2:35">
      <c r="B738" t="s">
        <v>978</v>
      </c>
      <c r="C738" t="e">
        <v>#VALUE!</v>
      </c>
      <c r="D738">
        <v>9</v>
      </c>
      <c r="E738" t="e">
        <v>#VALUE!</v>
      </c>
      <c r="F738">
        <v>5</v>
      </c>
      <c r="G738">
        <v>10</v>
      </c>
      <c r="H738">
        <v>10</v>
      </c>
      <c r="I738" t="s">
        <v>969</v>
      </c>
      <c r="K738" t="s">
        <v>27</v>
      </c>
      <c r="L738" t="s">
        <v>880</v>
      </c>
      <c r="M738">
        <v>3</v>
      </c>
      <c r="N738" t="str">
        <f>L738</f>
        <v>NAM\MB3488</v>
      </c>
      <c r="O738" s="51">
        <f>J738</f>
        <v>0</v>
      </c>
      <c r="P738" s="51" t="e">
        <f>C738</f>
        <v>#VALUE!</v>
      </c>
      <c r="Q738" s="51" t="e">
        <f>E738</f>
        <v>#VALUE!</v>
      </c>
      <c r="R738" s="51"/>
      <c r="S738" s="51"/>
      <c r="T738" s="51"/>
      <c r="U738" s="51"/>
      <c r="V738" s="51"/>
      <c r="W738" s="51"/>
      <c r="X738" s="51"/>
      <c r="Y738" s="51"/>
      <c r="Z738" s="51"/>
      <c r="AA738" s="51"/>
      <c r="AB738" s="51"/>
      <c r="AC738" s="51"/>
      <c r="AD738" s="51"/>
      <c r="AE738">
        <v>41206</v>
      </c>
      <c r="AG738" t="s">
        <v>979</v>
      </c>
      <c r="AH738" s="51"/>
      <c r="AI738" s="51"/>
    </row>
    <row r="739" spans="2:35">
      <c r="B739" t="s">
        <v>980</v>
      </c>
      <c r="C739" t="e">
        <v>#VALUE!</v>
      </c>
      <c r="D739">
        <v>9</v>
      </c>
      <c r="E739" t="e">
        <v>#VALUE!</v>
      </c>
      <c r="F739">
        <v>5</v>
      </c>
      <c r="G739">
        <v>10</v>
      </c>
      <c r="H739">
        <v>10</v>
      </c>
      <c r="I739" t="s">
        <v>981</v>
      </c>
      <c r="K739" t="s">
        <v>27</v>
      </c>
      <c r="L739" t="s">
        <v>880</v>
      </c>
      <c r="M739">
        <v>3</v>
      </c>
      <c r="N739" t="str">
        <f>L739</f>
        <v>NAM\MB3488</v>
      </c>
      <c r="O739" s="51">
        <f>J739</f>
        <v>0</v>
      </c>
      <c r="P739" s="51" t="e">
        <f>C739</f>
        <v>#VALUE!</v>
      </c>
      <c r="Q739" s="51" t="e">
        <f>E739</f>
        <v>#VALUE!</v>
      </c>
      <c r="R739" s="51"/>
      <c r="S739" s="51"/>
      <c r="T739" s="51"/>
      <c r="U739" s="51"/>
      <c r="V739" s="51"/>
      <c r="W739" s="51"/>
      <c r="X739" s="51"/>
      <c r="Y739" s="51"/>
      <c r="Z739" s="51"/>
      <c r="AA739" s="51"/>
      <c r="AB739" s="51"/>
      <c r="AC739" s="51"/>
      <c r="AD739" s="51"/>
      <c r="AE739">
        <v>41206</v>
      </c>
      <c r="AG739" t="s">
        <v>982</v>
      </c>
      <c r="AH739" s="51"/>
      <c r="AI739" s="51"/>
    </row>
    <row r="740" spans="2:35">
      <c r="B740" t="s">
        <v>983</v>
      </c>
      <c r="C740" t="s">
        <v>3665</v>
      </c>
      <c r="D740">
        <v>9</v>
      </c>
      <c r="E740" t="s">
        <v>2791</v>
      </c>
      <c r="F740">
        <v>5</v>
      </c>
      <c r="G740">
        <v>10</v>
      </c>
      <c r="H740">
        <v>10</v>
      </c>
      <c r="I740" t="s">
        <v>984</v>
      </c>
      <c r="K740" t="s">
        <v>27</v>
      </c>
      <c r="L740" t="s">
        <v>880</v>
      </c>
      <c r="M740">
        <v>3</v>
      </c>
      <c r="N740" t="str">
        <f>L740</f>
        <v>NAM\MB3488</v>
      </c>
      <c r="O740" s="51">
        <f>J740</f>
        <v>0</v>
      </c>
      <c r="P740" s="51" t="str">
        <f>C740</f>
        <v>~/cdd/olddocs/Control Plans/ITRON/BONDING/CP-BOND-007   002367-0121.pdf</v>
      </c>
      <c r="Q740" s="51" t="str">
        <f>E740</f>
        <v>pdf</v>
      </c>
      <c r="R740" s="51"/>
      <c r="S740" s="51"/>
      <c r="T740" s="51"/>
      <c r="U740" s="51"/>
      <c r="V740" s="51"/>
      <c r="W740" s="51"/>
      <c r="X740" s="51"/>
      <c r="Y740" s="51"/>
      <c r="Z740" s="51"/>
      <c r="AA740" s="51"/>
      <c r="AB740" s="51"/>
      <c r="AC740" s="51"/>
      <c r="AD740" s="51"/>
      <c r="AE740">
        <v>41206</v>
      </c>
      <c r="AG740" t="s">
        <v>985</v>
      </c>
      <c r="AH740" s="51"/>
      <c r="AI740" s="51"/>
    </row>
    <row r="741" spans="2:35">
      <c r="B741" t="s">
        <v>986</v>
      </c>
      <c r="C741" t="e">
        <v>#VALUE!</v>
      </c>
      <c r="D741">
        <v>9</v>
      </c>
      <c r="E741" t="e">
        <v>#VALUE!</v>
      </c>
      <c r="F741">
        <v>5</v>
      </c>
      <c r="G741">
        <v>10</v>
      </c>
      <c r="H741">
        <v>10</v>
      </c>
      <c r="I741" t="s">
        <v>987</v>
      </c>
      <c r="K741" t="s">
        <v>27</v>
      </c>
      <c r="L741" t="s">
        <v>880</v>
      </c>
      <c r="M741">
        <v>3</v>
      </c>
      <c r="N741" t="str">
        <f>L741</f>
        <v>NAM\MB3488</v>
      </c>
      <c r="O741" s="51">
        <f>J741</f>
        <v>0</v>
      </c>
      <c r="P741" s="51" t="e">
        <f>C741</f>
        <v>#VALUE!</v>
      </c>
      <c r="Q741" s="51" t="e">
        <f>E741</f>
        <v>#VALUE!</v>
      </c>
      <c r="R741" s="51"/>
      <c r="S741" s="51"/>
      <c r="T741" s="51"/>
      <c r="U741" s="51"/>
      <c r="V741" s="51"/>
      <c r="W741" s="51"/>
      <c r="X741" s="51"/>
      <c r="Y741" s="51"/>
      <c r="Z741" s="51"/>
      <c r="AA741" s="51"/>
      <c r="AB741" s="51"/>
      <c r="AC741" s="51"/>
      <c r="AD741" s="51"/>
      <c r="AE741">
        <v>41206</v>
      </c>
      <c r="AG741" t="s">
        <v>988</v>
      </c>
      <c r="AH741" s="51"/>
      <c r="AI741" s="51"/>
    </row>
    <row r="742" spans="2:35">
      <c r="B742" t="s">
        <v>989</v>
      </c>
      <c r="C742" t="s">
        <v>3666</v>
      </c>
      <c r="D742">
        <v>9</v>
      </c>
      <c r="E742" t="s">
        <v>2791</v>
      </c>
      <c r="F742">
        <v>5</v>
      </c>
      <c r="G742">
        <v>10</v>
      </c>
      <c r="H742">
        <v>10</v>
      </c>
      <c r="I742" t="s">
        <v>990</v>
      </c>
      <c r="K742" t="s">
        <v>27</v>
      </c>
      <c r="L742" t="s">
        <v>880</v>
      </c>
      <c r="M742">
        <v>3</v>
      </c>
      <c r="N742" t="str">
        <f>L742</f>
        <v>NAM\MB3488</v>
      </c>
      <c r="O742" s="51">
        <f>J742</f>
        <v>0</v>
      </c>
      <c r="P742" s="51" t="str">
        <f>C742</f>
        <v>~/cdd/olddocs/Control Plans/ITRON/BONDING/CP-BOND-009  02368-0211A.pdf</v>
      </c>
      <c r="Q742" s="51" t="str">
        <f>E742</f>
        <v>pdf</v>
      </c>
      <c r="R742" s="51"/>
      <c r="S742" s="51"/>
      <c r="T742" s="51"/>
      <c r="U742" s="51"/>
      <c r="V742" s="51"/>
      <c r="W742" s="51"/>
      <c r="X742" s="51"/>
      <c r="Y742" s="51"/>
      <c r="Z742" s="51"/>
      <c r="AA742" s="51"/>
      <c r="AB742" s="51"/>
      <c r="AC742" s="51"/>
      <c r="AD742" s="51"/>
      <c r="AE742">
        <v>41206</v>
      </c>
      <c r="AG742" t="s">
        <v>991</v>
      </c>
      <c r="AH742" s="51"/>
      <c r="AI742" s="51"/>
    </row>
    <row r="743" spans="2:35">
      <c r="B743" t="s">
        <v>992</v>
      </c>
      <c r="C743" t="s">
        <v>3667</v>
      </c>
      <c r="D743">
        <v>9</v>
      </c>
      <c r="E743" t="s">
        <v>2791</v>
      </c>
      <c r="F743">
        <v>5</v>
      </c>
      <c r="G743">
        <v>10</v>
      </c>
      <c r="H743">
        <v>10</v>
      </c>
      <c r="I743" t="s">
        <v>993</v>
      </c>
      <c r="K743" t="s">
        <v>27</v>
      </c>
      <c r="L743" t="s">
        <v>880</v>
      </c>
      <c r="M743">
        <v>3</v>
      </c>
      <c r="N743" t="str">
        <f>L743</f>
        <v>NAM\MB3488</v>
      </c>
      <c r="O743" s="51">
        <f>J743</f>
        <v>0</v>
      </c>
      <c r="P743" s="51" t="str">
        <f>C743</f>
        <v>~/cdd/olddocs/Control Plans/ITRON/BONDING/CP-BOND-010   002368-0221.pdf</v>
      </c>
      <c r="Q743" s="51" t="str">
        <f>E743</f>
        <v>pdf</v>
      </c>
      <c r="R743" s="51"/>
      <c r="S743" s="51"/>
      <c r="T743" s="51"/>
      <c r="U743" s="51"/>
      <c r="V743" s="51"/>
      <c r="W743" s="51"/>
      <c r="X743" s="51"/>
      <c r="Y743" s="51"/>
      <c r="Z743" s="51"/>
      <c r="AA743" s="51"/>
      <c r="AB743" s="51"/>
      <c r="AC743" s="51"/>
      <c r="AD743" s="51"/>
      <c r="AE743">
        <v>41206</v>
      </c>
      <c r="AG743" t="s">
        <v>994</v>
      </c>
      <c r="AH743" s="51"/>
      <c r="AI743" s="51"/>
    </row>
    <row r="744" spans="2:35">
      <c r="B744" t="s">
        <v>995</v>
      </c>
      <c r="C744" t="s">
        <v>3668</v>
      </c>
      <c r="D744">
        <v>9</v>
      </c>
      <c r="E744" t="s">
        <v>2791</v>
      </c>
      <c r="F744">
        <v>5</v>
      </c>
      <c r="G744">
        <v>10</v>
      </c>
      <c r="H744">
        <v>10</v>
      </c>
      <c r="I744" t="s">
        <v>996</v>
      </c>
      <c r="K744" t="s">
        <v>27</v>
      </c>
      <c r="L744" t="s">
        <v>880</v>
      </c>
      <c r="M744">
        <v>3</v>
      </c>
      <c r="N744" t="str">
        <f>L744</f>
        <v>NAM\MB3488</v>
      </c>
      <c r="O744" s="51">
        <f>J744</f>
        <v>0</v>
      </c>
      <c r="P744" s="51" t="str">
        <f>C744</f>
        <v>~/cdd/olddocs/Control Plans/ITRON/BONDING/CP-BOND-011   002368-0221A.pdf</v>
      </c>
      <c r="Q744" s="51" t="str">
        <f>E744</f>
        <v>pdf</v>
      </c>
      <c r="R744" s="51"/>
      <c r="S744" s="51"/>
      <c r="T744" s="51"/>
      <c r="U744" s="51"/>
      <c r="V744" s="51"/>
      <c r="W744" s="51"/>
      <c r="X744" s="51"/>
      <c r="Y744" s="51"/>
      <c r="Z744" s="51"/>
      <c r="AA744" s="51"/>
      <c r="AB744" s="51"/>
      <c r="AC744" s="51"/>
      <c r="AD744" s="51"/>
      <c r="AE744">
        <v>41206</v>
      </c>
      <c r="AG744" t="s">
        <v>997</v>
      </c>
      <c r="AH744" s="51"/>
      <c r="AI744" s="51"/>
    </row>
    <row r="745" spans="2:35">
      <c r="B745" t="s">
        <v>998</v>
      </c>
      <c r="C745" t="s">
        <v>3669</v>
      </c>
      <c r="D745">
        <v>9</v>
      </c>
      <c r="E745" t="s">
        <v>2791</v>
      </c>
      <c r="F745">
        <v>5</v>
      </c>
      <c r="G745">
        <v>10</v>
      </c>
      <c r="H745">
        <v>10</v>
      </c>
      <c r="I745" t="s">
        <v>999</v>
      </c>
      <c r="K745" t="s">
        <v>27</v>
      </c>
      <c r="L745" t="s">
        <v>880</v>
      </c>
      <c r="M745">
        <v>3</v>
      </c>
      <c r="N745" t="str">
        <f>L745</f>
        <v>NAM\MB3488</v>
      </c>
      <c r="O745" s="51">
        <f>J745</f>
        <v>0</v>
      </c>
      <c r="P745" s="51" t="str">
        <f>C745</f>
        <v>~/cdd/olddocs/Control Plans/ITRON/BONDING/CP-BOND-012   002368-0802.pdf</v>
      </c>
      <c r="Q745" s="51" t="str">
        <f>E745</f>
        <v>pdf</v>
      </c>
      <c r="R745" s="51"/>
      <c r="S745" s="51"/>
      <c r="T745" s="51"/>
      <c r="U745" s="51"/>
      <c r="V745" s="51"/>
      <c r="W745" s="51"/>
      <c r="X745" s="51"/>
      <c r="Y745" s="51"/>
      <c r="Z745" s="51"/>
      <c r="AA745" s="51"/>
      <c r="AB745" s="51"/>
      <c r="AC745" s="51"/>
      <c r="AD745" s="51"/>
      <c r="AE745">
        <v>41206</v>
      </c>
      <c r="AG745" t="s">
        <v>1000</v>
      </c>
      <c r="AH745" s="51"/>
      <c r="AI745" s="51"/>
    </row>
    <row r="746" spans="2:35">
      <c r="B746" t="s">
        <v>1001</v>
      </c>
      <c r="C746" t="s">
        <v>3670</v>
      </c>
      <c r="D746">
        <v>9</v>
      </c>
      <c r="E746" t="s">
        <v>2791</v>
      </c>
      <c r="F746">
        <v>5</v>
      </c>
      <c r="G746">
        <v>10</v>
      </c>
      <c r="H746">
        <v>10</v>
      </c>
      <c r="I746" t="s">
        <v>1002</v>
      </c>
      <c r="K746" t="s">
        <v>27</v>
      </c>
      <c r="L746" t="s">
        <v>880</v>
      </c>
      <c r="M746">
        <v>3</v>
      </c>
      <c r="N746" t="str">
        <f>L746</f>
        <v>NAM\MB3488</v>
      </c>
      <c r="O746" s="51">
        <f>J746</f>
        <v>0</v>
      </c>
      <c r="P746" s="51" t="str">
        <f>C746</f>
        <v>~/cdd/olddocs/Control Plans/ITRON/BONDING/CP-BOND-013   002369-0001.pdf</v>
      </c>
      <c r="Q746" s="51" t="str">
        <f>E746</f>
        <v>pdf</v>
      </c>
      <c r="R746" s="51"/>
      <c r="S746" s="51"/>
      <c r="T746" s="51"/>
      <c r="U746" s="51"/>
      <c r="V746" s="51"/>
      <c r="W746" s="51"/>
      <c r="X746" s="51"/>
      <c r="Y746" s="51"/>
      <c r="Z746" s="51"/>
      <c r="AA746" s="51"/>
      <c r="AB746" s="51"/>
      <c r="AC746" s="51"/>
      <c r="AD746" s="51"/>
      <c r="AE746">
        <v>41207</v>
      </c>
      <c r="AG746" t="s">
        <v>1003</v>
      </c>
      <c r="AH746" s="51"/>
      <c r="AI746" s="51"/>
    </row>
    <row r="747" spans="2:35">
      <c r="B747" t="s">
        <v>1004</v>
      </c>
      <c r="C747" t="s">
        <v>3671</v>
      </c>
      <c r="D747">
        <v>9</v>
      </c>
      <c r="E747" t="s">
        <v>2791</v>
      </c>
      <c r="F747">
        <v>5</v>
      </c>
      <c r="G747">
        <v>10</v>
      </c>
      <c r="H747">
        <v>10</v>
      </c>
      <c r="I747" t="s">
        <v>1005</v>
      </c>
      <c r="K747" t="s">
        <v>27</v>
      </c>
      <c r="L747" t="s">
        <v>880</v>
      </c>
      <c r="M747">
        <v>3</v>
      </c>
      <c r="N747" t="str">
        <f>L747</f>
        <v>NAM\MB3488</v>
      </c>
      <c r="O747" s="51">
        <f>J747</f>
        <v>0</v>
      </c>
      <c r="P747" s="51" t="str">
        <f>C747</f>
        <v>~/cdd/olddocs/Control Plans/ITRON/BONDING/CP-BOND-014   002371-0002 &amp; 002371-0004.pdf</v>
      </c>
      <c r="Q747" s="51" t="str">
        <f>E747</f>
        <v>pdf</v>
      </c>
      <c r="R747" s="51"/>
      <c r="S747" s="51"/>
      <c r="T747" s="51"/>
      <c r="U747" s="51"/>
      <c r="V747" s="51"/>
      <c r="W747" s="51"/>
      <c r="X747" s="51"/>
      <c r="Y747" s="51"/>
      <c r="Z747" s="51"/>
      <c r="AA747" s="51"/>
      <c r="AB747" s="51"/>
      <c r="AC747" s="51"/>
      <c r="AD747" s="51"/>
      <c r="AE747">
        <v>41207</v>
      </c>
      <c r="AG747" t="s">
        <v>1006</v>
      </c>
      <c r="AH747" s="51"/>
      <c r="AI747" s="51"/>
    </row>
    <row r="748" spans="2:35">
      <c r="B748" t="s">
        <v>1007</v>
      </c>
      <c r="C748" t="s">
        <v>3672</v>
      </c>
      <c r="D748">
        <v>9</v>
      </c>
      <c r="E748" t="s">
        <v>2791</v>
      </c>
      <c r="F748">
        <v>5</v>
      </c>
      <c r="G748">
        <v>10</v>
      </c>
      <c r="H748">
        <v>10</v>
      </c>
      <c r="I748" t="s">
        <v>1005</v>
      </c>
      <c r="K748" t="s">
        <v>27</v>
      </c>
      <c r="L748" t="s">
        <v>880</v>
      </c>
      <c r="M748">
        <v>3</v>
      </c>
      <c r="N748" t="str">
        <f>L748</f>
        <v>NAM\MB3488</v>
      </c>
      <c r="O748" s="51">
        <f>J748</f>
        <v>0</v>
      </c>
      <c r="P748" s="51" t="str">
        <f>C748</f>
        <v>~/cdd/olddocs/Control Plans/ITRON/BONDING/CP-BOND-015   002371-0003.pdf</v>
      </c>
      <c r="Q748" s="51" t="str">
        <f>E748</f>
        <v>pdf</v>
      </c>
      <c r="R748" s="51"/>
      <c r="S748" s="51"/>
      <c r="T748" s="51"/>
      <c r="U748" s="51"/>
      <c r="V748" s="51"/>
      <c r="W748" s="51"/>
      <c r="X748" s="51"/>
      <c r="Y748" s="51"/>
      <c r="Z748" s="51"/>
      <c r="AA748" s="51"/>
      <c r="AB748" s="51"/>
      <c r="AC748" s="51"/>
      <c r="AD748" s="51"/>
      <c r="AE748">
        <v>41207</v>
      </c>
      <c r="AG748" t="s">
        <v>1008</v>
      </c>
      <c r="AH748" s="51"/>
      <c r="AI748" s="51"/>
    </row>
    <row r="749" spans="2:35">
      <c r="B749" t="s">
        <v>1009</v>
      </c>
      <c r="C749" t="s">
        <v>3673</v>
      </c>
      <c r="D749">
        <v>9</v>
      </c>
      <c r="E749" t="s">
        <v>2791</v>
      </c>
      <c r="F749">
        <v>5</v>
      </c>
      <c r="G749">
        <v>10</v>
      </c>
      <c r="H749">
        <v>10</v>
      </c>
      <c r="I749" t="s">
        <v>1010</v>
      </c>
      <c r="K749" t="s">
        <v>27</v>
      </c>
      <c r="L749" t="s">
        <v>880</v>
      </c>
      <c r="M749">
        <v>3</v>
      </c>
      <c r="N749" t="str">
        <f>L749</f>
        <v>NAM\MB3488</v>
      </c>
      <c r="O749" s="51">
        <f>J749</f>
        <v>0</v>
      </c>
      <c r="P749" s="51" t="str">
        <f>C749</f>
        <v>~/cdd/olddocs/Control Plans/ITRON/BONDING/CP-BOND-016   002378-0001.pdf</v>
      </c>
      <c r="Q749" s="51" t="str">
        <f>E749</f>
        <v>pdf</v>
      </c>
      <c r="R749" s="51"/>
      <c r="S749" s="51"/>
      <c r="T749" s="51"/>
      <c r="U749" s="51"/>
      <c r="V749" s="51"/>
      <c r="W749" s="51"/>
      <c r="X749" s="51"/>
      <c r="Y749" s="51"/>
      <c r="Z749" s="51"/>
      <c r="AA749" s="51"/>
      <c r="AB749" s="51"/>
      <c r="AC749" s="51"/>
      <c r="AD749" s="51"/>
      <c r="AE749">
        <v>41207</v>
      </c>
      <c r="AG749" t="s">
        <v>1011</v>
      </c>
      <c r="AH749" s="51"/>
      <c r="AI749" s="51"/>
    </row>
    <row r="750" spans="2:35">
      <c r="B750" t="s">
        <v>1012</v>
      </c>
      <c r="C750" t="s">
        <v>3674</v>
      </c>
      <c r="D750">
        <v>9</v>
      </c>
      <c r="E750" t="s">
        <v>2791</v>
      </c>
      <c r="F750">
        <v>5</v>
      </c>
      <c r="G750">
        <v>10</v>
      </c>
      <c r="H750">
        <v>10</v>
      </c>
      <c r="I750" t="s">
        <v>1013</v>
      </c>
      <c r="K750" t="s">
        <v>27</v>
      </c>
      <c r="L750" t="s">
        <v>880</v>
      </c>
      <c r="M750">
        <v>3</v>
      </c>
      <c r="N750" t="str">
        <f>L750</f>
        <v>NAM\MB3488</v>
      </c>
      <c r="O750" s="51">
        <f>J750</f>
        <v>0</v>
      </c>
      <c r="P750" s="51" t="str">
        <f>C750</f>
        <v>~/cdd/olddocs/Control Plans/ITRON/BONDING/CP-BOND-017   002379-0001.pdf</v>
      </c>
      <c r="Q750" s="51" t="str">
        <f>E750</f>
        <v>pdf</v>
      </c>
      <c r="R750" s="51"/>
      <c r="S750" s="51"/>
      <c r="T750" s="51"/>
      <c r="U750" s="51"/>
      <c r="V750" s="51"/>
      <c r="W750" s="51"/>
      <c r="X750" s="51"/>
      <c r="Y750" s="51"/>
      <c r="Z750" s="51"/>
      <c r="AA750" s="51"/>
      <c r="AB750" s="51"/>
      <c r="AC750" s="51"/>
      <c r="AD750" s="51"/>
      <c r="AE750">
        <v>41207</v>
      </c>
      <c r="AG750" t="s">
        <v>1014</v>
      </c>
      <c r="AH750" s="51"/>
      <c r="AI750" s="51"/>
    </row>
    <row r="751" spans="2:35">
      <c r="B751" t="s">
        <v>1015</v>
      </c>
      <c r="C751" t="s">
        <v>3675</v>
      </c>
      <c r="D751">
        <v>9</v>
      </c>
      <c r="E751" t="s">
        <v>2791</v>
      </c>
      <c r="F751">
        <v>5</v>
      </c>
      <c r="G751">
        <v>10</v>
      </c>
      <c r="H751">
        <v>10</v>
      </c>
      <c r="I751" t="s">
        <v>1016</v>
      </c>
      <c r="K751" t="s">
        <v>27</v>
      </c>
      <c r="L751" t="s">
        <v>880</v>
      </c>
      <c r="M751">
        <v>3</v>
      </c>
      <c r="N751" t="str">
        <f>L751</f>
        <v>NAM\MB3488</v>
      </c>
      <c r="O751" s="51">
        <f>J751</f>
        <v>0</v>
      </c>
      <c r="P751" s="51" t="str">
        <f>C751</f>
        <v>~/cdd/olddocs/Control Plans/ITRON/BONDING/CP-BOND-018   002501-0001 y 002505-0001.pdf</v>
      </c>
      <c r="Q751" s="51" t="str">
        <f>E751</f>
        <v>pdf</v>
      </c>
      <c r="R751" s="51"/>
      <c r="S751" s="51"/>
      <c r="T751" s="51"/>
      <c r="U751" s="51"/>
      <c r="V751" s="51"/>
      <c r="W751" s="51"/>
      <c r="X751" s="51"/>
      <c r="Y751" s="51"/>
      <c r="Z751" s="51"/>
      <c r="AA751" s="51"/>
      <c r="AB751" s="51"/>
      <c r="AC751" s="51"/>
      <c r="AD751" s="51"/>
      <c r="AE751">
        <v>41207</v>
      </c>
      <c r="AG751" t="s">
        <v>1017</v>
      </c>
      <c r="AH751" s="51"/>
      <c r="AI751" s="51"/>
    </row>
    <row r="752" spans="2:35">
      <c r="B752" t="s">
        <v>1018</v>
      </c>
      <c r="C752" t="s">
        <v>3676</v>
      </c>
      <c r="D752">
        <v>9</v>
      </c>
      <c r="E752" t="s">
        <v>2791</v>
      </c>
      <c r="F752">
        <v>5</v>
      </c>
      <c r="G752">
        <v>10</v>
      </c>
      <c r="H752">
        <v>10</v>
      </c>
      <c r="I752" t="s">
        <v>1019</v>
      </c>
      <c r="K752" t="s">
        <v>27</v>
      </c>
      <c r="L752" t="s">
        <v>880</v>
      </c>
      <c r="M752">
        <v>3</v>
      </c>
      <c r="N752" t="str">
        <f>L752</f>
        <v>NAM\MB3488</v>
      </c>
      <c r="O752" s="51">
        <f>J752</f>
        <v>0</v>
      </c>
      <c r="P752" s="51" t="str">
        <f>C752</f>
        <v>~/cdd/olddocs/Control Plans/ITRON/BONDING/CP-BOND-019   002600-000X &amp; 002601-000X.pdf</v>
      </c>
      <c r="Q752" s="51" t="str">
        <f>E752</f>
        <v>pdf</v>
      </c>
      <c r="R752" s="51"/>
      <c r="S752" s="51"/>
      <c r="T752" s="51"/>
      <c r="U752" s="51"/>
      <c r="V752" s="51"/>
      <c r="W752" s="51"/>
      <c r="X752" s="51"/>
      <c r="Y752" s="51"/>
      <c r="Z752" s="51"/>
      <c r="AA752" s="51"/>
      <c r="AB752" s="51"/>
      <c r="AC752" s="51"/>
      <c r="AD752" s="51"/>
      <c r="AE752">
        <v>41207</v>
      </c>
      <c r="AG752" t="s">
        <v>1020</v>
      </c>
      <c r="AH752" s="51"/>
      <c r="AI752" s="51"/>
    </row>
    <row r="753" spans="2:35">
      <c r="B753" t="s">
        <v>1021</v>
      </c>
      <c r="C753" t="s">
        <v>3677</v>
      </c>
      <c r="D753">
        <v>9</v>
      </c>
      <c r="E753" t="s">
        <v>2791</v>
      </c>
      <c r="F753">
        <v>5</v>
      </c>
      <c r="G753">
        <v>10</v>
      </c>
      <c r="H753">
        <v>10</v>
      </c>
      <c r="I753" t="s">
        <v>1022</v>
      </c>
      <c r="K753" t="s">
        <v>27</v>
      </c>
      <c r="L753" t="s">
        <v>880</v>
      </c>
      <c r="M753">
        <v>3</v>
      </c>
      <c r="N753" t="str">
        <f>L753</f>
        <v>NAM\MB3488</v>
      </c>
      <c r="O753" s="51">
        <f>J753</f>
        <v>0</v>
      </c>
      <c r="P753" s="51" t="str">
        <f>C753</f>
        <v>~/cdd/olddocs/Control Plans/ITRON/BONDING/CP-BOND-020  002701-0001 al 0010.pdf</v>
      </c>
      <c r="Q753" s="51" t="str">
        <f>E753</f>
        <v>pdf</v>
      </c>
      <c r="R753" s="51"/>
      <c r="S753" s="51"/>
      <c r="T753" s="51"/>
      <c r="U753" s="51"/>
      <c r="V753" s="51"/>
      <c r="W753" s="51"/>
      <c r="X753" s="51"/>
      <c r="Y753" s="51"/>
      <c r="Z753" s="51"/>
      <c r="AA753" s="51"/>
      <c r="AB753" s="51"/>
      <c r="AC753" s="51"/>
      <c r="AD753" s="51"/>
      <c r="AE753">
        <v>41207</v>
      </c>
      <c r="AG753" t="s">
        <v>1023</v>
      </c>
      <c r="AH753" s="51"/>
      <c r="AI753" s="51"/>
    </row>
    <row r="754" spans="2:35">
      <c r="B754" t="s">
        <v>1024</v>
      </c>
      <c r="C754" t="s">
        <v>3678</v>
      </c>
      <c r="D754">
        <v>9</v>
      </c>
      <c r="E754" t="s">
        <v>2791</v>
      </c>
      <c r="F754">
        <v>5</v>
      </c>
      <c r="G754">
        <v>10</v>
      </c>
      <c r="H754">
        <v>10</v>
      </c>
      <c r="I754" t="s">
        <v>1025</v>
      </c>
      <c r="K754" t="s">
        <v>27</v>
      </c>
      <c r="L754" t="s">
        <v>880</v>
      </c>
      <c r="M754">
        <v>3</v>
      </c>
      <c r="N754" t="str">
        <f>L754</f>
        <v>NAM\MB3488</v>
      </c>
      <c r="O754" s="51">
        <f>J754</f>
        <v>0</v>
      </c>
      <c r="P754" s="51" t="str">
        <f>C754</f>
        <v>~/cdd/olddocs/Control Plans/ITRON/BONDING/CP-BOND-021   003004-0001.pdf</v>
      </c>
      <c r="Q754" s="51" t="str">
        <f>E754</f>
        <v>pdf</v>
      </c>
      <c r="R754" s="51"/>
      <c r="S754" s="51"/>
      <c r="T754" s="51"/>
      <c r="U754" s="51"/>
      <c r="V754" s="51"/>
      <c r="W754" s="51"/>
      <c r="X754" s="51"/>
      <c r="Y754" s="51"/>
      <c r="Z754" s="51"/>
      <c r="AA754" s="51"/>
      <c r="AB754" s="51"/>
      <c r="AC754" s="51"/>
      <c r="AD754" s="51"/>
      <c r="AE754">
        <v>41207</v>
      </c>
      <c r="AG754" t="s">
        <v>1026</v>
      </c>
      <c r="AH754" s="51"/>
      <c r="AI754" s="51"/>
    </row>
    <row r="755" spans="2:35">
      <c r="B755" t="s">
        <v>1027</v>
      </c>
      <c r="C755" t="s">
        <v>3679</v>
      </c>
      <c r="D755">
        <v>9</v>
      </c>
      <c r="E755" t="s">
        <v>2791</v>
      </c>
      <c r="F755">
        <v>5</v>
      </c>
      <c r="G755">
        <v>10</v>
      </c>
      <c r="H755">
        <v>10</v>
      </c>
      <c r="I755" t="s">
        <v>1028</v>
      </c>
      <c r="K755" t="s">
        <v>27</v>
      </c>
      <c r="L755" t="s">
        <v>880</v>
      </c>
      <c r="M755">
        <v>3</v>
      </c>
      <c r="N755" t="str">
        <f>L755</f>
        <v>NAM\MB3488</v>
      </c>
      <c r="O755" s="51">
        <f>J755</f>
        <v>0</v>
      </c>
      <c r="P755" s="51" t="str">
        <f>C755</f>
        <v>~/cdd/olddocs/Control Plans/ITRON/BONDING/CP-BOND-022   003094-0001.pdf</v>
      </c>
      <c r="Q755" s="51" t="str">
        <f>E755</f>
        <v>pdf</v>
      </c>
      <c r="R755" s="51"/>
      <c r="S755" s="51"/>
      <c r="T755" s="51"/>
      <c r="U755" s="51"/>
      <c r="V755" s="51"/>
      <c r="W755" s="51"/>
      <c r="X755" s="51"/>
      <c r="Y755" s="51"/>
      <c r="Z755" s="51"/>
      <c r="AA755" s="51"/>
      <c r="AB755" s="51"/>
      <c r="AC755" s="51"/>
      <c r="AD755" s="51"/>
      <c r="AE755">
        <v>41207</v>
      </c>
      <c r="AG755" t="s">
        <v>1029</v>
      </c>
      <c r="AH755" s="51"/>
      <c r="AI755" s="51"/>
    </row>
    <row r="756" spans="2:35">
      <c r="B756" t="s">
        <v>1030</v>
      </c>
      <c r="C756" t="s">
        <v>3680</v>
      </c>
      <c r="D756">
        <v>9</v>
      </c>
      <c r="E756" t="s">
        <v>2791</v>
      </c>
      <c r="F756">
        <v>5</v>
      </c>
      <c r="G756">
        <v>10</v>
      </c>
      <c r="H756">
        <v>10</v>
      </c>
      <c r="I756" t="s">
        <v>1031</v>
      </c>
      <c r="K756" t="s">
        <v>27</v>
      </c>
      <c r="L756" t="s">
        <v>880</v>
      </c>
      <c r="M756">
        <v>3</v>
      </c>
      <c r="N756" t="str">
        <f>L756</f>
        <v>NAM\MB3488</v>
      </c>
      <c r="O756" s="51">
        <f>J756</f>
        <v>0</v>
      </c>
      <c r="P756" s="51" t="str">
        <f>C756</f>
        <v>~/cdd/olddocs/Control Plans/ITRON/BONDING/CP-BOND-023   BACC65AJXXXS.pdf</v>
      </c>
      <c r="Q756" s="51" t="str">
        <f>E756</f>
        <v>pdf</v>
      </c>
      <c r="R756" s="51"/>
      <c r="S756" s="51"/>
      <c r="T756" s="51"/>
      <c r="U756" s="51"/>
      <c r="V756" s="51"/>
      <c r="W756" s="51"/>
      <c r="X756" s="51"/>
      <c r="Y756" s="51"/>
      <c r="Z756" s="51"/>
      <c r="AA756" s="51"/>
      <c r="AB756" s="51"/>
      <c r="AC756" s="51"/>
      <c r="AD756" s="51"/>
      <c r="AE756">
        <v>41207</v>
      </c>
      <c r="AG756" t="s">
        <v>1032</v>
      </c>
      <c r="AH756" s="51"/>
      <c r="AI756" s="51"/>
    </row>
    <row r="757" spans="2:35">
      <c r="B757" t="s">
        <v>1033</v>
      </c>
      <c r="C757" t="e">
        <v>#VALUE!</v>
      </c>
      <c r="D757">
        <v>9</v>
      </c>
      <c r="E757" t="e">
        <v>#VALUE!</v>
      </c>
      <c r="F757">
        <v>5</v>
      </c>
      <c r="G757">
        <v>10</v>
      </c>
      <c r="H757">
        <v>10</v>
      </c>
      <c r="I757" t="s">
        <v>1031</v>
      </c>
      <c r="K757" t="s">
        <v>27</v>
      </c>
      <c r="L757" t="s">
        <v>880</v>
      </c>
      <c r="M757">
        <v>3</v>
      </c>
      <c r="N757" t="str">
        <f>L757</f>
        <v>NAM\MB3488</v>
      </c>
      <c r="O757" s="51">
        <f>J757</f>
        <v>0</v>
      </c>
      <c r="P757" s="51" t="e">
        <f>C757</f>
        <v>#VALUE!</v>
      </c>
      <c r="Q757" s="51" t="e">
        <f>E757</f>
        <v>#VALUE!</v>
      </c>
      <c r="R757" s="51"/>
      <c r="S757" s="51"/>
      <c r="T757" s="51"/>
      <c r="U757" s="51"/>
      <c r="V757" s="51"/>
      <c r="W757" s="51"/>
      <c r="X757" s="51"/>
      <c r="Y757" s="51"/>
      <c r="Z757" s="51"/>
      <c r="AA757" s="51"/>
      <c r="AB757" s="51"/>
      <c r="AC757" s="51"/>
      <c r="AD757" s="51"/>
      <c r="AE757">
        <v>41207</v>
      </c>
      <c r="AG757" t="s">
        <v>1034</v>
      </c>
      <c r="AH757" s="51"/>
      <c r="AI757" s="51"/>
    </row>
    <row r="758" spans="2:35">
      <c r="B758" t="s">
        <v>1035</v>
      </c>
      <c r="C758" t="s">
        <v>3681</v>
      </c>
      <c r="D758">
        <v>9</v>
      </c>
      <c r="E758" t="s">
        <v>2791</v>
      </c>
      <c r="F758">
        <v>5</v>
      </c>
      <c r="G758">
        <v>10</v>
      </c>
      <c r="H758">
        <v>10</v>
      </c>
      <c r="I758" t="s">
        <v>1031</v>
      </c>
      <c r="K758" t="s">
        <v>27</v>
      </c>
      <c r="L758" t="s">
        <v>880</v>
      </c>
      <c r="M758">
        <v>3</v>
      </c>
      <c r="N758" t="str">
        <f>L758</f>
        <v>NAM\MB3488</v>
      </c>
      <c r="O758" s="51">
        <f>J758</f>
        <v>0</v>
      </c>
      <c r="P758" s="51" t="str">
        <f>C758</f>
        <v>~/cdd/olddocs/Control Plans/ITRON/BONDING/CP-BOND-025   BACC65ALXXXS.pdf</v>
      </c>
      <c r="Q758" s="51" t="str">
        <f>E758</f>
        <v>pdf</v>
      </c>
      <c r="R758" s="51"/>
      <c r="S758" s="51"/>
      <c r="T758" s="51"/>
      <c r="U758" s="51"/>
      <c r="V758" s="51"/>
      <c r="W758" s="51"/>
      <c r="X758" s="51"/>
      <c r="Y758" s="51"/>
      <c r="Z758" s="51"/>
      <c r="AA758" s="51"/>
      <c r="AB758" s="51"/>
      <c r="AC758" s="51"/>
      <c r="AD758" s="51"/>
      <c r="AE758">
        <v>41207</v>
      </c>
      <c r="AG758" t="s">
        <v>1036</v>
      </c>
      <c r="AH758" s="51"/>
      <c r="AI758" s="51"/>
    </row>
    <row r="759" spans="2:35">
      <c r="B759" t="s">
        <v>1037</v>
      </c>
      <c r="C759" t="s">
        <v>3682</v>
      </c>
      <c r="D759">
        <v>9</v>
      </c>
      <c r="E759" t="s">
        <v>2791</v>
      </c>
      <c r="F759">
        <v>5</v>
      </c>
      <c r="G759">
        <v>10</v>
      </c>
      <c r="H759">
        <v>10</v>
      </c>
      <c r="I759" t="s">
        <v>1038</v>
      </c>
      <c r="K759" t="s">
        <v>27</v>
      </c>
      <c r="L759" t="s">
        <v>880</v>
      </c>
      <c r="M759">
        <v>3</v>
      </c>
      <c r="N759" t="str">
        <f>L759</f>
        <v>NAM\MB3488</v>
      </c>
      <c r="O759" s="51">
        <f>J759</f>
        <v>0</v>
      </c>
      <c r="P759" s="51" t="str">
        <f>C759</f>
        <v>~/cdd/olddocs/Control Plans/ITRON/BONDING/CP-BOND-026   BACS16W, BACS16X, VB10-1UWC11 &amp; VB10-PWC11.pdf</v>
      </c>
      <c r="Q759" s="51" t="str">
        <f>E759</f>
        <v>pdf</v>
      </c>
      <c r="R759" s="51"/>
      <c r="S759" s="51"/>
      <c r="T759" s="51"/>
      <c r="U759" s="51"/>
      <c r="V759" s="51"/>
      <c r="W759" s="51"/>
      <c r="X759" s="51"/>
      <c r="Y759" s="51"/>
      <c r="Z759" s="51"/>
      <c r="AA759" s="51"/>
      <c r="AB759" s="51"/>
      <c r="AC759" s="51"/>
      <c r="AD759" s="51"/>
      <c r="AE759">
        <v>41207</v>
      </c>
      <c r="AG759" t="s">
        <v>1039</v>
      </c>
      <c r="AH759" s="51"/>
      <c r="AI759" s="51"/>
    </row>
    <row r="760" spans="2:35">
      <c r="B760" t="s">
        <v>1040</v>
      </c>
      <c r="C760" t="s">
        <v>3683</v>
      </c>
      <c r="D760">
        <v>9</v>
      </c>
      <c r="E760" t="s">
        <v>2791</v>
      </c>
      <c r="F760">
        <v>5</v>
      </c>
      <c r="G760">
        <v>10</v>
      </c>
      <c r="H760">
        <v>10</v>
      </c>
      <c r="I760" t="s">
        <v>1005</v>
      </c>
      <c r="K760" t="s">
        <v>27</v>
      </c>
      <c r="L760" t="s">
        <v>880</v>
      </c>
      <c r="M760">
        <v>3</v>
      </c>
      <c r="N760" t="str">
        <f>L760</f>
        <v>NAM\MB3488</v>
      </c>
      <c r="O760" s="51">
        <f>J760</f>
        <v>0</v>
      </c>
      <c r="P760" s="51" t="str">
        <f>C760</f>
        <v>~/cdd/olddocs/Control Plans/ITRON/BONDING/CP-BOND-027  BACT44E1S.pdf</v>
      </c>
      <c r="Q760" s="51" t="str">
        <f>E760</f>
        <v>pdf</v>
      </c>
      <c r="R760" s="51"/>
      <c r="S760" s="51"/>
      <c r="T760" s="51"/>
      <c r="U760" s="51"/>
      <c r="V760" s="51"/>
      <c r="W760" s="51"/>
      <c r="X760" s="51"/>
      <c r="Y760" s="51"/>
      <c r="Z760" s="51"/>
      <c r="AA760" s="51"/>
      <c r="AB760" s="51"/>
      <c r="AC760" s="51"/>
      <c r="AD760" s="51"/>
      <c r="AE760">
        <v>41207</v>
      </c>
      <c r="AG760" t="s">
        <v>1041</v>
      </c>
      <c r="AH760" s="51"/>
      <c r="AI760" s="51"/>
    </row>
    <row r="761" spans="2:35">
      <c r="B761" t="s">
        <v>2786</v>
      </c>
      <c r="C761" t="e">
        <v>#VALUE!</v>
      </c>
      <c r="D761">
        <v>9</v>
      </c>
      <c r="E761" t="e">
        <v>#VALUE!</v>
      </c>
      <c r="F761">
        <v>5</v>
      </c>
      <c r="G761">
        <v>10</v>
      </c>
      <c r="H761">
        <v>10</v>
      </c>
      <c r="M761">
        <v>3</v>
      </c>
      <c r="N761">
        <f>L761</f>
        <v>0</v>
      </c>
      <c r="O761" s="51">
        <f>J761</f>
        <v>0</v>
      </c>
      <c r="P761" s="51" t="e">
        <f>C761</f>
        <v>#VALUE!</v>
      </c>
      <c r="Q761" s="51" t="e">
        <f>E761</f>
        <v>#VALUE!</v>
      </c>
      <c r="R761" s="51"/>
      <c r="S761" s="51"/>
      <c r="T761" s="51"/>
      <c r="U761" s="51"/>
      <c r="V761" s="51"/>
      <c r="W761" s="51"/>
      <c r="X761" s="51"/>
      <c r="Y761" s="51"/>
      <c r="Z761" s="51"/>
      <c r="AA761" s="51"/>
      <c r="AB761" s="51"/>
      <c r="AC761" s="51"/>
      <c r="AD761" s="51"/>
      <c r="AH761" s="51"/>
      <c r="AI761" s="51"/>
    </row>
    <row r="762" spans="2:35">
      <c r="B762" t="s">
        <v>1704</v>
      </c>
      <c r="C762" t="s">
        <v>3718</v>
      </c>
      <c r="D762">
        <v>9</v>
      </c>
      <c r="E762" t="s">
        <v>2791</v>
      </c>
      <c r="F762">
        <v>5</v>
      </c>
      <c r="G762">
        <v>12</v>
      </c>
      <c r="H762">
        <v>4</v>
      </c>
      <c r="I762" t="s">
        <v>1705</v>
      </c>
      <c r="J762" s="51">
        <v>41026</v>
      </c>
      <c r="K762" t="s">
        <v>27</v>
      </c>
      <c r="L762" t="s">
        <v>1584</v>
      </c>
      <c r="M762">
        <v>3</v>
      </c>
      <c r="N762" t="str">
        <f>L762</f>
        <v>NAM\A8070</v>
      </c>
      <c r="O762" s="51">
        <f>J762</f>
        <v>41026</v>
      </c>
      <c r="P762" s="51" t="str">
        <f>C762</f>
        <v>~/cdd/olddocs/Control Plans/MICROMINI/CHANGE-OUT/CP-CHGO-001  CA4C5SC060M.pdf</v>
      </c>
      <c r="Q762" s="51" t="str">
        <f>E762</f>
        <v>pdf</v>
      </c>
      <c r="R762" s="51"/>
      <c r="S762" s="51"/>
      <c r="T762" s="51"/>
      <c r="U762" s="51"/>
      <c r="V762" s="51"/>
      <c r="W762" s="51"/>
      <c r="X762" s="51"/>
      <c r="Y762" s="51"/>
      <c r="Z762" s="51"/>
      <c r="AA762" s="51"/>
      <c r="AB762" s="51"/>
      <c r="AC762" s="51"/>
      <c r="AD762" s="51"/>
      <c r="AG762" t="s">
        <v>1706</v>
      </c>
      <c r="AH762" s="51"/>
      <c r="AI762" s="51"/>
    </row>
    <row r="763" spans="2:35">
      <c r="B763" t="s">
        <v>1707</v>
      </c>
      <c r="C763" t="s">
        <v>3719</v>
      </c>
      <c r="D763">
        <v>9</v>
      </c>
      <c r="E763" t="s">
        <v>2791</v>
      </c>
      <c r="F763">
        <v>5</v>
      </c>
      <c r="G763">
        <v>12</v>
      </c>
      <c r="H763">
        <v>4</v>
      </c>
      <c r="I763" t="s">
        <v>1263</v>
      </c>
      <c r="J763" s="51">
        <v>41051</v>
      </c>
      <c r="K763" t="s">
        <v>27</v>
      </c>
      <c r="L763" t="s">
        <v>1584</v>
      </c>
      <c r="M763">
        <v>3</v>
      </c>
      <c r="N763" t="str">
        <f>L763</f>
        <v>NAM\A8070</v>
      </c>
      <c r="O763" s="51">
        <f>J763</f>
        <v>41051</v>
      </c>
      <c r="P763" s="51" t="str">
        <f>C763</f>
        <v>~/cdd/olddocs/Control Plans/MICROMINI/CHANGE-OUT/CP-CHGO-002  CX852-CX852-37AN.pdf</v>
      </c>
      <c r="Q763" s="51" t="str">
        <f>E763</f>
        <v>pdf</v>
      </c>
      <c r="R763" s="51"/>
      <c r="S763" s="51"/>
      <c r="T763" s="51"/>
      <c r="U763" s="51"/>
      <c r="V763" s="51"/>
      <c r="W763" s="51"/>
      <c r="X763" s="51"/>
      <c r="Y763" s="51"/>
      <c r="Z763" s="51"/>
      <c r="AA763" s="51"/>
      <c r="AB763" s="51"/>
      <c r="AC763" s="51"/>
      <c r="AD763" s="51"/>
      <c r="AG763" t="s">
        <v>1708</v>
      </c>
      <c r="AH763" s="51"/>
      <c r="AI763" s="51"/>
    </row>
    <row r="764" spans="2:35">
      <c r="B764" t="s">
        <v>1709</v>
      </c>
      <c r="C764" t="s">
        <v>3720</v>
      </c>
      <c r="D764">
        <v>9</v>
      </c>
      <c r="E764" t="s">
        <v>2791</v>
      </c>
      <c r="F764">
        <v>5</v>
      </c>
      <c r="G764">
        <v>12</v>
      </c>
      <c r="H764">
        <v>4</v>
      </c>
      <c r="I764" t="s">
        <v>1710</v>
      </c>
      <c r="J764" s="51">
        <v>44718</v>
      </c>
      <c r="K764" t="s">
        <v>27</v>
      </c>
      <c r="L764" t="s">
        <v>1584</v>
      </c>
      <c r="M764">
        <v>3</v>
      </c>
      <c r="N764" t="str">
        <f>L764</f>
        <v>NAM\A8070</v>
      </c>
      <c r="O764" s="51">
        <f>J764</f>
        <v>44718</v>
      </c>
      <c r="P764" s="51" t="str">
        <f>C764</f>
        <v>~/cdd/olddocs/Control Plans/MICROMINI/CHANGE-OUT/CP-CHGO-003  X8652-CS.pdf</v>
      </c>
      <c r="Q764" s="51" t="str">
        <f>E764</f>
        <v>pdf</v>
      </c>
      <c r="R764" s="51"/>
      <c r="S764" s="51"/>
      <c r="T764" s="51"/>
      <c r="U764" s="51"/>
      <c r="V764" s="51"/>
      <c r="W764" s="51"/>
      <c r="X764" s="51"/>
      <c r="Y764" s="51"/>
      <c r="Z764" s="51"/>
      <c r="AA764" s="51"/>
      <c r="AB764" s="51"/>
      <c r="AC764" s="51"/>
      <c r="AD764" s="51"/>
      <c r="AG764" t="s">
        <v>1711</v>
      </c>
      <c r="AH764" s="51"/>
      <c r="AI764" s="51"/>
    </row>
    <row r="765" spans="2:35">
      <c r="B765" t="s">
        <v>1712</v>
      </c>
      <c r="C765" t="s">
        <v>3721</v>
      </c>
      <c r="D765">
        <v>9</v>
      </c>
      <c r="E765" t="s">
        <v>2791</v>
      </c>
      <c r="F765">
        <v>5</v>
      </c>
      <c r="G765">
        <v>12</v>
      </c>
      <c r="H765">
        <v>4</v>
      </c>
      <c r="I765" t="s">
        <v>1713</v>
      </c>
      <c r="J765" s="51">
        <v>41113</v>
      </c>
      <c r="K765" t="s">
        <v>27</v>
      </c>
      <c r="L765" t="s">
        <v>1584</v>
      </c>
      <c r="M765">
        <v>3</v>
      </c>
      <c r="N765" t="str">
        <f>L765</f>
        <v>NAM\A8070</v>
      </c>
      <c r="O765" s="51">
        <f>J765</f>
        <v>41113</v>
      </c>
      <c r="P765" s="51" t="str">
        <f>C765</f>
        <v>~/cdd/olddocs/Control Plans/MICROMINI/CHANGE-OUT/CP-CHGO-004 Control Plan X8653-FN.pdf</v>
      </c>
      <c r="Q765" s="51" t="str">
        <f>E765</f>
        <v>pdf</v>
      </c>
      <c r="R765" s="51"/>
      <c r="S765" s="51"/>
      <c r="T765" s="51"/>
      <c r="U765" s="51"/>
      <c r="V765" s="51"/>
      <c r="W765" s="51"/>
      <c r="X765" s="51"/>
      <c r="Y765" s="51"/>
      <c r="Z765" s="51"/>
      <c r="AA765" s="51"/>
      <c r="AB765" s="51"/>
      <c r="AC765" s="51"/>
      <c r="AD765" s="51"/>
      <c r="AG765" t="s">
        <v>1714</v>
      </c>
      <c r="AH765" s="51"/>
      <c r="AI765" s="51"/>
    </row>
    <row r="766" spans="2:35">
      <c r="B766" t="s">
        <v>1262</v>
      </c>
      <c r="C766" t="s">
        <v>3722</v>
      </c>
      <c r="D766">
        <v>9</v>
      </c>
      <c r="E766" t="s">
        <v>2791</v>
      </c>
      <c r="F766">
        <v>5</v>
      </c>
      <c r="G766">
        <v>12</v>
      </c>
      <c r="H766">
        <v>4</v>
      </c>
      <c r="I766" t="s">
        <v>1263</v>
      </c>
      <c r="K766" t="s">
        <v>27</v>
      </c>
      <c r="L766" t="s">
        <v>1253</v>
      </c>
      <c r="M766">
        <v>3</v>
      </c>
      <c r="N766" t="str">
        <f>L766</f>
        <v>NAM\MB3505</v>
      </c>
      <c r="O766" s="51">
        <f>J766</f>
        <v>0</v>
      </c>
      <c r="P766" s="51" t="str">
        <f>C766</f>
        <v>~/cdd/olddocs/Control Plans/MICROMINI/CHANGE-OUT/CP-CHGO-006  CX865237AN.pdf</v>
      </c>
      <c r="Q766" s="51" t="str">
        <f>E766</f>
        <v>pdf</v>
      </c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>
        <v>41193</v>
      </c>
      <c r="AG766" t="s">
        <v>1264</v>
      </c>
      <c r="AH766" s="51"/>
      <c r="AI766" s="51"/>
    </row>
    <row r="767" spans="2:35">
      <c r="B767" t="s">
        <v>1265</v>
      </c>
      <c r="C767" t="s">
        <v>3723</v>
      </c>
      <c r="D767">
        <v>9</v>
      </c>
      <c r="E767" t="s">
        <v>2791</v>
      </c>
      <c r="F767">
        <v>5</v>
      </c>
      <c r="G767">
        <v>12</v>
      </c>
      <c r="H767">
        <v>4</v>
      </c>
      <c r="I767" t="s">
        <v>1266</v>
      </c>
      <c r="K767" t="s">
        <v>27</v>
      </c>
      <c r="L767" t="s">
        <v>1253</v>
      </c>
      <c r="M767">
        <v>3</v>
      </c>
      <c r="N767" t="str">
        <f>L767</f>
        <v>NAM\MB3505</v>
      </c>
      <c r="O767" s="51">
        <f>J767</f>
        <v>0</v>
      </c>
      <c r="P767" s="51" t="str">
        <f>C767</f>
        <v>~/cdd/olddocs/Control Plans/MICROMINI/CHANGE-OUT/CP-CHGO-007  CX8653312P.pdf</v>
      </c>
      <c r="Q767" s="51" t="str">
        <f>E767</f>
        <v>pdf</v>
      </c>
      <c r="R767" s="51"/>
      <c r="S767" s="51"/>
      <c r="T767" s="51"/>
      <c r="U767" s="51"/>
      <c r="V767" s="51"/>
      <c r="W767" s="51"/>
      <c r="X767" s="51"/>
      <c r="Y767" s="51"/>
      <c r="Z767" s="51"/>
      <c r="AA767" s="51"/>
      <c r="AB767" s="51"/>
      <c r="AC767" s="51"/>
      <c r="AD767" s="51"/>
      <c r="AE767">
        <v>41193</v>
      </c>
      <c r="AG767" t="s">
        <v>1267</v>
      </c>
      <c r="AH767" s="51"/>
      <c r="AI767" s="51"/>
    </row>
    <row r="768" spans="2:35">
      <c r="B768" t="s">
        <v>1268</v>
      </c>
      <c r="C768" t="s">
        <v>3724</v>
      </c>
      <c r="D768">
        <v>9</v>
      </c>
      <c r="E768" t="s">
        <v>2791</v>
      </c>
      <c r="F768">
        <v>5</v>
      </c>
      <c r="G768">
        <v>12</v>
      </c>
      <c r="H768">
        <v>4</v>
      </c>
      <c r="I768" t="s">
        <v>1266</v>
      </c>
      <c r="K768" t="s">
        <v>27</v>
      </c>
      <c r="L768" t="s">
        <v>1253</v>
      </c>
      <c r="M768">
        <v>3</v>
      </c>
      <c r="N768" t="str">
        <f>L768</f>
        <v>NAM\MB3505</v>
      </c>
      <c r="O768" s="51">
        <f>J768</f>
        <v>0</v>
      </c>
      <c r="P768" s="51" t="str">
        <f>C768</f>
        <v>~/cdd/olddocs/Control Plans/MICROMINI/CHANGE-OUT/CP-CHGO-008  CX8653316P.pdf</v>
      </c>
      <c r="Q768" s="51" t="str">
        <f>E768</f>
        <v>pdf</v>
      </c>
      <c r="R768" s="51"/>
      <c r="S768" s="51"/>
      <c r="T768" s="51"/>
      <c r="U768" s="51"/>
      <c r="V768" s="51"/>
      <c r="W768" s="51"/>
      <c r="X768" s="51"/>
      <c r="Y768" s="51"/>
      <c r="Z768" s="51"/>
      <c r="AA768" s="51"/>
      <c r="AB768" s="51"/>
      <c r="AC768" s="51"/>
      <c r="AD768" s="51"/>
      <c r="AE768">
        <v>41193</v>
      </c>
      <c r="AG768" t="s">
        <v>1269</v>
      </c>
      <c r="AH768" s="51"/>
      <c r="AI768" s="51"/>
    </row>
    <row r="769" spans="2:35">
      <c r="B769" t="s">
        <v>1270</v>
      </c>
      <c r="C769" t="s">
        <v>3725</v>
      </c>
      <c r="D769">
        <v>9</v>
      </c>
      <c r="E769" t="s">
        <v>2791</v>
      </c>
      <c r="F769">
        <v>5</v>
      </c>
      <c r="G769">
        <v>12</v>
      </c>
      <c r="H769">
        <v>4</v>
      </c>
      <c r="I769" t="s">
        <v>1266</v>
      </c>
      <c r="K769" t="s">
        <v>27</v>
      </c>
      <c r="L769" t="s">
        <v>1253</v>
      </c>
      <c r="M769">
        <v>3</v>
      </c>
      <c r="N769" t="str">
        <f>L769</f>
        <v>NAM\MB3505</v>
      </c>
      <c r="O769" s="51">
        <f>J769</f>
        <v>0</v>
      </c>
      <c r="P769" s="51" t="str">
        <f>C769</f>
        <v>~/cdd/olddocs/Control Plans/MICROMINI/CHANGE-OUT/CP-CHGO-009  CX8653330.pdf</v>
      </c>
      <c r="Q769" s="51" t="str">
        <f>E769</f>
        <v>pdf</v>
      </c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>
        <v>41193</v>
      </c>
      <c r="AG769" t="s">
        <v>1271</v>
      </c>
      <c r="AH769" s="51"/>
      <c r="AI769" s="51"/>
    </row>
    <row r="770" spans="2:35">
      <c r="B770" t="s">
        <v>1272</v>
      </c>
      <c r="C770" t="s">
        <v>3726</v>
      </c>
      <c r="D770">
        <v>9</v>
      </c>
      <c r="E770" t="s">
        <v>2791</v>
      </c>
      <c r="F770">
        <v>5</v>
      </c>
      <c r="G770">
        <v>12</v>
      </c>
      <c r="H770">
        <v>4</v>
      </c>
      <c r="I770" t="s">
        <v>1273</v>
      </c>
      <c r="K770" t="s">
        <v>27</v>
      </c>
      <c r="L770" t="s">
        <v>1253</v>
      </c>
      <c r="M770">
        <v>3</v>
      </c>
      <c r="N770" t="str">
        <f>L770</f>
        <v>NAM\MB3505</v>
      </c>
      <c r="O770" s="51">
        <f>J770</f>
        <v>0</v>
      </c>
      <c r="P770" s="51" t="str">
        <f>C770</f>
        <v>~/cdd/olddocs/Control Plans/MICROMINI/CHANGE-OUT/CP-CHGO-010  CX8653346P.pdf</v>
      </c>
      <c r="Q770" s="51" t="str">
        <f>E770</f>
        <v>pdf</v>
      </c>
      <c r="R770" s="51"/>
      <c r="S770" s="51"/>
      <c r="T770" s="51"/>
      <c r="U770" s="51"/>
      <c r="V770" s="51"/>
      <c r="W770" s="51"/>
      <c r="X770" s="51"/>
      <c r="Y770" s="51"/>
      <c r="Z770" s="51"/>
      <c r="AA770" s="51"/>
      <c r="AB770" s="51"/>
      <c r="AC770" s="51"/>
      <c r="AD770" s="51"/>
      <c r="AE770">
        <v>41193</v>
      </c>
      <c r="AG770" t="s">
        <v>1274</v>
      </c>
      <c r="AH770" s="51"/>
      <c r="AI770" s="51"/>
    </row>
    <row r="771" spans="2:35">
      <c r="B771" t="s">
        <v>1275</v>
      </c>
      <c r="C771" t="s">
        <v>3727</v>
      </c>
      <c r="D771">
        <v>9</v>
      </c>
      <c r="E771" t="s">
        <v>2791</v>
      </c>
      <c r="F771">
        <v>5</v>
      </c>
      <c r="G771">
        <v>12</v>
      </c>
      <c r="H771">
        <v>4</v>
      </c>
      <c r="I771" t="s">
        <v>1276</v>
      </c>
      <c r="K771" t="s">
        <v>27</v>
      </c>
      <c r="L771" t="s">
        <v>1253</v>
      </c>
      <c r="M771">
        <v>3</v>
      </c>
      <c r="N771" t="str">
        <f>L771</f>
        <v>NAM\MB3505</v>
      </c>
      <c r="O771" s="51">
        <f>J771</f>
        <v>0</v>
      </c>
      <c r="P771" s="51" t="str">
        <f>C771</f>
        <v>~/cdd/olddocs/Control Plans/MICROMINI/CHANGE-OUT/CP-CHGO-011   X865248P.pdf</v>
      </c>
      <c r="Q771" s="51" t="str">
        <f>E771</f>
        <v>pdf</v>
      </c>
      <c r="R771" s="51"/>
      <c r="S771" s="51"/>
      <c r="T771" s="51"/>
      <c r="U771" s="51"/>
      <c r="V771" s="51"/>
      <c r="W771" s="51"/>
      <c r="X771" s="51"/>
      <c r="Y771" s="51"/>
      <c r="Z771" s="51"/>
      <c r="AA771" s="51"/>
      <c r="AB771" s="51"/>
      <c r="AC771" s="51"/>
      <c r="AD771" s="51"/>
      <c r="AE771">
        <v>41193</v>
      </c>
      <c r="AG771" t="s">
        <v>1277</v>
      </c>
      <c r="AH771" s="51"/>
      <c r="AI771" s="51"/>
    </row>
    <row r="772" spans="2:35">
      <c r="B772" t="s">
        <v>1278</v>
      </c>
      <c r="C772" t="s">
        <v>3728</v>
      </c>
      <c r="D772">
        <v>9</v>
      </c>
      <c r="E772" t="s">
        <v>2791</v>
      </c>
      <c r="F772">
        <v>5</v>
      </c>
      <c r="G772">
        <v>12</v>
      </c>
      <c r="H772">
        <v>4</v>
      </c>
      <c r="I772" t="s">
        <v>1279</v>
      </c>
      <c r="K772" t="s">
        <v>27</v>
      </c>
      <c r="L772" t="s">
        <v>1253</v>
      </c>
      <c r="M772">
        <v>3</v>
      </c>
      <c r="N772" t="str">
        <f>L772</f>
        <v>NAM\MB3505</v>
      </c>
      <c r="O772" s="51">
        <f>J772</f>
        <v>0</v>
      </c>
      <c r="P772" s="51" t="str">
        <f>C772</f>
        <v>~/cdd/olddocs/Control Plans/MICROMINI/CHANGE-OUT/CP-CHGO-012   X865251P.pdf</v>
      </c>
      <c r="Q772" s="51" t="str">
        <f>E772</f>
        <v>pdf</v>
      </c>
      <c r="R772" s="51"/>
      <c r="S772" s="51"/>
      <c r="T772" s="51"/>
      <c r="U772" s="51"/>
      <c r="V772" s="51"/>
      <c r="W772" s="51"/>
      <c r="X772" s="51"/>
      <c r="Y772" s="51"/>
      <c r="Z772" s="51"/>
      <c r="AA772" s="51"/>
      <c r="AB772" s="51"/>
      <c r="AC772" s="51"/>
      <c r="AD772" s="51"/>
      <c r="AE772">
        <v>41193</v>
      </c>
      <c r="AG772" t="s">
        <v>1280</v>
      </c>
      <c r="AH772" s="51"/>
      <c r="AI772" s="51"/>
    </row>
    <row r="773" spans="2:35">
      <c r="B773" t="s">
        <v>1281</v>
      </c>
      <c r="C773" t="s">
        <v>3729</v>
      </c>
      <c r="D773">
        <v>9</v>
      </c>
      <c r="E773" t="s">
        <v>2791</v>
      </c>
      <c r="F773">
        <v>5</v>
      </c>
      <c r="G773">
        <v>12</v>
      </c>
      <c r="H773">
        <v>4</v>
      </c>
      <c r="I773" t="s">
        <v>1282</v>
      </c>
      <c r="K773" t="s">
        <v>27</v>
      </c>
      <c r="L773" t="s">
        <v>1253</v>
      </c>
      <c r="M773">
        <v>3</v>
      </c>
      <c r="N773" t="str">
        <f>L773</f>
        <v>NAM\MB3505</v>
      </c>
      <c r="O773" s="51">
        <f>J773</f>
        <v>0</v>
      </c>
      <c r="P773" s="51" t="str">
        <f>C773</f>
        <v>~/cdd/olddocs/Control Plans/MICROMINI/CHANGE-OUT/CP-CHGO-013  X865316P, X865398P.pdf</v>
      </c>
      <c r="Q773" s="51" t="str">
        <f>E773</f>
        <v>pdf</v>
      </c>
      <c r="R773" s="51"/>
      <c r="S773" s="51"/>
      <c r="T773" s="51"/>
      <c r="U773" s="51"/>
      <c r="V773" s="51"/>
      <c r="W773" s="51"/>
      <c r="X773" s="51"/>
      <c r="Y773" s="51"/>
      <c r="Z773" s="51"/>
      <c r="AA773" s="51"/>
      <c r="AB773" s="51"/>
      <c r="AC773" s="51"/>
      <c r="AD773" s="51"/>
      <c r="AE773">
        <v>41193</v>
      </c>
      <c r="AG773" t="s">
        <v>1283</v>
      </c>
      <c r="AH773" s="51"/>
      <c r="AI773" s="51"/>
    </row>
    <row r="774" spans="2:35">
      <c r="B774" t="s">
        <v>1284</v>
      </c>
      <c r="C774" t="s">
        <v>3730</v>
      </c>
      <c r="D774">
        <v>9</v>
      </c>
      <c r="E774" t="s">
        <v>2791</v>
      </c>
      <c r="F774">
        <v>5</v>
      </c>
      <c r="G774">
        <v>12</v>
      </c>
      <c r="H774">
        <v>4</v>
      </c>
      <c r="I774" t="s">
        <v>1285</v>
      </c>
      <c r="K774" t="s">
        <v>27</v>
      </c>
      <c r="L774" t="s">
        <v>1253</v>
      </c>
      <c r="M774">
        <v>3</v>
      </c>
      <c r="N774" t="str">
        <f>L774</f>
        <v>NAM\MB3505</v>
      </c>
      <c r="O774" s="51">
        <f>J774</f>
        <v>0</v>
      </c>
      <c r="P774" s="51" t="str">
        <f>C774</f>
        <v>~/cdd/olddocs/Control Plans/MICROMINI/CHANGE-OUT/CP-CHGO-014  X865344P.pdf</v>
      </c>
      <c r="Q774" s="51" t="str">
        <f>E774</f>
        <v>pdf</v>
      </c>
      <c r="R774" s="51"/>
      <c r="S774" s="51"/>
      <c r="T774" s="51"/>
      <c r="U774" s="51"/>
      <c r="V774" s="51"/>
      <c r="W774" s="51"/>
      <c r="X774" s="51"/>
      <c r="Y774" s="51"/>
      <c r="Z774" s="51"/>
      <c r="AA774" s="51"/>
      <c r="AB774" s="51"/>
      <c r="AC774" s="51"/>
      <c r="AD774" s="51"/>
      <c r="AE774">
        <v>41193</v>
      </c>
      <c r="AG774" t="s">
        <v>1286</v>
      </c>
      <c r="AH774" s="51"/>
      <c r="AI774" s="51"/>
    </row>
    <row r="775" spans="2:35">
      <c r="B775" t="s">
        <v>1287</v>
      </c>
      <c r="C775" t="s">
        <v>3731</v>
      </c>
      <c r="D775">
        <v>9</v>
      </c>
      <c r="E775" t="s">
        <v>2791</v>
      </c>
      <c r="F775">
        <v>5</v>
      </c>
      <c r="G775">
        <v>12</v>
      </c>
      <c r="H775">
        <v>4</v>
      </c>
      <c r="I775" t="s">
        <v>1288</v>
      </c>
      <c r="J775" s="51">
        <v>41187</v>
      </c>
      <c r="K775" t="s">
        <v>27</v>
      </c>
      <c r="L775" t="s">
        <v>1253</v>
      </c>
      <c r="M775">
        <v>3</v>
      </c>
      <c r="N775" t="str">
        <f>L775</f>
        <v>NAM\MB3505</v>
      </c>
      <c r="O775" s="51">
        <f>J775</f>
        <v>41187</v>
      </c>
      <c r="P775" s="51" t="str">
        <f>C775</f>
        <v>~/cdd/olddocs/Control Plans/MICROMINI/CHANGE-OUT/CP-CHGO-015  X865393P.pdf</v>
      </c>
      <c r="Q775" s="51" t="str">
        <f>E775</f>
        <v>pdf</v>
      </c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G775" t="s">
        <v>1289</v>
      </c>
      <c r="AH775" s="51"/>
      <c r="AI775" s="51"/>
    </row>
    <row r="776" spans="2:35">
      <c r="B776" t="s">
        <v>1290</v>
      </c>
      <c r="C776" t="s">
        <v>3732</v>
      </c>
      <c r="D776">
        <v>9</v>
      </c>
      <c r="E776" t="s">
        <v>2791</v>
      </c>
      <c r="F776">
        <v>5</v>
      </c>
      <c r="G776">
        <v>12</v>
      </c>
      <c r="H776">
        <v>4</v>
      </c>
      <c r="I776" t="s">
        <v>1291</v>
      </c>
      <c r="J776" s="51">
        <v>41187</v>
      </c>
      <c r="K776" t="s">
        <v>27</v>
      </c>
      <c r="L776" t="s">
        <v>1253</v>
      </c>
      <c r="M776">
        <v>3</v>
      </c>
      <c r="N776" t="str">
        <f>L776</f>
        <v>NAM\MB3505</v>
      </c>
      <c r="O776" s="51">
        <f>J776</f>
        <v>41187</v>
      </c>
      <c r="P776" s="51" t="str">
        <f>C776</f>
        <v>~/cdd/olddocs/Control Plans/MICROMINI/CHANGE-OUT/CP-CHGO-016   X8651648P.pdf</v>
      </c>
      <c r="Q776" s="51" t="str">
        <f>E776</f>
        <v>pdf</v>
      </c>
      <c r="R776" s="51"/>
      <c r="S776" s="51"/>
      <c r="T776" s="51"/>
      <c r="U776" s="51"/>
      <c r="V776" s="51"/>
      <c r="W776" s="51"/>
      <c r="X776" s="51"/>
      <c r="Y776" s="51"/>
      <c r="Z776" s="51"/>
      <c r="AA776" s="51"/>
      <c r="AB776" s="51"/>
      <c r="AC776" s="51"/>
      <c r="AD776" s="51"/>
      <c r="AG776" t="s">
        <v>1292</v>
      </c>
      <c r="AH776" s="51"/>
      <c r="AI776" s="51"/>
    </row>
    <row r="777" spans="2:35">
      <c r="B777" t="s">
        <v>1293</v>
      </c>
      <c r="C777" t="s">
        <v>3733</v>
      </c>
      <c r="D777">
        <v>9</v>
      </c>
      <c r="E777" t="s">
        <v>2791</v>
      </c>
      <c r="F777">
        <v>5</v>
      </c>
      <c r="G777">
        <v>12</v>
      </c>
      <c r="H777">
        <v>4</v>
      </c>
      <c r="I777" t="s">
        <v>1285</v>
      </c>
      <c r="J777" s="51">
        <v>41191</v>
      </c>
      <c r="K777" t="s">
        <v>27</v>
      </c>
      <c r="L777" t="s">
        <v>1253</v>
      </c>
      <c r="M777">
        <v>3</v>
      </c>
      <c r="N777" t="str">
        <f>L777</f>
        <v>NAM\MB3505</v>
      </c>
      <c r="O777" s="51">
        <f>J777</f>
        <v>41191</v>
      </c>
      <c r="P777" s="51" t="str">
        <f>C777</f>
        <v>~/cdd/olddocs/Control Plans/MICROMINI/CHANGE-OUT/CP-CHGO-017  X8653325.pdf</v>
      </c>
      <c r="Q777" s="51" t="str">
        <f>E777</f>
        <v>pdf</v>
      </c>
      <c r="R777" s="51"/>
      <c r="S777" s="51"/>
      <c r="T777" s="51"/>
      <c r="U777" s="51"/>
      <c r="V777" s="51"/>
      <c r="W777" s="51"/>
      <c r="X777" s="51"/>
      <c r="Y777" s="51"/>
      <c r="Z777" s="51"/>
      <c r="AA777" s="51"/>
      <c r="AB777" s="51"/>
      <c r="AC777" s="51"/>
      <c r="AD777" s="51"/>
      <c r="AG777" t="s">
        <v>1294</v>
      </c>
      <c r="AH777" s="51"/>
      <c r="AI777" s="51"/>
    </row>
    <row r="778" spans="2:35">
      <c r="B778" t="s">
        <v>1295</v>
      </c>
      <c r="C778" t="s">
        <v>3734</v>
      </c>
      <c r="D778">
        <v>9</v>
      </c>
      <c r="E778" t="s">
        <v>2791</v>
      </c>
      <c r="F778">
        <v>5</v>
      </c>
      <c r="G778">
        <v>12</v>
      </c>
      <c r="H778">
        <v>4</v>
      </c>
      <c r="I778" t="s">
        <v>1296</v>
      </c>
      <c r="J778" s="51">
        <v>41191</v>
      </c>
      <c r="K778" t="s">
        <v>27</v>
      </c>
      <c r="L778" t="s">
        <v>1253</v>
      </c>
      <c r="M778">
        <v>3</v>
      </c>
      <c r="N778" t="str">
        <f>L778</f>
        <v>NAM\MB3505</v>
      </c>
      <c r="O778" s="51">
        <f>J778</f>
        <v>41191</v>
      </c>
      <c r="P778" s="51" t="str">
        <f>C778</f>
        <v>~/cdd/olddocs/Control Plans/MICROMINI/CHANGE-OUT/CP-CHGO-018     X8653382P.pdf</v>
      </c>
      <c r="Q778" s="51" t="str">
        <f>E778</f>
        <v>pdf</v>
      </c>
      <c r="R778" s="51"/>
      <c r="S778" s="51"/>
      <c r="T778" s="51"/>
      <c r="U778" s="51"/>
      <c r="V778" s="51"/>
      <c r="W778" s="51"/>
      <c r="X778" s="51"/>
      <c r="Y778" s="51"/>
      <c r="Z778" s="51"/>
      <c r="AA778" s="51"/>
      <c r="AB778" s="51"/>
      <c r="AC778" s="51"/>
      <c r="AD778" s="51"/>
      <c r="AG778" t="s">
        <v>1297</v>
      </c>
      <c r="AH778" s="51"/>
      <c r="AI778" s="51"/>
    </row>
    <row r="779" spans="2:35">
      <c r="B779" t="s">
        <v>1298</v>
      </c>
      <c r="C779" t="s">
        <v>3735</v>
      </c>
      <c r="D779">
        <v>9</v>
      </c>
      <c r="E779" t="s">
        <v>2791</v>
      </c>
      <c r="F779">
        <v>5</v>
      </c>
      <c r="G779">
        <v>12</v>
      </c>
      <c r="H779">
        <v>4</v>
      </c>
      <c r="I779" t="s">
        <v>1299</v>
      </c>
      <c r="J779" s="51">
        <v>41191</v>
      </c>
      <c r="K779" t="s">
        <v>27</v>
      </c>
      <c r="L779" t="s">
        <v>1253</v>
      </c>
      <c r="M779">
        <v>3</v>
      </c>
      <c r="N779" t="str">
        <f>L779</f>
        <v>NAM\MB3505</v>
      </c>
      <c r="O779" s="51">
        <f>J779</f>
        <v>41191</v>
      </c>
      <c r="P779" s="51" t="str">
        <f>C779</f>
        <v>~/cdd/olddocs/Control Plans/MICROMINI/CHANGE-OUT/CP-CHGO-019    X8653568P.pdf</v>
      </c>
      <c r="Q779" s="51" t="str">
        <f>E779</f>
        <v>pdf</v>
      </c>
      <c r="R779" s="51"/>
      <c r="S779" s="51"/>
      <c r="T779" s="51"/>
      <c r="U779" s="51"/>
      <c r="V779" s="51"/>
      <c r="W779" s="51"/>
      <c r="X779" s="51"/>
      <c r="Y779" s="51"/>
      <c r="Z779" s="51"/>
      <c r="AA779" s="51"/>
      <c r="AB779" s="51"/>
      <c r="AC779" s="51"/>
      <c r="AD779" s="51"/>
      <c r="AG779" t="s">
        <v>1300</v>
      </c>
      <c r="AH779" s="51"/>
      <c r="AI779" s="51"/>
    </row>
    <row r="780" spans="2:35">
      <c r="B780" t="s">
        <v>1301</v>
      </c>
      <c r="C780" t="s">
        <v>3736</v>
      </c>
      <c r="D780">
        <v>9</v>
      </c>
      <c r="E780" t="s">
        <v>2791</v>
      </c>
      <c r="F780">
        <v>5</v>
      </c>
      <c r="G780">
        <v>12</v>
      </c>
      <c r="H780">
        <v>4</v>
      </c>
      <c r="I780" t="s">
        <v>1302</v>
      </c>
      <c r="J780" s="51">
        <v>41191</v>
      </c>
      <c r="K780" t="s">
        <v>27</v>
      </c>
      <c r="L780" t="s">
        <v>1253</v>
      </c>
      <c r="M780">
        <v>3</v>
      </c>
      <c r="N780" t="str">
        <f>L780</f>
        <v>NAM\MB3505</v>
      </c>
      <c r="O780" s="51">
        <f>J780</f>
        <v>41191</v>
      </c>
      <c r="P780" s="51" t="str">
        <f>C780</f>
        <v>~/cdd/olddocs/Control Plans/MICROMINI/CHANGE-OUT/CP-CHGO-020    X8653687P.pdf</v>
      </c>
      <c r="Q780" s="51" t="str">
        <f>E780</f>
        <v>pdf</v>
      </c>
      <c r="R780" s="51"/>
      <c r="S780" s="51"/>
      <c r="T780" s="51"/>
      <c r="U780" s="51"/>
      <c r="V780" s="51"/>
      <c r="W780" s="51"/>
      <c r="X780" s="51"/>
      <c r="Y780" s="51"/>
      <c r="Z780" s="51"/>
      <c r="AA780" s="51"/>
      <c r="AB780" s="51"/>
      <c r="AC780" s="51"/>
      <c r="AD780" s="51"/>
      <c r="AG780" t="s">
        <v>1303</v>
      </c>
      <c r="AH780" s="51"/>
      <c r="AI780" s="51"/>
    </row>
    <row r="781" spans="2:35">
      <c r="B781" t="s">
        <v>1304</v>
      </c>
      <c r="C781" t="s">
        <v>3737</v>
      </c>
      <c r="D781">
        <v>9</v>
      </c>
      <c r="E781" t="s">
        <v>2791</v>
      </c>
      <c r="F781">
        <v>5</v>
      </c>
      <c r="G781">
        <v>12</v>
      </c>
      <c r="H781">
        <v>4</v>
      </c>
      <c r="I781" t="s">
        <v>1276</v>
      </c>
      <c r="J781" s="51">
        <v>41193</v>
      </c>
      <c r="K781" t="s">
        <v>27</v>
      </c>
      <c r="L781" t="s">
        <v>1253</v>
      </c>
      <c r="M781">
        <v>3</v>
      </c>
      <c r="N781" t="str">
        <f>L781</f>
        <v>NAM\MB3505</v>
      </c>
      <c r="O781" s="51">
        <f>J781</f>
        <v>41193</v>
      </c>
      <c r="P781" s="51" t="str">
        <f>C781</f>
        <v>~/cdd/olddocs/Control Plans/MICROMINI/CHANGE-OUT/CP-CHGO-021   X86521624P.pdf</v>
      </c>
      <c r="Q781" s="51" t="str">
        <f>E781</f>
        <v>pdf</v>
      </c>
      <c r="R781" s="51"/>
      <c r="S781" s="51"/>
      <c r="T781" s="51"/>
      <c r="U781" s="51"/>
      <c r="V781" s="51"/>
      <c r="W781" s="51"/>
      <c r="X781" s="51"/>
      <c r="Y781" s="51"/>
      <c r="Z781" s="51"/>
      <c r="AA781" s="51"/>
      <c r="AB781" s="51"/>
      <c r="AC781" s="51"/>
      <c r="AD781" s="51"/>
      <c r="AG781" t="s">
        <v>1305</v>
      </c>
      <c r="AH781" s="51"/>
      <c r="AI781" s="51"/>
    </row>
    <row r="782" spans="2:35">
      <c r="B782" t="s">
        <v>1306</v>
      </c>
      <c r="C782" t="s">
        <v>3738</v>
      </c>
      <c r="D782">
        <v>9</v>
      </c>
      <c r="E782" t="s">
        <v>2791</v>
      </c>
      <c r="F782">
        <v>5</v>
      </c>
      <c r="G782">
        <v>12</v>
      </c>
      <c r="H782">
        <v>4</v>
      </c>
      <c r="I782" t="s">
        <v>1307</v>
      </c>
      <c r="J782" s="51">
        <v>41193</v>
      </c>
      <c r="K782" t="s">
        <v>27</v>
      </c>
      <c r="L782" t="s">
        <v>1253</v>
      </c>
      <c r="M782">
        <v>3</v>
      </c>
      <c r="N782" t="str">
        <f>L782</f>
        <v>NAM\MB3505</v>
      </c>
      <c r="O782" s="51">
        <f>J782</f>
        <v>41193</v>
      </c>
      <c r="P782" s="51" t="str">
        <f>C782</f>
        <v>~/cdd/olddocs/Control Plans/MICROMINI/CHANGE-OUT/CP-CHGO-022   X86531621P.pdf</v>
      </c>
      <c r="Q782" s="51" t="str">
        <f>E782</f>
        <v>pdf</v>
      </c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G782" t="s">
        <v>1308</v>
      </c>
      <c r="AH782" s="51"/>
      <c r="AI782" s="51"/>
    </row>
    <row r="783" spans="2:35">
      <c r="B783" t="s">
        <v>1089</v>
      </c>
      <c r="C783" t="s">
        <v>3684</v>
      </c>
      <c r="D783">
        <v>9</v>
      </c>
      <c r="E783" t="s">
        <v>2791</v>
      </c>
      <c r="F783">
        <v>5</v>
      </c>
      <c r="G783">
        <v>9</v>
      </c>
      <c r="H783">
        <v>9</v>
      </c>
      <c r="I783" t="s">
        <v>1092</v>
      </c>
      <c r="J783" s="51">
        <v>41142</v>
      </c>
      <c r="K783" t="s">
        <v>27</v>
      </c>
      <c r="L783" t="s">
        <v>880</v>
      </c>
      <c r="M783">
        <v>3</v>
      </c>
      <c r="N783" t="str">
        <f>L783</f>
        <v>NAM\MB3488</v>
      </c>
      <c r="O783" s="51">
        <f>J783</f>
        <v>41142</v>
      </c>
      <c r="P783" s="51" t="str">
        <f>C783</f>
        <v>~/cdd/olddocs/Control Plans/ITRON/MILTICELL A&amp;B/CP-IMB-001 Rev. A (CON-1300-005  00628-2304-0001  28-2305-0001) (5).pdf</v>
      </c>
      <c r="Q783" s="51" t="str">
        <f>E783</f>
        <v>pdf</v>
      </c>
      <c r="R783" s="51"/>
      <c r="S783" s="51"/>
      <c r="T783" s="51"/>
      <c r="U783" s="51"/>
      <c r="V783" s="51"/>
      <c r="W783" s="51"/>
      <c r="X783" s="51"/>
      <c r="Y783" s="51"/>
      <c r="Z783" s="51"/>
      <c r="AA783" s="51"/>
      <c r="AB783" s="51"/>
      <c r="AC783" s="51"/>
      <c r="AD783" s="51"/>
      <c r="AE783">
        <v>41142</v>
      </c>
      <c r="AG783" t="s">
        <v>1093</v>
      </c>
      <c r="AH783" s="51"/>
      <c r="AI783" s="51"/>
    </row>
    <row r="784" spans="2:35">
      <c r="B784" t="s">
        <v>1585</v>
      </c>
      <c r="C784" t="s">
        <v>2816</v>
      </c>
      <c r="D784">
        <v>9</v>
      </c>
      <c r="E784" t="s">
        <v>2791</v>
      </c>
      <c r="F784">
        <v>5</v>
      </c>
      <c r="G784">
        <v>13</v>
      </c>
      <c r="H784">
        <v>15</v>
      </c>
      <c r="I784" t="s">
        <v>1586</v>
      </c>
      <c r="J784" s="51">
        <v>41081</v>
      </c>
      <c r="K784" t="s">
        <v>27</v>
      </c>
      <c r="L784" t="s">
        <v>1584</v>
      </c>
      <c r="M784">
        <v>3</v>
      </c>
      <c r="N784" t="str">
        <f>L784</f>
        <v>NAM\A8070</v>
      </c>
      <c r="O784" s="51">
        <f>J784</f>
        <v>41081</v>
      </c>
      <c r="P784" s="51" t="str">
        <f>C784</f>
        <v>~/cdd/olddocs/Control Plans/MOLDEO/MOLDEO MOORPARK/CP-MRPK-001 Rev. A   096-0278-001.pdf</v>
      </c>
      <c r="Q784" s="51" t="str">
        <f>E784</f>
        <v>pdf</v>
      </c>
      <c r="R784" s="51"/>
      <c r="S784" s="51"/>
      <c r="T784" s="51"/>
      <c r="U784" s="51"/>
      <c r="V784" s="51"/>
      <c r="W784" s="51"/>
      <c r="X784" s="51"/>
      <c r="Y784" s="51"/>
      <c r="Z784" s="51"/>
      <c r="AA784" s="51"/>
      <c r="AB784" s="51"/>
      <c r="AC784" s="51"/>
      <c r="AD784" s="51"/>
      <c r="AE784">
        <v>41081</v>
      </c>
      <c r="AG784" t="s">
        <v>1587</v>
      </c>
      <c r="AH784" s="51"/>
      <c r="AI784" s="51"/>
    </row>
    <row r="785" spans="2:35">
      <c r="B785" t="s">
        <v>1718</v>
      </c>
      <c r="C785" t="s">
        <v>3739</v>
      </c>
      <c r="D785">
        <v>9</v>
      </c>
      <c r="E785" t="s">
        <v>2791</v>
      </c>
      <c r="F785">
        <v>5</v>
      </c>
      <c r="G785">
        <v>12</v>
      </c>
      <c r="H785">
        <v>16</v>
      </c>
      <c r="I785" t="s">
        <v>1719</v>
      </c>
      <c r="J785" s="51">
        <v>41064</v>
      </c>
      <c r="K785" t="s">
        <v>46</v>
      </c>
      <c r="L785" t="s">
        <v>1584</v>
      </c>
      <c r="M785">
        <v>3</v>
      </c>
      <c r="N785" t="str">
        <f>L785</f>
        <v>NAM\A8070</v>
      </c>
      <c r="O785" s="51">
        <f>J785</f>
        <v>41064</v>
      </c>
      <c r="P785" s="51" t="str">
        <f>C785</f>
        <v>~/cdd/olddocs/Control Plans/MICROMINI/MS/CP-MS-001  568055-J.pdf</v>
      </c>
      <c r="Q785" s="51" t="str">
        <f>E785</f>
        <v>pdf</v>
      </c>
      <c r="R785" s="51"/>
      <c r="S785" s="51"/>
      <c r="T785" s="51"/>
      <c r="U785" s="51"/>
      <c r="V785" s="51"/>
      <c r="W785" s="51"/>
      <c r="X785" s="51"/>
      <c r="Y785" s="51"/>
      <c r="Z785" s="51"/>
      <c r="AA785" s="51"/>
      <c r="AB785" s="51"/>
      <c r="AC785" s="51"/>
      <c r="AD785" s="51"/>
      <c r="AG785" t="s">
        <v>1720</v>
      </c>
      <c r="AH785" s="51"/>
      <c r="AI785" s="51"/>
    </row>
    <row r="786" spans="2:35">
      <c r="B786" t="s">
        <v>1721</v>
      </c>
      <c r="C786" t="s">
        <v>3740</v>
      </c>
      <c r="D786">
        <v>9</v>
      </c>
      <c r="E786" t="s">
        <v>2791</v>
      </c>
      <c r="F786">
        <v>5</v>
      </c>
      <c r="G786">
        <v>12</v>
      </c>
      <c r="H786">
        <v>16</v>
      </c>
      <c r="I786" t="s">
        <v>1722</v>
      </c>
      <c r="J786" s="51">
        <v>41019</v>
      </c>
      <c r="K786" t="s">
        <v>27</v>
      </c>
      <c r="L786" t="s">
        <v>1584</v>
      </c>
      <c r="M786">
        <v>3</v>
      </c>
      <c r="N786" t="str">
        <f>L786</f>
        <v>NAM\A8070</v>
      </c>
      <c r="O786" s="51">
        <f>J786</f>
        <v>41019</v>
      </c>
      <c r="P786" s="51" t="str">
        <f>C786</f>
        <v>~/cdd/olddocs/Control Plans/MICROMINI/MS/CP-MS-002  568055.pdf</v>
      </c>
      <c r="Q786" s="51" t="str">
        <f>E786</f>
        <v>pdf</v>
      </c>
      <c r="R786" s="51"/>
      <c r="S786" s="51"/>
      <c r="T786" s="51"/>
      <c r="U786" s="51"/>
      <c r="V786" s="51"/>
      <c r="W786" s="51"/>
      <c r="X786" s="51"/>
      <c r="Y786" s="51"/>
      <c r="Z786" s="51"/>
      <c r="AA786" s="51"/>
      <c r="AB786" s="51"/>
      <c r="AC786" s="51"/>
      <c r="AD786" s="51"/>
      <c r="AG786">
        <v>568055</v>
      </c>
      <c r="AH786" s="51"/>
      <c r="AI786" s="51"/>
    </row>
    <row r="787" spans="2:35">
      <c r="B787" t="s">
        <v>1723</v>
      </c>
      <c r="C787" t="s">
        <v>3741</v>
      </c>
      <c r="D787">
        <v>9</v>
      </c>
      <c r="E787" t="s">
        <v>2791</v>
      </c>
      <c r="F787">
        <v>5</v>
      </c>
      <c r="G787">
        <v>12</v>
      </c>
      <c r="H787">
        <v>16</v>
      </c>
      <c r="I787" t="s">
        <v>1448</v>
      </c>
      <c r="J787" s="51">
        <v>41019</v>
      </c>
      <c r="K787" t="s">
        <v>27</v>
      </c>
      <c r="L787" t="s">
        <v>1584</v>
      </c>
      <c r="M787">
        <v>3</v>
      </c>
      <c r="N787" t="str">
        <f>L787</f>
        <v>NAM\A8070</v>
      </c>
      <c r="O787" s="51">
        <f>J787</f>
        <v>41019</v>
      </c>
      <c r="P787" s="51" t="str">
        <f>C787</f>
        <v>~/cdd/olddocs/Control Plans/MICROMINI/MS/CP-MS-003  CHK08022110X.pdf</v>
      </c>
      <c r="Q787" s="51" t="str">
        <f>E787</f>
        <v>pdf</v>
      </c>
      <c r="R787" s="51"/>
      <c r="S787" s="51"/>
      <c r="T787" s="51"/>
      <c r="U787" s="51"/>
      <c r="V787" s="51"/>
      <c r="W787" s="51"/>
      <c r="X787" s="51"/>
      <c r="Y787" s="51"/>
      <c r="Z787" s="51"/>
      <c r="AA787" s="51"/>
      <c r="AB787" s="51"/>
      <c r="AC787" s="51"/>
      <c r="AD787" s="51"/>
      <c r="AG787" t="s">
        <v>1724</v>
      </c>
      <c r="AH787" s="51"/>
      <c r="AI787" s="51"/>
    </row>
    <row r="788" spans="2:35">
      <c r="B788" t="s">
        <v>1725</v>
      </c>
      <c r="C788" t="s">
        <v>3742</v>
      </c>
      <c r="D788">
        <v>9</v>
      </c>
      <c r="E788" t="s">
        <v>2791</v>
      </c>
      <c r="F788">
        <v>5</v>
      </c>
      <c r="G788">
        <v>12</v>
      </c>
      <c r="H788">
        <v>16</v>
      </c>
      <c r="I788" t="s">
        <v>1719</v>
      </c>
      <c r="J788" s="51">
        <v>41064</v>
      </c>
      <c r="K788" t="s">
        <v>27</v>
      </c>
      <c r="L788" t="s">
        <v>1584</v>
      </c>
      <c r="M788">
        <v>3</v>
      </c>
      <c r="N788" t="str">
        <f>L788</f>
        <v>NAM\A8070</v>
      </c>
      <c r="O788" s="51">
        <f>J788</f>
        <v>41064</v>
      </c>
      <c r="P788" s="51" t="str">
        <f>C788</f>
        <v>~/cdd/olddocs/Control Plans/MICROMINI/MS/CP-MS-004  568055-E.pdf</v>
      </c>
      <c r="Q788" s="51" t="str">
        <f>E788</f>
        <v>pdf</v>
      </c>
      <c r="R788" s="51"/>
      <c r="S788" s="51"/>
      <c r="T788" s="51"/>
      <c r="U788" s="51"/>
      <c r="V788" s="51"/>
      <c r="W788" s="51"/>
      <c r="X788" s="51"/>
      <c r="Y788" s="51"/>
      <c r="Z788" s="51"/>
      <c r="AA788" s="51"/>
      <c r="AB788" s="51"/>
      <c r="AC788" s="51"/>
      <c r="AD788" s="51"/>
      <c r="AG788" t="s">
        <v>1726</v>
      </c>
      <c r="AH788" s="51"/>
      <c r="AI788" s="51"/>
    </row>
    <row r="789" spans="2:35">
      <c r="B789" t="s">
        <v>1727</v>
      </c>
      <c r="C789" t="s">
        <v>3743</v>
      </c>
      <c r="D789">
        <v>9</v>
      </c>
      <c r="E789" t="s">
        <v>2791</v>
      </c>
      <c r="F789">
        <v>5</v>
      </c>
      <c r="G789">
        <v>12</v>
      </c>
      <c r="H789">
        <v>16</v>
      </c>
      <c r="I789" t="s">
        <v>1728</v>
      </c>
      <c r="J789" s="51">
        <v>41017</v>
      </c>
      <c r="K789" t="s">
        <v>27</v>
      </c>
      <c r="L789" t="s">
        <v>1584</v>
      </c>
      <c r="M789">
        <v>3</v>
      </c>
      <c r="N789" t="str">
        <f>L789</f>
        <v>NAM\A8070</v>
      </c>
      <c r="O789" s="51">
        <f>J789</f>
        <v>41017</v>
      </c>
      <c r="P789" s="51" t="str">
        <f>C789</f>
        <v>~/cdd/olddocs/Control Plans/MICROMINI/MS/CP-MS-005  P15-32302C.pdf</v>
      </c>
      <c r="Q789" s="51" t="str">
        <f>E789</f>
        <v>pdf</v>
      </c>
      <c r="R789" s="51"/>
      <c r="S789" s="51"/>
      <c r="T789" s="51"/>
      <c r="U789" s="51"/>
      <c r="V789" s="51"/>
      <c r="W789" s="51"/>
      <c r="X789" s="51"/>
      <c r="Y789" s="51"/>
      <c r="Z789" s="51"/>
      <c r="AA789" s="51"/>
      <c r="AB789" s="51"/>
      <c r="AC789" s="51"/>
      <c r="AD789" s="51"/>
      <c r="AG789" t="s">
        <v>1729</v>
      </c>
      <c r="AH789" s="51"/>
      <c r="AI789" s="51"/>
    </row>
    <row r="790" spans="2:35">
      <c r="B790" t="s">
        <v>1730</v>
      </c>
      <c r="C790" t="s">
        <v>3928</v>
      </c>
      <c r="D790">
        <v>9</v>
      </c>
      <c r="E790" t="s">
        <v>2790</v>
      </c>
      <c r="F790">
        <v>5</v>
      </c>
      <c r="G790">
        <v>12</v>
      </c>
      <c r="H790">
        <v>16</v>
      </c>
      <c r="I790" t="s">
        <v>1731</v>
      </c>
      <c r="J790" s="51">
        <v>41064</v>
      </c>
      <c r="K790" t="s">
        <v>27</v>
      </c>
      <c r="L790" t="s">
        <v>1584</v>
      </c>
      <c r="M790">
        <v>3</v>
      </c>
      <c r="N790" t="str">
        <f>L790</f>
        <v>NAM\A8070</v>
      </c>
      <c r="O790" s="51">
        <f>J790</f>
        <v>41064</v>
      </c>
      <c r="P790" s="51" t="str">
        <f>C790</f>
        <v>~/cdd/olddocs/CN-QAAS (Aseguranza de calidad)/Control Plans/MICROMINI/MS/CP-MS-007 Rev. A 568055-H.xlsx</v>
      </c>
      <c r="Q790" s="51" t="str">
        <f>E790</f>
        <v>xlsx</v>
      </c>
      <c r="R790" s="51"/>
      <c r="S790" s="51"/>
      <c r="T790" s="51"/>
      <c r="U790" s="51"/>
      <c r="V790" s="51"/>
      <c r="W790" s="51"/>
      <c r="X790" s="51"/>
      <c r="Y790" s="51"/>
      <c r="Z790" s="51"/>
      <c r="AA790" s="51"/>
      <c r="AB790" s="51"/>
      <c r="AC790" s="51"/>
      <c r="AD790" s="51"/>
      <c r="AG790" t="s">
        <v>1732</v>
      </c>
      <c r="AH790" s="51"/>
      <c r="AI790" s="51"/>
    </row>
    <row r="791" spans="2:35">
      <c r="B791" t="s">
        <v>1733</v>
      </c>
      <c r="C791" t="s">
        <v>3744</v>
      </c>
      <c r="D791">
        <v>9</v>
      </c>
      <c r="E791" t="s">
        <v>2791</v>
      </c>
      <c r="F791">
        <v>5</v>
      </c>
      <c r="G791">
        <v>12</v>
      </c>
      <c r="H791">
        <v>16</v>
      </c>
      <c r="I791" t="s">
        <v>1734</v>
      </c>
      <c r="J791" s="51">
        <v>41102</v>
      </c>
      <c r="K791" t="s">
        <v>46</v>
      </c>
      <c r="L791" t="s">
        <v>1584</v>
      </c>
      <c r="M791">
        <v>3</v>
      </c>
      <c r="N791" t="str">
        <f>L791</f>
        <v>NAM\A8070</v>
      </c>
      <c r="O791" s="51">
        <f>J791</f>
        <v>41102</v>
      </c>
      <c r="P791" s="51" t="str">
        <f>C791</f>
        <v>~/cdd/olddocs/Control Plans/MICROMINI/MS/CP-MS-008  CH504148B-A.pdf</v>
      </c>
      <c r="Q791" s="51" t="str">
        <f>E791</f>
        <v>pdf</v>
      </c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G791" t="s">
        <v>1735</v>
      </c>
      <c r="AH791" s="51"/>
      <c r="AI791" s="51"/>
    </row>
    <row r="792" spans="2:35">
      <c r="B792" t="s">
        <v>1736</v>
      </c>
      <c r="C792" t="s">
        <v>3745</v>
      </c>
      <c r="D792">
        <v>9</v>
      </c>
      <c r="E792" t="s">
        <v>2791</v>
      </c>
      <c r="F792">
        <v>5</v>
      </c>
      <c r="G792">
        <v>12</v>
      </c>
      <c r="H792">
        <v>16</v>
      </c>
      <c r="I792" t="s">
        <v>1734</v>
      </c>
      <c r="J792" s="51">
        <v>40995</v>
      </c>
      <c r="K792" t="s">
        <v>27</v>
      </c>
      <c r="L792" t="s">
        <v>1584</v>
      </c>
      <c r="M792">
        <v>3</v>
      </c>
      <c r="N792" t="str">
        <f>L792</f>
        <v>NAM\A8070</v>
      </c>
      <c r="O792" s="51">
        <f>J792</f>
        <v>40995</v>
      </c>
      <c r="P792" s="51" t="str">
        <f>C792</f>
        <v>~/cdd/olddocs/Control Plans/MICROMINI/MS/CP-MS-009  CH5041490B.pdf</v>
      </c>
      <c r="Q792" s="51" t="str">
        <f>E792</f>
        <v>pdf</v>
      </c>
      <c r="R792" s="51"/>
      <c r="S792" s="51"/>
      <c r="T792" s="51"/>
      <c r="U792" s="51"/>
      <c r="V792" s="51"/>
      <c r="W792" s="51"/>
      <c r="X792" s="51"/>
      <c r="Y792" s="51"/>
      <c r="Z792" s="51"/>
      <c r="AA792" s="51"/>
      <c r="AB792" s="51"/>
      <c r="AC792" s="51"/>
      <c r="AD792" s="51"/>
      <c r="AG792" t="s">
        <v>1737</v>
      </c>
      <c r="AH792" s="51"/>
      <c r="AI792" s="51"/>
    </row>
    <row r="793" spans="2:35">
      <c r="B793" t="s">
        <v>1738</v>
      </c>
      <c r="C793" t="s">
        <v>3746</v>
      </c>
      <c r="D793">
        <v>9</v>
      </c>
      <c r="E793" t="s">
        <v>2791</v>
      </c>
      <c r="F793">
        <v>5</v>
      </c>
      <c r="G793">
        <v>12</v>
      </c>
      <c r="H793">
        <v>16</v>
      </c>
      <c r="I793" t="s">
        <v>1739</v>
      </c>
      <c r="J793" s="51">
        <v>41038</v>
      </c>
      <c r="K793" t="s">
        <v>27</v>
      </c>
      <c r="L793" t="s">
        <v>1584</v>
      </c>
      <c r="M793">
        <v>3</v>
      </c>
      <c r="N793" t="str">
        <f>L793</f>
        <v>NAM\A8070</v>
      </c>
      <c r="O793" s="51">
        <f>J793</f>
        <v>41038</v>
      </c>
      <c r="P793" s="51" t="str">
        <f>C793</f>
        <v>~/cdd/olddocs/Control Plans/MICROMINI/MS/CP-MS-010  CH5041497B.pdf</v>
      </c>
      <c r="Q793" s="51" t="str">
        <f>E793</f>
        <v>pdf</v>
      </c>
      <c r="R793" s="51"/>
      <c r="S793" s="51"/>
      <c r="T793" s="51"/>
      <c r="U793" s="51"/>
      <c r="V793" s="51"/>
      <c r="W793" s="51"/>
      <c r="X793" s="51"/>
      <c r="Y793" s="51"/>
      <c r="Z793" s="51"/>
      <c r="AA793" s="51"/>
      <c r="AB793" s="51"/>
      <c r="AC793" s="51"/>
      <c r="AD793" s="51"/>
      <c r="AG793" t="s">
        <v>1740</v>
      </c>
      <c r="AH793" s="51"/>
      <c r="AI793" s="51"/>
    </row>
    <row r="794" spans="2:35">
      <c r="B794" t="s">
        <v>1741</v>
      </c>
      <c r="C794" t="s">
        <v>3747</v>
      </c>
      <c r="D794">
        <v>9</v>
      </c>
      <c r="E794" t="s">
        <v>2791</v>
      </c>
      <c r="F794">
        <v>5</v>
      </c>
      <c r="G794">
        <v>12</v>
      </c>
      <c r="H794">
        <v>16</v>
      </c>
      <c r="I794" t="s">
        <v>1742</v>
      </c>
      <c r="J794" s="51">
        <v>41102</v>
      </c>
      <c r="K794" t="s">
        <v>27</v>
      </c>
      <c r="L794" t="s">
        <v>1584</v>
      </c>
      <c r="M794">
        <v>3</v>
      </c>
      <c r="N794" t="str">
        <f>L794</f>
        <v>NAM\A8070</v>
      </c>
      <c r="O794" s="51">
        <f>J794</f>
        <v>41102</v>
      </c>
      <c r="P794" s="51" t="str">
        <f>C794</f>
        <v>~/cdd/olddocs/Control Plans/MICROMINI/MS/CP-MS-011  568055-A.pdf</v>
      </c>
      <c r="Q794" s="51" t="str">
        <f>E794</f>
        <v>pdf</v>
      </c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G794" t="s">
        <v>1743</v>
      </c>
      <c r="AH794" s="51"/>
      <c r="AI794" s="51"/>
    </row>
    <row r="795" spans="2:35">
      <c r="B795" t="s">
        <v>1744</v>
      </c>
      <c r="C795" t="s">
        <v>3929</v>
      </c>
      <c r="D795">
        <v>9</v>
      </c>
      <c r="E795" t="s">
        <v>2790</v>
      </c>
      <c r="F795">
        <v>5</v>
      </c>
      <c r="G795">
        <v>12</v>
      </c>
      <c r="H795">
        <v>16</v>
      </c>
      <c r="I795" t="s">
        <v>1745</v>
      </c>
      <c r="J795" s="51">
        <v>41117</v>
      </c>
      <c r="K795" t="s">
        <v>27</v>
      </c>
      <c r="L795" t="s">
        <v>1584</v>
      </c>
      <c r="M795">
        <v>3</v>
      </c>
      <c r="N795" t="str">
        <f>L795</f>
        <v>NAM\A8070</v>
      </c>
      <c r="O795" s="51">
        <f>J795</f>
        <v>41117</v>
      </c>
      <c r="P795" s="51" t="str">
        <f>C795</f>
        <v>~/cdd/olddocs/CN-QAAS (Aseguranza de calidad)/Control Plans/MICROMINI/MS/CP-MS-012 Rev. A SP15-32302C.xlsx</v>
      </c>
      <c r="Q795" s="51" t="str">
        <f>E795</f>
        <v>xlsx</v>
      </c>
      <c r="R795" s="51"/>
      <c r="S795" s="51"/>
      <c r="T795" s="51"/>
      <c r="U795" s="51"/>
      <c r="V795" s="51"/>
      <c r="W795" s="51"/>
      <c r="X795" s="51"/>
      <c r="Y795" s="51"/>
      <c r="Z795" s="51"/>
      <c r="AA795" s="51"/>
      <c r="AB795" s="51"/>
      <c r="AC795" s="51"/>
      <c r="AD795" s="51"/>
      <c r="AG795" t="s">
        <v>1746</v>
      </c>
      <c r="AH795" s="51"/>
      <c r="AI795" s="51"/>
    </row>
    <row r="796" spans="2:35">
      <c r="B796" t="s">
        <v>1367</v>
      </c>
      <c r="C796" t="s">
        <v>3748</v>
      </c>
      <c r="D796">
        <v>9</v>
      </c>
      <c r="E796" t="s">
        <v>2791</v>
      </c>
      <c r="F796">
        <v>5</v>
      </c>
      <c r="G796">
        <v>12</v>
      </c>
      <c r="H796">
        <v>16</v>
      </c>
      <c r="I796" t="s">
        <v>1368</v>
      </c>
      <c r="K796" t="s">
        <v>27</v>
      </c>
      <c r="L796" t="s">
        <v>1253</v>
      </c>
      <c r="M796">
        <v>3</v>
      </c>
      <c r="N796" t="str">
        <f>L796</f>
        <v>NAM\MB3505</v>
      </c>
      <c r="O796" s="51">
        <f>J796</f>
        <v>0</v>
      </c>
      <c r="P796" s="51" t="str">
        <f>C796</f>
        <v>~/cdd/olddocs/Control Plans/MICROMINI/MS/CP-MS-013  203205a.pdf</v>
      </c>
      <c r="Q796" s="51" t="str">
        <f>E796</f>
        <v>pdf</v>
      </c>
      <c r="R796" s="51"/>
      <c r="S796" s="51"/>
      <c r="T796" s="51"/>
      <c r="U796" s="51"/>
      <c r="V796" s="51"/>
      <c r="W796" s="51"/>
      <c r="X796" s="51"/>
      <c r="Y796" s="51"/>
      <c r="Z796" s="51"/>
      <c r="AA796" s="51"/>
      <c r="AB796" s="51"/>
      <c r="AC796" s="51"/>
      <c r="AD796" s="51"/>
      <c r="AE796">
        <v>41193</v>
      </c>
      <c r="AG796" t="s">
        <v>1369</v>
      </c>
      <c r="AH796" s="51"/>
      <c r="AI796" s="51"/>
    </row>
    <row r="797" spans="2:35">
      <c r="B797" t="s">
        <v>1370</v>
      </c>
      <c r="C797" t="s">
        <v>3749</v>
      </c>
      <c r="D797">
        <v>9</v>
      </c>
      <c r="E797" t="s">
        <v>2791</v>
      </c>
      <c r="F797">
        <v>5</v>
      </c>
      <c r="G797">
        <v>12</v>
      </c>
      <c r="H797">
        <v>16</v>
      </c>
      <c r="I797" t="s">
        <v>1371</v>
      </c>
      <c r="K797" t="s">
        <v>27</v>
      </c>
      <c r="L797" t="s">
        <v>1253</v>
      </c>
      <c r="M797">
        <v>3</v>
      </c>
      <c r="N797" t="str">
        <f>L797</f>
        <v>NAM\MB3505</v>
      </c>
      <c r="O797" s="51">
        <f>J797</f>
        <v>0</v>
      </c>
      <c r="P797" s="51" t="str">
        <f>C797</f>
        <v>~/cdd/olddocs/Control Plans/MICROMINI/MS/CP-MS-014  5680551.pdf</v>
      </c>
      <c r="Q797" s="51" t="str">
        <f>E797</f>
        <v>pdf</v>
      </c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>
        <v>41193</v>
      </c>
      <c r="AG797" t="s">
        <v>1372</v>
      </c>
      <c r="AH797" s="51"/>
      <c r="AI797" s="51"/>
    </row>
    <row r="798" spans="2:35">
      <c r="B798" t="s">
        <v>1373</v>
      </c>
      <c r="C798" t="s">
        <v>3750</v>
      </c>
      <c r="D798">
        <v>9</v>
      </c>
      <c r="E798" t="s">
        <v>2791</v>
      </c>
      <c r="F798">
        <v>5</v>
      </c>
      <c r="G798">
        <v>12</v>
      </c>
      <c r="H798">
        <v>16</v>
      </c>
      <c r="I798" t="s">
        <v>1374</v>
      </c>
      <c r="K798" t="s">
        <v>27</v>
      </c>
      <c r="L798" t="s">
        <v>1253</v>
      </c>
      <c r="M798">
        <v>3</v>
      </c>
      <c r="N798" t="str">
        <f>L798</f>
        <v>NAM\MB3505</v>
      </c>
      <c r="O798" s="51">
        <f>J798</f>
        <v>0</v>
      </c>
      <c r="P798" s="51" t="str">
        <f>C798</f>
        <v>~/cdd/olddocs/Control Plans/MICROMINI/MS/CP-MS-015  11613668 &amp; 11536313.pdf</v>
      </c>
      <c r="Q798" s="51" t="str">
        <f>E798</f>
        <v>pdf</v>
      </c>
      <c r="R798" s="51"/>
      <c r="S798" s="51"/>
      <c r="T798" s="51"/>
      <c r="U798" s="51"/>
      <c r="V798" s="51"/>
      <c r="W798" s="51"/>
      <c r="X798" s="51"/>
      <c r="Y798" s="51"/>
      <c r="Z798" s="51"/>
      <c r="AA798" s="51"/>
      <c r="AB798" s="51"/>
      <c r="AC798" s="51"/>
      <c r="AD798" s="51"/>
      <c r="AE798">
        <v>41193</v>
      </c>
      <c r="AG798" t="s">
        <v>1375</v>
      </c>
      <c r="AH798" s="51"/>
      <c r="AI798" s="51"/>
    </row>
    <row r="799" spans="2:35">
      <c r="B799" t="s">
        <v>1376</v>
      </c>
      <c r="C799" t="s">
        <v>3751</v>
      </c>
      <c r="D799">
        <v>9</v>
      </c>
      <c r="E799" t="s">
        <v>2791</v>
      </c>
      <c r="F799">
        <v>5</v>
      </c>
      <c r="G799">
        <v>12</v>
      </c>
      <c r="H799">
        <v>16</v>
      </c>
      <c r="I799" t="s">
        <v>1377</v>
      </c>
      <c r="K799" t="s">
        <v>27</v>
      </c>
      <c r="L799" t="s">
        <v>1253</v>
      </c>
      <c r="M799">
        <v>3</v>
      </c>
      <c r="N799" t="str">
        <f>L799</f>
        <v>NAM\MB3505</v>
      </c>
      <c r="O799" s="51">
        <f>J799</f>
        <v>0</v>
      </c>
      <c r="P799" s="51" t="str">
        <f>C799</f>
        <v>~/cdd/olddocs/Control Plans/MICROMINI/MS/CP-MS-016   11547793.pdf</v>
      </c>
      <c r="Q799" s="51" t="str">
        <f>E799</f>
        <v>pdf</v>
      </c>
      <c r="R799" s="51"/>
      <c r="S799" s="51"/>
      <c r="T799" s="51"/>
      <c r="U799" s="51"/>
      <c r="V799" s="51"/>
      <c r="W799" s="51"/>
      <c r="X799" s="51"/>
      <c r="Y799" s="51"/>
      <c r="Z799" s="51"/>
      <c r="AA799" s="51"/>
      <c r="AB799" s="51"/>
      <c r="AC799" s="51"/>
      <c r="AD799" s="51"/>
      <c r="AE799">
        <v>41193</v>
      </c>
      <c r="AG799" t="s">
        <v>1378</v>
      </c>
      <c r="AH799" s="51"/>
      <c r="AI799" s="51"/>
    </row>
    <row r="800" spans="2:35">
      <c r="B800" t="s">
        <v>1379</v>
      </c>
      <c r="C800" t="s">
        <v>3752</v>
      </c>
      <c r="D800">
        <v>9</v>
      </c>
      <c r="E800" t="s">
        <v>2791</v>
      </c>
      <c r="F800">
        <v>5</v>
      </c>
      <c r="G800">
        <v>12</v>
      </c>
      <c r="H800">
        <v>16</v>
      </c>
      <c r="I800" t="s">
        <v>1374</v>
      </c>
      <c r="K800" t="s">
        <v>27</v>
      </c>
      <c r="L800" t="s">
        <v>1253</v>
      </c>
      <c r="M800">
        <v>3</v>
      </c>
      <c r="N800" t="str">
        <f>L800</f>
        <v>NAM\MB3505</v>
      </c>
      <c r="O800" s="51">
        <f>J800</f>
        <v>0</v>
      </c>
      <c r="P800" s="51" t="str">
        <f>C800</f>
        <v>~/cdd/olddocs/Control Plans/MICROMINI/MS/CP-MS-017  CH5041495B0360.pdf</v>
      </c>
      <c r="Q800" s="51" t="str">
        <f>E800</f>
        <v>pdf</v>
      </c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>
        <v>41193</v>
      </c>
      <c r="AG800" t="s">
        <v>1380</v>
      </c>
      <c r="AH800" s="51"/>
      <c r="AI800" s="51"/>
    </row>
    <row r="801" spans="2:35">
      <c r="B801" t="s">
        <v>1381</v>
      </c>
      <c r="C801" t="s">
        <v>3753</v>
      </c>
      <c r="D801">
        <v>9</v>
      </c>
      <c r="E801" t="s">
        <v>2791</v>
      </c>
      <c r="F801">
        <v>5</v>
      </c>
      <c r="G801">
        <v>12</v>
      </c>
      <c r="H801">
        <v>16</v>
      </c>
      <c r="I801" t="s">
        <v>1377</v>
      </c>
      <c r="K801" t="s">
        <v>27</v>
      </c>
      <c r="L801" t="s">
        <v>1253</v>
      </c>
      <c r="M801">
        <v>3</v>
      </c>
      <c r="N801" t="str">
        <f>L801</f>
        <v>NAM\MB3505</v>
      </c>
      <c r="O801" s="51">
        <f>J801</f>
        <v>0</v>
      </c>
      <c r="P801" s="51" t="str">
        <f>C801</f>
        <v>~/cdd/olddocs/Control Plans/MICROMINI/MS/CP-MS-018  CHCCR003P.pdf</v>
      </c>
      <c r="Q801" s="51" t="str">
        <f>E801</f>
        <v>pdf</v>
      </c>
      <c r="R801" s="51"/>
      <c r="S801" s="51"/>
      <c r="T801" s="51"/>
      <c r="U801" s="51"/>
      <c r="V801" s="51"/>
      <c r="W801" s="51"/>
      <c r="X801" s="51"/>
      <c r="Y801" s="51"/>
      <c r="Z801" s="51"/>
      <c r="AA801" s="51"/>
      <c r="AB801" s="51"/>
      <c r="AC801" s="51"/>
      <c r="AD801" s="51"/>
      <c r="AE801">
        <v>41193</v>
      </c>
      <c r="AG801" t="s">
        <v>1382</v>
      </c>
      <c r="AH801" s="51"/>
      <c r="AI801" s="51"/>
    </row>
    <row r="802" spans="2:35">
      <c r="B802" t="s">
        <v>1383</v>
      </c>
      <c r="C802" t="s">
        <v>3754</v>
      </c>
      <c r="D802">
        <v>9</v>
      </c>
      <c r="E802" t="s">
        <v>2791</v>
      </c>
      <c r="F802">
        <v>5</v>
      </c>
      <c r="G802">
        <v>12</v>
      </c>
      <c r="H802">
        <v>16</v>
      </c>
      <c r="I802" t="s">
        <v>1368</v>
      </c>
      <c r="K802" t="s">
        <v>27</v>
      </c>
      <c r="L802" t="s">
        <v>1253</v>
      </c>
      <c r="M802">
        <v>3</v>
      </c>
      <c r="N802" t="str">
        <f>L802</f>
        <v>NAM\MB3505</v>
      </c>
      <c r="O802" s="51">
        <f>J802</f>
        <v>0</v>
      </c>
      <c r="P802" s="51" t="str">
        <f>C802</f>
        <v>~/cdd/olddocs/Control Plans/MICROMINI/MS/CP-MS-019  M5E1811A230MH.pdf</v>
      </c>
      <c r="Q802" s="51" t="str">
        <f>E802</f>
        <v>pdf</v>
      </c>
      <c r="R802" s="51"/>
      <c r="S802" s="51"/>
      <c r="T802" s="51"/>
      <c r="U802" s="51"/>
      <c r="V802" s="51"/>
      <c r="W802" s="51"/>
      <c r="X802" s="51"/>
      <c r="Y802" s="51"/>
      <c r="Z802" s="51"/>
      <c r="AA802" s="51"/>
      <c r="AB802" s="51"/>
      <c r="AC802" s="51"/>
      <c r="AD802" s="51"/>
      <c r="AE802">
        <v>41193</v>
      </c>
      <c r="AG802" t="s">
        <v>1384</v>
      </c>
      <c r="AH802" s="51"/>
      <c r="AI802" s="51"/>
    </row>
    <row r="803" spans="2:35">
      <c r="B803" t="s">
        <v>1385</v>
      </c>
      <c r="C803" t="s">
        <v>3755</v>
      </c>
      <c r="D803">
        <v>9</v>
      </c>
      <c r="E803" t="s">
        <v>2791</v>
      </c>
      <c r="F803">
        <v>5</v>
      </c>
      <c r="G803">
        <v>12</v>
      </c>
      <c r="H803">
        <v>16</v>
      </c>
      <c r="I803" t="s">
        <v>1386</v>
      </c>
      <c r="K803" t="s">
        <v>27</v>
      </c>
      <c r="L803" t="s">
        <v>1253</v>
      </c>
      <c r="M803">
        <v>3</v>
      </c>
      <c r="N803" t="str">
        <f>L803</f>
        <v>NAM\MB3505</v>
      </c>
      <c r="O803" s="51">
        <f>J803</f>
        <v>0</v>
      </c>
      <c r="P803" s="51" t="str">
        <f>C803</f>
        <v>~/cdd/olddocs/Control Plans/MICROMINI/MS/CP-MS-020   P1526042B130, P1529042B130, P1532302C21, P1532302C27.pdf</v>
      </c>
      <c r="Q803" s="51" t="str">
        <f>E803</f>
        <v>pdf</v>
      </c>
      <c r="R803" s="51"/>
      <c r="S803" s="51"/>
      <c r="T803" s="51"/>
      <c r="U803" s="51"/>
      <c r="V803" s="51"/>
      <c r="W803" s="51"/>
      <c r="X803" s="51"/>
      <c r="Y803" s="51"/>
      <c r="Z803" s="51"/>
      <c r="AA803" s="51"/>
      <c r="AB803" s="51"/>
      <c r="AC803" s="51"/>
      <c r="AD803" s="51"/>
      <c r="AE803">
        <v>41193</v>
      </c>
      <c r="AG803" t="s">
        <v>1387</v>
      </c>
      <c r="AH803" s="51"/>
      <c r="AI803" s="51"/>
    </row>
    <row r="804" spans="2:35">
      <c r="B804" t="s">
        <v>1388</v>
      </c>
      <c r="C804" t="s">
        <v>3756</v>
      </c>
      <c r="D804">
        <v>9</v>
      </c>
      <c r="E804" t="s">
        <v>2791</v>
      </c>
      <c r="F804">
        <v>5</v>
      </c>
      <c r="G804">
        <v>12</v>
      </c>
      <c r="H804">
        <v>16</v>
      </c>
      <c r="I804" t="s">
        <v>1386</v>
      </c>
      <c r="K804" t="s">
        <v>27</v>
      </c>
      <c r="L804" t="s">
        <v>1253</v>
      </c>
      <c r="M804">
        <v>3</v>
      </c>
      <c r="N804" t="str">
        <f>L804</f>
        <v>NAM\MB3505</v>
      </c>
      <c r="O804" s="51">
        <f>J804</f>
        <v>0</v>
      </c>
      <c r="P804" s="51" t="str">
        <f>C804</f>
        <v>~/cdd/olddocs/Control Plans/MICROMINI/MS/CP-MS-021  SMEA0092010, SMEA0092025, SMEA0092030, SMEA0092040, SMEA0092045, SMEA0092050.pdf</v>
      </c>
      <c r="Q804" s="51" t="str">
        <f>E804</f>
        <v>pdf</v>
      </c>
      <c r="R804" s="51"/>
      <c r="S804" s="51"/>
      <c r="T804" s="51"/>
      <c r="U804" s="51"/>
      <c r="V804" s="51"/>
      <c r="W804" s="51"/>
      <c r="X804" s="51"/>
      <c r="Y804" s="51"/>
      <c r="Z804" s="51"/>
      <c r="AA804" s="51"/>
      <c r="AB804" s="51"/>
      <c r="AC804" s="51"/>
      <c r="AD804" s="51"/>
      <c r="AE804">
        <v>41193</v>
      </c>
      <c r="AG804" t="s">
        <v>1389</v>
      </c>
      <c r="AH804" s="51"/>
      <c r="AI804" s="51"/>
    </row>
    <row r="805" spans="2:35">
      <c r="B805" t="s">
        <v>1390</v>
      </c>
      <c r="C805" t="s">
        <v>3757</v>
      </c>
      <c r="D805">
        <v>9</v>
      </c>
      <c r="E805" t="s">
        <v>2791</v>
      </c>
      <c r="F805">
        <v>5</v>
      </c>
      <c r="G805">
        <v>12</v>
      </c>
      <c r="H805">
        <v>16</v>
      </c>
      <c r="I805" t="s">
        <v>1391</v>
      </c>
      <c r="K805" t="s">
        <v>27</v>
      </c>
      <c r="L805" t="s">
        <v>1253</v>
      </c>
      <c r="M805">
        <v>3</v>
      </c>
      <c r="N805" t="str">
        <f>L805</f>
        <v>NAM\MB3505</v>
      </c>
      <c r="O805" s="51">
        <f>J805</f>
        <v>0</v>
      </c>
      <c r="P805" s="51" t="str">
        <f>C805</f>
        <v>~/cdd/olddocs/Control Plans/MICROMINI/MS/CP-MS-022  SMEA0094007, SMEA0094030.pdf</v>
      </c>
      <c r="Q805" s="51" t="str">
        <f>E805</f>
        <v>pdf</v>
      </c>
      <c r="R805" s="51"/>
      <c r="S805" s="51"/>
      <c r="T805" s="51"/>
      <c r="U805" s="51"/>
      <c r="V805" s="51"/>
      <c r="W805" s="51"/>
      <c r="X805" s="51"/>
      <c r="Y805" s="51"/>
      <c r="Z805" s="51"/>
      <c r="AA805" s="51"/>
      <c r="AB805" s="51"/>
      <c r="AC805" s="51"/>
      <c r="AD805" s="51"/>
      <c r="AE805">
        <v>41193</v>
      </c>
      <c r="AG805" t="s">
        <v>1392</v>
      </c>
      <c r="AH805" s="51"/>
      <c r="AI805" s="51"/>
    </row>
    <row r="806" spans="2:35">
      <c r="B806" t="s">
        <v>1393</v>
      </c>
      <c r="C806" t="s">
        <v>3758</v>
      </c>
      <c r="D806">
        <v>9</v>
      </c>
      <c r="E806" t="s">
        <v>2791</v>
      </c>
      <c r="F806">
        <v>5</v>
      </c>
      <c r="G806">
        <v>12</v>
      </c>
      <c r="H806">
        <v>16</v>
      </c>
      <c r="I806" t="s">
        <v>1394</v>
      </c>
      <c r="K806" t="s">
        <v>27</v>
      </c>
      <c r="L806" t="s">
        <v>1253</v>
      </c>
      <c r="M806">
        <v>3</v>
      </c>
      <c r="N806" t="str">
        <f>L806</f>
        <v>NAM\MB3505</v>
      </c>
      <c r="O806" s="51">
        <f>J806</f>
        <v>0</v>
      </c>
      <c r="P806" s="51" t="str">
        <f>C806</f>
        <v>~/cdd/olddocs/Control Plans/MICROMINI/MS/CP-MS-023  SMEA0114007, 4010, 4015, 4030.pdf</v>
      </c>
      <c r="Q806" s="51" t="str">
        <f>E806</f>
        <v>pdf</v>
      </c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>
        <v>41193</v>
      </c>
      <c r="AG806" t="s">
        <v>1395</v>
      </c>
      <c r="AH806" s="51"/>
      <c r="AI806" s="51"/>
    </row>
    <row r="807" spans="2:35">
      <c r="B807" t="s">
        <v>1396</v>
      </c>
      <c r="C807" t="s">
        <v>2806</v>
      </c>
      <c r="D807">
        <v>9</v>
      </c>
      <c r="E807" t="s">
        <v>2791</v>
      </c>
      <c r="F807">
        <v>5</v>
      </c>
      <c r="G807">
        <v>12</v>
      </c>
      <c r="H807">
        <v>16</v>
      </c>
      <c r="I807" t="s">
        <v>1397</v>
      </c>
      <c r="K807" t="s">
        <v>27</v>
      </c>
      <c r="L807" t="s">
        <v>1253</v>
      </c>
      <c r="M807">
        <v>3</v>
      </c>
      <c r="N807" t="str">
        <f>L807</f>
        <v>NAM\MB3505</v>
      </c>
      <c r="O807" s="51">
        <f>J807</f>
        <v>0</v>
      </c>
      <c r="P807" s="51" t="str">
        <f>C807</f>
        <v>~/cdd/olddocs/Control Plans/MICROMINI/MS/CP-MS-024  SMEA0115010, 5015, 5020, 5030, 5035, 5060.pdf</v>
      </c>
      <c r="Q807" s="51" t="str">
        <f>E807</f>
        <v>pdf</v>
      </c>
      <c r="R807" s="51"/>
      <c r="S807" s="51"/>
      <c r="T807" s="51"/>
      <c r="U807" s="51"/>
      <c r="V807" s="51"/>
      <c r="W807" s="51"/>
      <c r="X807" s="51"/>
      <c r="Y807" s="51"/>
      <c r="Z807" s="51"/>
      <c r="AA807" s="51"/>
      <c r="AB807" s="51"/>
      <c r="AC807" s="51"/>
      <c r="AD807" s="51"/>
      <c r="AE807">
        <v>41180</v>
      </c>
      <c r="AG807" t="s">
        <v>1398</v>
      </c>
      <c r="AH807" s="51"/>
      <c r="AI807" s="51"/>
    </row>
    <row r="808" spans="2:35">
      <c r="B808" t="s">
        <v>1399</v>
      </c>
      <c r="C808" t="s">
        <v>2807</v>
      </c>
      <c r="D808">
        <v>9</v>
      </c>
      <c r="E808" t="s">
        <v>2791</v>
      </c>
      <c r="F808">
        <v>5</v>
      </c>
      <c r="G808">
        <v>12</v>
      </c>
      <c r="H808">
        <v>16</v>
      </c>
      <c r="I808" t="s">
        <v>1400</v>
      </c>
      <c r="K808" t="s">
        <v>27</v>
      </c>
      <c r="L808" t="s">
        <v>1253</v>
      </c>
      <c r="M808">
        <v>3</v>
      </c>
      <c r="N808" t="str">
        <f>L808</f>
        <v>NAM\MB3505</v>
      </c>
      <c r="O808" s="51">
        <f>J808</f>
        <v>0</v>
      </c>
      <c r="P808" s="51" t="str">
        <f>C808</f>
        <v>~/cdd/olddocs/Control Plans/MICROMINI/MS/CP-MS-025  SMEA0120010, 0030, 0040, 0040, 0045.pdf</v>
      </c>
      <c r="Q808" s="51" t="str">
        <f>E808</f>
        <v>pdf</v>
      </c>
      <c r="R808" s="51"/>
      <c r="S808" s="51"/>
      <c r="T808" s="51"/>
      <c r="U808" s="51"/>
      <c r="V808" s="51"/>
      <c r="W808" s="51"/>
      <c r="X808" s="51"/>
      <c r="Y808" s="51"/>
      <c r="Z808" s="51"/>
      <c r="AA808" s="51"/>
      <c r="AB808" s="51"/>
      <c r="AC808" s="51"/>
      <c r="AD808" s="51"/>
      <c r="AE808">
        <v>41180</v>
      </c>
      <c r="AG808" t="s">
        <v>1401</v>
      </c>
      <c r="AH808" s="51"/>
      <c r="AI808" s="51"/>
    </row>
    <row r="809" spans="2:35">
      <c r="B809" t="s">
        <v>2787</v>
      </c>
      <c r="C809" t="e">
        <v>#VALUE!</v>
      </c>
      <c r="D809">
        <v>9</v>
      </c>
      <c r="E809" t="e">
        <v>#VALUE!</v>
      </c>
      <c r="F809">
        <v>5</v>
      </c>
      <c r="G809">
        <v>12</v>
      </c>
      <c r="H809">
        <v>16</v>
      </c>
      <c r="M809">
        <v>3</v>
      </c>
      <c r="N809">
        <f>L809</f>
        <v>0</v>
      </c>
      <c r="O809" s="51">
        <f>J809</f>
        <v>0</v>
      </c>
      <c r="P809" s="51" t="e">
        <f>C809</f>
        <v>#VALUE!</v>
      </c>
      <c r="Q809" s="51" t="e">
        <f>E809</f>
        <v>#VALUE!</v>
      </c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H809" s="51"/>
      <c r="AI809" s="51"/>
    </row>
    <row r="810" spans="2:35">
      <c r="B810" t="s">
        <v>1787</v>
      </c>
      <c r="C810" t="s">
        <v>2808</v>
      </c>
      <c r="D810">
        <v>9</v>
      </c>
      <c r="E810" t="s">
        <v>2791</v>
      </c>
      <c r="F810">
        <v>5</v>
      </c>
      <c r="G810">
        <v>12</v>
      </c>
      <c r="H810">
        <v>18</v>
      </c>
      <c r="I810" t="s">
        <v>1788</v>
      </c>
      <c r="J810" s="51">
        <v>41019</v>
      </c>
      <c r="K810" t="s">
        <v>27</v>
      </c>
      <c r="L810" t="s">
        <v>1584</v>
      </c>
      <c r="M810">
        <v>3</v>
      </c>
      <c r="N810" t="str">
        <f>L810</f>
        <v>NAM\A8070</v>
      </c>
      <c r="O810" s="51">
        <f>J810</f>
        <v>41019</v>
      </c>
      <c r="P810" s="51" t="str">
        <f>C810</f>
        <v>~/cdd/olddocs/Control Plans/MICROMINI/POTTED/CP-POTT-001 Rev.A 5000108.pdf</v>
      </c>
      <c r="Q810" s="51" t="str">
        <f>E810</f>
        <v>pdf</v>
      </c>
      <c r="R810" s="51"/>
      <c r="S810" s="51"/>
      <c r="T810" s="51"/>
      <c r="U810" s="51"/>
      <c r="V810" s="51"/>
      <c r="W810" s="51"/>
      <c r="X810" s="51"/>
      <c r="Y810" s="51"/>
      <c r="Z810" s="51"/>
      <c r="AA810" s="51"/>
      <c r="AB810" s="51"/>
      <c r="AC810" s="51"/>
      <c r="AD810" s="51"/>
      <c r="AG810">
        <v>5000108</v>
      </c>
      <c r="AH810" s="51"/>
      <c r="AI810" s="51"/>
    </row>
    <row r="811" spans="2:35">
      <c r="B811" t="s">
        <v>1789</v>
      </c>
      <c r="C811" t="s">
        <v>2809</v>
      </c>
      <c r="D811">
        <v>9</v>
      </c>
      <c r="E811" t="s">
        <v>2791</v>
      </c>
      <c r="F811">
        <v>5</v>
      </c>
      <c r="G811">
        <v>12</v>
      </c>
      <c r="H811">
        <v>18</v>
      </c>
      <c r="I811" t="s">
        <v>1273</v>
      </c>
      <c r="J811" s="51">
        <v>41051</v>
      </c>
      <c r="K811" t="s">
        <v>27</v>
      </c>
      <c r="L811" t="s">
        <v>1584</v>
      </c>
      <c r="M811">
        <v>3</v>
      </c>
      <c r="N811" t="str">
        <f>L811</f>
        <v>NAM\A8070</v>
      </c>
      <c r="O811" s="51">
        <f>J811</f>
        <v>41051</v>
      </c>
      <c r="P811" s="51" t="str">
        <f>C811</f>
        <v>~/cdd/olddocs/Control Plans/MICROMINI/POTTED/CP-POTT-002 Rev.A  CX8653 PART CX8653 -343P Y -346P.pdf</v>
      </c>
      <c r="Q811" s="51" t="str">
        <f>E811</f>
        <v>pdf</v>
      </c>
      <c r="R811" s="51"/>
      <c r="S811" s="51"/>
      <c r="T811" s="51"/>
      <c r="U811" s="51"/>
      <c r="V811" s="51"/>
      <c r="W811" s="51"/>
      <c r="X811" s="51"/>
      <c r="Y811" s="51"/>
      <c r="Z811" s="51"/>
      <c r="AA811" s="51"/>
      <c r="AB811" s="51"/>
      <c r="AC811" s="51"/>
      <c r="AD811" s="51"/>
      <c r="AG811" t="s">
        <v>1790</v>
      </c>
      <c r="AH811" s="51"/>
      <c r="AI811" s="51"/>
    </row>
    <row r="812" spans="2:35">
      <c r="B812" t="s">
        <v>1791</v>
      </c>
      <c r="C812" t="s">
        <v>2810</v>
      </c>
      <c r="D812">
        <v>9</v>
      </c>
      <c r="E812" t="s">
        <v>2791</v>
      </c>
      <c r="F812">
        <v>5</v>
      </c>
      <c r="G812">
        <v>12</v>
      </c>
      <c r="H812">
        <v>18</v>
      </c>
      <c r="I812" t="s">
        <v>1792</v>
      </c>
      <c r="J812" s="51">
        <v>41083</v>
      </c>
      <c r="K812" t="s">
        <v>27</v>
      </c>
      <c r="L812" t="s">
        <v>1584</v>
      </c>
      <c r="M812">
        <v>3</v>
      </c>
      <c r="N812" t="str">
        <f>L812</f>
        <v>NAM\A8070</v>
      </c>
      <c r="O812" s="51">
        <f>J812</f>
        <v>41083</v>
      </c>
      <c r="P812" s="51" t="str">
        <f>C812</f>
        <v>~/cdd/olddocs/Control Plans/MICROMINI/POTTED/CP-POTT-003 Rev.A  50001101 -  5000110-Z.pdf</v>
      </c>
      <c r="Q812" s="51" t="str">
        <f>E812</f>
        <v>pdf</v>
      </c>
      <c r="R812" s="51"/>
      <c r="S812" s="51"/>
      <c r="T812" s="51"/>
      <c r="U812" s="51"/>
      <c r="V812" s="51"/>
      <c r="W812" s="51"/>
      <c r="X812" s="51"/>
      <c r="Y812" s="51"/>
      <c r="Z812" s="51"/>
      <c r="AA812" s="51"/>
      <c r="AB812" s="51"/>
      <c r="AC812" s="51"/>
      <c r="AD812" s="51"/>
      <c r="AG812" t="s">
        <v>1793</v>
      </c>
      <c r="AH812" s="51"/>
      <c r="AI812" s="51"/>
    </row>
    <row r="813" spans="2:35">
      <c r="B813" t="s">
        <v>1794</v>
      </c>
      <c r="C813" t="s">
        <v>2811</v>
      </c>
      <c r="D813">
        <v>9</v>
      </c>
      <c r="E813" t="s">
        <v>2791</v>
      </c>
      <c r="F813">
        <v>5</v>
      </c>
      <c r="G813">
        <v>12</v>
      </c>
      <c r="H813">
        <v>18</v>
      </c>
      <c r="I813" t="s">
        <v>1795</v>
      </c>
      <c r="J813" s="51">
        <v>41047</v>
      </c>
      <c r="K813" t="s">
        <v>27</v>
      </c>
      <c r="L813" t="s">
        <v>1584</v>
      </c>
      <c r="M813">
        <v>3</v>
      </c>
      <c r="N813" t="str">
        <f>L813</f>
        <v>NAM\A8070</v>
      </c>
      <c r="O813" s="51">
        <f>J813</f>
        <v>41047</v>
      </c>
      <c r="P813" s="51" t="str">
        <f>C813</f>
        <v>~/cdd/olddocs/Control Plans/MICROMINI/POTTED/CP-POTT-004 Rev.A  5000117- 4053R y 4054R.pdf</v>
      </c>
      <c r="Q813" s="51" t="str">
        <f>E813</f>
        <v>pdf</v>
      </c>
      <c r="R813" s="51"/>
      <c r="S813" s="51"/>
      <c r="T813" s="51"/>
      <c r="U813" s="51"/>
      <c r="V813" s="51"/>
      <c r="W813" s="51"/>
      <c r="X813" s="51"/>
      <c r="Y813" s="51"/>
      <c r="Z813" s="51"/>
      <c r="AA813" s="51"/>
      <c r="AB813" s="51"/>
      <c r="AC813" s="51"/>
      <c r="AD813" s="51"/>
      <c r="AG813" t="s">
        <v>1796</v>
      </c>
      <c r="AH813" s="51"/>
      <c r="AI813" s="51"/>
    </row>
    <row r="814" spans="2:35">
      <c r="B814" t="s">
        <v>1797</v>
      </c>
      <c r="C814" t="s">
        <v>2812</v>
      </c>
      <c r="D814">
        <v>9</v>
      </c>
      <c r="E814" t="s">
        <v>2791</v>
      </c>
      <c r="F814">
        <v>5</v>
      </c>
      <c r="G814">
        <v>12</v>
      </c>
      <c r="H814">
        <v>18</v>
      </c>
      <c r="I814" t="s">
        <v>1739</v>
      </c>
      <c r="J814" s="51">
        <v>40995</v>
      </c>
      <c r="K814" t="s">
        <v>27</v>
      </c>
      <c r="L814" t="s">
        <v>1584</v>
      </c>
      <c r="M814">
        <v>3</v>
      </c>
      <c r="N814" t="str">
        <f>L814</f>
        <v>NAM\A8070</v>
      </c>
      <c r="O814" s="51">
        <f>J814</f>
        <v>40995</v>
      </c>
      <c r="P814" s="51" t="str">
        <f>C814</f>
        <v>~/cdd/olddocs/Control Plans/MICROMINI/POTTED/CP-POTT-005 Rev.A  CH5041494B.pdf</v>
      </c>
      <c r="Q814" s="51" t="str">
        <f>E814</f>
        <v>pdf</v>
      </c>
      <c r="R814" s="51"/>
      <c r="S814" s="51"/>
      <c r="T814" s="51"/>
      <c r="U814" s="51"/>
      <c r="V814" s="51"/>
      <c r="W814" s="51"/>
      <c r="X814" s="51"/>
      <c r="Y814" s="51"/>
      <c r="Z814" s="51"/>
      <c r="AA814" s="51"/>
      <c r="AB814" s="51"/>
      <c r="AC814" s="51"/>
      <c r="AD814" s="51"/>
      <c r="AG814" t="s">
        <v>1798</v>
      </c>
      <c r="AH814" s="51"/>
      <c r="AI814" s="51"/>
    </row>
    <row r="815" spans="2:35">
      <c r="B815" t="s">
        <v>1799</v>
      </c>
      <c r="C815" t="s">
        <v>2813</v>
      </c>
      <c r="D815">
        <v>9</v>
      </c>
      <c r="E815" t="s">
        <v>2791</v>
      </c>
      <c r="F815">
        <v>5</v>
      </c>
      <c r="G815">
        <v>12</v>
      </c>
      <c r="H815">
        <v>18</v>
      </c>
      <c r="I815" t="s">
        <v>1739</v>
      </c>
      <c r="J815" s="51">
        <v>40995</v>
      </c>
      <c r="K815" t="s">
        <v>27</v>
      </c>
      <c r="L815" t="s">
        <v>1584</v>
      </c>
      <c r="M815">
        <v>3</v>
      </c>
      <c r="N815" t="str">
        <f>L815</f>
        <v>NAM\A8070</v>
      </c>
      <c r="O815" s="51">
        <f>J815</f>
        <v>40995</v>
      </c>
      <c r="P815" s="51" t="str">
        <f>C815</f>
        <v>~/cdd/olddocs/Control Plans/MICROMINI/POTTED/CP-POTT-006 Rev.A  CH5041493B.pdf</v>
      </c>
      <c r="Q815" s="51" t="str">
        <f>E815</f>
        <v>pdf</v>
      </c>
      <c r="R815" s="51"/>
      <c r="S815" s="51"/>
      <c r="T815" s="51"/>
      <c r="U815" s="51"/>
      <c r="V815" s="51"/>
      <c r="W815" s="51"/>
      <c r="X815" s="51"/>
      <c r="Y815" s="51"/>
      <c r="Z815" s="51"/>
      <c r="AA815" s="51"/>
      <c r="AB815" s="51"/>
      <c r="AC815" s="51"/>
      <c r="AD815" s="51"/>
      <c r="AG815" t="s">
        <v>1800</v>
      </c>
      <c r="AH815" s="51"/>
      <c r="AI815" s="51"/>
    </row>
    <row r="816" spans="2:35">
      <c r="B816" t="s">
        <v>1801</v>
      </c>
      <c r="C816" t="s">
        <v>2814</v>
      </c>
      <c r="D816">
        <v>9</v>
      </c>
      <c r="E816" t="s">
        <v>2791</v>
      </c>
      <c r="F816">
        <v>5</v>
      </c>
      <c r="G816">
        <v>12</v>
      </c>
      <c r="H816">
        <v>18</v>
      </c>
      <c r="I816" t="s">
        <v>1802</v>
      </c>
      <c r="J816" s="51">
        <v>40994</v>
      </c>
      <c r="K816" t="s">
        <v>27</v>
      </c>
      <c r="L816" t="s">
        <v>1584</v>
      </c>
      <c r="M816">
        <v>3</v>
      </c>
      <c r="N816" t="str">
        <f>L816</f>
        <v>NAM\A8070</v>
      </c>
      <c r="O816" s="51">
        <f>J816</f>
        <v>40994</v>
      </c>
      <c r="P816" s="51" t="str">
        <f>C816</f>
        <v>~/cdd/olddocs/Control Plans/MICROMINI/POTTED/CP-POTT-008 Rev.A  5000129.pdf</v>
      </c>
      <c r="Q816" s="51" t="str">
        <f>E816</f>
        <v>pdf</v>
      </c>
      <c r="R816" s="51"/>
      <c r="S816" s="51"/>
      <c r="T816" s="51"/>
      <c r="U816" s="51"/>
      <c r="V816" s="51"/>
      <c r="W816" s="51"/>
      <c r="X816" s="51"/>
      <c r="Y816" s="51"/>
      <c r="Z816" s="51"/>
      <c r="AA816" s="51"/>
      <c r="AB816" s="51"/>
      <c r="AC816" s="51"/>
      <c r="AD816" s="51"/>
      <c r="AG816">
        <v>5000129</v>
      </c>
      <c r="AH816" s="51"/>
      <c r="AI816" s="51"/>
    </row>
    <row r="817" spans="2:35">
      <c r="B817" t="s">
        <v>1803</v>
      </c>
      <c r="C817" t="s">
        <v>2815</v>
      </c>
      <c r="D817">
        <v>9</v>
      </c>
      <c r="E817" t="s">
        <v>2791</v>
      </c>
      <c r="F817">
        <v>5</v>
      </c>
      <c r="G817">
        <v>12</v>
      </c>
      <c r="H817">
        <v>18</v>
      </c>
      <c r="I817" t="s">
        <v>1804</v>
      </c>
      <c r="J817" s="51">
        <v>41118</v>
      </c>
      <c r="K817" t="s">
        <v>27</v>
      </c>
      <c r="L817" t="s">
        <v>1584</v>
      </c>
      <c r="M817">
        <v>3</v>
      </c>
      <c r="N817" t="str">
        <f>L817</f>
        <v>NAM\A8070</v>
      </c>
      <c r="O817" s="51">
        <f>J817</f>
        <v>41118</v>
      </c>
      <c r="P817" s="51" t="str">
        <f>C817</f>
        <v>~/cdd/olddocs/Control Plans/MICROMINI/POTTED/CP-POTT-009 Rev. A 5000117-EN.pdf</v>
      </c>
      <c r="Q817" s="51" t="str">
        <f>E817</f>
        <v>pdf</v>
      </c>
      <c r="R817" s="51"/>
      <c r="S817" s="51"/>
      <c r="T817" s="51"/>
      <c r="U817" s="51"/>
      <c r="V817" s="51"/>
      <c r="W817" s="51"/>
      <c r="X817" s="51"/>
      <c r="Y817" s="51"/>
      <c r="Z817" s="51"/>
      <c r="AA817" s="51"/>
      <c r="AB817" s="51"/>
      <c r="AC817" s="51"/>
      <c r="AD817" s="51"/>
      <c r="AG817" t="s">
        <v>1805</v>
      </c>
      <c r="AH817" s="51"/>
      <c r="AI817" s="51"/>
    </row>
    <row r="818" spans="2:35">
      <c r="B818" t="s">
        <v>1813</v>
      </c>
      <c r="C818" t="s">
        <v>2817</v>
      </c>
      <c r="D818">
        <v>9</v>
      </c>
      <c r="E818" t="s">
        <v>2791</v>
      </c>
      <c r="F818">
        <v>5</v>
      </c>
      <c r="G818">
        <v>6</v>
      </c>
      <c r="H818">
        <v>14</v>
      </c>
      <c r="I818" t="s">
        <v>1814</v>
      </c>
      <c r="J818" s="51">
        <v>41075</v>
      </c>
      <c r="K818" t="s">
        <v>27</v>
      </c>
      <c r="L818" t="s">
        <v>1584</v>
      </c>
      <c r="M818">
        <v>3</v>
      </c>
      <c r="N818" t="str">
        <f>L818</f>
        <v>NAM\A8070</v>
      </c>
      <c r="O818" s="51">
        <f>J818</f>
        <v>41075</v>
      </c>
      <c r="P818" s="51" t="str">
        <f>C818</f>
        <v>~/cdd/olddocs/Control Plans/SOLAR/CP-SOL-001 Rev.A Plan First Solar.pdf</v>
      </c>
      <c r="Q818" s="51" t="str">
        <f>E818</f>
        <v>pdf</v>
      </c>
      <c r="R818" s="51"/>
      <c r="S818" s="51"/>
      <c r="T818" s="51"/>
      <c r="U818" s="51"/>
      <c r="V818" s="51"/>
      <c r="W818" s="51"/>
      <c r="X818" s="51"/>
      <c r="Y818" s="51"/>
      <c r="Z818" s="51"/>
      <c r="AA818" s="51"/>
      <c r="AB818" s="51"/>
      <c r="AC818" s="51"/>
      <c r="AD818" s="51"/>
      <c r="AG818" t="s">
        <v>28</v>
      </c>
      <c r="AH818" s="51"/>
      <c r="AI818" s="51"/>
    </row>
    <row r="819" spans="2:35">
      <c r="B819" t="s">
        <v>1815</v>
      </c>
      <c r="C819" t="s">
        <v>2818</v>
      </c>
      <c r="D819">
        <v>9</v>
      </c>
      <c r="E819" t="s">
        <v>2791</v>
      </c>
      <c r="F819">
        <v>5</v>
      </c>
      <c r="G819">
        <v>6</v>
      </c>
      <c r="H819">
        <v>14</v>
      </c>
      <c r="I819" t="s">
        <v>1816</v>
      </c>
      <c r="J819" s="51">
        <v>40721</v>
      </c>
      <c r="K819" t="s">
        <v>27</v>
      </c>
      <c r="L819" t="s">
        <v>1584</v>
      </c>
      <c r="M819">
        <v>3</v>
      </c>
      <c r="N819" t="str">
        <f>L819</f>
        <v>NAM\A8070</v>
      </c>
      <c r="O819" s="51">
        <f>J819</f>
        <v>40721</v>
      </c>
      <c r="P819" s="51" t="str">
        <f>C819</f>
        <v>~/cdd/olddocs/Control Plans/SOLAR/CP-SOL-002 Rev.A  ZACHRY.pdf</v>
      </c>
      <c r="Q819" s="51" t="str">
        <f>E819</f>
        <v>pdf</v>
      </c>
      <c r="R819" s="51"/>
      <c r="S819" s="51"/>
      <c r="T819" s="51"/>
      <c r="U819" s="51"/>
      <c r="V819" s="51"/>
      <c r="W819" s="51"/>
      <c r="X819" s="51"/>
      <c r="Y819" s="51"/>
      <c r="Z819" s="51"/>
      <c r="AA819" s="51"/>
      <c r="AB819" s="51"/>
      <c r="AC819" s="51"/>
      <c r="AD819" s="51"/>
      <c r="AG819" t="s">
        <v>1817</v>
      </c>
      <c r="AH819" s="51"/>
      <c r="AI819" s="51"/>
    </row>
    <row r="820" spans="2:35">
      <c r="B820" t="s">
        <v>1818</v>
      </c>
      <c r="C820" t="s">
        <v>2819</v>
      </c>
      <c r="D820">
        <v>9</v>
      </c>
      <c r="E820" t="s">
        <v>2791</v>
      </c>
      <c r="F820">
        <v>5</v>
      </c>
      <c r="G820">
        <v>6</v>
      </c>
      <c r="H820">
        <v>14</v>
      </c>
      <c r="I820" t="s">
        <v>1819</v>
      </c>
      <c r="J820" s="51">
        <v>40728</v>
      </c>
      <c r="K820" t="s">
        <v>27</v>
      </c>
      <c r="L820" t="s">
        <v>1584</v>
      </c>
      <c r="M820">
        <v>3</v>
      </c>
      <c r="N820" t="str">
        <f>L820</f>
        <v>NAM\A8070</v>
      </c>
      <c r="O820" s="51">
        <f>J820</f>
        <v>40728</v>
      </c>
      <c r="P820" s="51" t="str">
        <f>C820</f>
        <v>~/cdd/olddocs/Control Plans/SOLAR/CP-SOL-003 Rev.A  SCHUCO.pdf</v>
      </c>
      <c r="Q820" s="51" t="str">
        <f>E820</f>
        <v>pdf</v>
      </c>
      <c r="R820" s="51"/>
      <c r="S820" s="51"/>
      <c r="T820" s="51"/>
      <c r="U820" s="51"/>
      <c r="V820" s="51"/>
      <c r="W820" s="51"/>
      <c r="X820" s="51"/>
      <c r="Y820" s="51"/>
      <c r="Z820" s="51"/>
      <c r="AA820" s="51"/>
      <c r="AB820" s="51"/>
      <c r="AC820" s="51"/>
      <c r="AD820" s="51"/>
      <c r="AG820" t="s">
        <v>1820</v>
      </c>
      <c r="AH820" s="51"/>
      <c r="AI820" s="51"/>
    </row>
    <row r="821" spans="2:35">
      <c r="B821" t="s">
        <v>1821</v>
      </c>
      <c r="C821" t="s">
        <v>2820</v>
      </c>
      <c r="D821">
        <v>9</v>
      </c>
      <c r="E821" t="s">
        <v>2791</v>
      </c>
      <c r="F821">
        <v>5</v>
      </c>
      <c r="G821">
        <v>6</v>
      </c>
      <c r="H821">
        <v>14</v>
      </c>
      <c r="I821" t="s">
        <v>1816</v>
      </c>
      <c r="J821" s="51">
        <v>40728</v>
      </c>
      <c r="K821" t="s">
        <v>27</v>
      </c>
      <c r="L821" t="s">
        <v>1584</v>
      </c>
      <c r="M821">
        <v>3</v>
      </c>
      <c r="N821" t="str">
        <f>L821</f>
        <v>NAM\A8070</v>
      </c>
      <c r="O821" s="51">
        <f>J821</f>
        <v>40728</v>
      </c>
      <c r="P821" s="51" t="str">
        <f>C821</f>
        <v>~/cdd/olddocs/Control Plans/SOLAR/CP-SOL-004 Rev.A FALL RIVER.pdf</v>
      </c>
      <c r="Q821" s="51" t="str">
        <f>E821</f>
        <v>pdf</v>
      </c>
      <c r="R821" s="51"/>
      <c r="S821" s="51"/>
      <c r="T821" s="51"/>
      <c r="U821" s="51"/>
      <c r="V821" s="51"/>
      <c r="W821" s="51"/>
      <c r="X821" s="51"/>
      <c r="Y821" s="51"/>
      <c r="Z821" s="51"/>
      <c r="AA821" s="51"/>
      <c r="AB821" s="51"/>
      <c r="AC821" s="51"/>
      <c r="AD821" s="51"/>
      <c r="AG821" t="s">
        <v>1822</v>
      </c>
      <c r="AH821" s="51"/>
      <c r="AI821" s="51"/>
    </row>
    <row r="822" spans="2:35">
      <c r="B822" t="s">
        <v>1823</v>
      </c>
      <c r="C822" t="s">
        <v>2821</v>
      </c>
      <c r="D822">
        <v>9</v>
      </c>
      <c r="E822" t="s">
        <v>2791</v>
      </c>
      <c r="F822">
        <v>5</v>
      </c>
      <c r="G822">
        <v>6</v>
      </c>
      <c r="H822">
        <v>14</v>
      </c>
      <c r="I822" t="s">
        <v>1824</v>
      </c>
      <c r="J822" s="51">
        <v>40728</v>
      </c>
      <c r="K822" t="s">
        <v>27</v>
      </c>
      <c r="L822" t="s">
        <v>1584</v>
      </c>
      <c r="M822">
        <v>3</v>
      </c>
      <c r="N822" t="str">
        <f>L822</f>
        <v>NAM\A8070</v>
      </c>
      <c r="O822" s="51">
        <f>J822</f>
        <v>40728</v>
      </c>
      <c r="P822" s="51" t="str">
        <f>C822</f>
        <v>~/cdd/olddocs/Control Plans/SOLAR/CP-SOL-005 Rev.A CRAMBURY.pdf</v>
      </c>
      <c r="Q822" s="51" t="str">
        <f>E822</f>
        <v>pdf</v>
      </c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G822" t="s">
        <v>1825</v>
      </c>
      <c r="AH822" s="51"/>
      <c r="AI822" s="51"/>
    </row>
    <row r="823" spans="2:35">
      <c r="B823" t="s">
        <v>1826</v>
      </c>
      <c r="C823" t="s">
        <v>2822</v>
      </c>
      <c r="D823">
        <v>9</v>
      </c>
      <c r="E823" t="s">
        <v>2791</v>
      </c>
      <c r="F823">
        <v>5</v>
      </c>
      <c r="G823">
        <v>6</v>
      </c>
      <c r="H823">
        <v>14</v>
      </c>
      <c r="I823" t="s">
        <v>1827</v>
      </c>
      <c r="J823" s="51">
        <v>41102</v>
      </c>
      <c r="K823" t="s">
        <v>27</v>
      </c>
      <c r="L823" t="s">
        <v>1584</v>
      </c>
      <c r="M823">
        <v>3</v>
      </c>
      <c r="N823" t="str">
        <f>L823</f>
        <v>NAM\A8070</v>
      </c>
      <c r="O823" s="51">
        <f>J823</f>
        <v>41102</v>
      </c>
      <c r="P823" s="51" t="str">
        <f>C823</f>
        <v>~/cdd/olddocs/Control Plans/SOLAR/CP-SOL-006 Rev.A   IC-B29-RL-BLK1 Secuencia 2-3-4-5-6-7.pdf</v>
      </c>
      <c r="Q823" s="51" t="str">
        <f>E823</f>
        <v>pdf</v>
      </c>
      <c r="R823" s="51"/>
      <c r="S823" s="51"/>
      <c r="T823" s="51"/>
      <c r="U823" s="51"/>
      <c r="V823" s="51"/>
      <c r="W823" s="51"/>
      <c r="X823" s="51"/>
      <c r="Y823" s="51"/>
      <c r="Z823" s="51"/>
      <c r="AA823" s="51"/>
      <c r="AB823" s="51"/>
      <c r="AC823" s="51"/>
      <c r="AD823" s="51"/>
      <c r="AG823" t="s">
        <v>1828</v>
      </c>
      <c r="AH823" s="51"/>
      <c r="AI823" s="51"/>
    </row>
    <row r="824" spans="2:35">
      <c r="B824" t="s">
        <v>1452</v>
      </c>
      <c r="C824" t="s">
        <v>2823</v>
      </c>
      <c r="D824">
        <v>9</v>
      </c>
      <c r="E824" t="s">
        <v>2791</v>
      </c>
      <c r="F824">
        <v>5</v>
      </c>
      <c r="G824">
        <v>6</v>
      </c>
      <c r="H824">
        <v>14</v>
      </c>
      <c r="I824" t="s">
        <v>1453</v>
      </c>
      <c r="J824" s="51">
        <v>41178</v>
      </c>
      <c r="K824" t="s">
        <v>27</v>
      </c>
      <c r="L824" t="s">
        <v>1253</v>
      </c>
      <c r="M824">
        <v>3</v>
      </c>
      <c r="N824" t="str">
        <f>L824</f>
        <v>NAM\MB3505</v>
      </c>
      <c r="O824" s="51">
        <f>J824</f>
        <v>41178</v>
      </c>
      <c r="P824" s="51" t="str">
        <f>C824</f>
        <v>~/cdd/olddocs/Control Plans/SOLAR/CP-SOL-007 Rev A Control Plan IC-B72    SOLAR.pdf</v>
      </c>
      <c r="Q824" s="51" t="str">
        <f>E824</f>
        <v>pdf</v>
      </c>
      <c r="R824" s="51"/>
      <c r="S824" s="51"/>
      <c r="T824" s="51"/>
      <c r="U824" s="51"/>
      <c r="V824" s="51"/>
      <c r="W824" s="51"/>
      <c r="X824" s="51"/>
      <c r="Y824" s="51"/>
      <c r="Z824" s="51"/>
      <c r="AA824" s="51"/>
      <c r="AB824" s="51"/>
      <c r="AC824" s="51"/>
      <c r="AD824" s="51"/>
      <c r="AG824" t="s">
        <v>28</v>
      </c>
      <c r="AH824" s="51"/>
      <c r="AI824" s="51"/>
    </row>
    <row r="825" spans="2:35">
      <c r="B825" t="s">
        <v>595</v>
      </c>
      <c r="C825" t="s">
        <v>2828</v>
      </c>
      <c r="D825">
        <v>12</v>
      </c>
      <c r="E825" t="s">
        <v>2790</v>
      </c>
      <c r="F825">
        <v>5</v>
      </c>
      <c r="G825">
        <v>12</v>
      </c>
      <c r="H825">
        <v>3</v>
      </c>
      <c r="I825" t="s">
        <v>595</v>
      </c>
      <c r="J825" s="51">
        <v>41037</v>
      </c>
      <c r="K825" t="s">
        <v>741</v>
      </c>
      <c r="L825" t="s">
        <v>605</v>
      </c>
      <c r="M825">
        <v>3</v>
      </c>
      <c r="N825" t="str">
        <f>L825</f>
        <v>NA/MB1049</v>
      </c>
      <c r="O825" s="51">
        <f>J825</f>
        <v>41037</v>
      </c>
      <c r="P825" s="51" t="str">
        <f>C825</f>
        <v>~/cdd/olddocs/Especificaciones genericas/Micromini/A Y B/CNWI-ENGI-F019 Rev  G Especificaciones dedespoje de chaqueta Celda A y B Rev  C.xlsx</v>
      </c>
      <c r="Q825" s="51" t="str">
        <f>E825</f>
        <v>xlsx</v>
      </c>
      <c r="R825" s="51"/>
      <c r="S825" s="51"/>
      <c r="T825" s="51"/>
      <c r="U825" s="51"/>
      <c r="V825" s="51"/>
      <c r="W825" s="51"/>
      <c r="X825" s="51"/>
      <c r="Y825" s="51"/>
      <c r="Z825" s="51"/>
      <c r="AA825" s="51"/>
      <c r="AB825" s="51"/>
      <c r="AC825" s="51"/>
      <c r="AD825" s="51"/>
      <c r="AE825" t="s">
        <v>30</v>
      </c>
      <c r="AF825" t="s">
        <v>31</v>
      </c>
      <c r="AG825" t="s">
        <v>28</v>
      </c>
      <c r="AH825" s="51"/>
      <c r="AI825" s="51"/>
    </row>
    <row r="826" spans="2:35">
      <c r="B826" t="s">
        <v>595</v>
      </c>
      <c r="C826" t="s">
        <v>2832</v>
      </c>
      <c r="D826">
        <v>12</v>
      </c>
      <c r="E826" t="s">
        <v>2790</v>
      </c>
      <c r="F826">
        <v>5</v>
      </c>
      <c r="G826">
        <v>12</v>
      </c>
      <c r="H826">
        <v>4</v>
      </c>
      <c r="I826" t="s">
        <v>595</v>
      </c>
      <c r="J826" s="51">
        <v>40654</v>
      </c>
      <c r="K826" t="s">
        <v>27</v>
      </c>
      <c r="M826">
        <v>3</v>
      </c>
      <c r="N826">
        <f>L826</f>
        <v>0</v>
      </c>
      <c r="O826" s="51">
        <f>J826</f>
        <v>40654</v>
      </c>
      <c r="P826" s="51" t="str">
        <f>C826</f>
        <v>~/cdd/olddocs/Especificaciones genericas/Micromini/CHANGE OUT/CNWI-ENGI-F019 Rev. A Especificaciones dedespoje de chaqueta Change Out Rev. A.xlsx</v>
      </c>
      <c r="Q826" s="51" t="str">
        <f>E826</f>
        <v>xlsx</v>
      </c>
      <c r="R826" s="51"/>
      <c r="S826" s="51"/>
      <c r="T826" s="51"/>
      <c r="U826" s="51"/>
      <c r="V826" s="51"/>
      <c r="W826" s="51"/>
      <c r="X826" s="51"/>
      <c r="Y826" s="51"/>
      <c r="Z826" s="51"/>
      <c r="AA826" s="51"/>
      <c r="AB826" s="51"/>
      <c r="AC826" s="51"/>
      <c r="AD826" s="51"/>
      <c r="AE826" t="s">
        <v>30</v>
      </c>
      <c r="AF826" t="s">
        <v>31</v>
      </c>
      <c r="AG826" t="s">
        <v>28</v>
      </c>
      <c r="AH826" s="51"/>
      <c r="AI826" s="51"/>
    </row>
    <row r="827" spans="2:35">
      <c r="B827" t="s">
        <v>595</v>
      </c>
      <c r="C827" t="s">
        <v>2839</v>
      </c>
      <c r="D827">
        <v>12</v>
      </c>
      <c r="E827" t="s">
        <v>2790</v>
      </c>
      <c r="F827">
        <v>5</v>
      </c>
      <c r="G827">
        <v>12</v>
      </c>
      <c r="H827">
        <v>16</v>
      </c>
      <c r="I827" t="s">
        <v>595</v>
      </c>
      <c r="J827" s="51">
        <v>41022</v>
      </c>
      <c r="K827" t="s">
        <v>782</v>
      </c>
      <c r="L827" t="s">
        <v>605</v>
      </c>
      <c r="M827">
        <v>3</v>
      </c>
      <c r="N827" t="str">
        <f>L827</f>
        <v>NA/MB1049</v>
      </c>
      <c r="O827" s="51">
        <f>J827</f>
        <v>41022</v>
      </c>
      <c r="P827" s="51" t="str">
        <f>C827</f>
        <v>~/cdd/olddocs/Especificaciones genericas/Micromini/MS/CNWI-ENGI-F019 Rev. H Especificaciones dedespoje de chaqueta MS.xlsx</v>
      </c>
      <c r="Q827" s="51" t="str">
        <f>E827</f>
        <v>xlsx</v>
      </c>
      <c r="R827" s="51"/>
      <c r="S827" s="51"/>
      <c r="T827" s="51"/>
      <c r="U827" s="51"/>
      <c r="V827" s="51"/>
      <c r="W827" s="51"/>
      <c r="X827" s="51"/>
      <c r="Y827" s="51"/>
      <c r="Z827" s="51"/>
      <c r="AA827" s="51"/>
      <c r="AB827" s="51"/>
      <c r="AC827" s="51"/>
      <c r="AD827" s="51"/>
      <c r="AE827" t="s">
        <v>30</v>
      </c>
      <c r="AF827" t="s">
        <v>601</v>
      </c>
      <c r="AG827" t="s">
        <v>28</v>
      </c>
      <c r="AH827" s="51"/>
      <c r="AI827" s="51"/>
    </row>
    <row r="828" spans="2:35">
      <c r="B828" t="s">
        <v>595</v>
      </c>
      <c r="C828" t="s">
        <v>2843</v>
      </c>
      <c r="D828">
        <v>12</v>
      </c>
      <c r="E828" t="s">
        <v>2790</v>
      </c>
      <c r="F828">
        <v>5</v>
      </c>
      <c r="G828">
        <v>12</v>
      </c>
      <c r="H828">
        <v>19</v>
      </c>
      <c r="I828" t="s">
        <v>595</v>
      </c>
      <c r="J828" s="51">
        <v>41020</v>
      </c>
      <c r="K828" t="s">
        <v>27</v>
      </c>
      <c r="M828">
        <v>3</v>
      </c>
      <c r="N828">
        <f>L828</f>
        <v>0</v>
      </c>
      <c r="O828" s="51">
        <f>J828</f>
        <v>41020</v>
      </c>
      <c r="P828" s="51" t="str">
        <f>C828</f>
        <v>~/cdd/olddocs/Especificaciones genericas/Micromini/PLEX/CNWI-ENGI-F019 Rev. A Especificaciones dedespoje de chaqueta Plex.xlsx</v>
      </c>
      <c r="Q828" s="51" t="str">
        <f>E828</f>
        <v>xlsx</v>
      </c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t="s">
        <v>30</v>
      </c>
      <c r="AF828" t="s">
        <v>601</v>
      </c>
      <c r="AG828" t="s">
        <v>28</v>
      </c>
      <c r="AH828" s="51"/>
      <c r="AI828" s="51"/>
    </row>
    <row r="829" spans="2:35">
      <c r="B829" t="s">
        <v>595</v>
      </c>
      <c r="C829" t="s">
        <v>2850</v>
      </c>
      <c r="D829">
        <v>12</v>
      </c>
      <c r="E829" t="s">
        <v>2790</v>
      </c>
      <c r="F829">
        <v>5</v>
      </c>
      <c r="G829">
        <v>12</v>
      </c>
      <c r="H829">
        <v>18</v>
      </c>
      <c r="I829" t="s">
        <v>595</v>
      </c>
      <c r="J829" s="51">
        <v>40654</v>
      </c>
      <c r="K829" t="s">
        <v>27</v>
      </c>
      <c r="M829">
        <v>3</v>
      </c>
      <c r="N829">
        <f>L829</f>
        <v>0</v>
      </c>
      <c r="O829" s="51">
        <f>J829</f>
        <v>40654</v>
      </c>
      <c r="P829" s="51" t="str">
        <f>C829</f>
        <v>~/cdd/olddocs/Especificaciones genericas/Micromini/POTTED/CNWI-ENGI-F019 Rev. A Especificaciones dedespoje de chaqueta Potted.xlsx</v>
      </c>
      <c r="Q829" s="51" t="str">
        <f>E829</f>
        <v>xlsx</v>
      </c>
      <c r="R829" s="51"/>
      <c r="S829" s="51"/>
      <c r="T829" s="51"/>
      <c r="U829" s="51"/>
      <c r="V829" s="51"/>
      <c r="W829" s="51"/>
      <c r="X829" s="51"/>
      <c r="Y829" s="51"/>
      <c r="Z829" s="51"/>
      <c r="AA829" s="51"/>
      <c r="AB829" s="51"/>
      <c r="AC829" s="51"/>
      <c r="AD829" s="51"/>
      <c r="AE829" t="s">
        <v>30</v>
      </c>
      <c r="AF829" t="s">
        <v>601</v>
      </c>
      <c r="AG829" t="s">
        <v>28</v>
      </c>
      <c r="AH829" s="51"/>
      <c r="AI829" s="51"/>
    </row>
    <row r="830" spans="2:35">
      <c r="B830" t="s">
        <v>597</v>
      </c>
      <c r="C830" t="s">
        <v>2826</v>
      </c>
      <c r="D830">
        <v>12</v>
      </c>
      <c r="E830" t="s">
        <v>2790</v>
      </c>
      <c r="F830">
        <v>5</v>
      </c>
      <c r="G830">
        <v>12</v>
      </c>
      <c r="H830">
        <v>3</v>
      </c>
      <c r="I830" t="s">
        <v>597</v>
      </c>
      <c r="J830" s="51">
        <v>41037</v>
      </c>
      <c r="K830" t="s">
        <v>742</v>
      </c>
      <c r="L830" t="s">
        <v>605</v>
      </c>
      <c r="M830">
        <v>3</v>
      </c>
      <c r="N830" t="str">
        <f>L830</f>
        <v>NA/MB1049</v>
      </c>
      <c r="O830" s="51">
        <f>J830</f>
        <v>41037</v>
      </c>
      <c r="P830" s="51" t="str">
        <f>C830</f>
        <v>~/cdd/olddocs/Especificaciones genericas/Micromini/A Y B/CNWI-ENGI-F019 Rev  F Especificaciones dedespoje de conductores celda A y B Rev  B.xlsx</v>
      </c>
      <c r="Q830" s="51" t="str">
        <f>E830</f>
        <v>xlsx</v>
      </c>
      <c r="R830" s="51"/>
      <c r="S830" s="51"/>
      <c r="T830" s="51"/>
      <c r="U830" s="51"/>
      <c r="V830" s="51"/>
      <c r="W830" s="51"/>
      <c r="X830" s="51"/>
      <c r="Y830" s="51"/>
      <c r="Z830" s="51"/>
      <c r="AA830" s="51"/>
      <c r="AB830" s="51"/>
      <c r="AC830" s="51"/>
      <c r="AD830" s="51"/>
      <c r="AE830" t="s">
        <v>30</v>
      </c>
      <c r="AF830" t="s">
        <v>31</v>
      </c>
      <c r="AG830" t="s">
        <v>28</v>
      </c>
      <c r="AH830" s="51"/>
      <c r="AI830" s="51"/>
    </row>
    <row r="831" spans="2:35">
      <c r="B831" t="s">
        <v>597</v>
      </c>
      <c r="C831" t="s">
        <v>2833</v>
      </c>
      <c r="D831">
        <v>12</v>
      </c>
      <c r="E831" t="s">
        <v>2790</v>
      </c>
      <c r="F831">
        <v>5</v>
      </c>
      <c r="G831">
        <v>12</v>
      </c>
      <c r="H831">
        <v>4</v>
      </c>
      <c r="I831" t="s">
        <v>597</v>
      </c>
      <c r="J831" s="51">
        <v>41021</v>
      </c>
      <c r="K831" t="s">
        <v>27</v>
      </c>
      <c r="M831">
        <v>3</v>
      </c>
      <c r="N831">
        <f>L831</f>
        <v>0</v>
      </c>
      <c r="O831" s="51">
        <f>J831</f>
        <v>41021</v>
      </c>
      <c r="P831" s="51" t="str">
        <f>C831</f>
        <v>~/cdd/olddocs/Especificaciones genericas/Micromini/CHANGE OUT/CNWI-ENGI-F019 Rev. A Especificaciones dedespoje de conductores change out Rev. A.xlsx</v>
      </c>
      <c r="Q831" s="51" t="str">
        <f>E831</f>
        <v>xlsx</v>
      </c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t="s">
        <v>30</v>
      </c>
      <c r="AF831" t="s">
        <v>31</v>
      </c>
      <c r="AG831" t="s">
        <v>28</v>
      </c>
      <c r="AH831" s="51"/>
      <c r="AI831" s="51"/>
    </row>
    <row r="832" spans="2:35">
      <c r="B832" t="s">
        <v>597</v>
      </c>
      <c r="C832" t="s">
        <v>2840</v>
      </c>
      <c r="D832">
        <v>12</v>
      </c>
      <c r="E832" t="s">
        <v>2790</v>
      </c>
      <c r="F832">
        <v>5</v>
      </c>
      <c r="G832">
        <v>12</v>
      </c>
      <c r="H832">
        <v>16</v>
      </c>
      <c r="I832" t="s">
        <v>597</v>
      </c>
      <c r="J832" s="51">
        <v>41022</v>
      </c>
      <c r="K832" t="s">
        <v>782</v>
      </c>
      <c r="L832" t="s">
        <v>605</v>
      </c>
      <c r="M832">
        <v>3</v>
      </c>
      <c r="N832" t="str">
        <f>L832</f>
        <v>NA/MB1049</v>
      </c>
      <c r="O832" s="51">
        <f>J832</f>
        <v>41022</v>
      </c>
      <c r="P832" s="51" t="str">
        <f>C832</f>
        <v>~/cdd/olddocs/Especificaciones genericas/Micromini/MS/CNWI-ENGI-F019 Rev. H Especificaciones dedespoje de conductores MS.xlsx</v>
      </c>
      <c r="Q832" s="51" t="str">
        <f>E832</f>
        <v>xlsx</v>
      </c>
      <c r="R832" s="51"/>
      <c r="S832" s="51"/>
      <c r="T832" s="51"/>
      <c r="U832" s="51"/>
      <c r="V832" s="51"/>
      <c r="W832" s="51"/>
      <c r="X832" s="51"/>
      <c r="Y832" s="51"/>
      <c r="Z832" s="51"/>
      <c r="AA832" s="51"/>
      <c r="AB832" s="51"/>
      <c r="AC832" s="51"/>
      <c r="AD832" s="51"/>
      <c r="AE832" t="s">
        <v>30</v>
      </c>
      <c r="AF832" t="s">
        <v>601</v>
      </c>
      <c r="AG832" t="s">
        <v>28</v>
      </c>
      <c r="AH832" s="51"/>
      <c r="AI832" s="51"/>
    </row>
    <row r="833" spans="2:35">
      <c r="B833" t="s">
        <v>597</v>
      </c>
      <c r="C833" t="s">
        <v>2845</v>
      </c>
      <c r="D833">
        <v>12</v>
      </c>
      <c r="E833" t="s">
        <v>2790</v>
      </c>
      <c r="F833">
        <v>5</v>
      </c>
      <c r="G833">
        <v>12</v>
      </c>
      <c r="H833">
        <v>19</v>
      </c>
      <c r="I833" t="s">
        <v>597</v>
      </c>
      <c r="J833" s="51">
        <v>41037</v>
      </c>
      <c r="K833" t="s">
        <v>159</v>
      </c>
      <c r="L833" t="s">
        <v>605</v>
      </c>
      <c r="M833">
        <v>3</v>
      </c>
      <c r="N833" t="str">
        <f>L833</f>
        <v>NA/MB1049</v>
      </c>
      <c r="O833" s="51">
        <f>J833</f>
        <v>41037</v>
      </c>
      <c r="P833" s="51" t="str">
        <f>C833</f>
        <v>~/cdd/olddocs/Especificaciones genericas/Micromini/PLEX/CNWI-ENGI-F019 Rev. C Especificaciones dedespoje de conductores plex.xlsx</v>
      </c>
      <c r="Q833" s="51" t="str">
        <f>E833</f>
        <v>xlsx</v>
      </c>
      <c r="R833" s="51"/>
      <c r="S833" s="51"/>
      <c r="T833" s="51"/>
      <c r="U833" s="51"/>
      <c r="V833" s="51"/>
      <c r="W833" s="51"/>
      <c r="X833" s="51"/>
      <c r="Y833" s="51"/>
      <c r="Z833" s="51"/>
      <c r="AA833" s="51"/>
      <c r="AB833" s="51"/>
      <c r="AC833" s="51"/>
      <c r="AD833" s="51"/>
      <c r="AE833" t="s">
        <v>30</v>
      </c>
      <c r="AF833" t="s">
        <v>601</v>
      </c>
      <c r="AG833" t="s">
        <v>28</v>
      </c>
      <c r="AH833" s="51"/>
      <c r="AI833" s="51"/>
    </row>
    <row r="834" spans="2:35">
      <c r="B834" t="s">
        <v>597</v>
      </c>
      <c r="C834" t="s">
        <v>2846</v>
      </c>
      <c r="D834">
        <v>12</v>
      </c>
      <c r="E834" t="s">
        <v>2790</v>
      </c>
      <c r="F834">
        <v>5</v>
      </c>
      <c r="G834">
        <v>12</v>
      </c>
      <c r="H834">
        <v>18</v>
      </c>
      <c r="I834" t="s">
        <v>597</v>
      </c>
      <c r="J834" s="51">
        <v>40893</v>
      </c>
      <c r="K834" t="s">
        <v>742</v>
      </c>
      <c r="L834" t="s">
        <v>605</v>
      </c>
      <c r="M834">
        <v>3</v>
      </c>
      <c r="N834" t="str">
        <f>L834</f>
        <v>NA/MB1049</v>
      </c>
      <c r="O834" s="51">
        <f>J834</f>
        <v>40893</v>
      </c>
      <c r="P834" s="51" t="str">
        <f>C834</f>
        <v>~/cdd/olddocs/Especificaciones genericas/Micromini/POTTED/CNWI-ENGI-F019  Rev F Especificaciones dedespoje de conductores potted.xlsx</v>
      </c>
      <c r="Q834" s="51" t="str">
        <f>E834</f>
        <v>xlsx</v>
      </c>
      <c r="R834" s="51"/>
      <c r="S834" s="51"/>
      <c r="T834" s="51"/>
      <c r="U834" s="51"/>
      <c r="V834" s="51"/>
      <c r="W834" s="51"/>
      <c r="X834" s="51"/>
      <c r="Y834" s="51"/>
      <c r="Z834" s="51"/>
      <c r="AA834" s="51"/>
      <c r="AB834" s="51"/>
      <c r="AC834" s="51"/>
      <c r="AD834" s="51"/>
      <c r="AE834" t="s">
        <v>30</v>
      </c>
      <c r="AF834" t="s">
        <v>601</v>
      </c>
      <c r="AG834" t="s">
        <v>28</v>
      </c>
      <c r="AH834" s="51"/>
      <c r="AI834" s="51"/>
    </row>
    <row r="835" spans="2:35">
      <c r="B835" t="s">
        <v>598</v>
      </c>
      <c r="C835" t="s">
        <v>2825</v>
      </c>
      <c r="D835">
        <v>12</v>
      </c>
      <c r="E835" t="s">
        <v>2792</v>
      </c>
      <c r="F835">
        <v>5</v>
      </c>
      <c r="G835">
        <v>12</v>
      </c>
      <c r="H835">
        <v>3</v>
      </c>
      <c r="I835" t="s">
        <v>598</v>
      </c>
      <c r="J835" s="51">
        <v>41037</v>
      </c>
      <c r="K835" t="s">
        <v>742</v>
      </c>
      <c r="L835" t="s">
        <v>605</v>
      </c>
      <c r="M835">
        <v>3</v>
      </c>
      <c r="N835" t="str">
        <f>L835</f>
        <v>NA/MB1049</v>
      </c>
      <c r="O835" s="51">
        <f>J835</f>
        <v>41037</v>
      </c>
      <c r="P835" s="51" t="str">
        <f>C835</f>
        <v>~/cdd/olddocs/Especificaciones genericas/Micromini/A Y B/CNWI-ENGI-F019 Rev  F Especificaciones de empaque Celda A Y B Rev  B.xls</v>
      </c>
      <c r="Q835" s="51" t="str">
        <f>E835</f>
        <v>xls</v>
      </c>
      <c r="R835" s="51"/>
      <c r="S835" s="51"/>
      <c r="T835" s="51"/>
      <c r="U835" s="51"/>
      <c r="V835" s="51"/>
      <c r="W835" s="51"/>
      <c r="X835" s="51"/>
      <c r="Y835" s="51"/>
      <c r="Z835" s="51"/>
      <c r="AA835" s="51"/>
      <c r="AB835" s="51"/>
      <c r="AC835" s="51"/>
      <c r="AD835" s="51"/>
      <c r="AE835" t="s">
        <v>30</v>
      </c>
      <c r="AF835" t="s">
        <v>31</v>
      </c>
      <c r="AG835" t="s">
        <v>28</v>
      </c>
      <c r="AH835" s="51"/>
      <c r="AI835" s="51"/>
    </row>
    <row r="836" spans="2:35">
      <c r="B836" t="s">
        <v>598</v>
      </c>
      <c r="C836" t="s">
        <v>2831</v>
      </c>
      <c r="D836">
        <v>12</v>
      </c>
      <c r="E836" t="s">
        <v>2792</v>
      </c>
      <c r="F836">
        <v>5</v>
      </c>
      <c r="G836">
        <v>12</v>
      </c>
      <c r="H836">
        <v>4</v>
      </c>
      <c r="I836" t="s">
        <v>598</v>
      </c>
      <c r="J836" s="51">
        <v>40675</v>
      </c>
      <c r="K836" t="s">
        <v>27</v>
      </c>
      <c r="M836">
        <v>3</v>
      </c>
      <c r="N836">
        <f>L836</f>
        <v>0</v>
      </c>
      <c r="O836" s="51">
        <f>J836</f>
        <v>40675</v>
      </c>
      <c r="P836" s="51" t="str">
        <f>C836</f>
        <v>~/cdd/olddocs/Especificaciones genericas/Micromini/CHANGE OUT/CNWI-ENGI-F019 Rev. A Especificaciones de empaque Change Out Rev. A.xls</v>
      </c>
      <c r="Q836" s="51" t="str">
        <f>E836</f>
        <v>xls</v>
      </c>
      <c r="R836" s="51"/>
      <c r="S836" s="51"/>
      <c r="T836" s="51"/>
      <c r="U836" s="51"/>
      <c r="V836" s="51"/>
      <c r="W836" s="51"/>
      <c r="X836" s="51"/>
      <c r="Y836" s="51"/>
      <c r="Z836" s="51"/>
      <c r="AA836" s="51"/>
      <c r="AB836" s="51"/>
      <c r="AC836" s="51"/>
      <c r="AD836" s="51"/>
      <c r="AE836" t="s">
        <v>30</v>
      </c>
      <c r="AF836" t="s">
        <v>31</v>
      </c>
      <c r="AG836" t="s">
        <v>28</v>
      </c>
      <c r="AH836" s="51"/>
      <c r="AI836" s="51"/>
    </row>
    <row r="837" spans="2:35">
      <c r="B837" t="s">
        <v>598</v>
      </c>
      <c r="C837" t="s">
        <v>2838</v>
      </c>
      <c r="D837">
        <v>12</v>
      </c>
      <c r="E837" t="s">
        <v>2792</v>
      </c>
      <c r="F837">
        <v>5</v>
      </c>
      <c r="G837">
        <v>12</v>
      </c>
      <c r="H837">
        <v>16</v>
      </c>
      <c r="I837" t="s">
        <v>598</v>
      </c>
      <c r="J837" s="51">
        <v>41022</v>
      </c>
      <c r="K837" t="s">
        <v>782</v>
      </c>
      <c r="L837" t="s">
        <v>605</v>
      </c>
      <c r="M837">
        <v>3</v>
      </c>
      <c r="N837" t="str">
        <f>L837</f>
        <v>NA/MB1049</v>
      </c>
      <c r="O837" s="51">
        <f>J837</f>
        <v>41022</v>
      </c>
      <c r="P837" s="51" t="str">
        <f>C837</f>
        <v>~/cdd/olddocs/Especificaciones genericas/Micromini/MS/CNWI-ENGI-F019 Rev. H Especificaciones de empaque MS.xls</v>
      </c>
      <c r="Q837" s="51" t="str">
        <f>E837</f>
        <v>xls</v>
      </c>
      <c r="R837" s="51"/>
      <c r="S837" s="51"/>
      <c r="T837" s="51"/>
      <c r="U837" s="51"/>
      <c r="V837" s="51"/>
      <c r="W837" s="51"/>
      <c r="X837" s="51"/>
      <c r="Y837" s="51"/>
      <c r="Z837" s="51"/>
      <c r="AA837" s="51"/>
      <c r="AB837" s="51"/>
      <c r="AC837" s="51"/>
      <c r="AD837" s="51"/>
      <c r="AE837" t="s">
        <v>30</v>
      </c>
      <c r="AF837" t="s">
        <v>601</v>
      </c>
      <c r="AG837" t="s">
        <v>28</v>
      </c>
      <c r="AH837" s="51"/>
      <c r="AI837" s="51"/>
    </row>
    <row r="838" spans="2:35">
      <c r="B838" t="s">
        <v>598</v>
      </c>
      <c r="C838" t="s">
        <v>2842</v>
      </c>
      <c r="D838">
        <v>12</v>
      </c>
      <c r="E838" t="s">
        <v>2792</v>
      </c>
      <c r="F838">
        <v>5</v>
      </c>
      <c r="G838">
        <v>12</v>
      </c>
      <c r="H838">
        <v>19</v>
      </c>
      <c r="I838" t="s">
        <v>598</v>
      </c>
      <c r="J838" s="51">
        <v>40896</v>
      </c>
      <c r="K838" t="s">
        <v>46</v>
      </c>
      <c r="L838" t="s">
        <v>605</v>
      </c>
      <c r="M838">
        <v>3</v>
      </c>
      <c r="N838" t="str">
        <f>L838</f>
        <v>NA/MB1049</v>
      </c>
      <c r="O838" s="51">
        <f>J838</f>
        <v>40896</v>
      </c>
      <c r="P838" s="51" t="str">
        <f>C838</f>
        <v>~/cdd/olddocs/Especificaciones genericas/Micromini/PLEX/CNWI-ENGI-F019 Rev. A Especificaciones de empaque Plex.xls</v>
      </c>
      <c r="Q838" s="51" t="str">
        <f>E838</f>
        <v>xls</v>
      </c>
      <c r="R838" s="51"/>
      <c r="S838" s="51"/>
      <c r="T838" s="51"/>
      <c r="U838" s="51"/>
      <c r="V838" s="51"/>
      <c r="W838" s="51"/>
      <c r="X838" s="51"/>
      <c r="Y838" s="51"/>
      <c r="Z838" s="51"/>
      <c r="AA838" s="51"/>
      <c r="AB838" s="51"/>
      <c r="AC838" s="51"/>
      <c r="AD838" s="51"/>
      <c r="AE838" t="s">
        <v>30</v>
      </c>
      <c r="AF838" t="s">
        <v>601</v>
      </c>
      <c r="AG838" t="s">
        <v>28</v>
      </c>
      <c r="AH838" s="51"/>
      <c r="AI838" s="51"/>
    </row>
    <row r="839" spans="2:35">
      <c r="B839" t="s">
        <v>598</v>
      </c>
      <c r="C839" t="s">
        <v>2847</v>
      </c>
      <c r="D839">
        <v>12</v>
      </c>
      <c r="E839" t="s">
        <v>2792</v>
      </c>
      <c r="F839">
        <v>5</v>
      </c>
      <c r="G839">
        <v>12</v>
      </c>
      <c r="H839">
        <v>18</v>
      </c>
      <c r="I839" t="s">
        <v>598</v>
      </c>
      <c r="J839" s="51">
        <v>40893</v>
      </c>
      <c r="K839" t="s">
        <v>742</v>
      </c>
      <c r="L839" t="s">
        <v>605</v>
      </c>
      <c r="M839">
        <v>3</v>
      </c>
      <c r="N839" t="str">
        <f>L839</f>
        <v>NA/MB1049</v>
      </c>
      <c r="O839" s="51">
        <f>J839</f>
        <v>40893</v>
      </c>
      <c r="P839" s="51" t="str">
        <f>C839</f>
        <v>~/cdd/olddocs/Especificaciones genericas/Micromini/POTTED/CNWI-ENGI-F019 Rev  F  Especificaciones de empaque Potted.xls</v>
      </c>
      <c r="Q839" s="51" t="str">
        <f>E839</f>
        <v>xls</v>
      </c>
      <c r="R839" s="51"/>
      <c r="S839" s="51"/>
      <c r="T839" s="51"/>
      <c r="U839" s="51"/>
      <c r="V839" s="51"/>
      <c r="W839" s="51"/>
      <c r="X839" s="51"/>
      <c r="Y839" s="51"/>
      <c r="Z839" s="51"/>
      <c r="AA839" s="51"/>
      <c r="AB839" s="51"/>
      <c r="AC839" s="51"/>
      <c r="AD839" s="51"/>
      <c r="AE839" t="s">
        <v>30</v>
      </c>
      <c r="AF839" t="s">
        <v>601</v>
      </c>
      <c r="AG839" t="s">
        <v>28</v>
      </c>
      <c r="AH839" s="51"/>
      <c r="AI839" s="51"/>
    </row>
    <row r="840" spans="2:35">
      <c r="B840" t="s">
        <v>2782</v>
      </c>
      <c r="C840" t="s">
        <v>3830</v>
      </c>
      <c r="D840">
        <v>12</v>
      </c>
      <c r="E840" t="s">
        <v>2792</v>
      </c>
      <c r="F840">
        <v>5</v>
      </c>
      <c r="G840">
        <v>10</v>
      </c>
      <c r="H840">
        <v>7</v>
      </c>
      <c r="I840" t="s">
        <v>2782</v>
      </c>
      <c r="J840" s="51">
        <v>41192</v>
      </c>
      <c r="K840" t="s">
        <v>2472</v>
      </c>
      <c r="L840" t="s">
        <v>2427</v>
      </c>
      <c r="M840">
        <v>3</v>
      </c>
      <c r="N840" t="str">
        <f>L840</f>
        <v>NAM\MB1911</v>
      </c>
      <c r="O840" s="51">
        <f>J840</f>
        <v>41192</v>
      </c>
      <c r="P840" s="51" t="str">
        <f>C840</f>
        <v>~cdd/olddocs/Especificaciones genericas/Camarillo/AMSAFE/Rev T  ESPECIFICACIONES DE CORTE AREA AMSAFE.xls</v>
      </c>
      <c r="Q840" s="51" t="str">
        <f>E840</f>
        <v>xls</v>
      </c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t="s">
        <v>624</v>
      </c>
      <c r="AF840" t="s">
        <v>2693</v>
      </c>
      <c r="AG840" t="s">
        <v>28</v>
      </c>
      <c r="AH840" s="51"/>
      <c r="AI840" s="51"/>
    </row>
    <row r="841" spans="2:35">
      <c r="B841" t="s">
        <v>2692</v>
      </c>
      <c r="C841" t="s">
        <v>3831</v>
      </c>
      <c r="D841">
        <v>12</v>
      </c>
      <c r="E841" t="s">
        <v>2792</v>
      </c>
      <c r="F841">
        <v>5</v>
      </c>
      <c r="G841">
        <v>36</v>
      </c>
      <c r="H841">
        <v>26</v>
      </c>
      <c r="I841" t="s">
        <v>2692</v>
      </c>
      <c r="J841" s="51">
        <v>41197</v>
      </c>
      <c r="K841" t="s">
        <v>38</v>
      </c>
      <c r="L841" t="s">
        <v>2427</v>
      </c>
      <c r="M841">
        <v>3</v>
      </c>
      <c r="N841" t="str">
        <f>L841</f>
        <v>NAM\MB1911</v>
      </c>
      <c r="O841" s="51">
        <f>J841</f>
        <v>41197</v>
      </c>
      <c r="P841" s="51" t="str">
        <f>C841</f>
        <v>~cdd/olddocs/Especificaciones genericas/Camarillo/Ensamble General/Rev  D Especificaciones de empaque  de ensamble general.xls</v>
      </c>
      <c r="Q841" s="51" t="str">
        <f>E841</f>
        <v>xls</v>
      </c>
      <c r="R841" s="51"/>
      <c r="S841" s="51"/>
      <c r="T841" s="51"/>
      <c r="U841" s="51"/>
      <c r="V841" s="51"/>
      <c r="W841" s="51"/>
      <c r="X841" s="51"/>
      <c r="Y841" s="51"/>
      <c r="Z841" s="51"/>
      <c r="AA841" s="51"/>
      <c r="AB841" s="51"/>
      <c r="AC841" s="51"/>
      <c r="AD841" s="51"/>
      <c r="AE841" t="s">
        <v>30</v>
      </c>
      <c r="AF841" t="s">
        <v>2693</v>
      </c>
      <c r="AG841" t="s">
        <v>28</v>
      </c>
      <c r="AH841" s="51"/>
      <c r="AI841" s="51"/>
    </row>
    <row r="842" spans="2:35">
      <c r="B842" t="s">
        <v>2692</v>
      </c>
      <c r="C842" t="s">
        <v>3832</v>
      </c>
      <c r="D842">
        <v>12</v>
      </c>
      <c r="E842" t="s">
        <v>2790</v>
      </c>
      <c r="F842">
        <v>5</v>
      </c>
      <c r="G842">
        <v>9</v>
      </c>
      <c r="I842" t="s">
        <v>2692</v>
      </c>
      <c r="J842" s="51">
        <v>41177</v>
      </c>
      <c r="K842" t="s">
        <v>159</v>
      </c>
      <c r="L842" t="s">
        <v>2427</v>
      </c>
      <c r="M842">
        <v>3</v>
      </c>
      <c r="N842" t="str">
        <f>L842</f>
        <v>NAM\MB1911</v>
      </c>
      <c r="O842" s="51">
        <f>J842</f>
        <v>41177</v>
      </c>
      <c r="P842" s="51" t="str">
        <f>C842</f>
        <v>~cdd/olddocs/Especificaciones genericas/Camarillo/Itron/Especificaciones de empaque  de ITRON Rev C.xlsx</v>
      </c>
      <c r="Q842" s="51" t="str">
        <f>E842</f>
        <v>xlsx</v>
      </c>
      <c r="R842" s="51"/>
      <c r="S842" s="51"/>
      <c r="T842" s="51"/>
      <c r="U842" s="51"/>
      <c r="V842" s="51"/>
      <c r="W842" s="51"/>
      <c r="X842" s="51"/>
      <c r="Y842" s="51"/>
      <c r="Z842" s="51"/>
      <c r="AA842" s="51"/>
      <c r="AB842" s="51"/>
      <c r="AC842" s="51"/>
      <c r="AD842" s="51"/>
      <c r="AE842" t="s">
        <v>2785</v>
      </c>
      <c r="AF842" t="s">
        <v>2693</v>
      </c>
      <c r="AG842" t="s">
        <v>28</v>
      </c>
      <c r="AH842" s="51"/>
      <c r="AI842" s="51"/>
    </row>
    <row r="843" spans="2:35">
      <c r="B843" t="s">
        <v>930</v>
      </c>
      <c r="C843" t="s">
        <v>2853</v>
      </c>
      <c r="D843">
        <v>11</v>
      </c>
      <c r="E843" t="s">
        <v>2791</v>
      </c>
      <c r="F843">
        <v>5</v>
      </c>
      <c r="G843">
        <v>10</v>
      </c>
      <c r="H843">
        <v>7</v>
      </c>
      <c r="I843" t="s">
        <v>897</v>
      </c>
      <c r="J843" s="51">
        <v>41164</v>
      </c>
      <c r="K843" t="s">
        <v>27</v>
      </c>
      <c r="L843" t="s">
        <v>880</v>
      </c>
      <c r="M843">
        <v>3</v>
      </c>
      <c r="N843" t="str">
        <f>L843</f>
        <v>NAM\MB3488</v>
      </c>
      <c r="O843" s="51">
        <f>J843</f>
        <v>41164</v>
      </c>
      <c r="P843" s="51" t="str">
        <f>C843</f>
        <v>~/cdd/olddocs/Flow Chart/ITRON/AMSAFE/FC-AMSA-001  004080-0001 al 0012.pdf</v>
      </c>
      <c r="Q843" s="51" t="str">
        <f>E843</f>
        <v>pdf</v>
      </c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G843" t="s">
        <v>932</v>
      </c>
      <c r="AH843" s="51"/>
      <c r="AI843" s="51"/>
    </row>
    <row r="844" spans="2:35">
      <c r="B844" t="s">
        <v>933</v>
      </c>
      <c r="C844" t="s">
        <v>2852</v>
      </c>
      <c r="D844">
        <v>11</v>
      </c>
      <c r="E844" t="s">
        <v>2791</v>
      </c>
      <c r="F844">
        <v>5</v>
      </c>
      <c r="G844">
        <v>10</v>
      </c>
      <c r="H844">
        <v>7</v>
      </c>
      <c r="I844" t="s">
        <v>934</v>
      </c>
      <c r="J844" s="51">
        <v>41164</v>
      </c>
      <c r="K844" t="s">
        <v>27</v>
      </c>
      <c r="L844" t="s">
        <v>880</v>
      </c>
      <c r="M844">
        <v>3</v>
      </c>
      <c r="N844" t="str">
        <f>L844</f>
        <v>NAM\MB3488</v>
      </c>
      <c r="O844" s="51">
        <f>J844</f>
        <v>41164</v>
      </c>
      <c r="P844" s="51" t="str">
        <f>C844</f>
        <v>~/cdd/olddocs/Flow Chart/ITRON/AMSAFE/FC-AMSA -002  004070-0001.pdf</v>
      </c>
      <c r="Q844" s="51" t="str">
        <f>E844</f>
        <v>pdf</v>
      </c>
      <c r="R844" s="51"/>
      <c r="S844" s="51"/>
      <c r="T844" s="51"/>
      <c r="U844" s="51"/>
      <c r="V844" s="51"/>
      <c r="W844" s="51"/>
      <c r="X844" s="51"/>
      <c r="Y844" s="51"/>
      <c r="Z844" s="51"/>
      <c r="AA844" s="51"/>
      <c r="AB844" s="51"/>
      <c r="AC844" s="51"/>
      <c r="AD844" s="51"/>
      <c r="AG844" t="s">
        <v>901</v>
      </c>
      <c r="AH844" s="51"/>
      <c r="AI844" s="51"/>
    </row>
    <row r="845" spans="2:35">
      <c r="B845" t="s">
        <v>935</v>
      </c>
      <c r="C845" t="s">
        <v>3837</v>
      </c>
      <c r="D845">
        <v>11</v>
      </c>
      <c r="E845" t="s">
        <v>2791</v>
      </c>
      <c r="F845">
        <v>5</v>
      </c>
      <c r="G845">
        <v>10</v>
      </c>
      <c r="H845">
        <v>7</v>
      </c>
      <c r="I845" t="s">
        <v>936</v>
      </c>
      <c r="J845" s="51">
        <v>41164</v>
      </c>
      <c r="K845" t="s">
        <v>27</v>
      </c>
      <c r="L845" t="s">
        <v>880</v>
      </c>
      <c r="M845">
        <v>3</v>
      </c>
      <c r="N845" t="str">
        <f>L845</f>
        <v>NAM\MB3488</v>
      </c>
      <c r="O845" s="51">
        <f>J845</f>
        <v>41164</v>
      </c>
      <c r="P845" s="51" t="str">
        <f>C845</f>
        <v>~cdd/olddocs/Flow Chart/ITRON/AMSAFE/FC-AMSA -003 0044071-0001.pdf</v>
      </c>
      <c r="Q845" s="51" t="str">
        <f>E845</f>
        <v>pdf</v>
      </c>
      <c r="R845" s="51"/>
      <c r="S845" s="51"/>
      <c r="T845" s="51"/>
      <c r="U845" s="51"/>
      <c r="V845" s="51"/>
      <c r="W845" s="51"/>
      <c r="X845" s="51"/>
      <c r="Y845" s="51"/>
      <c r="Z845" s="51"/>
      <c r="AA845" s="51"/>
      <c r="AB845" s="51"/>
      <c r="AC845" s="51"/>
      <c r="AD845" s="51"/>
      <c r="AG845" t="s">
        <v>904</v>
      </c>
      <c r="AH845" s="51"/>
      <c r="AI845" s="51"/>
    </row>
    <row r="846" spans="2:35">
      <c r="B846" t="s">
        <v>937</v>
      </c>
      <c r="C846" t="s">
        <v>3834</v>
      </c>
      <c r="D846">
        <v>11</v>
      </c>
      <c r="E846" t="s">
        <v>2791</v>
      </c>
      <c r="F846">
        <v>5</v>
      </c>
      <c r="G846">
        <v>10</v>
      </c>
      <c r="H846">
        <v>7</v>
      </c>
      <c r="I846" t="s">
        <v>882</v>
      </c>
      <c r="J846" s="51">
        <v>41165</v>
      </c>
      <c r="K846" t="s">
        <v>27</v>
      </c>
      <c r="L846" t="s">
        <v>880</v>
      </c>
      <c r="M846">
        <v>3</v>
      </c>
      <c r="N846" t="str">
        <f>L846</f>
        <v>NAM\MB3488</v>
      </c>
      <c r="O846" s="51">
        <f>J846</f>
        <v>41165</v>
      </c>
      <c r="P846" s="51" t="str">
        <f>C846</f>
        <v>~cdd/olddocs/Flow Chart/ITRON/AMSAFE/FC- AMSA -004 004062-0001.pdf</v>
      </c>
      <c r="Q846" s="51" t="str">
        <f>E846</f>
        <v>pdf</v>
      </c>
      <c r="R846" s="51"/>
      <c r="S846" s="51"/>
      <c r="T846" s="51"/>
      <c r="U846" s="51"/>
      <c r="V846" s="51"/>
      <c r="W846" s="51"/>
      <c r="X846" s="51"/>
      <c r="Y846" s="51"/>
      <c r="Z846" s="51"/>
      <c r="AA846" s="51"/>
      <c r="AB846" s="51"/>
      <c r="AC846" s="51"/>
      <c r="AD846" s="51"/>
      <c r="AG846" t="s">
        <v>927</v>
      </c>
      <c r="AH846" s="51"/>
      <c r="AI846" s="51"/>
    </row>
    <row r="847" spans="2:35">
      <c r="B847" t="s">
        <v>938</v>
      </c>
      <c r="C847" t="s">
        <v>3835</v>
      </c>
      <c r="D847">
        <v>11</v>
      </c>
      <c r="E847" t="s">
        <v>2791</v>
      </c>
      <c r="F847">
        <v>5</v>
      </c>
      <c r="G847">
        <v>10</v>
      </c>
      <c r="H847">
        <v>7</v>
      </c>
      <c r="I847" t="s">
        <v>882</v>
      </c>
      <c r="J847" s="51">
        <v>41165</v>
      </c>
      <c r="K847" t="s">
        <v>27</v>
      </c>
      <c r="L847" t="s">
        <v>880</v>
      </c>
      <c r="M847">
        <v>3</v>
      </c>
      <c r="N847" t="str">
        <f>L847</f>
        <v>NAM\MB3488</v>
      </c>
      <c r="O847" s="51">
        <f>J847</f>
        <v>41165</v>
      </c>
      <c r="P847" s="51" t="str">
        <f>C847</f>
        <v>~cdd/olddocs/Flow Chart/ITRON/AMSAFE/FC- AMSA -005  004046-001 to 004046-0083 004043-0001 004044-0001 004044-0001 004045-0001 0040406-0071 to 0040406-0078.pdf</v>
      </c>
      <c r="Q847" s="51" t="str">
        <f>E847</f>
        <v>pdf</v>
      </c>
      <c r="R847" s="51"/>
      <c r="S847" s="51"/>
      <c r="T847" s="51"/>
      <c r="U847" s="51"/>
      <c r="V847" s="51"/>
      <c r="W847" s="51"/>
      <c r="X847" s="51"/>
      <c r="Y847" s="51"/>
      <c r="Z847" s="51"/>
      <c r="AA847" s="51"/>
      <c r="AB847" s="51"/>
      <c r="AC847" s="51"/>
      <c r="AD847" s="51"/>
      <c r="AG847" t="s">
        <v>883</v>
      </c>
      <c r="AH847" s="51"/>
      <c r="AI847" s="51"/>
    </row>
    <row r="848" spans="2:35">
      <c r="B848" t="s">
        <v>939</v>
      </c>
      <c r="C848" t="s">
        <v>3838</v>
      </c>
      <c r="D848">
        <v>11</v>
      </c>
      <c r="E848" t="s">
        <v>2791</v>
      </c>
      <c r="F848">
        <v>5</v>
      </c>
      <c r="G848">
        <v>10</v>
      </c>
      <c r="H848">
        <v>7</v>
      </c>
      <c r="I848" t="s">
        <v>908</v>
      </c>
      <c r="J848" s="51">
        <v>41165</v>
      </c>
      <c r="K848" t="s">
        <v>27</v>
      </c>
      <c r="L848" t="s">
        <v>880</v>
      </c>
      <c r="M848">
        <v>3</v>
      </c>
      <c r="N848" t="str">
        <f>L848</f>
        <v>NAM\MB3488</v>
      </c>
      <c r="O848" s="51">
        <f>J848</f>
        <v>41165</v>
      </c>
      <c r="P848" s="51" t="str">
        <f>C848</f>
        <v>~cdd/olddocs/Flow Chart/ITRON/AMSAFE/FC-AMSA -006  004041-0001  004041-0002.pdf</v>
      </c>
      <c r="Q848" s="51" t="str">
        <f>E848</f>
        <v>pdf</v>
      </c>
      <c r="R848" s="51"/>
      <c r="S848" s="51"/>
      <c r="T848" s="51"/>
      <c r="U848" s="51"/>
      <c r="V848" s="51"/>
      <c r="W848" s="51"/>
      <c r="X848" s="51"/>
      <c r="Y848" s="51"/>
      <c r="Z848" s="51"/>
      <c r="AA848" s="51"/>
      <c r="AB848" s="51"/>
      <c r="AC848" s="51"/>
      <c r="AD848" s="51"/>
      <c r="AG848" t="s">
        <v>909</v>
      </c>
      <c r="AH848" s="51"/>
      <c r="AI848" s="51"/>
    </row>
    <row r="849" spans="2:35">
      <c r="B849" t="s">
        <v>940</v>
      </c>
      <c r="C849" t="s">
        <v>3839</v>
      </c>
      <c r="D849">
        <v>11</v>
      </c>
      <c r="E849" t="s">
        <v>2791</v>
      </c>
      <c r="F849">
        <v>5</v>
      </c>
      <c r="G849">
        <v>10</v>
      </c>
      <c r="H849">
        <v>7</v>
      </c>
      <c r="I849" t="s">
        <v>941</v>
      </c>
      <c r="J849" s="51">
        <v>41165</v>
      </c>
      <c r="K849" t="s">
        <v>27</v>
      </c>
      <c r="L849" t="s">
        <v>880</v>
      </c>
      <c r="M849">
        <v>3</v>
      </c>
      <c r="N849" t="str">
        <f>L849</f>
        <v>NAM\MB3488</v>
      </c>
      <c r="O849" s="51">
        <f>J849</f>
        <v>41165</v>
      </c>
      <c r="P849" s="51" t="str">
        <f>C849</f>
        <v>~cdd/olddocs/Flow Chart/ITRON/AMSAFE/FC-AMSA -007 004042-TAB  004031-TAB.pdf</v>
      </c>
      <c r="Q849" s="51" t="str">
        <f>E849</f>
        <v>pdf</v>
      </c>
      <c r="R849" s="51"/>
      <c r="S849" s="51"/>
      <c r="T849" s="51"/>
      <c r="U849" s="51"/>
      <c r="V849" s="51"/>
      <c r="W849" s="51"/>
      <c r="X849" s="51"/>
      <c r="Y849" s="51"/>
      <c r="Z849" s="51"/>
      <c r="AA849" s="51"/>
      <c r="AB849" s="51"/>
      <c r="AC849" s="51"/>
      <c r="AD849" s="51"/>
      <c r="AG849" t="s">
        <v>925</v>
      </c>
      <c r="AH849" s="51"/>
      <c r="AI849" s="51"/>
    </row>
    <row r="850" spans="2:35">
      <c r="B850" t="s">
        <v>942</v>
      </c>
      <c r="C850" t="s">
        <v>3840</v>
      </c>
      <c r="D850">
        <v>11</v>
      </c>
      <c r="E850" t="s">
        <v>2791</v>
      </c>
      <c r="F850">
        <v>5</v>
      </c>
      <c r="G850">
        <v>10</v>
      </c>
      <c r="H850">
        <v>7</v>
      </c>
      <c r="I850" t="s">
        <v>914</v>
      </c>
      <c r="J850" s="51">
        <v>41165</v>
      </c>
      <c r="K850" t="s">
        <v>27</v>
      </c>
      <c r="L850" t="s">
        <v>880</v>
      </c>
      <c r="M850">
        <v>3</v>
      </c>
      <c r="N850" t="str">
        <f>L850</f>
        <v>NAM\MB3488</v>
      </c>
      <c r="O850" s="51">
        <f>J850</f>
        <v>41165</v>
      </c>
      <c r="P850" s="51" t="str">
        <f>C850</f>
        <v>~cdd/olddocs/Flow Chart/ITRON/AMSAFE/FC-AMSA -008  04055-002.pdf</v>
      </c>
      <c r="Q850" s="51" t="str">
        <f>E850</f>
        <v>pdf</v>
      </c>
      <c r="R850" s="51"/>
      <c r="S850" s="51"/>
      <c r="T850" s="51"/>
      <c r="U850" s="51"/>
      <c r="V850" s="51"/>
      <c r="W850" s="51"/>
      <c r="X850" s="51"/>
      <c r="Y850" s="51"/>
      <c r="Z850" s="51"/>
      <c r="AA850" s="51"/>
      <c r="AB850" s="51"/>
      <c r="AC850" s="51"/>
      <c r="AD850" s="51"/>
      <c r="AG850" t="s">
        <v>943</v>
      </c>
      <c r="AH850" s="51"/>
      <c r="AI850" s="51"/>
    </row>
    <row r="851" spans="2:35">
      <c r="B851" t="s">
        <v>944</v>
      </c>
      <c r="C851" t="s">
        <v>3841</v>
      </c>
      <c r="D851">
        <v>11</v>
      </c>
      <c r="E851" t="s">
        <v>2791</v>
      </c>
      <c r="F851">
        <v>5</v>
      </c>
      <c r="G851">
        <v>10</v>
      </c>
      <c r="H851">
        <v>7</v>
      </c>
      <c r="I851" t="s">
        <v>877</v>
      </c>
      <c r="J851" s="51">
        <v>41165</v>
      </c>
      <c r="K851" t="s">
        <v>27</v>
      </c>
      <c r="L851" t="s">
        <v>880</v>
      </c>
      <c r="M851">
        <v>3</v>
      </c>
      <c r="N851" t="str">
        <f>L851</f>
        <v>NAM\MB3488</v>
      </c>
      <c r="O851" s="51">
        <f>J851</f>
        <v>41165</v>
      </c>
      <c r="P851" s="51" t="str">
        <f>C851</f>
        <v>~cdd/olddocs/Flow Chart/ITRON/AMSAFE/FC-AMSA -009 004065-TAB.pdf</v>
      </c>
      <c r="Q851" s="51" t="str">
        <f>E851</f>
        <v>pdf</v>
      </c>
      <c r="R851" s="51"/>
      <c r="S851" s="51"/>
      <c r="T851" s="51"/>
      <c r="U851" s="51"/>
      <c r="V851" s="51"/>
      <c r="W851" s="51"/>
      <c r="X851" s="51"/>
      <c r="Y851" s="51"/>
      <c r="Z851" s="51"/>
      <c r="AA851" s="51"/>
      <c r="AB851" s="51"/>
      <c r="AC851" s="51"/>
      <c r="AD851" s="51"/>
      <c r="AG851" t="s">
        <v>945</v>
      </c>
      <c r="AH851" s="51"/>
      <c r="AI851" s="51"/>
    </row>
    <row r="852" spans="2:35">
      <c r="B852" t="s">
        <v>946</v>
      </c>
      <c r="C852" t="s">
        <v>3833</v>
      </c>
      <c r="D852">
        <v>11</v>
      </c>
      <c r="E852" t="s">
        <v>2791</v>
      </c>
      <c r="F852">
        <v>5</v>
      </c>
      <c r="G852">
        <v>10</v>
      </c>
      <c r="H852">
        <v>7</v>
      </c>
      <c r="I852" t="s">
        <v>947</v>
      </c>
      <c r="J852" s="51">
        <v>41165</v>
      </c>
      <c r="K852" t="s">
        <v>27</v>
      </c>
      <c r="L852" t="s">
        <v>880</v>
      </c>
      <c r="M852">
        <v>3</v>
      </c>
      <c r="N852" t="str">
        <f>L852</f>
        <v>NAM\MB3488</v>
      </c>
      <c r="O852" s="51">
        <f>J852</f>
        <v>41165</v>
      </c>
      <c r="P852" s="51" t="str">
        <f>C852</f>
        <v>~cdd/olddocs/Flow Chart/ITRON/AMSAFE/FC-  AMSA -0010  004035-TAB, 004034-0001, 004014-0001 &amp; 003082-0001.pdf</v>
      </c>
      <c r="Q852" s="51" t="str">
        <f>E852</f>
        <v>pdf</v>
      </c>
      <c r="R852" s="51"/>
      <c r="S852" s="51"/>
      <c r="T852" s="51"/>
      <c r="U852" s="51"/>
      <c r="V852" s="51"/>
      <c r="W852" s="51"/>
      <c r="X852" s="51"/>
      <c r="Y852" s="51"/>
      <c r="Z852" s="51"/>
      <c r="AA852" s="51"/>
      <c r="AB852" s="51"/>
      <c r="AC852" s="51"/>
      <c r="AD852" s="51"/>
      <c r="AG852" t="s">
        <v>889</v>
      </c>
      <c r="AH852" s="51"/>
      <c r="AI852" s="51"/>
    </row>
    <row r="853" spans="2:35">
      <c r="B853" t="s">
        <v>948</v>
      </c>
      <c r="C853" t="s">
        <v>3849</v>
      </c>
      <c r="D853">
        <v>11</v>
      </c>
      <c r="E853" t="s">
        <v>2790</v>
      </c>
      <c r="F853">
        <v>5</v>
      </c>
      <c r="G853">
        <v>10</v>
      </c>
      <c r="H853">
        <v>7</v>
      </c>
      <c r="I853" t="s">
        <v>882</v>
      </c>
      <c r="J853" s="51">
        <v>41165</v>
      </c>
      <c r="K853" t="s">
        <v>27</v>
      </c>
      <c r="L853" t="s">
        <v>880</v>
      </c>
      <c r="M853">
        <v>3</v>
      </c>
      <c r="N853" t="str">
        <f>L853</f>
        <v>NAM\MB3488</v>
      </c>
      <c r="O853" s="51">
        <f>J853</f>
        <v>41165</v>
      </c>
      <c r="P853" s="51" t="str">
        <f>C853</f>
        <v>~cdd/olddocs/Flow Chart/ITRON/AMSAFE/FC-ASMSA -011 Rev. A 3084, 3085, 3086, 3087, 3088, 3093, 3095, 4000, 4001, 4003, 4004, 4022.xlsx</v>
      </c>
      <c r="Q853" s="51" t="str">
        <f>E853</f>
        <v>xlsx</v>
      </c>
      <c r="R853" s="51"/>
      <c r="S853" s="51"/>
      <c r="T853" s="51"/>
      <c r="U853" s="51"/>
      <c r="V853" s="51"/>
      <c r="W853" s="51"/>
      <c r="X853" s="51"/>
      <c r="Y853" s="51"/>
      <c r="Z853" s="51"/>
      <c r="AA853" s="51"/>
      <c r="AB853" s="51"/>
      <c r="AC853" s="51"/>
      <c r="AD853" s="51"/>
      <c r="AG853" t="s">
        <v>949</v>
      </c>
      <c r="AH853" s="51"/>
      <c r="AI853" s="51"/>
    </row>
    <row r="854" spans="2:35">
      <c r="B854" t="s">
        <v>950</v>
      </c>
      <c r="C854" t="s">
        <v>3836</v>
      </c>
      <c r="D854">
        <v>11</v>
      </c>
      <c r="E854" t="s">
        <v>2791</v>
      </c>
      <c r="F854">
        <v>5</v>
      </c>
      <c r="G854">
        <v>10</v>
      </c>
      <c r="H854">
        <v>7</v>
      </c>
      <c r="I854" t="s">
        <v>951</v>
      </c>
      <c r="J854" s="51">
        <v>41165</v>
      </c>
      <c r="K854" t="s">
        <v>27</v>
      </c>
      <c r="L854" t="s">
        <v>880</v>
      </c>
      <c r="M854">
        <v>3</v>
      </c>
      <c r="N854" t="str">
        <f>L854</f>
        <v>NAM\MB3488</v>
      </c>
      <c r="O854" s="51">
        <f>J854</f>
        <v>41165</v>
      </c>
      <c r="P854" s="51" t="str">
        <f>C854</f>
        <v>~cdd/olddocs/Flow Chart/ITRON/AMSAFE/FC-AMSA -0012 003064-0001.pdf</v>
      </c>
      <c r="Q854" s="51" t="str">
        <f>E854</f>
        <v>pdf</v>
      </c>
      <c r="R854" s="51"/>
      <c r="S854" s="51"/>
      <c r="T854" s="51"/>
      <c r="U854" s="51"/>
      <c r="V854" s="51"/>
      <c r="W854" s="51"/>
      <c r="X854" s="51"/>
      <c r="Y854" s="51"/>
      <c r="Z854" s="51"/>
      <c r="AA854" s="51"/>
      <c r="AB854" s="51"/>
      <c r="AC854" s="51"/>
      <c r="AD854" s="51"/>
      <c r="AG854" t="s">
        <v>892</v>
      </c>
      <c r="AH854" s="51"/>
      <c r="AI854" s="51"/>
    </row>
    <row r="855" spans="2:35">
      <c r="B855" t="s">
        <v>952</v>
      </c>
      <c r="C855" t="s">
        <v>3844</v>
      </c>
      <c r="D855">
        <v>11</v>
      </c>
      <c r="E855" t="s">
        <v>2791</v>
      </c>
      <c r="F855">
        <v>5</v>
      </c>
      <c r="G855">
        <v>10</v>
      </c>
      <c r="H855">
        <v>7</v>
      </c>
      <c r="I855" t="s">
        <v>877</v>
      </c>
      <c r="J855" s="51">
        <v>41165</v>
      </c>
      <c r="K855" t="s">
        <v>27</v>
      </c>
      <c r="L855" t="s">
        <v>880</v>
      </c>
      <c r="M855">
        <v>3</v>
      </c>
      <c r="N855" t="str">
        <f>L855</f>
        <v>NAM\MB3488</v>
      </c>
      <c r="O855" s="51">
        <f>J855</f>
        <v>41165</v>
      </c>
      <c r="P855" s="51" t="str">
        <f>C855</f>
        <v>~cdd/olddocs/Flow Chart/ITRON/AMSAFE/FC-AMSA-013  003075-0001.pdf</v>
      </c>
      <c r="Q855" s="51" t="str">
        <f>E855</f>
        <v>pdf</v>
      </c>
      <c r="R855" s="51"/>
      <c r="S855" s="51"/>
      <c r="T855" s="51"/>
      <c r="U855" s="51"/>
      <c r="V855" s="51"/>
      <c r="W855" s="51"/>
      <c r="X855" s="51"/>
      <c r="Y855" s="51"/>
      <c r="Z855" s="51"/>
      <c r="AA855" s="51"/>
      <c r="AB855" s="51"/>
      <c r="AC855" s="51"/>
      <c r="AD855" s="51"/>
      <c r="AG855" t="s">
        <v>918</v>
      </c>
      <c r="AH855" s="51"/>
      <c r="AI855" s="51"/>
    </row>
    <row r="856" spans="2:35">
      <c r="B856" t="s">
        <v>953</v>
      </c>
      <c r="C856" t="s">
        <v>3845</v>
      </c>
      <c r="D856">
        <v>11</v>
      </c>
      <c r="E856" t="s">
        <v>2791</v>
      </c>
      <c r="F856">
        <v>5</v>
      </c>
      <c r="G856">
        <v>10</v>
      </c>
      <c r="H856">
        <v>7</v>
      </c>
      <c r="I856" t="s">
        <v>882</v>
      </c>
      <c r="J856" s="51">
        <v>41165</v>
      </c>
      <c r="K856" t="s">
        <v>27</v>
      </c>
      <c r="L856" t="s">
        <v>880</v>
      </c>
      <c r="M856">
        <v>3</v>
      </c>
      <c r="N856" t="str">
        <f>L856</f>
        <v>NAM\MB3488</v>
      </c>
      <c r="O856" s="51">
        <f>J856</f>
        <v>41165</v>
      </c>
      <c r="P856" s="51" t="str">
        <f>C856</f>
        <v>~cdd/olddocs/Flow Chart/ITRON/AMSAFE/FC-AMSA-014 3076-0001.pdf</v>
      </c>
      <c r="Q856" s="51" t="str">
        <f>E856</f>
        <v>pdf</v>
      </c>
      <c r="R856" s="51"/>
      <c r="S856" s="51"/>
      <c r="T856" s="51"/>
      <c r="U856" s="51"/>
      <c r="V856" s="51"/>
      <c r="W856" s="51"/>
      <c r="X856" s="51"/>
      <c r="Y856" s="51"/>
      <c r="Z856" s="51"/>
      <c r="AA856" s="51"/>
      <c r="AB856" s="51"/>
      <c r="AC856" s="51"/>
      <c r="AD856" s="51"/>
      <c r="AG856" t="s">
        <v>922</v>
      </c>
      <c r="AH856" s="51"/>
      <c r="AI856" s="51"/>
    </row>
    <row r="857" spans="2:35">
      <c r="B857" t="s">
        <v>954</v>
      </c>
      <c r="C857" t="s">
        <v>3846</v>
      </c>
      <c r="D857">
        <v>11</v>
      </c>
      <c r="E857" t="s">
        <v>2791</v>
      </c>
      <c r="F857">
        <v>5</v>
      </c>
      <c r="G857">
        <v>10</v>
      </c>
      <c r="H857">
        <v>7</v>
      </c>
      <c r="I857" t="s">
        <v>955</v>
      </c>
      <c r="J857" s="51">
        <v>41165</v>
      </c>
      <c r="K857" t="s">
        <v>27</v>
      </c>
      <c r="L857" t="s">
        <v>880</v>
      </c>
      <c r="M857">
        <v>3</v>
      </c>
      <c r="N857" t="str">
        <f>L857</f>
        <v>NAM\MB3488</v>
      </c>
      <c r="O857" s="51">
        <f>J857</f>
        <v>41165</v>
      </c>
      <c r="P857" s="51" t="str">
        <f>C857</f>
        <v>~cdd/olddocs/Flow Chart/ITRON/AMSAFE/FC-AMSA-015  004005-TAB.pdf</v>
      </c>
      <c r="Q857" s="51" t="str">
        <f>E857</f>
        <v>pdf</v>
      </c>
      <c r="R857" s="51"/>
      <c r="S857" s="51"/>
      <c r="T857" s="51"/>
      <c r="U857" s="51"/>
      <c r="V857" s="51"/>
      <c r="W857" s="51"/>
      <c r="X857" s="51"/>
      <c r="Y857" s="51"/>
      <c r="Z857" s="51"/>
      <c r="AA857" s="51"/>
      <c r="AB857" s="51"/>
      <c r="AC857" s="51"/>
      <c r="AD857" s="51"/>
      <c r="AG857" t="s">
        <v>956</v>
      </c>
      <c r="AH857" s="51"/>
      <c r="AI857" s="51"/>
    </row>
    <row r="858" spans="2:35">
      <c r="B858" t="s">
        <v>957</v>
      </c>
      <c r="C858" t="s">
        <v>3847</v>
      </c>
      <c r="D858">
        <v>11</v>
      </c>
      <c r="E858" t="s">
        <v>2791</v>
      </c>
      <c r="F858">
        <v>5</v>
      </c>
      <c r="G858">
        <v>10</v>
      </c>
      <c r="H858">
        <v>7</v>
      </c>
      <c r="I858" t="s">
        <v>885</v>
      </c>
      <c r="J858" s="51">
        <v>41165</v>
      </c>
      <c r="K858" t="s">
        <v>27</v>
      </c>
      <c r="L858" t="s">
        <v>880</v>
      </c>
      <c r="M858">
        <v>3</v>
      </c>
      <c r="N858" t="str">
        <f>L858</f>
        <v>NAM\MB3488</v>
      </c>
      <c r="O858" s="51">
        <f>J858</f>
        <v>41165</v>
      </c>
      <c r="P858" s="51" t="str">
        <f>C858</f>
        <v>~cdd/olddocs/Flow Chart/ITRON/AMSAFE/FC-AMSA-016  004038-0001.pdf</v>
      </c>
      <c r="Q858" s="51" t="str">
        <f>E858</f>
        <v>pdf</v>
      </c>
      <c r="R858" s="51"/>
      <c r="S858" s="51"/>
      <c r="T858" s="51"/>
      <c r="U858" s="51"/>
      <c r="V858" s="51"/>
      <c r="W858" s="51"/>
      <c r="X858" s="51"/>
      <c r="Y858" s="51"/>
      <c r="Z858" s="51"/>
      <c r="AA858" s="51"/>
      <c r="AB858" s="51"/>
      <c r="AC858" s="51"/>
      <c r="AD858" s="51"/>
      <c r="AG858" t="s">
        <v>958</v>
      </c>
      <c r="AH858" s="51"/>
      <c r="AI858" s="51"/>
    </row>
    <row r="859" spans="2:35">
      <c r="B859" t="s">
        <v>959</v>
      </c>
      <c r="C859" t="s">
        <v>3848</v>
      </c>
      <c r="D859">
        <v>11</v>
      </c>
      <c r="E859" t="s">
        <v>2791</v>
      </c>
      <c r="F859">
        <v>5</v>
      </c>
      <c r="G859">
        <v>10</v>
      </c>
      <c r="H859">
        <v>7</v>
      </c>
      <c r="I859" t="s">
        <v>951</v>
      </c>
      <c r="J859" s="51">
        <v>41165</v>
      </c>
      <c r="K859" t="s">
        <v>27</v>
      </c>
      <c r="L859" t="s">
        <v>880</v>
      </c>
      <c r="M859">
        <v>3</v>
      </c>
      <c r="N859" t="str">
        <f>L859</f>
        <v>NAM\MB3488</v>
      </c>
      <c r="O859" s="51">
        <f>J859</f>
        <v>41165</v>
      </c>
      <c r="P859" s="51" t="str">
        <f>C859</f>
        <v>~cdd/olddocs/Flow Chart/ITRON/AMSAFE/FC-AMSA-017 003077-0001.pdf</v>
      </c>
      <c r="Q859" s="51" t="str">
        <f>E859</f>
        <v>pdf</v>
      </c>
      <c r="R859" s="51"/>
      <c r="S859" s="51"/>
      <c r="T859" s="51"/>
      <c r="U859" s="51"/>
      <c r="V859" s="51"/>
      <c r="W859" s="51"/>
      <c r="X859" s="51"/>
      <c r="Y859" s="51"/>
      <c r="Z859" s="51"/>
      <c r="AA859" s="51"/>
      <c r="AB859" s="51"/>
      <c r="AC859" s="51"/>
      <c r="AD859" s="51"/>
      <c r="AG859" t="s">
        <v>920</v>
      </c>
      <c r="AH859" s="51"/>
      <c r="AI859" s="51"/>
    </row>
    <row r="860" spans="2:35">
      <c r="B860" t="s">
        <v>960</v>
      </c>
      <c r="C860" t="s">
        <v>3842</v>
      </c>
      <c r="D860">
        <v>11</v>
      </c>
      <c r="E860" t="s">
        <v>2791</v>
      </c>
      <c r="F860">
        <v>5</v>
      </c>
      <c r="G860">
        <v>10</v>
      </c>
      <c r="H860">
        <v>7</v>
      </c>
      <c r="I860" t="s">
        <v>882</v>
      </c>
      <c r="J860" s="51">
        <v>41165</v>
      </c>
      <c r="K860" t="s">
        <v>27</v>
      </c>
      <c r="L860" t="s">
        <v>880</v>
      </c>
      <c r="M860">
        <v>3</v>
      </c>
      <c r="N860" t="str">
        <f>L860</f>
        <v>NAM\MB3488</v>
      </c>
      <c r="O860" s="51">
        <f>J860</f>
        <v>41165</v>
      </c>
      <c r="P860" s="51" t="str">
        <f>C860</f>
        <v>~cdd/olddocs/Flow Chart/ITRON/AMSAFE/FC-AMSA- 018 004002-0001.pdf</v>
      </c>
      <c r="Q860" s="51" t="str">
        <f>E860</f>
        <v>pdf</v>
      </c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G860" t="s">
        <v>912</v>
      </c>
      <c r="AH860" s="51"/>
      <c r="AI860" s="51"/>
    </row>
    <row r="861" spans="2:35">
      <c r="B861" t="s">
        <v>961</v>
      </c>
      <c r="C861" t="s">
        <v>3843</v>
      </c>
      <c r="D861">
        <v>11</v>
      </c>
      <c r="E861" t="s">
        <v>2791</v>
      </c>
      <c r="F861">
        <v>5</v>
      </c>
      <c r="G861">
        <v>10</v>
      </c>
      <c r="H861">
        <v>7</v>
      </c>
      <c r="I861" t="s">
        <v>877</v>
      </c>
      <c r="J861" s="51">
        <v>41165</v>
      </c>
      <c r="K861" t="s">
        <v>27</v>
      </c>
      <c r="L861" t="s">
        <v>880</v>
      </c>
      <c r="M861">
        <v>3</v>
      </c>
      <c r="N861" t="str">
        <f>L861</f>
        <v>NAM\MB3488</v>
      </c>
      <c r="O861" s="51">
        <f>J861</f>
        <v>41165</v>
      </c>
      <c r="P861" s="51" t="str">
        <f>C861</f>
        <v>~cdd/olddocs/Flow Chart/ITRON/AMSAFE/FC-AMSA -019  004049-0001.pdf</v>
      </c>
      <c r="Q861" s="51" t="str">
        <f>E861</f>
        <v>pdf</v>
      </c>
      <c r="R861" s="51"/>
      <c r="S861" s="51"/>
      <c r="T861" s="51"/>
      <c r="U861" s="51"/>
      <c r="V861" s="51"/>
      <c r="W861" s="51"/>
      <c r="X861" s="51"/>
      <c r="Y861" s="51"/>
      <c r="Z861" s="51"/>
      <c r="AA861" s="51"/>
      <c r="AB861" s="51"/>
      <c r="AC861" s="51"/>
      <c r="AD861" s="51"/>
      <c r="AG861" t="s">
        <v>906</v>
      </c>
      <c r="AH861" s="51"/>
      <c r="AI861" s="51"/>
    </row>
    <row r="862" spans="2:35">
      <c r="B862" t="s">
        <v>1042</v>
      </c>
      <c r="C862" t="s">
        <v>2854</v>
      </c>
      <c r="D862">
        <v>11</v>
      </c>
      <c r="E862" t="s">
        <v>2791</v>
      </c>
      <c r="F862">
        <v>5</v>
      </c>
      <c r="G862">
        <v>10</v>
      </c>
      <c r="H862">
        <v>10</v>
      </c>
      <c r="I862" t="s">
        <v>969</v>
      </c>
      <c r="J862" s="51">
        <v>41141</v>
      </c>
      <c r="K862" t="s">
        <v>27</v>
      </c>
      <c r="L862" t="s">
        <v>880</v>
      </c>
      <c r="M862">
        <v>3</v>
      </c>
      <c r="N862" t="str">
        <f>L862</f>
        <v>NAM\MB3488</v>
      </c>
      <c r="O862" s="51">
        <f>J862</f>
        <v>41141</v>
      </c>
      <c r="P862" s="51" t="str">
        <f>C862</f>
        <v>~/cdd/olddocs/Flow Chart/ITRON/BONDING/FC-BOND-001 000-100-0113M, 000100-0179, 000102-TAB, 000104-TAB &amp; 000105-TAB. Snap lock.pdf</v>
      </c>
      <c r="Q862" s="51" t="str">
        <f>E862</f>
        <v>pdf</v>
      </c>
      <c r="R862" s="51"/>
      <c r="S862" s="51"/>
      <c r="T862" s="51"/>
      <c r="U862" s="51"/>
      <c r="V862" s="51"/>
      <c r="W862" s="51"/>
      <c r="X862" s="51"/>
      <c r="Y862" s="51"/>
      <c r="Z862" s="51"/>
      <c r="AA862" s="51"/>
      <c r="AB862" s="51"/>
      <c r="AC862" s="51"/>
      <c r="AD862" s="51"/>
      <c r="AG862" t="s">
        <v>1043</v>
      </c>
      <c r="AH862" s="51"/>
      <c r="AI862" s="51"/>
    </row>
    <row r="863" spans="2:35">
      <c r="B863" t="s">
        <v>1044</v>
      </c>
      <c r="C863" t="s">
        <v>3850</v>
      </c>
      <c r="D863">
        <v>11</v>
      </c>
      <c r="E863" t="s">
        <v>2791</v>
      </c>
      <c r="F863">
        <v>5</v>
      </c>
      <c r="G863">
        <v>10</v>
      </c>
      <c r="H863">
        <v>10</v>
      </c>
      <c r="I863" t="s">
        <v>972</v>
      </c>
      <c r="J863" s="51">
        <v>41149</v>
      </c>
      <c r="K863" t="s">
        <v>27</v>
      </c>
      <c r="L863" t="s">
        <v>880</v>
      </c>
      <c r="M863">
        <v>3</v>
      </c>
      <c r="N863" t="str">
        <f>L863</f>
        <v>NAM\MB3488</v>
      </c>
      <c r="O863" s="51">
        <f>J863</f>
        <v>41149</v>
      </c>
      <c r="P863" s="51" t="str">
        <f>C863</f>
        <v>~cdd/olddocs/Flow Chart/ITRON/BONDING/FC-BOND-002  002359-TAB 002360-TAB  002361-TAB.pdf</v>
      </c>
      <c r="Q863" s="51" t="str">
        <f>E863</f>
        <v>pdf</v>
      </c>
      <c r="R863" s="51"/>
      <c r="S863" s="51"/>
      <c r="T863" s="51"/>
      <c r="U863" s="51"/>
      <c r="V863" s="51"/>
      <c r="W863" s="51"/>
      <c r="X863" s="51"/>
      <c r="Y863" s="51"/>
      <c r="Z863" s="51"/>
      <c r="AA863" s="51"/>
      <c r="AB863" s="51"/>
      <c r="AC863" s="51"/>
      <c r="AD863" s="51"/>
      <c r="AG863" t="s">
        <v>973</v>
      </c>
      <c r="AH863" s="51"/>
      <c r="AI863" s="51"/>
    </row>
    <row r="864" spans="2:35">
      <c r="B864" t="s">
        <v>1045</v>
      </c>
      <c r="C864" t="s">
        <v>2855</v>
      </c>
      <c r="D864">
        <v>11</v>
      </c>
      <c r="E864" t="s">
        <v>2791</v>
      </c>
      <c r="F864">
        <v>5</v>
      </c>
      <c r="G864">
        <v>10</v>
      </c>
      <c r="H864">
        <v>10</v>
      </c>
      <c r="I864" t="s">
        <v>1046</v>
      </c>
      <c r="J864" s="51">
        <v>41181</v>
      </c>
      <c r="K864" t="s">
        <v>27</v>
      </c>
      <c r="L864" t="s">
        <v>880</v>
      </c>
      <c r="M864">
        <v>3</v>
      </c>
      <c r="N864" t="str">
        <f>L864</f>
        <v>NAM\MB3488</v>
      </c>
      <c r="O864" s="51">
        <f>J864</f>
        <v>41181</v>
      </c>
      <c r="P864" s="51" t="str">
        <f>C864</f>
        <v>~/cdd/olddocs/Flow Chart/ITRON/BONDING/FC-BOND-003  BACC65- TODOS.pdf</v>
      </c>
      <c r="Q864" s="51" t="str">
        <f>E864</f>
        <v>pdf</v>
      </c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G864" t="s">
        <v>976</v>
      </c>
      <c r="AH864" s="51"/>
      <c r="AI864" s="51"/>
    </row>
    <row r="865" spans="2:35">
      <c r="B865" t="s">
        <v>1047</v>
      </c>
      <c r="C865" t="s">
        <v>2856</v>
      </c>
      <c r="D865">
        <v>11</v>
      </c>
      <c r="E865" t="s">
        <v>2791</v>
      </c>
      <c r="F865">
        <v>5</v>
      </c>
      <c r="G865">
        <v>10</v>
      </c>
      <c r="H865">
        <v>10</v>
      </c>
      <c r="I865" t="s">
        <v>1048</v>
      </c>
      <c r="J865" s="51">
        <v>41207</v>
      </c>
      <c r="K865" t="s">
        <v>27</v>
      </c>
      <c r="L865" t="s">
        <v>880</v>
      </c>
      <c r="M865">
        <v>3</v>
      </c>
      <c r="N865" t="str">
        <f>L865</f>
        <v>NAM\MB3488</v>
      </c>
      <c r="O865" s="51">
        <f>J865</f>
        <v>41207</v>
      </c>
      <c r="P865" s="51" t="str">
        <f>C865</f>
        <v>~/cdd/olddocs/Flow Chart/ITRON/BONDING/FC-BOND-004   002371-0002 &amp; 002371-0004.pdf</v>
      </c>
      <c r="Q865" s="51" t="str">
        <f>E865</f>
        <v>pdf</v>
      </c>
      <c r="R865" s="51"/>
      <c r="S865" s="51"/>
      <c r="T865" s="51"/>
      <c r="U865" s="51"/>
      <c r="V865" s="51"/>
      <c r="W865" s="51"/>
      <c r="X865" s="51"/>
      <c r="Y865" s="51"/>
      <c r="Z865" s="51"/>
      <c r="AA865" s="51"/>
      <c r="AB865" s="51"/>
      <c r="AC865" s="51"/>
      <c r="AD865" s="51"/>
      <c r="AG865" t="s">
        <v>1006</v>
      </c>
      <c r="AH865" s="51"/>
      <c r="AI865" s="51"/>
    </row>
    <row r="866" spans="2:35">
      <c r="B866" t="s">
        <v>1049</v>
      </c>
      <c r="C866" t="s">
        <v>2857</v>
      </c>
      <c r="D866">
        <v>11</v>
      </c>
      <c r="E866" t="s">
        <v>2791</v>
      </c>
      <c r="F866">
        <v>5</v>
      </c>
      <c r="G866">
        <v>10</v>
      </c>
      <c r="H866">
        <v>10</v>
      </c>
      <c r="I866" t="s">
        <v>1048</v>
      </c>
      <c r="J866" s="51">
        <v>41208</v>
      </c>
      <c r="K866" t="s">
        <v>27</v>
      </c>
      <c r="L866" t="s">
        <v>880</v>
      </c>
      <c r="M866">
        <v>3</v>
      </c>
      <c r="N866" t="str">
        <f>L866</f>
        <v>NAM\MB3488</v>
      </c>
      <c r="O866" s="51">
        <f>J866</f>
        <v>41208</v>
      </c>
      <c r="P866" s="51" t="str">
        <f>C866</f>
        <v>~/cdd/olddocs/Flow Chart/ITRON/BONDING/FC-BOND-005    002371-0003.pdf</v>
      </c>
      <c r="Q866" s="51" t="str">
        <f>E866</f>
        <v>pdf</v>
      </c>
      <c r="R866" s="51"/>
      <c r="S866" s="51"/>
      <c r="T866" s="51"/>
      <c r="U866" s="51"/>
      <c r="V866" s="51"/>
      <c r="W866" s="51"/>
      <c r="X866" s="51"/>
      <c r="Y866" s="51"/>
      <c r="Z866" s="51"/>
      <c r="AA866" s="51"/>
      <c r="AB866" s="51"/>
      <c r="AC866" s="51"/>
      <c r="AD866" s="51"/>
      <c r="AG866" t="s">
        <v>1008</v>
      </c>
      <c r="AH866" s="51"/>
      <c r="AI866" s="51"/>
    </row>
    <row r="867" spans="2:35">
      <c r="B867" t="s">
        <v>1050</v>
      </c>
      <c r="C867" t="s">
        <v>2858</v>
      </c>
      <c r="D867">
        <v>11</v>
      </c>
      <c r="E867" t="s">
        <v>2791</v>
      </c>
      <c r="F867">
        <v>5</v>
      </c>
      <c r="G867">
        <v>10</v>
      </c>
      <c r="H867">
        <v>10</v>
      </c>
      <c r="I867" t="s">
        <v>1051</v>
      </c>
      <c r="J867" s="51">
        <v>41208</v>
      </c>
      <c r="K867" t="s">
        <v>27</v>
      </c>
      <c r="L867" t="s">
        <v>880</v>
      </c>
      <c r="M867">
        <v>3</v>
      </c>
      <c r="N867" t="str">
        <f>L867</f>
        <v>NAM\MB3488</v>
      </c>
      <c r="O867" s="51">
        <f>J867</f>
        <v>41208</v>
      </c>
      <c r="P867" s="51" t="str">
        <f>C867</f>
        <v>~/cdd/olddocs/Flow Chart/ITRON/BONDING/FC-BOND-006   002314 &amp; 002315.pdf</v>
      </c>
      <c r="Q867" s="51" t="str">
        <f>E867</f>
        <v>pdf</v>
      </c>
      <c r="R867" s="51"/>
      <c r="S867" s="51"/>
      <c r="T867" s="51"/>
      <c r="U867" s="51"/>
      <c r="V867" s="51"/>
      <c r="W867" s="51"/>
      <c r="X867" s="51"/>
      <c r="Y867" s="51"/>
      <c r="Z867" s="51"/>
      <c r="AA867" s="51"/>
      <c r="AB867" s="51"/>
      <c r="AC867" s="51"/>
      <c r="AD867" s="51"/>
      <c r="AG867" t="s">
        <v>982</v>
      </c>
      <c r="AH867" s="51"/>
      <c r="AI867" s="51"/>
    </row>
    <row r="868" spans="2:35">
      <c r="B868" t="s">
        <v>1052</v>
      </c>
      <c r="C868" t="e">
        <v>#VALUE!</v>
      </c>
      <c r="D868">
        <v>11</v>
      </c>
      <c r="E868" t="e">
        <v>#VALUE!</v>
      </c>
      <c r="F868">
        <v>5</v>
      </c>
      <c r="G868">
        <v>10</v>
      </c>
      <c r="H868">
        <v>10</v>
      </c>
      <c r="I868" t="s">
        <v>969</v>
      </c>
      <c r="J868" s="51">
        <v>41208</v>
      </c>
      <c r="K868" t="s">
        <v>27</v>
      </c>
      <c r="L868" t="s">
        <v>880</v>
      </c>
      <c r="M868">
        <v>3</v>
      </c>
      <c r="N868" t="str">
        <f>L868</f>
        <v>NAM\MB3488</v>
      </c>
      <c r="O868" s="51">
        <f>J868</f>
        <v>41208</v>
      </c>
      <c r="P868" s="51" t="e">
        <f>C868</f>
        <v>#VALUE!</v>
      </c>
      <c r="Q868" s="51" t="e">
        <f>E868</f>
        <v>#VALUE!</v>
      </c>
      <c r="R868" s="51"/>
      <c r="S868" s="51"/>
      <c r="T868" s="51"/>
      <c r="U868" s="51"/>
      <c r="V868" s="51"/>
      <c r="W868" s="51"/>
      <c r="X868" s="51"/>
      <c r="Y868" s="51"/>
      <c r="Z868" s="51"/>
      <c r="AA868" s="51"/>
      <c r="AB868" s="51"/>
      <c r="AC868" s="51"/>
      <c r="AD868" s="51"/>
      <c r="AG868" t="s">
        <v>979</v>
      </c>
      <c r="AH868" s="51"/>
      <c r="AI868" s="51"/>
    </row>
    <row r="869" spans="2:35">
      <c r="B869" t="s">
        <v>1053</v>
      </c>
      <c r="C869" t="s">
        <v>2859</v>
      </c>
      <c r="D869">
        <v>11</v>
      </c>
      <c r="E869" t="s">
        <v>2791</v>
      </c>
      <c r="F869">
        <v>5</v>
      </c>
      <c r="G869">
        <v>10</v>
      </c>
      <c r="H869">
        <v>10</v>
      </c>
      <c r="I869" t="s">
        <v>984</v>
      </c>
      <c r="J869" s="51">
        <v>41208</v>
      </c>
      <c r="K869" t="s">
        <v>27</v>
      </c>
      <c r="L869" t="s">
        <v>880</v>
      </c>
      <c r="M869">
        <v>3</v>
      </c>
      <c r="N869" t="str">
        <f>L869</f>
        <v>NAM\MB3488</v>
      </c>
      <c r="O869" s="51">
        <f>J869</f>
        <v>41208</v>
      </c>
      <c r="P869" s="51" t="str">
        <f>C869</f>
        <v>~/cdd/olddocs/Flow Chart/ITRON/BONDING/FC-BOND-008   002367-0121.pdf</v>
      </c>
      <c r="Q869" s="51" t="str">
        <f>E869</f>
        <v>pdf</v>
      </c>
      <c r="R869" s="51"/>
      <c r="S869" s="51"/>
      <c r="T869" s="51"/>
      <c r="U869" s="51"/>
      <c r="V869" s="51"/>
      <c r="W869" s="51"/>
      <c r="X869" s="51"/>
      <c r="Y869" s="51"/>
      <c r="Z869" s="51"/>
      <c r="AA869" s="51"/>
      <c r="AB869" s="51"/>
      <c r="AC869" s="51"/>
      <c r="AD869" s="51"/>
      <c r="AG869" t="s">
        <v>985</v>
      </c>
      <c r="AH869" s="51"/>
      <c r="AI869" s="51"/>
    </row>
    <row r="870" spans="2:35">
      <c r="B870" t="s">
        <v>1054</v>
      </c>
      <c r="C870" t="s">
        <v>2860</v>
      </c>
      <c r="D870">
        <v>11</v>
      </c>
      <c r="E870" t="s">
        <v>2791</v>
      </c>
      <c r="F870">
        <v>5</v>
      </c>
      <c r="G870">
        <v>10</v>
      </c>
      <c r="H870">
        <v>10</v>
      </c>
      <c r="I870" t="s">
        <v>987</v>
      </c>
      <c r="J870" s="51">
        <v>41208</v>
      </c>
      <c r="K870" t="s">
        <v>27</v>
      </c>
      <c r="L870" t="s">
        <v>880</v>
      </c>
      <c r="M870">
        <v>3</v>
      </c>
      <c r="N870" t="str">
        <f>L870</f>
        <v>NAM\MB3488</v>
      </c>
      <c r="O870" s="51">
        <f>J870</f>
        <v>41208</v>
      </c>
      <c r="P870" s="51" t="str">
        <f>C870</f>
        <v>~/cdd/olddocs/Flow Chart/ITRON/BONDING/FC-BOND-009  002368-0002, 002368-0003, 002368-0007 &amp; 002368-0018.pdf</v>
      </c>
      <c r="Q870" s="51" t="str">
        <f>E870</f>
        <v>pdf</v>
      </c>
      <c r="R870" s="51"/>
      <c r="S870" s="51"/>
      <c r="T870" s="51"/>
      <c r="U870" s="51"/>
      <c r="V870" s="51"/>
      <c r="W870" s="51"/>
      <c r="X870" s="51"/>
      <c r="Y870" s="51"/>
      <c r="Z870" s="51"/>
      <c r="AA870" s="51"/>
      <c r="AB870" s="51"/>
      <c r="AC870" s="51"/>
      <c r="AD870" s="51"/>
      <c r="AG870" t="s">
        <v>988</v>
      </c>
      <c r="AH870" s="51"/>
      <c r="AI870" s="51"/>
    </row>
    <row r="871" spans="2:35">
      <c r="B871" t="s">
        <v>1055</v>
      </c>
      <c r="C871" t="s">
        <v>2861</v>
      </c>
      <c r="D871">
        <v>11</v>
      </c>
      <c r="E871" t="s">
        <v>2791</v>
      </c>
      <c r="F871">
        <v>5</v>
      </c>
      <c r="G871">
        <v>10</v>
      </c>
      <c r="H871">
        <v>10</v>
      </c>
      <c r="I871" t="s">
        <v>990</v>
      </c>
      <c r="J871" s="51">
        <v>41208</v>
      </c>
      <c r="K871" t="s">
        <v>27</v>
      </c>
      <c r="L871" t="s">
        <v>880</v>
      </c>
      <c r="M871">
        <v>3</v>
      </c>
      <c r="N871" t="str">
        <f>L871</f>
        <v>NAM\MB3488</v>
      </c>
      <c r="O871" s="51">
        <f>J871</f>
        <v>41208</v>
      </c>
      <c r="P871" s="51" t="str">
        <f>C871</f>
        <v>~/cdd/olddocs/Flow Chart/ITRON/BONDING/FC-BOND-010    002368-0211A.pdf</v>
      </c>
      <c r="Q871" s="51" t="str">
        <f>E871</f>
        <v>pdf</v>
      </c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G871" t="s">
        <v>991</v>
      </c>
      <c r="AH871" s="51"/>
      <c r="AI871" s="51"/>
    </row>
    <row r="872" spans="2:35">
      <c r="B872" t="s">
        <v>1056</v>
      </c>
      <c r="C872" t="s">
        <v>2862</v>
      </c>
      <c r="D872">
        <v>11</v>
      </c>
      <c r="E872" t="s">
        <v>2791</v>
      </c>
      <c r="F872">
        <v>5</v>
      </c>
      <c r="G872">
        <v>10</v>
      </c>
      <c r="H872">
        <v>10</v>
      </c>
      <c r="I872" t="s">
        <v>1057</v>
      </c>
      <c r="J872" s="51">
        <v>41208</v>
      </c>
      <c r="K872" t="s">
        <v>27</v>
      </c>
      <c r="L872" t="s">
        <v>880</v>
      </c>
      <c r="M872">
        <v>3</v>
      </c>
      <c r="N872" t="str">
        <f>L872</f>
        <v>NAM\MB3488</v>
      </c>
      <c r="O872" s="51">
        <f>J872</f>
        <v>41208</v>
      </c>
      <c r="P872" s="51" t="str">
        <f>C872</f>
        <v>~/cdd/olddocs/Flow Chart/ITRON/BONDING/FC-BOND-011   002368-0221.pdf</v>
      </c>
      <c r="Q872" s="51" t="str">
        <f>E872</f>
        <v>pdf</v>
      </c>
      <c r="R872" s="51"/>
      <c r="S872" s="51"/>
      <c r="T872" s="51"/>
      <c r="U872" s="51"/>
      <c r="V872" s="51"/>
      <c r="W872" s="51"/>
      <c r="X872" s="51"/>
      <c r="Y872" s="51"/>
      <c r="Z872" s="51"/>
      <c r="AA872" s="51"/>
      <c r="AB872" s="51"/>
      <c r="AC872" s="51"/>
      <c r="AD872" s="51"/>
      <c r="AG872" t="s">
        <v>994</v>
      </c>
      <c r="AH872" s="51"/>
      <c r="AI872" s="51"/>
    </row>
    <row r="873" spans="2:35">
      <c r="B873" t="s">
        <v>1058</v>
      </c>
      <c r="C873" t="s">
        <v>2863</v>
      </c>
      <c r="D873">
        <v>11</v>
      </c>
      <c r="E873" t="s">
        <v>2791</v>
      </c>
      <c r="F873">
        <v>5</v>
      </c>
      <c r="G873">
        <v>10</v>
      </c>
      <c r="H873">
        <v>10</v>
      </c>
      <c r="I873" t="s">
        <v>1059</v>
      </c>
      <c r="J873" s="51">
        <v>41208</v>
      </c>
      <c r="K873" t="s">
        <v>27</v>
      </c>
      <c r="L873" t="s">
        <v>880</v>
      </c>
      <c r="M873">
        <v>3</v>
      </c>
      <c r="N873" t="str">
        <f>L873</f>
        <v>NAM\MB3488</v>
      </c>
      <c r="O873" s="51">
        <f>J873</f>
        <v>41208</v>
      </c>
      <c r="P873" s="51" t="str">
        <f>C873</f>
        <v>~/cdd/olddocs/Flow Chart/ITRON/BONDING/FC-BOND-012     002368-0221A.pdf</v>
      </c>
      <c r="Q873" s="51" t="str">
        <f>E873</f>
        <v>pdf</v>
      </c>
      <c r="R873" s="51"/>
      <c r="S873" s="51"/>
      <c r="T873" s="51"/>
      <c r="U873" s="51"/>
      <c r="V873" s="51"/>
      <c r="W873" s="51"/>
      <c r="X873" s="51"/>
      <c r="Y873" s="51"/>
      <c r="Z873" s="51"/>
      <c r="AA873" s="51"/>
      <c r="AB873" s="51"/>
      <c r="AC873" s="51"/>
      <c r="AD873" s="51"/>
      <c r="AG873" t="s">
        <v>997</v>
      </c>
      <c r="AH873" s="51"/>
      <c r="AI873" s="51"/>
    </row>
    <row r="874" spans="2:35">
      <c r="B874" t="s">
        <v>1060</v>
      </c>
      <c r="C874" t="s">
        <v>2864</v>
      </c>
      <c r="D874">
        <v>11</v>
      </c>
      <c r="E874" t="s">
        <v>2791</v>
      </c>
      <c r="F874">
        <v>5</v>
      </c>
      <c r="G874">
        <v>10</v>
      </c>
      <c r="H874">
        <v>10</v>
      </c>
      <c r="I874" t="s">
        <v>999</v>
      </c>
      <c r="J874" s="51">
        <v>41208</v>
      </c>
      <c r="K874" t="s">
        <v>27</v>
      </c>
      <c r="L874" t="s">
        <v>880</v>
      </c>
      <c r="M874">
        <v>3</v>
      </c>
      <c r="N874" t="str">
        <f>L874</f>
        <v>NAM\MB3488</v>
      </c>
      <c r="O874" s="51">
        <f>J874</f>
        <v>41208</v>
      </c>
      <c r="P874" s="51" t="str">
        <f>C874</f>
        <v>~/cdd/olddocs/Flow Chart/ITRON/BONDING/FC-BOND-013    002368-0802.pdf</v>
      </c>
      <c r="Q874" s="51" t="str">
        <f>E874</f>
        <v>pdf</v>
      </c>
      <c r="R874" s="51"/>
      <c r="S874" s="51"/>
      <c r="T874" s="51"/>
      <c r="U874" s="51"/>
      <c r="V874" s="51"/>
      <c r="W874" s="51"/>
      <c r="X874" s="51"/>
      <c r="Y874" s="51"/>
      <c r="Z874" s="51"/>
      <c r="AA874" s="51"/>
      <c r="AB874" s="51"/>
      <c r="AC874" s="51"/>
      <c r="AD874" s="51"/>
      <c r="AG874" t="s">
        <v>1000</v>
      </c>
      <c r="AH874" s="51"/>
      <c r="AI874" s="51"/>
    </row>
    <row r="875" spans="2:35">
      <c r="B875" t="s">
        <v>1061</v>
      </c>
      <c r="C875" t="s">
        <v>2865</v>
      </c>
      <c r="D875">
        <v>11</v>
      </c>
      <c r="E875" t="s">
        <v>2791</v>
      </c>
      <c r="F875">
        <v>5</v>
      </c>
      <c r="G875">
        <v>10</v>
      </c>
      <c r="H875">
        <v>10</v>
      </c>
      <c r="I875" t="s">
        <v>1062</v>
      </c>
      <c r="J875" s="51">
        <v>41208</v>
      </c>
      <c r="K875" t="s">
        <v>27</v>
      </c>
      <c r="L875" t="s">
        <v>880</v>
      </c>
      <c r="M875">
        <v>3</v>
      </c>
      <c r="N875" t="str">
        <f>L875</f>
        <v>NAM\MB3488</v>
      </c>
      <c r="O875" s="51">
        <f>J875</f>
        <v>41208</v>
      </c>
      <c r="P875" s="51" t="str">
        <f>C875</f>
        <v>~/cdd/olddocs/Flow Chart/ITRON/BONDING/FC-BOND-014   002368-XXXX.pdf</v>
      </c>
      <c r="Q875" s="51" t="str">
        <f>E875</f>
        <v>pdf</v>
      </c>
      <c r="R875" s="51"/>
      <c r="S875" s="51"/>
      <c r="T875" s="51"/>
      <c r="U875" s="51"/>
      <c r="V875" s="51"/>
      <c r="W875" s="51"/>
      <c r="X875" s="51"/>
      <c r="Y875" s="51"/>
      <c r="Z875" s="51"/>
      <c r="AA875" s="51"/>
      <c r="AB875" s="51"/>
      <c r="AC875" s="51"/>
      <c r="AD875" s="51"/>
      <c r="AG875" t="s">
        <v>1063</v>
      </c>
      <c r="AH875" s="51"/>
      <c r="AI875" s="51"/>
    </row>
    <row r="876" spans="2:35">
      <c r="B876" t="s">
        <v>1064</v>
      </c>
      <c r="C876" t="s">
        <v>2866</v>
      </c>
      <c r="D876">
        <v>11</v>
      </c>
      <c r="E876" t="s">
        <v>2791</v>
      </c>
      <c r="F876">
        <v>5</v>
      </c>
      <c r="G876">
        <v>10</v>
      </c>
      <c r="H876">
        <v>10</v>
      </c>
      <c r="I876" t="s">
        <v>1002</v>
      </c>
      <c r="J876" s="51">
        <v>41208</v>
      </c>
      <c r="K876" t="s">
        <v>27</v>
      </c>
      <c r="L876" t="s">
        <v>880</v>
      </c>
      <c r="M876">
        <v>3</v>
      </c>
      <c r="N876" t="str">
        <f>L876</f>
        <v>NAM\MB3488</v>
      </c>
      <c r="O876" s="51">
        <f>J876</f>
        <v>41208</v>
      </c>
      <c r="P876" s="51" t="str">
        <f>C876</f>
        <v>~/cdd/olddocs/Flow Chart/ITRON/BONDING/FC-BOND-015   002369-0001.pdf</v>
      </c>
      <c r="Q876" s="51" t="str">
        <f>E876</f>
        <v>pdf</v>
      </c>
      <c r="R876" s="51"/>
      <c r="S876" s="51"/>
      <c r="T876" s="51"/>
      <c r="U876" s="51"/>
      <c r="V876" s="51"/>
      <c r="W876" s="51"/>
      <c r="X876" s="51"/>
      <c r="Y876" s="51"/>
      <c r="Z876" s="51"/>
      <c r="AA876" s="51"/>
      <c r="AB876" s="51"/>
      <c r="AC876" s="51"/>
      <c r="AD876" s="51"/>
      <c r="AG876" t="s">
        <v>1003</v>
      </c>
      <c r="AH876" s="51"/>
      <c r="AI876" s="51"/>
    </row>
    <row r="877" spans="2:35">
      <c r="B877" t="s">
        <v>1065</v>
      </c>
      <c r="C877" t="s">
        <v>2867</v>
      </c>
      <c r="D877">
        <v>11</v>
      </c>
      <c r="E877" t="s">
        <v>2791</v>
      </c>
      <c r="F877">
        <v>5</v>
      </c>
      <c r="G877">
        <v>10</v>
      </c>
      <c r="H877">
        <v>10</v>
      </c>
      <c r="I877" t="s">
        <v>1010</v>
      </c>
      <c r="J877" s="51">
        <v>41208</v>
      </c>
      <c r="K877" t="s">
        <v>27</v>
      </c>
      <c r="L877" t="s">
        <v>880</v>
      </c>
      <c r="M877">
        <v>3</v>
      </c>
      <c r="N877" t="str">
        <f>L877</f>
        <v>NAM\MB3488</v>
      </c>
      <c r="O877" s="51">
        <f>J877</f>
        <v>41208</v>
      </c>
      <c r="P877" s="51" t="str">
        <f>C877</f>
        <v>~/cdd/olddocs/Flow Chart/ITRON/BONDING/FC-BOND-016    002378-0001.pdf</v>
      </c>
      <c r="Q877" s="51" t="str">
        <f>E877</f>
        <v>pdf</v>
      </c>
      <c r="R877" s="51"/>
      <c r="S877" s="51"/>
      <c r="T877" s="51"/>
      <c r="U877" s="51"/>
      <c r="V877" s="51"/>
      <c r="W877" s="51"/>
      <c r="X877" s="51"/>
      <c r="Y877" s="51"/>
      <c r="Z877" s="51"/>
      <c r="AA877" s="51"/>
      <c r="AB877" s="51"/>
      <c r="AC877" s="51"/>
      <c r="AD877" s="51"/>
      <c r="AG877" t="s">
        <v>1011</v>
      </c>
      <c r="AH877" s="51"/>
      <c r="AI877" s="51"/>
    </row>
    <row r="878" spans="2:35">
      <c r="B878" t="s">
        <v>1066</v>
      </c>
      <c r="C878" t="s">
        <v>2868</v>
      </c>
      <c r="D878">
        <v>11</v>
      </c>
      <c r="E878" t="s">
        <v>2791</v>
      </c>
      <c r="F878">
        <v>5</v>
      </c>
      <c r="G878">
        <v>10</v>
      </c>
      <c r="H878">
        <v>10</v>
      </c>
      <c r="I878" t="s">
        <v>1013</v>
      </c>
      <c r="J878" s="51">
        <v>41208</v>
      </c>
      <c r="K878" t="s">
        <v>27</v>
      </c>
      <c r="L878" t="s">
        <v>880</v>
      </c>
      <c r="M878">
        <v>3</v>
      </c>
      <c r="N878" t="str">
        <f>L878</f>
        <v>NAM\MB3488</v>
      </c>
      <c r="O878" s="51">
        <f>J878</f>
        <v>41208</v>
      </c>
      <c r="P878" s="51" t="str">
        <f>C878</f>
        <v>~/cdd/olddocs/Flow Chart/ITRON/BONDING/FC-BOND-017    T002379-0001.pdf</v>
      </c>
      <c r="Q878" s="51" t="str">
        <f>E878</f>
        <v>pdf</v>
      </c>
      <c r="R878" s="51"/>
      <c r="S878" s="51"/>
      <c r="T878" s="51"/>
      <c r="U878" s="51"/>
      <c r="V878" s="51"/>
      <c r="W878" s="51"/>
      <c r="X878" s="51"/>
      <c r="Y878" s="51"/>
      <c r="Z878" s="51"/>
      <c r="AA878" s="51"/>
      <c r="AB878" s="51"/>
      <c r="AC878" s="51"/>
      <c r="AD878" s="51"/>
      <c r="AG878" t="s">
        <v>1014</v>
      </c>
      <c r="AH878" s="51"/>
      <c r="AI878" s="51"/>
    </row>
    <row r="879" spans="2:35">
      <c r="B879" t="s">
        <v>1067</v>
      </c>
      <c r="C879" t="s">
        <v>2869</v>
      </c>
      <c r="D879">
        <v>11</v>
      </c>
      <c r="E879" t="s">
        <v>2791</v>
      </c>
      <c r="F879">
        <v>5</v>
      </c>
      <c r="G879">
        <v>10</v>
      </c>
      <c r="H879">
        <v>10</v>
      </c>
      <c r="I879" t="s">
        <v>1068</v>
      </c>
      <c r="J879" s="51">
        <v>41208</v>
      </c>
      <c r="K879" t="s">
        <v>27</v>
      </c>
      <c r="L879" t="s">
        <v>880</v>
      </c>
      <c r="M879">
        <v>3</v>
      </c>
      <c r="N879" t="str">
        <f>L879</f>
        <v>NAM\MB3488</v>
      </c>
      <c r="O879" s="51">
        <f>J879</f>
        <v>41208</v>
      </c>
      <c r="P879" s="51" t="str">
        <f>C879</f>
        <v>~/cdd/olddocs/Flow Chart/ITRON/BONDING/FC-BOND-018    002501-0001 y 002505-0001.pdf</v>
      </c>
      <c r="Q879" s="51" t="str">
        <f>E879</f>
        <v>pdf</v>
      </c>
      <c r="R879" s="51"/>
      <c r="S879" s="51"/>
      <c r="T879" s="51"/>
      <c r="U879" s="51"/>
      <c r="V879" s="51"/>
      <c r="W879" s="51"/>
      <c r="X879" s="51"/>
      <c r="Y879" s="51"/>
      <c r="Z879" s="51"/>
      <c r="AA879" s="51"/>
      <c r="AB879" s="51"/>
      <c r="AC879" s="51"/>
      <c r="AD879" s="51"/>
      <c r="AG879" t="s">
        <v>1069</v>
      </c>
      <c r="AH879" s="51"/>
      <c r="AI879" s="51"/>
    </row>
    <row r="880" spans="2:35">
      <c r="B880" t="s">
        <v>1070</v>
      </c>
      <c r="C880" t="s">
        <v>2870</v>
      </c>
      <c r="D880">
        <v>11</v>
      </c>
      <c r="E880" t="s">
        <v>2791</v>
      </c>
      <c r="F880">
        <v>5</v>
      </c>
      <c r="G880">
        <v>10</v>
      </c>
      <c r="H880">
        <v>10</v>
      </c>
      <c r="I880" t="s">
        <v>1019</v>
      </c>
      <c r="J880" s="51">
        <v>41208</v>
      </c>
      <c r="K880" t="s">
        <v>27</v>
      </c>
      <c r="L880" t="s">
        <v>880</v>
      </c>
      <c r="M880">
        <v>3</v>
      </c>
      <c r="N880" t="str">
        <f>L880</f>
        <v>NAM\MB3488</v>
      </c>
      <c r="O880" s="51">
        <f>J880</f>
        <v>41208</v>
      </c>
      <c r="P880" s="51" t="str">
        <f>C880</f>
        <v>~/cdd/olddocs/Flow Chart/ITRON/BONDING/FC-BOND-019    002600-000X &amp; 002601-000X.pdf</v>
      </c>
      <c r="Q880" s="51" t="str">
        <f>E880</f>
        <v>pdf</v>
      </c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G880" t="s">
        <v>1020</v>
      </c>
      <c r="AH880" s="51"/>
      <c r="AI880" s="51"/>
    </row>
    <row r="881" spans="2:35">
      <c r="B881" t="s">
        <v>1071</v>
      </c>
      <c r="C881" t="s">
        <v>2871</v>
      </c>
      <c r="D881">
        <v>11</v>
      </c>
      <c r="E881" t="s">
        <v>2791</v>
      </c>
      <c r="F881">
        <v>5</v>
      </c>
      <c r="G881">
        <v>10</v>
      </c>
      <c r="H881">
        <v>10</v>
      </c>
      <c r="I881" t="s">
        <v>1022</v>
      </c>
      <c r="J881" s="51">
        <v>41208</v>
      </c>
      <c r="K881" t="s">
        <v>27</v>
      </c>
      <c r="L881" t="s">
        <v>880</v>
      </c>
      <c r="M881">
        <v>3</v>
      </c>
      <c r="N881" t="str">
        <f>L881</f>
        <v>NAM\MB3488</v>
      </c>
      <c r="O881" s="51">
        <f>J881</f>
        <v>41208</v>
      </c>
      <c r="P881" s="51" t="str">
        <f>C881</f>
        <v>~/cdd/olddocs/Flow Chart/ITRON/BONDING/FC-BOND-020     002701-0001 al 0010.pdf</v>
      </c>
      <c r="Q881" s="51" t="str">
        <f>E881</f>
        <v>pdf</v>
      </c>
      <c r="R881" s="51"/>
      <c r="S881" s="51"/>
      <c r="T881" s="51"/>
      <c r="U881" s="51"/>
      <c r="V881" s="51"/>
      <c r="W881" s="51"/>
      <c r="X881" s="51"/>
      <c r="Y881" s="51"/>
      <c r="Z881" s="51"/>
      <c r="AA881" s="51"/>
      <c r="AB881" s="51"/>
      <c r="AC881" s="51"/>
      <c r="AD881" s="51"/>
      <c r="AG881" t="s">
        <v>1072</v>
      </c>
      <c r="AH881" s="51"/>
      <c r="AI881" s="51"/>
    </row>
    <row r="882" spans="2:35">
      <c r="B882" t="s">
        <v>1073</v>
      </c>
      <c r="C882" t="s">
        <v>2872</v>
      </c>
      <c r="D882">
        <v>11</v>
      </c>
      <c r="E882" t="s">
        <v>2791</v>
      </c>
      <c r="F882">
        <v>5</v>
      </c>
      <c r="G882">
        <v>10</v>
      </c>
      <c r="H882">
        <v>10</v>
      </c>
      <c r="I882" t="s">
        <v>1074</v>
      </c>
      <c r="J882" s="51">
        <v>41208</v>
      </c>
      <c r="K882" t="s">
        <v>27</v>
      </c>
      <c r="L882" t="s">
        <v>880</v>
      </c>
      <c r="M882">
        <v>3</v>
      </c>
      <c r="N882" t="str">
        <f>L882</f>
        <v>NAM\MB3488</v>
      </c>
      <c r="O882" s="51">
        <f>J882</f>
        <v>41208</v>
      </c>
      <c r="P882" s="51" t="str">
        <f>C882</f>
        <v>~/cdd/olddocs/Flow Chart/ITRON/BONDING/FC-BOND-021      003004-0001.pdf</v>
      </c>
      <c r="Q882" s="51" t="str">
        <f>E882</f>
        <v>pdf</v>
      </c>
      <c r="R882" s="51"/>
      <c r="S882" s="51"/>
      <c r="T882" s="51"/>
      <c r="U882" s="51"/>
      <c r="V882" s="51"/>
      <c r="W882" s="51"/>
      <c r="X882" s="51"/>
      <c r="Y882" s="51"/>
      <c r="Z882" s="51"/>
      <c r="AA882" s="51"/>
      <c r="AB882" s="51"/>
      <c r="AC882" s="51"/>
      <c r="AD882" s="51"/>
      <c r="AG882" t="s">
        <v>1026</v>
      </c>
      <c r="AH882" s="51"/>
      <c r="AI882" s="51"/>
    </row>
    <row r="883" spans="2:35">
      <c r="B883" t="s">
        <v>1075</v>
      </c>
      <c r="C883" t="s">
        <v>2873</v>
      </c>
      <c r="D883">
        <v>11</v>
      </c>
      <c r="E883" t="s">
        <v>2791</v>
      </c>
      <c r="F883">
        <v>5</v>
      </c>
      <c r="G883">
        <v>10</v>
      </c>
      <c r="H883">
        <v>10</v>
      </c>
      <c r="I883" t="s">
        <v>1028</v>
      </c>
      <c r="J883" s="51">
        <v>41208</v>
      </c>
      <c r="K883" t="s">
        <v>27</v>
      </c>
      <c r="L883" t="s">
        <v>880</v>
      </c>
      <c r="M883">
        <v>3</v>
      </c>
      <c r="N883" t="str">
        <f>L883</f>
        <v>NAM\MB3488</v>
      </c>
      <c r="O883" s="51">
        <f>J883</f>
        <v>41208</v>
      </c>
      <c r="P883" s="51" t="str">
        <f>C883</f>
        <v>~/cdd/olddocs/Flow Chart/ITRON/BONDING/FC-BOND-022    003094-0001.pdf</v>
      </c>
      <c r="Q883" s="51" t="str">
        <f>E883</f>
        <v>pdf</v>
      </c>
      <c r="R883" s="51"/>
      <c r="S883" s="51"/>
      <c r="T883" s="51"/>
      <c r="U883" s="51"/>
      <c r="V883" s="51"/>
      <c r="W883" s="51"/>
      <c r="X883" s="51"/>
      <c r="Y883" s="51"/>
      <c r="Z883" s="51"/>
      <c r="AA883" s="51"/>
      <c r="AB883" s="51"/>
      <c r="AC883" s="51"/>
      <c r="AD883" s="51"/>
      <c r="AG883" t="s">
        <v>1029</v>
      </c>
      <c r="AH883" s="51"/>
      <c r="AI883" s="51"/>
    </row>
    <row r="884" spans="2:35">
      <c r="B884" t="s">
        <v>1076</v>
      </c>
      <c r="C884" t="s">
        <v>2874</v>
      </c>
      <c r="D884">
        <v>11</v>
      </c>
      <c r="E884" t="s">
        <v>2791</v>
      </c>
      <c r="F884">
        <v>5</v>
      </c>
      <c r="G884">
        <v>10</v>
      </c>
      <c r="H884">
        <v>10</v>
      </c>
      <c r="I884" t="s">
        <v>1077</v>
      </c>
      <c r="J884" s="51">
        <v>41208</v>
      </c>
      <c r="K884" t="s">
        <v>27</v>
      </c>
      <c r="L884" t="s">
        <v>880</v>
      </c>
      <c r="M884">
        <v>3</v>
      </c>
      <c r="N884" t="str">
        <f>L884</f>
        <v>NAM\MB3488</v>
      </c>
      <c r="O884" s="51">
        <f>J884</f>
        <v>41208</v>
      </c>
      <c r="P884" s="51" t="str">
        <f>C884</f>
        <v>~/cdd/olddocs/Flow Chart/ITRON/BONDING/FC-BOND-023  Rev. A   BACC65AKXXXP &amp; BACC65AJXXXS.pdf</v>
      </c>
      <c r="Q884" s="51" t="str">
        <f>E884</f>
        <v>pdf</v>
      </c>
      <c r="R884" s="51"/>
      <c r="S884" s="51"/>
      <c r="T884" s="51"/>
      <c r="U884" s="51"/>
      <c r="V884" s="51"/>
      <c r="W884" s="51"/>
      <c r="X884" s="51"/>
      <c r="Y884" s="51"/>
      <c r="Z884" s="51"/>
      <c r="AA884" s="51"/>
      <c r="AB884" s="51"/>
      <c r="AC884" s="51"/>
      <c r="AD884" s="51"/>
      <c r="AG884" t="s">
        <v>1078</v>
      </c>
      <c r="AH884" s="51"/>
      <c r="AI884" s="51"/>
    </row>
    <row r="885" spans="2:35">
      <c r="B885" t="s">
        <v>1079</v>
      </c>
      <c r="C885" t="s">
        <v>2875</v>
      </c>
      <c r="D885">
        <v>11</v>
      </c>
      <c r="E885" t="s">
        <v>2791</v>
      </c>
      <c r="F885">
        <v>5</v>
      </c>
      <c r="G885">
        <v>10</v>
      </c>
      <c r="H885">
        <v>10</v>
      </c>
      <c r="I885" t="s">
        <v>1077</v>
      </c>
      <c r="J885" s="51">
        <v>41208</v>
      </c>
      <c r="K885" t="s">
        <v>27</v>
      </c>
      <c r="L885" t="s">
        <v>880</v>
      </c>
      <c r="M885">
        <v>3</v>
      </c>
      <c r="N885" t="str">
        <f>L885</f>
        <v>NAM\MB3488</v>
      </c>
      <c r="O885" s="51">
        <f>J885</f>
        <v>41208</v>
      </c>
      <c r="P885" s="51" t="str">
        <f>C885</f>
        <v>~/cdd/olddocs/Flow Chart/ITRON/BONDING/FC-BOND-024  BACC65ALXXXS.pdf</v>
      </c>
      <c r="Q885" s="51" t="str">
        <f>E885</f>
        <v>pdf</v>
      </c>
      <c r="R885" s="51"/>
      <c r="S885" s="51"/>
      <c r="T885" s="51"/>
      <c r="U885" s="51"/>
      <c r="V885" s="51"/>
      <c r="W885" s="51"/>
      <c r="X885" s="51"/>
      <c r="Y885" s="51"/>
      <c r="Z885" s="51"/>
      <c r="AA885" s="51"/>
      <c r="AB885" s="51"/>
      <c r="AC885" s="51"/>
      <c r="AD885" s="51"/>
      <c r="AG885" t="s">
        <v>1080</v>
      </c>
      <c r="AH885" s="51"/>
      <c r="AI885" s="51"/>
    </row>
    <row r="886" spans="2:35">
      <c r="B886" t="s">
        <v>1081</v>
      </c>
      <c r="C886" t="s">
        <v>2876</v>
      </c>
      <c r="D886">
        <v>11</v>
      </c>
      <c r="E886" t="s">
        <v>2791</v>
      </c>
      <c r="F886">
        <v>5</v>
      </c>
      <c r="G886">
        <v>10</v>
      </c>
      <c r="H886">
        <v>10</v>
      </c>
      <c r="I886" t="s">
        <v>1082</v>
      </c>
      <c r="J886" s="51">
        <v>41208</v>
      </c>
      <c r="K886" t="s">
        <v>27</v>
      </c>
      <c r="L886" t="s">
        <v>880</v>
      </c>
      <c r="M886">
        <v>3</v>
      </c>
      <c r="N886" t="str">
        <f>L886</f>
        <v>NAM\MB3488</v>
      </c>
      <c r="O886" s="51">
        <f>J886</f>
        <v>41208</v>
      </c>
      <c r="P886" s="51" t="str">
        <f>C886</f>
        <v>~/cdd/olddocs/Flow Chart/ITRON/BONDING/FC-BOND-025   BACS16W, BACS16X, VB10-1UWC11 &amp; VB10-1PWC11.pdf</v>
      </c>
      <c r="Q886" s="51" t="str">
        <f>E886</f>
        <v>pdf</v>
      </c>
      <c r="R886" s="51"/>
      <c r="S886" s="51"/>
      <c r="T886" s="51"/>
      <c r="U886" s="51"/>
      <c r="V886" s="51"/>
      <c r="W886" s="51"/>
      <c r="X886" s="51"/>
      <c r="Y886" s="51"/>
      <c r="Z886" s="51"/>
      <c r="AA886" s="51"/>
      <c r="AB886" s="51"/>
      <c r="AC886" s="51"/>
      <c r="AD886" s="51"/>
      <c r="AG886" t="s">
        <v>1039</v>
      </c>
      <c r="AH886" s="51"/>
      <c r="AI886" s="51"/>
    </row>
    <row r="887" spans="2:35">
      <c r="B887" t="s">
        <v>1083</v>
      </c>
      <c r="C887" t="s">
        <v>3851</v>
      </c>
      <c r="D887">
        <v>11</v>
      </c>
      <c r="E887" t="s">
        <v>2791</v>
      </c>
      <c r="F887">
        <v>5</v>
      </c>
      <c r="G887">
        <v>10</v>
      </c>
      <c r="H887">
        <v>10</v>
      </c>
      <c r="I887" t="s">
        <v>1048</v>
      </c>
      <c r="J887" s="51">
        <v>41208</v>
      </c>
      <c r="K887" t="s">
        <v>27</v>
      </c>
      <c r="L887" t="s">
        <v>880</v>
      </c>
      <c r="M887">
        <v>3</v>
      </c>
      <c r="N887" t="str">
        <f>L887</f>
        <v>NAM\MB3488</v>
      </c>
      <c r="O887" s="51">
        <f>J887</f>
        <v>41208</v>
      </c>
      <c r="P887" s="51" t="str">
        <f>C887</f>
        <v>~cdd/olddocs/Flow Chart/ITRON/BONDING/FC-BOND-026   BACT44E1S.pdf</v>
      </c>
      <c r="Q887" s="51" t="str">
        <f>E887</f>
        <v>pdf</v>
      </c>
      <c r="R887" s="51"/>
      <c r="S887" s="51"/>
      <c r="T887" s="51"/>
      <c r="U887" s="51"/>
      <c r="V887" s="51"/>
      <c r="W887" s="51"/>
      <c r="X887" s="51"/>
      <c r="Y887" s="51"/>
      <c r="Z887" s="51"/>
      <c r="AA887" s="51"/>
      <c r="AB887" s="51"/>
      <c r="AC887" s="51"/>
      <c r="AD887" s="51"/>
      <c r="AG887" t="s">
        <v>1041</v>
      </c>
      <c r="AH887" s="51"/>
      <c r="AI887" s="51"/>
    </row>
    <row r="888" spans="2:35">
      <c r="B888" t="s">
        <v>1309</v>
      </c>
      <c r="C888" t="s">
        <v>3853</v>
      </c>
      <c r="D888">
        <v>11</v>
      </c>
      <c r="E888" t="s">
        <v>2791</v>
      </c>
      <c r="F888">
        <v>5</v>
      </c>
      <c r="G888">
        <v>12</v>
      </c>
      <c r="H888">
        <v>4</v>
      </c>
      <c r="I888" t="s">
        <v>1263</v>
      </c>
      <c r="J888" s="51">
        <v>41185</v>
      </c>
      <c r="K888" t="s">
        <v>27</v>
      </c>
      <c r="L888" t="s">
        <v>1253</v>
      </c>
      <c r="M888">
        <v>3</v>
      </c>
      <c r="N888" t="str">
        <f>L888</f>
        <v>NAM\MB3505</v>
      </c>
      <c r="O888" s="51">
        <f>J888</f>
        <v>41185</v>
      </c>
      <c r="P888" s="51" t="str">
        <f>C888</f>
        <v>~cdd/olddocs/Flow Chart/MICROMINI/CHANGE-OUT/FC-CHGO-001 CX865237AN.pdf</v>
      </c>
      <c r="Q888" s="51" t="str">
        <f>E888</f>
        <v>pdf</v>
      </c>
      <c r="R888" s="51"/>
      <c r="S888" s="51"/>
      <c r="T888" s="51"/>
      <c r="U888" s="51"/>
      <c r="V888" s="51"/>
      <c r="W888" s="51"/>
      <c r="X888" s="51"/>
      <c r="Y888" s="51"/>
      <c r="Z888" s="51"/>
      <c r="AA888" s="51"/>
      <c r="AB888" s="51"/>
      <c r="AC888" s="51"/>
      <c r="AD888" s="51"/>
      <c r="AG888" t="s">
        <v>1264</v>
      </c>
      <c r="AH888" s="51"/>
      <c r="AI888" s="51"/>
    </row>
    <row r="889" spans="2:35">
      <c r="B889" t="s">
        <v>1310</v>
      </c>
      <c r="C889" t="s">
        <v>2877</v>
      </c>
      <c r="D889">
        <v>11</v>
      </c>
      <c r="E889" t="s">
        <v>2791</v>
      </c>
      <c r="F889">
        <v>5</v>
      </c>
      <c r="G889">
        <v>12</v>
      </c>
      <c r="H889">
        <v>4</v>
      </c>
      <c r="I889" t="s">
        <v>1311</v>
      </c>
      <c r="J889" s="51">
        <v>41186</v>
      </c>
      <c r="K889" t="s">
        <v>27</v>
      </c>
      <c r="L889" t="s">
        <v>1253</v>
      </c>
      <c r="M889">
        <v>3</v>
      </c>
      <c r="N889" t="str">
        <f>L889</f>
        <v>NAM\MB3505</v>
      </c>
      <c r="O889" s="51">
        <f>J889</f>
        <v>41186</v>
      </c>
      <c r="P889" s="51" t="str">
        <f>C889</f>
        <v>~/cdd/olddocs/Flow Chart/MICROMINI/CHANGE-OUT/FC-CHGO-002  CX8653312P.pdf</v>
      </c>
      <c r="Q889" s="51" t="str">
        <f>E889</f>
        <v>pdf</v>
      </c>
      <c r="R889" s="51"/>
      <c r="S889" s="51"/>
      <c r="T889" s="51"/>
      <c r="U889" s="51"/>
      <c r="V889" s="51"/>
      <c r="W889" s="51"/>
      <c r="X889" s="51"/>
      <c r="Y889" s="51"/>
      <c r="Z889" s="51"/>
      <c r="AA889" s="51"/>
      <c r="AB889" s="51"/>
      <c r="AC889" s="51"/>
      <c r="AD889" s="51"/>
      <c r="AG889" t="s">
        <v>1267</v>
      </c>
      <c r="AH889" s="51"/>
      <c r="AI889" s="51"/>
    </row>
    <row r="890" spans="2:35">
      <c r="B890" t="s">
        <v>1312</v>
      </c>
      <c r="C890" t="s">
        <v>2878</v>
      </c>
      <c r="D890">
        <v>11</v>
      </c>
      <c r="E890" t="s">
        <v>2791</v>
      </c>
      <c r="F890">
        <v>5</v>
      </c>
      <c r="G890">
        <v>12</v>
      </c>
      <c r="H890">
        <v>4</v>
      </c>
      <c r="I890" t="s">
        <v>1285</v>
      </c>
      <c r="J890" s="51">
        <v>41186</v>
      </c>
      <c r="K890" t="s">
        <v>27</v>
      </c>
      <c r="L890" t="s">
        <v>1253</v>
      </c>
      <c r="M890">
        <v>3</v>
      </c>
      <c r="N890" t="str">
        <f>L890</f>
        <v>NAM\MB3505</v>
      </c>
      <c r="O890" s="51">
        <f>J890</f>
        <v>41186</v>
      </c>
      <c r="P890" s="51" t="str">
        <f>C890</f>
        <v>~/cdd/olddocs/Flow Chart/MICROMINI/CHANGE-OUT/FC-CHGO-003  CX8653316P.pdf</v>
      </c>
      <c r="Q890" s="51" t="str">
        <f>E890</f>
        <v>pdf</v>
      </c>
      <c r="R890" s="51"/>
      <c r="S890" s="51"/>
      <c r="T890" s="51"/>
      <c r="U890" s="51"/>
      <c r="V890" s="51"/>
      <c r="W890" s="51"/>
      <c r="X890" s="51"/>
      <c r="Y890" s="51"/>
      <c r="Z890" s="51"/>
      <c r="AA890" s="51"/>
      <c r="AB890" s="51"/>
      <c r="AC890" s="51"/>
      <c r="AD890" s="51"/>
      <c r="AG890" t="s">
        <v>1269</v>
      </c>
      <c r="AH890" s="51"/>
      <c r="AI890" s="51"/>
    </row>
    <row r="891" spans="2:35">
      <c r="B891" t="s">
        <v>1313</v>
      </c>
      <c r="C891" t="s">
        <v>2879</v>
      </c>
      <c r="D891">
        <v>11</v>
      </c>
      <c r="E891" t="s">
        <v>2791</v>
      </c>
      <c r="F891">
        <v>5</v>
      </c>
      <c r="G891">
        <v>12</v>
      </c>
      <c r="H891">
        <v>4</v>
      </c>
      <c r="I891" t="s">
        <v>1311</v>
      </c>
      <c r="J891" s="51">
        <v>41186</v>
      </c>
      <c r="K891" t="s">
        <v>27</v>
      </c>
      <c r="L891" t="s">
        <v>1253</v>
      </c>
      <c r="M891">
        <v>3</v>
      </c>
      <c r="N891" t="str">
        <f>L891</f>
        <v>NAM\MB3505</v>
      </c>
      <c r="O891" s="51">
        <f>J891</f>
        <v>41186</v>
      </c>
      <c r="P891" s="51" t="str">
        <f>C891</f>
        <v>~/cdd/olddocs/Flow Chart/MICROMINI/CHANGE-OUT/FC-CHGO-004  CX8653330P.pdf</v>
      </c>
      <c r="Q891" s="51" t="str">
        <f>E891</f>
        <v>pdf</v>
      </c>
      <c r="R891" s="51"/>
      <c r="S891" s="51"/>
      <c r="T891" s="51"/>
      <c r="U891" s="51"/>
      <c r="V891" s="51"/>
      <c r="W891" s="51"/>
      <c r="X891" s="51"/>
      <c r="Y891" s="51"/>
      <c r="Z891" s="51"/>
      <c r="AA891" s="51"/>
      <c r="AB891" s="51"/>
      <c r="AC891" s="51"/>
      <c r="AD891" s="51"/>
      <c r="AG891" t="s">
        <v>1271</v>
      </c>
      <c r="AH891" s="51"/>
      <c r="AI891" s="51"/>
    </row>
    <row r="892" spans="2:35">
      <c r="B892" t="s">
        <v>1314</v>
      </c>
      <c r="C892" t="s">
        <v>2880</v>
      </c>
      <c r="D892">
        <v>11</v>
      </c>
      <c r="E892" t="s">
        <v>2791</v>
      </c>
      <c r="F892">
        <v>5</v>
      </c>
      <c r="G892">
        <v>12</v>
      </c>
      <c r="H892">
        <v>4</v>
      </c>
      <c r="I892" t="s">
        <v>1273</v>
      </c>
      <c r="J892" s="51">
        <v>41186</v>
      </c>
      <c r="K892" t="s">
        <v>27</v>
      </c>
      <c r="L892" t="s">
        <v>1253</v>
      </c>
      <c r="M892">
        <v>3</v>
      </c>
      <c r="N892" t="str">
        <f>L892</f>
        <v>NAM\MB3505</v>
      </c>
      <c r="O892" s="51">
        <f>J892</f>
        <v>41186</v>
      </c>
      <c r="P892" s="51" t="str">
        <f>C892</f>
        <v>~/cdd/olddocs/Flow Chart/MICROMINI/CHANGE-OUT/FC-CHGO-005  CX8653346P.pdf</v>
      </c>
      <c r="Q892" s="51" t="str">
        <f>E892</f>
        <v>pdf</v>
      </c>
      <c r="R892" s="51"/>
      <c r="S892" s="51"/>
      <c r="T892" s="51"/>
      <c r="U892" s="51"/>
      <c r="V892" s="51"/>
      <c r="W892" s="51"/>
      <c r="X892" s="51"/>
      <c r="Y892" s="51"/>
      <c r="Z892" s="51"/>
      <c r="AA892" s="51"/>
      <c r="AB892" s="51"/>
      <c r="AC892" s="51"/>
      <c r="AD892" s="51"/>
      <c r="AG892" t="s">
        <v>1274</v>
      </c>
      <c r="AH892" s="51"/>
      <c r="AI892" s="51"/>
    </row>
    <row r="893" spans="2:35">
      <c r="B893" t="s">
        <v>1315</v>
      </c>
      <c r="C893" t="s">
        <v>2881</v>
      </c>
      <c r="D893">
        <v>11</v>
      </c>
      <c r="E893" t="s">
        <v>2791</v>
      </c>
      <c r="F893">
        <v>5</v>
      </c>
      <c r="G893">
        <v>12</v>
      </c>
      <c r="H893">
        <v>4</v>
      </c>
      <c r="I893" t="s">
        <v>1316</v>
      </c>
      <c r="J893" s="51">
        <v>41186</v>
      </c>
      <c r="K893" t="s">
        <v>27</v>
      </c>
      <c r="L893" t="s">
        <v>1253</v>
      </c>
      <c r="M893">
        <v>3</v>
      </c>
      <c r="N893" t="str">
        <f>L893</f>
        <v>NAM\MB3505</v>
      </c>
      <c r="O893" s="51">
        <f>J893</f>
        <v>41186</v>
      </c>
      <c r="P893" s="51" t="str">
        <f>C893</f>
        <v>~/cdd/olddocs/Flow Chart/MICROMINI/CHANGE-OUT/FC-CHGO-006   X865248P.pdf</v>
      </c>
      <c r="Q893" s="51" t="str">
        <f>E893</f>
        <v>pdf</v>
      </c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G893" t="s">
        <v>1317</v>
      </c>
      <c r="AH893" s="51"/>
      <c r="AI893" s="51"/>
    </row>
    <row r="894" spans="2:35">
      <c r="B894" t="s">
        <v>1318</v>
      </c>
      <c r="C894" t="s">
        <v>3930</v>
      </c>
      <c r="D894">
        <v>11</v>
      </c>
      <c r="E894" t="s">
        <v>2790</v>
      </c>
      <c r="F894">
        <v>5</v>
      </c>
      <c r="G894">
        <v>12</v>
      </c>
      <c r="H894">
        <v>4</v>
      </c>
      <c r="I894" t="s">
        <v>1279</v>
      </c>
      <c r="J894" s="51">
        <v>41186</v>
      </c>
      <c r="K894" t="s">
        <v>27</v>
      </c>
      <c r="L894" t="s">
        <v>1253</v>
      </c>
      <c r="M894">
        <v>3</v>
      </c>
      <c r="N894" t="str">
        <f>L894</f>
        <v>NAM\MB3505</v>
      </c>
      <c r="O894" s="51">
        <f>J894</f>
        <v>41186</v>
      </c>
      <c r="P894" s="51" t="str">
        <f>C894</f>
        <v>~/cdd/olddocs/CN-QAAS (Aseguranza de calidad)/Flow Chart/MICROMINI/CHANGE - OUT/FC-CHGO-007 Rev. A  X865251P.xlsx</v>
      </c>
      <c r="Q894" s="51" t="str">
        <f>E894</f>
        <v>xlsx</v>
      </c>
      <c r="R894" s="51"/>
      <c r="S894" s="51"/>
      <c r="T894" s="51"/>
      <c r="U894" s="51"/>
      <c r="V894" s="51"/>
      <c r="W894" s="51"/>
      <c r="X894" s="51"/>
      <c r="Y894" s="51"/>
      <c r="Z894" s="51"/>
      <c r="AA894" s="51"/>
      <c r="AB894" s="51"/>
      <c r="AC894" s="51"/>
      <c r="AD894" s="51"/>
      <c r="AG894" t="s">
        <v>1280</v>
      </c>
      <c r="AH894" s="51"/>
      <c r="AI894" s="51"/>
    </row>
    <row r="895" spans="2:35">
      <c r="B895" t="s">
        <v>1319</v>
      </c>
      <c r="C895" t="s">
        <v>2882</v>
      </c>
      <c r="D895">
        <v>11</v>
      </c>
      <c r="E895" t="s">
        <v>2791</v>
      </c>
      <c r="F895">
        <v>5</v>
      </c>
      <c r="G895">
        <v>12</v>
      </c>
      <c r="H895">
        <v>4</v>
      </c>
      <c r="I895" t="s">
        <v>1282</v>
      </c>
      <c r="J895" s="51">
        <v>41186</v>
      </c>
      <c r="K895" t="s">
        <v>27</v>
      </c>
      <c r="L895" t="s">
        <v>1253</v>
      </c>
      <c r="M895">
        <v>3</v>
      </c>
      <c r="N895" t="str">
        <f>L895</f>
        <v>NAM\MB3505</v>
      </c>
      <c r="O895" s="51">
        <f>J895</f>
        <v>41186</v>
      </c>
      <c r="P895" s="51" t="str">
        <f>C895</f>
        <v>~/cdd/olddocs/Flow Chart/MICROMINI/CHANGE-OUT/FC-CHGO-008  X865316P, X865398P.pdf</v>
      </c>
      <c r="Q895" s="51" t="str">
        <f>E895</f>
        <v>pdf</v>
      </c>
      <c r="R895" s="51"/>
      <c r="S895" s="51"/>
      <c r="T895" s="51"/>
      <c r="U895" s="51"/>
      <c r="V895" s="51"/>
      <c r="W895" s="51"/>
      <c r="X895" s="51"/>
      <c r="Y895" s="51"/>
      <c r="Z895" s="51"/>
      <c r="AA895" s="51"/>
      <c r="AB895" s="51"/>
      <c r="AC895" s="51"/>
      <c r="AD895" s="51"/>
      <c r="AG895" t="s">
        <v>1320</v>
      </c>
      <c r="AH895" s="51"/>
      <c r="AI895" s="51"/>
    </row>
    <row r="896" spans="2:35">
      <c r="B896" t="s">
        <v>1321</v>
      </c>
      <c r="C896" t="s">
        <v>2883</v>
      </c>
      <c r="D896">
        <v>11</v>
      </c>
      <c r="E896" t="s">
        <v>2791</v>
      </c>
      <c r="F896">
        <v>5</v>
      </c>
      <c r="G896">
        <v>12</v>
      </c>
      <c r="H896">
        <v>4</v>
      </c>
      <c r="I896" t="s">
        <v>1311</v>
      </c>
      <c r="J896" s="51">
        <v>41186</v>
      </c>
      <c r="K896" t="s">
        <v>27</v>
      </c>
      <c r="L896" t="s">
        <v>1253</v>
      </c>
      <c r="M896">
        <v>3</v>
      </c>
      <c r="N896" t="str">
        <f>L896</f>
        <v>NAM\MB3505</v>
      </c>
      <c r="O896" s="51">
        <f>J896</f>
        <v>41186</v>
      </c>
      <c r="P896" s="51" t="str">
        <f>C896</f>
        <v>~/cdd/olddocs/Flow Chart/MICROMINI/CHANGE-OUT/FC-CHGO-009  X865344P.pdf</v>
      </c>
      <c r="Q896" s="51" t="str">
        <f>E896</f>
        <v>pdf</v>
      </c>
      <c r="R896" s="51"/>
      <c r="S896" s="51"/>
      <c r="T896" s="51"/>
      <c r="U896" s="51"/>
      <c r="V896" s="51"/>
      <c r="W896" s="51"/>
      <c r="X896" s="51"/>
      <c r="Y896" s="51"/>
      <c r="Z896" s="51"/>
      <c r="AA896" s="51"/>
      <c r="AB896" s="51"/>
      <c r="AC896" s="51"/>
      <c r="AD896" s="51"/>
      <c r="AG896" t="s">
        <v>1322</v>
      </c>
      <c r="AH896" s="51"/>
      <c r="AI896" s="51"/>
    </row>
    <row r="897" spans="2:35">
      <c r="B897" t="s">
        <v>1323</v>
      </c>
      <c r="C897" t="s">
        <v>2884</v>
      </c>
      <c r="D897">
        <v>11</v>
      </c>
      <c r="E897" t="s">
        <v>2791</v>
      </c>
      <c r="F897">
        <v>5</v>
      </c>
      <c r="G897">
        <v>12</v>
      </c>
      <c r="H897">
        <v>4</v>
      </c>
      <c r="I897" t="s">
        <v>1324</v>
      </c>
      <c r="J897" s="51">
        <v>41187</v>
      </c>
      <c r="K897" t="s">
        <v>27</v>
      </c>
      <c r="L897" t="s">
        <v>1253</v>
      </c>
      <c r="M897">
        <v>3</v>
      </c>
      <c r="N897" t="str">
        <f>L897</f>
        <v>NAM\MB3505</v>
      </c>
      <c r="O897" s="51">
        <f>J897</f>
        <v>41187</v>
      </c>
      <c r="P897" s="51" t="str">
        <f>C897</f>
        <v>~/cdd/olddocs/Flow Chart/MICROMINI/CHANGE-OUT/FC-CHGO-010   X865393P.pdf</v>
      </c>
      <c r="Q897" s="51" t="str">
        <f>E897</f>
        <v>pdf</v>
      </c>
      <c r="R897" s="51"/>
      <c r="S897" s="51"/>
      <c r="T897" s="51"/>
      <c r="U897" s="51"/>
      <c r="V897" s="51"/>
      <c r="W897" s="51"/>
      <c r="X897" s="51"/>
      <c r="Y897" s="51"/>
      <c r="Z897" s="51"/>
      <c r="AA897" s="51"/>
      <c r="AB897" s="51"/>
      <c r="AC897" s="51"/>
      <c r="AD897" s="51"/>
      <c r="AG897" t="s">
        <v>1289</v>
      </c>
      <c r="AH897" s="51"/>
      <c r="AI897" s="51"/>
    </row>
    <row r="898" spans="2:35">
      <c r="B898" t="s">
        <v>1325</v>
      </c>
      <c r="C898" t="s">
        <v>2885</v>
      </c>
      <c r="D898">
        <v>11</v>
      </c>
      <c r="E898" t="s">
        <v>2791</v>
      </c>
      <c r="F898">
        <v>5</v>
      </c>
      <c r="G898">
        <v>12</v>
      </c>
      <c r="H898">
        <v>4</v>
      </c>
      <c r="I898" t="s">
        <v>1291</v>
      </c>
      <c r="J898" s="51">
        <v>41187</v>
      </c>
      <c r="K898" t="s">
        <v>27</v>
      </c>
      <c r="L898" t="s">
        <v>1253</v>
      </c>
      <c r="M898">
        <v>3</v>
      </c>
      <c r="N898" t="str">
        <f>L898</f>
        <v>NAM\MB3505</v>
      </c>
      <c r="O898" s="51">
        <f>J898</f>
        <v>41187</v>
      </c>
      <c r="P898" s="51" t="str">
        <f>C898</f>
        <v>~/cdd/olddocs/Flow Chart/MICROMINI/CHANGE-OUT/FC-CHGO-011  X8651648P.pdf</v>
      </c>
      <c r="Q898" s="51" t="str">
        <f>E898</f>
        <v>pdf</v>
      </c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G898" t="s">
        <v>1326</v>
      </c>
      <c r="AH898" s="51"/>
      <c r="AI898" s="51"/>
    </row>
    <row r="899" spans="2:35">
      <c r="B899" t="s">
        <v>1327</v>
      </c>
      <c r="C899" t="s">
        <v>2886</v>
      </c>
      <c r="D899">
        <v>11</v>
      </c>
      <c r="E899" t="s">
        <v>2791</v>
      </c>
      <c r="F899">
        <v>5</v>
      </c>
      <c r="G899">
        <v>12</v>
      </c>
      <c r="H899">
        <v>4</v>
      </c>
      <c r="I899" t="s">
        <v>1285</v>
      </c>
      <c r="J899" s="51">
        <v>41191</v>
      </c>
      <c r="K899" t="s">
        <v>27</v>
      </c>
      <c r="L899" t="s">
        <v>1253</v>
      </c>
      <c r="M899">
        <v>3</v>
      </c>
      <c r="N899" t="str">
        <f>L899</f>
        <v>NAM\MB3505</v>
      </c>
      <c r="O899" s="51">
        <f>J899</f>
        <v>41191</v>
      </c>
      <c r="P899" s="51" t="str">
        <f>C899</f>
        <v>~/cdd/olddocs/Flow Chart/MICROMINI/CHANGE-OUT/FC-CHGO-012  X8653325.pdf</v>
      </c>
      <c r="Q899" s="51" t="str">
        <f>E899</f>
        <v>pdf</v>
      </c>
      <c r="R899" s="51"/>
      <c r="S899" s="51"/>
      <c r="T899" s="51"/>
      <c r="U899" s="51"/>
      <c r="V899" s="51"/>
      <c r="W899" s="51"/>
      <c r="X899" s="51"/>
      <c r="Y899" s="51"/>
      <c r="Z899" s="51"/>
      <c r="AA899" s="51"/>
      <c r="AB899" s="51"/>
      <c r="AC899" s="51"/>
      <c r="AD899" s="51"/>
      <c r="AG899" t="s">
        <v>1328</v>
      </c>
      <c r="AH899" s="51"/>
      <c r="AI899" s="51"/>
    </row>
    <row r="900" spans="2:35">
      <c r="B900" t="s">
        <v>1329</v>
      </c>
      <c r="C900" t="s">
        <v>3854</v>
      </c>
      <c r="D900">
        <v>11</v>
      </c>
      <c r="E900" t="s">
        <v>2790</v>
      </c>
      <c r="F900">
        <v>5</v>
      </c>
      <c r="G900">
        <v>12</v>
      </c>
      <c r="H900">
        <v>4</v>
      </c>
      <c r="I900" t="s">
        <v>1330</v>
      </c>
      <c r="J900" s="51">
        <v>41191</v>
      </c>
      <c r="K900" t="s">
        <v>27</v>
      </c>
      <c r="L900" t="s">
        <v>1253</v>
      </c>
      <c r="M900">
        <v>3</v>
      </c>
      <c r="N900" t="str">
        <f>L900</f>
        <v>NAM\MB3505</v>
      </c>
      <c r="O900" s="51">
        <f>J900</f>
        <v>41191</v>
      </c>
      <c r="P900" s="51" t="str">
        <f>C900</f>
        <v>~cdd/olddocs/Flow Chart/MICROMINI/CHANGE-OUT/FC-CHGO-013 Rev. A   X8653382P.xlsx</v>
      </c>
      <c r="Q900" s="51" t="str">
        <f>E900</f>
        <v>xlsx</v>
      </c>
      <c r="R900" s="51"/>
      <c r="S900" s="51"/>
      <c r="T900" s="51"/>
      <c r="U900" s="51"/>
      <c r="V900" s="51"/>
      <c r="W900" s="51"/>
      <c r="X900" s="51"/>
      <c r="Y900" s="51"/>
      <c r="Z900" s="51"/>
      <c r="AA900" s="51"/>
      <c r="AB900" s="51"/>
      <c r="AC900" s="51"/>
      <c r="AD900" s="51"/>
      <c r="AG900" t="s">
        <v>1297</v>
      </c>
      <c r="AH900" s="51"/>
      <c r="AI900" s="51"/>
    </row>
    <row r="901" spans="2:35">
      <c r="B901" t="s">
        <v>1331</v>
      </c>
      <c r="C901" t="s">
        <v>3855</v>
      </c>
      <c r="D901">
        <v>11</v>
      </c>
      <c r="E901" t="s">
        <v>2791</v>
      </c>
      <c r="F901">
        <v>5</v>
      </c>
      <c r="G901">
        <v>12</v>
      </c>
      <c r="H901">
        <v>4</v>
      </c>
      <c r="I901" t="s">
        <v>1299</v>
      </c>
      <c r="J901" s="51">
        <v>41191</v>
      </c>
      <c r="K901" t="s">
        <v>27</v>
      </c>
      <c r="L901" t="s">
        <v>1253</v>
      </c>
      <c r="M901">
        <v>3</v>
      </c>
      <c r="N901" t="str">
        <f>L901</f>
        <v>NAM\MB3505</v>
      </c>
      <c r="O901" s="51">
        <f>J901</f>
        <v>41191</v>
      </c>
      <c r="P901" s="51" t="str">
        <f>C901</f>
        <v>~cdd/olddocs/Flow Chart/MICROMINI/CHANGE-OUT/FC-CHGO-014    X8653568P.pdf</v>
      </c>
      <c r="Q901" s="51" t="str">
        <f>E901</f>
        <v>pdf</v>
      </c>
      <c r="R901" s="51"/>
      <c r="S901" s="51"/>
      <c r="T901" s="51"/>
      <c r="U901" s="51"/>
      <c r="V901" s="51"/>
      <c r="W901" s="51"/>
      <c r="X901" s="51"/>
      <c r="Y901" s="51"/>
      <c r="Z901" s="51"/>
      <c r="AA901" s="51"/>
      <c r="AB901" s="51"/>
      <c r="AC901" s="51"/>
      <c r="AD901" s="51"/>
      <c r="AG901" t="s">
        <v>1300</v>
      </c>
      <c r="AH901" s="51"/>
      <c r="AI901" s="51"/>
    </row>
    <row r="902" spans="2:35">
      <c r="B902" t="s">
        <v>1332</v>
      </c>
      <c r="C902" t="s">
        <v>2887</v>
      </c>
      <c r="D902">
        <v>11</v>
      </c>
      <c r="E902" t="s">
        <v>2791</v>
      </c>
      <c r="F902">
        <v>5</v>
      </c>
      <c r="G902">
        <v>12</v>
      </c>
      <c r="H902">
        <v>4</v>
      </c>
      <c r="I902" t="s">
        <v>1302</v>
      </c>
      <c r="J902" s="51">
        <v>41191</v>
      </c>
      <c r="K902" t="s">
        <v>27</v>
      </c>
      <c r="L902" t="s">
        <v>1253</v>
      </c>
      <c r="M902">
        <v>3</v>
      </c>
      <c r="N902" t="str">
        <f>L902</f>
        <v>NAM\MB3505</v>
      </c>
      <c r="O902" s="51">
        <f>J902</f>
        <v>41191</v>
      </c>
      <c r="P902" s="51" t="str">
        <f>C902</f>
        <v>~/cdd/olddocs/Flow Chart/MICROMINI/CHANGE-OUT/FC-CHGO-015    X8653687P.pdf</v>
      </c>
      <c r="Q902" s="51" t="str">
        <f>E902</f>
        <v>pdf</v>
      </c>
      <c r="R902" s="51"/>
      <c r="S902" s="51"/>
      <c r="T902" s="51"/>
      <c r="U902" s="51"/>
      <c r="V902" s="51"/>
      <c r="W902" s="51"/>
      <c r="X902" s="51"/>
      <c r="Y902" s="51"/>
      <c r="Z902" s="51"/>
      <c r="AA902" s="51"/>
      <c r="AB902" s="51"/>
      <c r="AC902" s="51"/>
      <c r="AD902" s="51"/>
      <c r="AG902" t="s">
        <v>1303</v>
      </c>
      <c r="AH902" s="51"/>
      <c r="AI902" s="51"/>
    </row>
    <row r="903" spans="2:35">
      <c r="B903" t="s">
        <v>1333</v>
      </c>
      <c r="C903" t="s">
        <v>2888</v>
      </c>
      <c r="D903">
        <v>11</v>
      </c>
      <c r="E903" t="s">
        <v>2791</v>
      </c>
      <c r="F903">
        <v>5</v>
      </c>
      <c r="G903">
        <v>12</v>
      </c>
      <c r="H903">
        <v>4</v>
      </c>
      <c r="I903" t="s">
        <v>1316</v>
      </c>
      <c r="J903" s="51">
        <v>41193</v>
      </c>
      <c r="K903" t="s">
        <v>27</v>
      </c>
      <c r="L903" t="s">
        <v>1253</v>
      </c>
      <c r="M903">
        <v>3</v>
      </c>
      <c r="N903" t="str">
        <f>L903</f>
        <v>NAM\MB3505</v>
      </c>
      <c r="O903" s="51">
        <f>J903</f>
        <v>41193</v>
      </c>
      <c r="P903" s="51" t="str">
        <f>C903</f>
        <v>~/cdd/olddocs/Flow Chart/MICROMINI/CHANGE-OUT/FC-CHGO-016   X86521624P.pdf</v>
      </c>
      <c r="Q903" s="51" t="str">
        <f>E903</f>
        <v>pdf</v>
      </c>
      <c r="R903" s="51"/>
      <c r="S903" s="51"/>
      <c r="T903" s="51"/>
      <c r="U903" s="51"/>
      <c r="V903" s="51"/>
      <c r="W903" s="51"/>
      <c r="X903" s="51"/>
      <c r="Y903" s="51"/>
      <c r="Z903" s="51"/>
      <c r="AA903" s="51"/>
      <c r="AB903" s="51"/>
      <c r="AC903" s="51"/>
      <c r="AD903" s="51"/>
      <c r="AG903" t="s">
        <v>1334</v>
      </c>
      <c r="AH903" s="51"/>
      <c r="AI903" s="51"/>
    </row>
    <row r="904" spans="2:35">
      <c r="B904" t="s">
        <v>1335</v>
      </c>
      <c r="C904" t="s">
        <v>2889</v>
      </c>
      <c r="D904">
        <v>11</v>
      </c>
      <c r="E904" t="s">
        <v>2791</v>
      </c>
      <c r="F904">
        <v>5</v>
      </c>
      <c r="G904">
        <v>12</v>
      </c>
      <c r="H904">
        <v>4</v>
      </c>
      <c r="I904" t="s">
        <v>1336</v>
      </c>
      <c r="J904" s="51">
        <v>41193</v>
      </c>
      <c r="K904" t="s">
        <v>27</v>
      </c>
      <c r="L904" t="s">
        <v>1253</v>
      </c>
      <c r="M904">
        <v>3</v>
      </c>
      <c r="N904" t="str">
        <f>L904</f>
        <v>NAM\MB3505</v>
      </c>
      <c r="O904" s="51">
        <f>J904</f>
        <v>41193</v>
      </c>
      <c r="P904" s="51" t="str">
        <f>C904</f>
        <v>~/cdd/olddocs/Flow Chart/MICROMINI/CHANGE-OUT/FC-CHGO-017   X86531621P.pdf</v>
      </c>
      <c r="Q904" s="51" t="str">
        <f>E904</f>
        <v>pdf</v>
      </c>
      <c r="R904" s="51"/>
      <c r="S904" s="51"/>
      <c r="T904" s="51"/>
      <c r="U904" s="51"/>
      <c r="V904" s="51"/>
      <c r="W904" s="51"/>
      <c r="X904" s="51"/>
      <c r="Y904" s="51"/>
      <c r="Z904" s="51"/>
      <c r="AA904" s="51"/>
      <c r="AB904" s="51"/>
      <c r="AC904" s="51"/>
      <c r="AD904" s="51"/>
      <c r="AG904" t="s">
        <v>1337</v>
      </c>
      <c r="AH904" s="51"/>
      <c r="AI904" s="51"/>
    </row>
    <row r="905" spans="2:35">
      <c r="B905" t="s">
        <v>1581</v>
      </c>
      <c r="C905" t="s">
        <v>3852</v>
      </c>
      <c r="D905">
        <v>11</v>
      </c>
      <c r="E905" t="s">
        <v>2790</v>
      </c>
      <c r="F905">
        <v>5</v>
      </c>
      <c r="G905">
        <v>9</v>
      </c>
      <c r="H905">
        <v>9</v>
      </c>
      <c r="I905" t="s">
        <v>1582</v>
      </c>
      <c r="J905" s="51">
        <v>41142</v>
      </c>
      <c r="K905" t="s">
        <v>27</v>
      </c>
      <c r="L905" t="s">
        <v>1584</v>
      </c>
      <c r="M905">
        <v>3</v>
      </c>
      <c r="N905" t="str">
        <f>L905</f>
        <v>NAM\A8070</v>
      </c>
      <c r="O905" s="51">
        <f>J905</f>
        <v>41142</v>
      </c>
      <c r="P905" s="51" t="str">
        <f>C905</f>
        <v>~cdd/olddocs/Flow Chart/ITRON/MILTICELL A&amp;B/FC-IMB-001 Rev. A  CBA-1300-00628-2302-0001.xlsx</v>
      </c>
      <c r="Q905" s="51" t="str">
        <f>E905</f>
        <v>xlsx</v>
      </c>
      <c r="R905" s="51"/>
      <c r="S905" s="51"/>
      <c r="T905" s="51"/>
      <c r="U905" s="51"/>
      <c r="V905" s="51"/>
      <c r="W905" s="51"/>
      <c r="X905" s="51"/>
      <c r="Y905" s="51"/>
      <c r="Z905" s="51"/>
      <c r="AA905" s="51"/>
      <c r="AB905" s="51"/>
      <c r="AC905" s="51"/>
      <c r="AD905" s="51"/>
      <c r="AG905" t="s">
        <v>1098</v>
      </c>
      <c r="AH905" s="51"/>
      <c r="AI905" s="51"/>
    </row>
    <row r="906" spans="2:35">
      <c r="B906" t="s">
        <v>1402</v>
      </c>
      <c r="C906" t="s">
        <v>2890</v>
      </c>
      <c r="D906">
        <v>11</v>
      </c>
      <c r="E906" t="s">
        <v>2791</v>
      </c>
      <c r="F906">
        <v>5</v>
      </c>
      <c r="G906">
        <v>12</v>
      </c>
      <c r="H906">
        <v>16</v>
      </c>
      <c r="I906" t="s">
        <v>1403</v>
      </c>
      <c r="J906" s="51">
        <v>41179</v>
      </c>
      <c r="K906" t="s">
        <v>27</v>
      </c>
      <c r="L906" t="s">
        <v>1253</v>
      </c>
      <c r="M906">
        <v>3</v>
      </c>
      <c r="N906" t="str">
        <f>L906</f>
        <v>NAM\MB3505</v>
      </c>
      <c r="O906" s="51">
        <f>J906</f>
        <v>41179</v>
      </c>
      <c r="P906" s="51" t="str">
        <f>C906</f>
        <v>~/cdd/olddocs/Flow Chart/MICROMINI/MS/FC-MS-001  203205A.pdf</v>
      </c>
      <c r="Q906" s="51" t="str">
        <f>E906</f>
        <v>pdf</v>
      </c>
      <c r="R906" s="51"/>
      <c r="S906" s="51"/>
      <c r="T906" s="51"/>
      <c r="U906" s="51"/>
      <c r="V906" s="51"/>
      <c r="W906" s="51"/>
      <c r="X906" s="51"/>
      <c r="Y906" s="51"/>
      <c r="Z906" s="51"/>
      <c r="AA906" s="51"/>
      <c r="AB906" s="51"/>
      <c r="AC906" s="51"/>
      <c r="AD906" s="51"/>
      <c r="AG906" t="s">
        <v>1369</v>
      </c>
      <c r="AH906" s="51"/>
      <c r="AI906" s="51"/>
    </row>
    <row r="907" spans="2:35">
      <c r="B907" t="s">
        <v>1404</v>
      </c>
      <c r="C907" t="s">
        <v>2891</v>
      </c>
      <c r="D907">
        <v>11</v>
      </c>
      <c r="E907" t="s">
        <v>2791</v>
      </c>
      <c r="F907">
        <v>5</v>
      </c>
      <c r="G907">
        <v>12</v>
      </c>
      <c r="H907">
        <v>16</v>
      </c>
      <c r="I907" t="s">
        <v>1405</v>
      </c>
      <c r="J907" s="51">
        <v>41179</v>
      </c>
      <c r="K907" t="s">
        <v>27</v>
      </c>
      <c r="L907" t="s">
        <v>1253</v>
      </c>
      <c r="M907">
        <v>3</v>
      </c>
      <c r="N907" t="str">
        <f>L907</f>
        <v>NAM\MB3505</v>
      </c>
      <c r="O907" s="51">
        <f>J907</f>
        <v>41179</v>
      </c>
      <c r="P907" s="51" t="str">
        <f>C907</f>
        <v>~/cdd/olddocs/Flow Chart/MICROMINI/MS/FC-MS-002  5680551.pdf</v>
      </c>
      <c r="Q907" s="51" t="str">
        <f>E907</f>
        <v>pdf</v>
      </c>
      <c r="R907" s="51"/>
      <c r="S907" s="51"/>
      <c r="T907" s="51"/>
      <c r="U907" s="51"/>
      <c r="V907" s="51"/>
      <c r="W907" s="51"/>
      <c r="X907" s="51"/>
      <c r="Y907" s="51"/>
      <c r="Z907" s="51"/>
      <c r="AA907" s="51"/>
      <c r="AB907" s="51"/>
      <c r="AC907" s="51"/>
      <c r="AD907" s="51"/>
      <c r="AG907" t="s">
        <v>1406</v>
      </c>
      <c r="AH907" s="51"/>
      <c r="AI907" s="51"/>
    </row>
    <row r="908" spans="2:35">
      <c r="B908" t="s">
        <v>1407</v>
      </c>
      <c r="C908" t="s">
        <v>2892</v>
      </c>
      <c r="D908">
        <v>11</v>
      </c>
      <c r="E908" t="s">
        <v>2791</v>
      </c>
      <c r="F908">
        <v>5</v>
      </c>
      <c r="G908">
        <v>12</v>
      </c>
      <c r="H908">
        <v>16</v>
      </c>
      <c r="I908" t="s">
        <v>1374</v>
      </c>
      <c r="J908" s="51">
        <v>41179</v>
      </c>
      <c r="K908" t="s">
        <v>27</v>
      </c>
      <c r="L908" t="s">
        <v>1253</v>
      </c>
      <c r="M908">
        <v>3</v>
      </c>
      <c r="N908" t="str">
        <f>L908</f>
        <v>NAM\MB3505</v>
      </c>
      <c r="O908" s="51">
        <f>J908</f>
        <v>41179</v>
      </c>
      <c r="P908" s="51" t="str">
        <f>C908</f>
        <v>~/cdd/olddocs/Flow Chart/MICROMINI/MS/FC-MS-003   11536313.pdf</v>
      </c>
      <c r="Q908" s="51" t="str">
        <f>E908</f>
        <v>pdf</v>
      </c>
      <c r="R908" s="51"/>
      <c r="S908" s="51"/>
      <c r="T908" s="51"/>
      <c r="U908" s="51"/>
      <c r="V908" s="51"/>
      <c r="W908" s="51"/>
      <c r="X908" s="51"/>
      <c r="Y908" s="51"/>
      <c r="Z908" s="51"/>
      <c r="AA908" s="51"/>
      <c r="AB908" s="51"/>
      <c r="AC908" s="51"/>
      <c r="AD908" s="51"/>
      <c r="AG908" t="s">
        <v>1408</v>
      </c>
      <c r="AH908" s="51"/>
      <c r="AI908" s="51"/>
    </row>
    <row r="909" spans="2:35">
      <c r="B909" t="s">
        <v>1409</v>
      </c>
      <c r="C909" t="s">
        <v>2893</v>
      </c>
      <c r="D909">
        <v>11</v>
      </c>
      <c r="E909" t="s">
        <v>2791</v>
      </c>
      <c r="F909">
        <v>5</v>
      </c>
      <c r="G909">
        <v>12</v>
      </c>
      <c r="H909">
        <v>16</v>
      </c>
      <c r="I909" t="s">
        <v>1410</v>
      </c>
      <c r="J909" s="51">
        <v>41180</v>
      </c>
      <c r="K909" t="s">
        <v>27</v>
      </c>
      <c r="L909" t="s">
        <v>1253</v>
      </c>
      <c r="M909">
        <v>3</v>
      </c>
      <c r="N909" t="str">
        <f>L909</f>
        <v>NAM\MB3505</v>
      </c>
      <c r="O909" s="51">
        <f>J909</f>
        <v>41180</v>
      </c>
      <c r="P909" s="51" t="str">
        <f>C909</f>
        <v>~/cdd/olddocs/Flow Chart/MICROMINI/MS/FC-MS-004  11547793.pdf</v>
      </c>
      <c r="Q909" s="51" t="str">
        <f>E909</f>
        <v>pdf</v>
      </c>
      <c r="R909" s="51"/>
      <c r="S909" s="51"/>
      <c r="T909" s="51"/>
      <c r="U909" s="51"/>
      <c r="V909" s="51"/>
      <c r="W909" s="51"/>
      <c r="X909" s="51"/>
      <c r="Y909" s="51"/>
      <c r="Z909" s="51"/>
      <c r="AA909" s="51"/>
      <c r="AB909" s="51"/>
      <c r="AC909" s="51"/>
      <c r="AD909" s="51"/>
      <c r="AG909" t="s">
        <v>1411</v>
      </c>
      <c r="AH909" s="51"/>
      <c r="AI909" s="51"/>
    </row>
    <row r="910" spans="2:35">
      <c r="B910" t="s">
        <v>1412</v>
      </c>
      <c r="C910" t="e">
        <v>#VALUE!</v>
      </c>
      <c r="D910">
        <v>11</v>
      </c>
      <c r="E910" t="e">
        <v>#VALUE!</v>
      </c>
      <c r="F910">
        <v>5</v>
      </c>
      <c r="G910">
        <v>12</v>
      </c>
      <c r="H910">
        <v>16</v>
      </c>
      <c r="I910" t="s">
        <v>1374</v>
      </c>
      <c r="J910" s="51">
        <v>41180</v>
      </c>
      <c r="K910" t="s">
        <v>27</v>
      </c>
      <c r="L910" t="s">
        <v>1253</v>
      </c>
      <c r="M910">
        <v>3</v>
      </c>
      <c r="N910" t="str">
        <f>L910</f>
        <v>NAM\MB3505</v>
      </c>
      <c r="O910" s="51">
        <f>J910</f>
        <v>41180</v>
      </c>
      <c r="P910" s="51" t="e">
        <f>C910</f>
        <v>#VALUE!</v>
      </c>
      <c r="Q910" s="51" t="e">
        <f>E910</f>
        <v>#VALUE!</v>
      </c>
      <c r="R910" s="51"/>
      <c r="S910" s="51"/>
      <c r="T910" s="51"/>
      <c r="U910" s="51"/>
      <c r="V910" s="51"/>
      <c r="W910" s="51"/>
      <c r="X910" s="51"/>
      <c r="Y910" s="51"/>
      <c r="Z910" s="51"/>
      <c r="AA910" s="51"/>
      <c r="AB910" s="51"/>
      <c r="AC910" s="51"/>
      <c r="AD910" s="51"/>
      <c r="AG910" t="s">
        <v>1413</v>
      </c>
      <c r="AH910" s="51"/>
      <c r="AI910" s="51"/>
    </row>
    <row r="911" spans="2:35">
      <c r="B911" t="s">
        <v>1414</v>
      </c>
      <c r="C911" t="s">
        <v>2894</v>
      </c>
      <c r="D911">
        <v>11</v>
      </c>
      <c r="E911" t="s">
        <v>2791</v>
      </c>
      <c r="F911">
        <v>5</v>
      </c>
      <c r="G911">
        <v>12</v>
      </c>
      <c r="H911">
        <v>16</v>
      </c>
      <c r="I911" t="s">
        <v>1410</v>
      </c>
      <c r="J911" s="51">
        <v>41180</v>
      </c>
      <c r="K911" t="s">
        <v>27</v>
      </c>
      <c r="L911" t="s">
        <v>1253</v>
      </c>
      <c r="M911">
        <v>3</v>
      </c>
      <c r="N911" t="str">
        <f>L911</f>
        <v>NAM\MB3505</v>
      </c>
      <c r="O911" s="51">
        <f>J911</f>
        <v>41180</v>
      </c>
      <c r="P911" s="51" t="str">
        <f>C911</f>
        <v>~/cdd/olddocs/Flow Chart/MICROMINI/MS/FC-MS-006 CHCCR003P.pdf</v>
      </c>
      <c r="Q911" s="51" t="str">
        <f>E911</f>
        <v>pdf</v>
      </c>
      <c r="R911" s="51"/>
      <c r="S911" s="51"/>
      <c r="T911" s="51"/>
      <c r="U911" s="51"/>
      <c r="V911" s="51"/>
      <c r="W911" s="51"/>
      <c r="X911" s="51"/>
      <c r="Y911" s="51"/>
      <c r="Z911" s="51"/>
      <c r="AA911" s="51"/>
      <c r="AB911" s="51"/>
      <c r="AC911" s="51"/>
      <c r="AD911" s="51"/>
      <c r="AG911" t="s">
        <v>1415</v>
      </c>
      <c r="AH911" s="51"/>
      <c r="AI911" s="51"/>
    </row>
    <row r="912" spans="2:35">
      <c r="B912" t="s">
        <v>1416</v>
      </c>
      <c r="C912" t="s">
        <v>2895</v>
      </c>
      <c r="D912">
        <v>11</v>
      </c>
      <c r="E912" t="s">
        <v>2791</v>
      </c>
      <c r="F912">
        <v>5</v>
      </c>
      <c r="G912">
        <v>12</v>
      </c>
      <c r="H912">
        <v>16</v>
      </c>
      <c r="I912" t="s">
        <v>1417</v>
      </c>
      <c r="J912" s="51">
        <v>41180</v>
      </c>
      <c r="K912" t="s">
        <v>27</v>
      </c>
      <c r="L912" t="s">
        <v>1253</v>
      </c>
      <c r="M912">
        <v>3</v>
      </c>
      <c r="N912" t="str">
        <f>L912</f>
        <v>NAM\MB3505</v>
      </c>
      <c r="O912" s="51">
        <f>J912</f>
        <v>41180</v>
      </c>
      <c r="P912" s="51" t="str">
        <f>C912</f>
        <v>~/cdd/olddocs/Flow Chart/MICROMINI/MS/FC-MS-007 M5E1811A230MH.pdf</v>
      </c>
      <c r="Q912" s="51" t="str">
        <f>E912</f>
        <v>pdf</v>
      </c>
      <c r="R912" s="51"/>
      <c r="S912" s="51"/>
      <c r="T912" s="51"/>
      <c r="U912" s="51"/>
      <c r="V912" s="51"/>
      <c r="W912" s="51"/>
      <c r="X912" s="51"/>
      <c r="Y912" s="51"/>
      <c r="Z912" s="51"/>
      <c r="AA912" s="51"/>
      <c r="AB912" s="51"/>
      <c r="AC912" s="51"/>
      <c r="AD912" s="51"/>
      <c r="AG912" t="s">
        <v>1384</v>
      </c>
      <c r="AH912" s="51"/>
      <c r="AI912" s="51"/>
    </row>
    <row r="913" spans="2:35">
      <c r="B913" t="s">
        <v>1418</v>
      </c>
      <c r="C913" t="s">
        <v>2896</v>
      </c>
      <c r="D913">
        <v>11</v>
      </c>
      <c r="E913" t="s">
        <v>2791</v>
      </c>
      <c r="F913">
        <v>5</v>
      </c>
      <c r="G913">
        <v>12</v>
      </c>
      <c r="H913">
        <v>16</v>
      </c>
      <c r="I913" t="s">
        <v>1419</v>
      </c>
      <c r="J913" s="51">
        <v>41180</v>
      </c>
      <c r="K913" t="s">
        <v>27</v>
      </c>
      <c r="L913" t="s">
        <v>1253</v>
      </c>
      <c r="M913">
        <v>3</v>
      </c>
      <c r="N913" t="str">
        <f>L913</f>
        <v>NAM\MB3505</v>
      </c>
      <c r="O913" s="51">
        <f>J913</f>
        <v>41180</v>
      </c>
      <c r="P913" s="51" t="str">
        <f>C913</f>
        <v>~/cdd/olddocs/Flow Chart/MICROMINI/MS/FC-MS-008 P1529042B130, P1532302C21, P1532302C27.pdf</v>
      </c>
      <c r="Q913" s="51" t="str">
        <f>E913</f>
        <v>pdf</v>
      </c>
      <c r="R913" s="51"/>
      <c r="S913" s="51"/>
      <c r="T913" s="51"/>
      <c r="U913" s="51"/>
      <c r="V913" s="51"/>
      <c r="W913" s="51"/>
      <c r="X913" s="51"/>
      <c r="Y913" s="51"/>
      <c r="Z913" s="51"/>
      <c r="AA913" s="51"/>
      <c r="AB913" s="51"/>
      <c r="AC913" s="51"/>
      <c r="AD913" s="51"/>
      <c r="AG913" t="s">
        <v>1387</v>
      </c>
      <c r="AH913" s="51"/>
      <c r="AI913" s="51"/>
    </row>
    <row r="914" spans="2:35">
      <c r="B914" t="s">
        <v>1420</v>
      </c>
      <c r="C914" t="s">
        <v>2897</v>
      </c>
      <c r="D914">
        <v>11</v>
      </c>
      <c r="E914" t="s">
        <v>2791</v>
      </c>
      <c r="F914">
        <v>5</v>
      </c>
      <c r="G914">
        <v>12</v>
      </c>
      <c r="H914">
        <v>16</v>
      </c>
      <c r="I914" t="s">
        <v>1386</v>
      </c>
      <c r="J914" s="51">
        <v>41180</v>
      </c>
      <c r="K914" t="s">
        <v>27</v>
      </c>
      <c r="L914" t="s">
        <v>1253</v>
      </c>
      <c r="M914">
        <v>3</v>
      </c>
      <c r="N914" t="str">
        <f>L914</f>
        <v>NAM\MB3505</v>
      </c>
      <c r="O914" s="51">
        <f>J914</f>
        <v>41180</v>
      </c>
      <c r="P914" s="51" t="str">
        <f>C914</f>
        <v>~/cdd/olddocs/Flow Chart/MICROMINI/MS/FC-MS-009  SMEA0092010, SMEA0092025, SMEA0092030, SMEA0092040, SMEA0092045, SMEA0092050.pdf</v>
      </c>
      <c r="Q914" s="51" t="str">
        <f>E914</f>
        <v>pdf</v>
      </c>
      <c r="R914" s="51"/>
      <c r="S914" s="51"/>
      <c r="T914" s="51"/>
      <c r="U914" s="51"/>
      <c r="V914" s="51"/>
      <c r="W914" s="51"/>
      <c r="X914" s="51"/>
      <c r="Y914" s="51"/>
      <c r="Z914" s="51"/>
      <c r="AA914" s="51"/>
      <c r="AB914" s="51"/>
      <c r="AC914" s="51"/>
      <c r="AD914" s="51"/>
      <c r="AG914" t="s">
        <v>1421</v>
      </c>
      <c r="AH914" s="51"/>
      <c r="AI914" s="51"/>
    </row>
    <row r="915" spans="2:35">
      <c r="B915" t="s">
        <v>1422</v>
      </c>
      <c r="C915" t="s">
        <v>2898</v>
      </c>
      <c r="D915">
        <v>11</v>
      </c>
      <c r="E915" t="s">
        <v>2791</v>
      </c>
      <c r="F915">
        <v>5</v>
      </c>
      <c r="G915">
        <v>12</v>
      </c>
      <c r="H915">
        <v>16</v>
      </c>
      <c r="I915" t="s">
        <v>1391</v>
      </c>
      <c r="J915" s="51">
        <v>41180</v>
      </c>
      <c r="K915" t="s">
        <v>27</v>
      </c>
      <c r="L915" t="s">
        <v>1253</v>
      </c>
      <c r="M915">
        <v>3</v>
      </c>
      <c r="N915" t="str">
        <f>L915</f>
        <v>NAM\MB3505</v>
      </c>
      <c r="O915" s="51">
        <f>J915</f>
        <v>41180</v>
      </c>
      <c r="P915" s="51" t="str">
        <f>C915</f>
        <v>~/cdd/olddocs/Flow Chart/MICROMINI/MS/FC-MS-010  SMEA0094007, SMEA0094030.pdf</v>
      </c>
      <c r="Q915" s="51" t="str">
        <f>E915</f>
        <v>pdf</v>
      </c>
      <c r="R915" s="51"/>
      <c r="S915" s="51"/>
      <c r="T915" s="51"/>
      <c r="U915" s="51"/>
      <c r="V915" s="51"/>
      <c r="W915" s="51"/>
      <c r="X915" s="51"/>
      <c r="Y915" s="51"/>
      <c r="Z915" s="51"/>
      <c r="AA915" s="51"/>
      <c r="AB915" s="51"/>
      <c r="AC915" s="51"/>
      <c r="AD915" s="51"/>
      <c r="AG915" t="s">
        <v>1423</v>
      </c>
      <c r="AH915" s="51"/>
      <c r="AI915" s="51"/>
    </row>
    <row r="916" spans="2:35">
      <c r="B916" t="s">
        <v>1424</v>
      </c>
      <c r="C916" t="s">
        <v>2899</v>
      </c>
      <c r="D916">
        <v>11</v>
      </c>
      <c r="E916" t="s">
        <v>2791</v>
      </c>
      <c r="F916">
        <v>5</v>
      </c>
      <c r="G916">
        <v>12</v>
      </c>
      <c r="H916">
        <v>16</v>
      </c>
      <c r="I916" t="s">
        <v>1425</v>
      </c>
      <c r="J916" s="51">
        <v>41180</v>
      </c>
      <c r="K916" t="s">
        <v>27</v>
      </c>
      <c r="L916" t="s">
        <v>1253</v>
      </c>
      <c r="M916">
        <v>3</v>
      </c>
      <c r="N916" t="str">
        <f>L916</f>
        <v>NAM\MB3505</v>
      </c>
      <c r="O916" s="51">
        <f>J916</f>
        <v>41180</v>
      </c>
      <c r="P916" s="51" t="str">
        <f>C916</f>
        <v>~/cdd/olddocs/Flow Chart/MICROMINI/MS/FC-MS-011  SMEA0114007, 4010, 4015, 4030.pdf</v>
      </c>
      <c r="Q916" s="51" t="str">
        <f>E916</f>
        <v>pdf</v>
      </c>
      <c r="R916" s="51"/>
      <c r="S916" s="51"/>
      <c r="T916" s="51"/>
      <c r="U916" s="51"/>
      <c r="V916" s="51"/>
      <c r="W916" s="51"/>
      <c r="X916" s="51"/>
      <c r="Y916" s="51"/>
      <c r="Z916" s="51"/>
      <c r="AA916" s="51"/>
      <c r="AB916" s="51"/>
      <c r="AC916" s="51"/>
      <c r="AD916" s="51"/>
      <c r="AG916" t="s">
        <v>1395</v>
      </c>
      <c r="AH916" s="51"/>
      <c r="AI916" s="51"/>
    </row>
    <row r="917" spans="2:35">
      <c r="B917" t="s">
        <v>1426</v>
      </c>
      <c r="C917" t="s">
        <v>2900</v>
      </c>
      <c r="D917">
        <v>11</v>
      </c>
      <c r="E917" t="s">
        <v>2791</v>
      </c>
      <c r="F917">
        <v>5</v>
      </c>
      <c r="G917">
        <v>12</v>
      </c>
      <c r="H917">
        <v>16</v>
      </c>
      <c r="I917" t="s">
        <v>1427</v>
      </c>
      <c r="J917" s="51">
        <v>41180</v>
      </c>
      <c r="K917" t="s">
        <v>27</v>
      </c>
      <c r="L917" t="s">
        <v>1253</v>
      </c>
      <c r="M917">
        <v>3</v>
      </c>
      <c r="N917" t="str">
        <f>L917</f>
        <v>NAM\MB3505</v>
      </c>
      <c r="O917" s="51">
        <f>J917</f>
        <v>41180</v>
      </c>
      <c r="P917" s="51" t="str">
        <f>C917</f>
        <v>~/cdd/olddocs/Flow Chart/MICROMINI/MS/FC-MS-012  SMEA0115010, 5015, 5020, 5030, 5035, 5060.pdf</v>
      </c>
      <c r="Q917" s="51" t="str">
        <f>E917</f>
        <v>pdf</v>
      </c>
      <c r="R917" s="51"/>
      <c r="S917" s="51"/>
      <c r="T917" s="51"/>
      <c r="U917" s="51"/>
      <c r="V917" s="51"/>
      <c r="W917" s="51"/>
      <c r="X917" s="51"/>
      <c r="Y917" s="51"/>
      <c r="Z917" s="51"/>
      <c r="AA917" s="51"/>
      <c r="AB917" s="51"/>
      <c r="AC917" s="51"/>
      <c r="AD917" s="51"/>
      <c r="AG917" t="s">
        <v>1428</v>
      </c>
      <c r="AH917" s="51"/>
      <c r="AI917" s="51"/>
    </row>
    <row r="918" spans="2:35">
      <c r="B918" t="s">
        <v>1429</v>
      </c>
      <c r="C918" t="s">
        <v>2901</v>
      </c>
      <c r="D918">
        <v>11</v>
      </c>
      <c r="E918" t="s">
        <v>2791</v>
      </c>
      <c r="F918">
        <v>5</v>
      </c>
      <c r="G918">
        <v>12</v>
      </c>
      <c r="H918">
        <v>16</v>
      </c>
      <c r="I918" t="s">
        <v>1400</v>
      </c>
      <c r="J918" s="51">
        <v>41180</v>
      </c>
      <c r="K918" t="s">
        <v>27</v>
      </c>
      <c r="L918" t="s">
        <v>1253</v>
      </c>
      <c r="M918">
        <v>3</v>
      </c>
      <c r="N918" t="str">
        <f>L918</f>
        <v>NAM\MB3505</v>
      </c>
      <c r="O918" s="51">
        <f>J918</f>
        <v>41180</v>
      </c>
      <c r="P918" s="51" t="str">
        <f>C918</f>
        <v>~/cdd/olddocs/Flow Chart/MICROMINI/MS/FC-MS-013  SMEA0120010, 0030, 0040, 0045.pdf</v>
      </c>
      <c r="Q918" s="51" t="str">
        <f>E918</f>
        <v>pdf</v>
      </c>
      <c r="R918" s="51"/>
      <c r="S918" s="51"/>
      <c r="T918" s="51"/>
      <c r="U918" s="51"/>
      <c r="V918" s="51"/>
      <c r="W918" s="51"/>
      <c r="X918" s="51"/>
      <c r="Y918" s="51"/>
      <c r="Z918" s="51"/>
      <c r="AA918" s="51"/>
      <c r="AB918" s="51"/>
      <c r="AC918" s="51"/>
      <c r="AD918" s="51"/>
      <c r="AG918" t="s">
        <v>1430</v>
      </c>
      <c r="AH918" s="51"/>
      <c r="AI918" s="51"/>
    </row>
    <row r="919" spans="2:35">
      <c r="B919" t="s">
        <v>1454</v>
      </c>
      <c r="C919" t="s">
        <v>3856</v>
      </c>
      <c r="D919">
        <v>11</v>
      </c>
      <c r="E919" t="s">
        <v>2791</v>
      </c>
      <c r="F919">
        <v>5</v>
      </c>
      <c r="G919">
        <v>6</v>
      </c>
      <c r="H919">
        <v>14</v>
      </c>
      <c r="I919" t="s">
        <v>1455</v>
      </c>
      <c r="J919" s="51">
        <v>41178</v>
      </c>
      <c r="K919" t="s">
        <v>27</v>
      </c>
      <c r="L919" t="s">
        <v>1253</v>
      </c>
      <c r="M919">
        <v>3</v>
      </c>
      <c r="N919" t="str">
        <f>L919</f>
        <v>NAM\MB3505</v>
      </c>
      <c r="O919" s="51">
        <f>J919</f>
        <v>41178</v>
      </c>
      <c r="P919" s="51" t="str">
        <f>C919</f>
        <v>~cdd/olddocs/Flow Chart/SOLAR/FC-SOL-001  Diagrama de flujo Solar.pdf</v>
      </c>
      <c r="Q919" s="51" t="str">
        <f>E919</f>
        <v>pdf</v>
      </c>
      <c r="R919" s="51"/>
      <c r="S919" s="51"/>
      <c r="T919" s="51"/>
      <c r="U919" s="51"/>
      <c r="V919" s="51"/>
      <c r="W919" s="51"/>
      <c r="X919" s="51"/>
      <c r="Y919" s="51"/>
      <c r="Z919" s="51"/>
      <c r="AA919" s="51"/>
      <c r="AB919" s="51"/>
      <c r="AC919" s="51"/>
      <c r="AD919" s="51"/>
      <c r="AG919" t="s">
        <v>1456</v>
      </c>
      <c r="AH919" s="51"/>
      <c r="AI919" s="51"/>
    </row>
    <row r="920" spans="2:35">
      <c r="B920" t="s">
        <v>2032</v>
      </c>
      <c r="C920" t="s">
        <v>3866</v>
      </c>
      <c r="D920">
        <v>5</v>
      </c>
      <c r="E920" t="s">
        <v>2792</v>
      </c>
      <c r="F920">
        <v>4</v>
      </c>
      <c r="I920" t="s">
        <v>2033</v>
      </c>
      <c r="J920" s="51">
        <v>41212</v>
      </c>
      <c r="K920" t="s">
        <v>27</v>
      </c>
      <c r="L920" t="s">
        <v>1888</v>
      </c>
      <c r="M920">
        <v>3</v>
      </c>
      <c r="N920" t="str">
        <f>L920</f>
        <v>NAM\MA7784</v>
      </c>
      <c r="O920" s="51">
        <f>J920</f>
        <v>41212</v>
      </c>
      <c r="P920" s="51" t="str">
        <f>C920</f>
        <v>~cdd/olddocs/Formas/CNWI-ENGI (Ingenieria)/F-ENGI-03-001  Rev. A Production Feasability Agreement Form PFA 100208 Rev A.xls</v>
      </c>
      <c r="Q920" s="51" t="str">
        <f>E920</f>
        <v>xls</v>
      </c>
      <c r="R920" s="51"/>
      <c r="S920" s="51"/>
      <c r="T920" s="51"/>
      <c r="U920" s="51"/>
      <c r="V920" s="51"/>
      <c r="W920" s="51"/>
      <c r="X920" s="51"/>
      <c r="Y920" s="51"/>
      <c r="Z920" s="51"/>
      <c r="AA920" s="51"/>
      <c r="AB920" s="51"/>
      <c r="AC920" s="51"/>
      <c r="AD920" s="51"/>
      <c r="AG920" t="s">
        <v>28</v>
      </c>
      <c r="AH920" s="51"/>
      <c r="AI920" s="51"/>
    </row>
    <row r="921" spans="2:35">
      <c r="B921" t="s">
        <v>1505</v>
      </c>
      <c r="C921" t="s">
        <v>2931</v>
      </c>
      <c r="D921">
        <v>5</v>
      </c>
      <c r="E921" t="s">
        <v>2790</v>
      </c>
      <c r="F921">
        <v>17</v>
      </c>
      <c r="I921" t="s">
        <v>1506</v>
      </c>
      <c r="J921" s="51">
        <v>41198</v>
      </c>
      <c r="K921" t="s">
        <v>27</v>
      </c>
      <c r="L921" t="s">
        <v>1504</v>
      </c>
      <c r="M921">
        <v>3</v>
      </c>
      <c r="N921" t="str">
        <f>L921</f>
        <v>NAM\MB5781</v>
      </c>
      <c r="O921" s="51">
        <f>J921</f>
        <v>41198</v>
      </c>
      <c r="P921" s="51" t="str">
        <f>C921</f>
        <v>~/cdd/olddocs/Formas/CN-LEAN/Formatos/F-LEAN-01-001  Rev A Lista Maestra de IMC.xlsx</v>
      </c>
      <c r="Q921" s="51" t="str">
        <f>E921</f>
        <v>xlsx</v>
      </c>
      <c r="R921" s="51"/>
      <c r="S921" s="51"/>
      <c r="T921" s="51"/>
      <c r="U921" s="51"/>
      <c r="V921" s="51"/>
      <c r="W921" s="51"/>
      <c r="X921" s="51"/>
      <c r="Y921" s="51"/>
      <c r="Z921" s="51"/>
      <c r="AA921" s="51"/>
      <c r="AB921" s="51"/>
      <c r="AC921" s="51"/>
      <c r="AD921" s="51"/>
      <c r="AE921">
        <v>41197</v>
      </c>
      <c r="AG921" t="s">
        <v>28</v>
      </c>
      <c r="AH921" s="51"/>
      <c r="AI921" s="51"/>
    </row>
    <row r="922" spans="2:35">
      <c r="B922" t="s">
        <v>1507</v>
      </c>
      <c r="C922" t="s">
        <v>2932</v>
      </c>
      <c r="D922">
        <v>5</v>
      </c>
      <c r="E922" t="s">
        <v>2790</v>
      </c>
      <c r="F922">
        <v>17</v>
      </c>
      <c r="I922" t="s">
        <v>1508</v>
      </c>
      <c r="J922" s="51">
        <v>41197</v>
      </c>
      <c r="K922" t="s">
        <v>27</v>
      </c>
      <c r="L922" t="s">
        <v>1504</v>
      </c>
      <c r="M922">
        <v>3</v>
      </c>
      <c r="N922" t="str">
        <f>L922</f>
        <v>NAM\MB5781</v>
      </c>
      <c r="O922" s="51">
        <f>J922</f>
        <v>41197</v>
      </c>
      <c r="P922" s="51" t="str">
        <f>C922</f>
        <v>~/cdd/olddocs/Formas/CN-LEAN/Formatos/F-LEAN-01-002 Rev  A Plan de Eventos Kaizen.xlsx</v>
      </c>
      <c r="Q922" s="51" t="str">
        <f>E922</f>
        <v>xlsx</v>
      </c>
      <c r="R922" s="51"/>
      <c r="S922" s="51"/>
      <c r="T922" s="51"/>
      <c r="U922" s="51"/>
      <c r="V922" s="51"/>
      <c r="W922" s="51"/>
      <c r="X922" s="51"/>
      <c r="Y922" s="51"/>
      <c r="Z922" s="51"/>
      <c r="AA922" s="51"/>
      <c r="AB922" s="51"/>
      <c r="AC922" s="51"/>
      <c r="AD922" s="51"/>
      <c r="AE922">
        <v>41197</v>
      </c>
      <c r="AG922" t="s">
        <v>28</v>
      </c>
      <c r="AH922" s="51"/>
      <c r="AI922" s="51"/>
    </row>
    <row r="923" spans="2:35">
      <c r="B923" t="s">
        <v>1509</v>
      </c>
      <c r="C923" t="s">
        <v>2933</v>
      </c>
      <c r="D923">
        <v>5</v>
      </c>
      <c r="E923" t="s">
        <v>2790</v>
      </c>
      <c r="F923">
        <v>17</v>
      </c>
      <c r="I923" t="s">
        <v>1510</v>
      </c>
      <c r="J923" s="51">
        <v>41197</v>
      </c>
      <c r="K923" t="s">
        <v>27</v>
      </c>
      <c r="L923" t="s">
        <v>1504</v>
      </c>
      <c r="M923">
        <v>3</v>
      </c>
      <c r="N923" t="str">
        <f>L923</f>
        <v>NAM\MB5781</v>
      </c>
      <c r="O923" s="51">
        <f>J923</f>
        <v>41197</v>
      </c>
      <c r="P923" s="51" t="str">
        <f>C923</f>
        <v>~/cdd/olddocs/Formas/CN-LEAN/Formatos/F-LEAN-01-003 Rev  A Project Deck.xlsx</v>
      </c>
      <c r="Q923" s="51" t="str">
        <f>E923</f>
        <v>xlsx</v>
      </c>
      <c r="R923" s="51"/>
      <c r="S923" s="51"/>
      <c r="T923" s="51"/>
      <c r="U923" s="51"/>
      <c r="V923" s="51"/>
      <c r="W923" s="51"/>
      <c r="X923" s="51"/>
      <c r="Y923" s="51"/>
      <c r="Z923" s="51"/>
      <c r="AA923" s="51"/>
      <c r="AB923" s="51"/>
      <c r="AC923" s="51"/>
      <c r="AD923" s="51"/>
      <c r="AE923">
        <v>41197</v>
      </c>
      <c r="AG923" t="s">
        <v>28</v>
      </c>
      <c r="AH923" s="51"/>
      <c r="AI923" s="51"/>
    </row>
    <row r="924" spans="2:35">
      <c r="B924" t="s">
        <v>1511</v>
      </c>
      <c r="C924" t="s">
        <v>2934</v>
      </c>
      <c r="D924">
        <v>5</v>
      </c>
      <c r="E924" t="s">
        <v>2790</v>
      </c>
      <c r="F924">
        <v>17</v>
      </c>
      <c r="I924" t="s">
        <v>1512</v>
      </c>
      <c r="J924" s="51">
        <v>41199</v>
      </c>
      <c r="K924" t="s">
        <v>27</v>
      </c>
      <c r="L924" t="s">
        <v>1504</v>
      </c>
      <c r="M924">
        <v>3</v>
      </c>
      <c r="N924" t="str">
        <f>L924</f>
        <v>NAM\MB5781</v>
      </c>
      <c r="O924" s="51">
        <f>J924</f>
        <v>41199</v>
      </c>
      <c r="P924" s="51" t="str">
        <f>C924</f>
        <v>~/cdd/olddocs/Formas/CN-LEAN/Formatos/F-LEAN-01-004 Rev. A  Formato de IMC.xlsx</v>
      </c>
      <c r="Q924" s="51" t="str">
        <f>E924</f>
        <v>xlsx</v>
      </c>
      <c r="R924" s="51"/>
      <c r="S924" s="51"/>
      <c r="T924" s="51"/>
      <c r="U924" s="51"/>
      <c r="V924" s="51"/>
      <c r="W924" s="51"/>
      <c r="X924" s="51"/>
      <c r="Y924" s="51"/>
      <c r="Z924" s="51"/>
      <c r="AA924" s="51"/>
      <c r="AB924" s="51"/>
      <c r="AC924" s="51"/>
      <c r="AD924" s="51"/>
      <c r="AE924">
        <v>41199</v>
      </c>
      <c r="AG924" t="s">
        <v>28</v>
      </c>
      <c r="AH924" s="51"/>
      <c r="AI924" s="51"/>
    </row>
    <row r="925" spans="2:35">
      <c r="B925" t="s">
        <v>962</v>
      </c>
      <c r="C925" t="s">
        <v>2902</v>
      </c>
      <c r="D925">
        <v>14</v>
      </c>
      <c r="E925" t="s">
        <v>2791</v>
      </c>
      <c r="F925">
        <v>5</v>
      </c>
      <c r="G925">
        <v>10</v>
      </c>
      <c r="H925">
        <v>7</v>
      </c>
      <c r="I925" t="s">
        <v>964</v>
      </c>
      <c r="J925" s="51" t="s">
        <v>965</v>
      </c>
      <c r="K925" t="s">
        <v>27</v>
      </c>
      <c r="L925" t="s">
        <v>880</v>
      </c>
      <c r="M925">
        <v>3</v>
      </c>
      <c r="N925" t="str">
        <f>L925</f>
        <v>NAM\MB3488</v>
      </c>
      <c r="O925" s="51" t="str">
        <f>J925</f>
        <v xml:space="preserve"> 08/19/2012</v>
      </c>
      <c r="P925" s="51" t="str">
        <f>C925</f>
        <v>~/cdd/olddocs/FMEA/FMEA-AMSA-001  (cables AMSAFE).pdf</v>
      </c>
      <c r="Q925" s="51" t="str">
        <f>E925</f>
        <v>pdf</v>
      </c>
      <c r="R925" s="51"/>
      <c r="S925" s="51"/>
      <c r="T925" s="51"/>
      <c r="U925" s="51"/>
      <c r="V925" s="51"/>
      <c r="W925" s="51"/>
      <c r="X925" s="51"/>
      <c r="Y925" s="51"/>
      <c r="Z925" s="51"/>
      <c r="AA925" s="51"/>
      <c r="AB925" s="51"/>
      <c r="AC925" s="51"/>
      <c r="AD925" s="51"/>
      <c r="AG925" t="s">
        <v>964</v>
      </c>
      <c r="AH925" s="51"/>
      <c r="AI925" s="51"/>
    </row>
    <row r="926" spans="2:35">
      <c r="B926" t="s">
        <v>1084</v>
      </c>
      <c r="C926" t="s">
        <v>2903</v>
      </c>
      <c r="D926">
        <v>14</v>
      </c>
      <c r="E926" t="s">
        <v>2791</v>
      </c>
      <c r="F926">
        <v>5</v>
      </c>
      <c r="G926">
        <v>10</v>
      </c>
      <c r="H926">
        <v>10</v>
      </c>
      <c r="I926" t="s">
        <v>3778</v>
      </c>
      <c r="J926" s="51">
        <v>41149</v>
      </c>
      <c r="K926" t="s">
        <v>27</v>
      </c>
      <c r="L926" t="s">
        <v>880</v>
      </c>
      <c r="M926">
        <v>3</v>
      </c>
      <c r="N926" t="str">
        <f>L926</f>
        <v>NAM\MB3488</v>
      </c>
      <c r="O926" s="51">
        <f>J926</f>
        <v>41149</v>
      </c>
      <c r="P926" s="51" t="str">
        <f>C926</f>
        <v>~/cdd/olddocs/FMEA/ITRON/BONDING/FMEA -BOND-002  002359-TAB 002360-TAB  002361-TAB.pdf</v>
      </c>
      <c r="Q926" s="51" t="str">
        <f>E926</f>
        <v>pdf</v>
      </c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G926" t="s">
        <v>973</v>
      </c>
      <c r="AH926" s="51"/>
      <c r="AI926" s="51"/>
    </row>
    <row r="927" spans="2:35">
      <c r="B927" t="s">
        <v>1086</v>
      </c>
      <c r="C927" t="s">
        <v>2904</v>
      </c>
      <c r="D927">
        <v>14</v>
      </c>
      <c r="E927" t="s">
        <v>2791</v>
      </c>
      <c r="F927">
        <v>5</v>
      </c>
      <c r="G927">
        <v>10</v>
      </c>
      <c r="H927">
        <v>10</v>
      </c>
      <c r="I927" t="s">
        <v>1087</v>
      </c>
      <c r="J927" s="51">
        <v>41181</v>
      </c>
      <c r="K927" t="s">
        <v>27</v>
      </c>
      <c r="L927" t="s">
        <v>880</v>
      </c>
      <c r="M927">
        <v>3</v>
      </c>
      <c r="N927" t="str">
        <f>L927</f>
        <v>NAM\MB3488</v>
      </c>
      <c r="O927" s="51">
        <f>J927</f>
        <v>41181</v>
      </c>
      <c r="P927" s="51" t="str">
        <f>C927</f>
        <v>~/cdd/olddocs/FMEA/ITRON/BONDING/FMEA-BOND-003  BACC65 TODOS.pdf</v>
      </c>
      <c r="Q927" s="51" t="str">
        <f>E927</f>
        <v>pdf</v>
      </c>
      <c r="R927" s="51"/>
      <c r="S927" s="51"/>
      <c r="T927" s="51"/>
      <c r="U927" s="51"/>
      <c r="V927" s="51"/>
      <c r="W927" s="51"/>
      <c r="X927" s="51"/>
      <c r="Y927" s="51"/>
      <c r="Z927" s="51"/>
      <c r="AA927" s="51"/>
      <c r="AB927" s="51"/>
      <c r="AC927" s="51"/>
      <c r="AD927" s="51"/>
      <c r="AG927" t="s">
        <v>1088</v>
      </c>
      <c r="AH927" s="51"/>
      <c r="AI927" s="51"/>
    </row>
    <row r="928" spans="2:35">
      <c r="B928" t="s">
        <v>1338</v>
      </c>
      <c r="C928" t="e">
        <v>#VALUE!</v>
      </c>
      <c r="D928">
        <v>14</v>
      </c>
      <c r="E928" t="e">
        <v>#VALUE!</v>
      </c>
      <c r="F928">
        <v>5</v>
      </c>
      <c r="G928">
        <v>12</v>
      </c>
      <c r="H928">
        <v>4</v>
      </c>
      <c r="I928" t="s">
        <v>1339</v>
      </c>
      <c r="J928" s="51">
        <v>41186</v>
      </c>
      <c r="K928" t="s">
        <v>27</v>
      </c>
      <c r="L928" t="s">
        <v>1253</v>
      </c>
      <c r="M928">
        <v>3</v>
      </c>
      <c r="N928" t="str">
        <f>L928</f>
        <v>NAM\MB3505</v>
      </c>
      <c r="O928" s="51">
        <f>J928</f>
        <v>41186</v>
      </c>
      <c r="P928" s="51" t="e">
        <f>C928</f>
        <v>#VALUE!</v>
      </c>
      <c r="Q928" s="51" t="e">
        <f>E928</f>
        <v>#VALUE!</v>
      </c>
      <c r="R928" s="51"/>
      <c r="S928" s="51"/>
      <c r="T928" s="51"/>
      <c r="U928" s="51"/>
      <c r="V928" s="51"/>
      <c r="W928" s="51"/>
      <c r="X928" s="51"/>
      <c r="Y928" s="51"/>
      <c r="Z928" s="51"/>
      <c r="AA928" s="51"/>
      <c r="AB928" s="51"/>
      <c r="AC928" s="51"/>
      <c r="AD928" s="51"/>
      <c r="AG928" t="s">
        <v>1267</v>
      </c>
      <c r="AH928" s="51"/>
      <c r="AI928" s="51"/>
    </row>
    <row r="929" spans="2:35">
      <c r="B929" t="s">
        <v>1340</v>
      </c>
      <c r="C929" t="s">
        <v>2907</v>
      </c>
      <c r="D929">
        <v>14</v>
      </c>
      <c r="E929" t="s">
        <v>2791</v>
      </c>
      <c r="F929">
        <v>5</v>
      </c>
      <c r="G929">
        <v>12</v>
      </c>
      <c r="H929">
        <v>4</v>
      </c>
      <c r="I929" t="s">
        <v>1341</v>
      </c>
      <c r="J929" s="51">
        <v>41186</v>
      </c>
      <c r="K929" t="s">
        <v>27</v>
      </c>
      <c r="L929" t="s">
        <v>1253</v>
      </c>
      <c r="M929">
        <v>3</v>
      </c>
      <c r="N929" t="str">
        <f>L929</f>
        <v>NAM\MB3505</v>
      </c>
      <c r="O929" s="51">
        <f>J929</f>
        <v>41186</v>
      </c>
      <c r="P929" s="51" t="str">
        <f>C929</f>
        <v>~/cdd/olddocs/FMEA/MICROMINI/CHANGE-OUT/FMEA-CHGO-003  CX8653316P.pdf</v>
      </c>
      <c r="Q929" s="51" t="str">
        <f>E929</f>
        <v>pdf</v>
      </c>
      <c r="R929" s="51"/>
      <c r="S929" s="51"/>
      <c r="T929" s="51"/>
      <c r="U929" s="51"/>
      <c r="V929" s="51"/>
      <c r="W929" s="51"/>
      <c r="X929" s="51"/>
      <c r="Y929" s="51"/>
      <c r="Z929" s="51"/>
      <c r="AA929" s="51"/>
      <c r="AB929" s="51"/>
      <c r="AC929" s="51"/>
      <c r="AD929" s="51"/>
      <c r="AG929" t="s">
        <v>1269</v>
      </c>
      <c r="AH929" s="51"/>
      <c r="AI929" s="51"/>
    </row>
    <row r="930" spans="2:35">
      <c r="B930" t="s">
        <v>1342</v>
      </c>
      <c r="C930" t="s">
        <v>2908</v>
      </c>
      <c r="D930">
        <v>14</v>
      </c>
      <c r="E930" t="s">
        <v>2791</v>
      </c>
      <c r="F930">
        <v>5</v>
      </c>
      <c r="G930">
        <v>12</v>
      </c>
      <c r="H930">
        <v>4</v>
      </c>
      <c r="I930" t="s">
        <v>1273</v>
      </c>
      <c r="J930" s="51">
        <v>41186</v>
      </c>
      <c r="K930" t="s">
        <v>27</v>
      </c>
      <c r="L930" t="s">
        <v>1253</v>
      </c>
      <c r="M930">
        <v>3</v>
      </c>
      <c r="N930" t="str">
        <f>L930</f>
        <v>NAM\MB3505</v>
      </c>
      <c r="O930" s="51">
        <f>J930</f>
        <v>41186</v>
      </c>
      <c r="P930" s="51" t="str">
        <f>C930</f>
        <v>~/cdd/olddocs/FMEA/MICROMINI/CHANGE-OUT/FMEA-CHGO-005  CX8653346P.pdf</v>
      </c>
      <c r="Q930" s="51" t="str">
        <f>E930</f>
        <v>pdf</v>
      </c>
      <c r="R930" s="51"/>
      <c r="S930" s="51"/>
      <c r="T930" s="51"/>
      <c r="U930" s="51"/>
      <c r="V930" s="51"/>
      <c r="W930" s="51"/>
      <c r="X930" s="51"/>
      <c r="Y930" s="51"/>
      <c r="Z930" s="51"/>
      <c r="AA930" s="51"/>
      <c r="AB930" s="51"/>
      <c r="AC930" s="51"/>
      <c r="AD930" s="51"/>
      <c r="AG930" t="s">
        <v>1274</v>
      </c>
      <c r="AH930" s="51"/>
      <c r="AI930" s="51"/>
    </row>
    <row r="931" spans="2:35">
      <c r="B931" t="s">
        <v>1343</v>
      </c>
      <c r="C931" t="s">
        <v>2909</v>
      </c>
      <c r="D931">
        <v>14</v>
      </c>
      <c r="E931" t="s">
        <v>2791</v>
      </c>
      <c r="F931">
        <v>5</v>
      </c>
      <c r="G931">
        <v>12</v>
      </c>
      <c r="H931">
        <v>4</v>
      </c>
      <c r="I931" t="s">
        <v>1344</v>
      </c>
      <c r="J931" s="51">
        <v>41186</v>
      </c>
      <c r="K931" t="s">
        <v>27</v>
      </c>
      <c r="L931" t="s">
        <v>1253</v>
      </c>
      <c r="M931">
        <v>3</v>
      </c>
      <c r="N931" t="str">
        <f>L931</f>
        <v>NAM\MB3505</v>
      </c>
      <c r="O931" s="51">
        <f>J931</f>
        <v>41186</v>
      </c>
      <c r="P931" s="51" t="str">
        <f>C931</f>
        <v>~/cdd/olddocs/FMEA/MICROMINI/CHANGE-OUT/FMEA-CHGO-006  X865248P.pdf</v>
      </c>
      <c r="Q931" s="51" t="str">
        <f>E931</f>
        <v>pdf</v>
      </c>
      <c r="R931" s="51"/>
      <c r="S931" s="51"/>
      <c r="T931" s="51"/>
      <c r="U931" s="51"/>
      <c r="V931" s="51"/>
      <c r="W931" s="51"/>
      <c r="X931" s="51"/>
      <c r="Y931" s="51"/>
      <c r="Z931" s="51"/>
      <c r="AA931" s="51"/>
      <c r="AB931" s="51"/>
      <c r="AC931" s="51"/>
      <c r="AD931" s="51"/>
      <c r="AG931" t="s">
        <v>1334</v>
      </c>
      <c r="AH931" s="51"/>
      <c r="AI931" s="51"/>
    </row>
    <row r="932" spans="2:35">
      <c r="B932" t="s">
        <v>1345</v>
      </c>
      <c r="C932" t="s">
        <v>2910</v>
      </c>
      <c r="D932">
        <v>14</v>
      </c>
      <c r="E932" t="s">
        <v>2791</v>
      </c>
      <c r="F932">
        <v>5</v>
      </c>
      <c r="G932">
        <v>12</v>
      </c>
      <c r="H932">
        <v>4</v>
      </c>
      <c r="I932" t="s">
        <v>1279</v>
      </c>
      <c r="J932" s="51">
        <v>41186</v>
      </c>
      <c r="K932" t="s">
        <v>27</v>
      </c>
      <c r="L932" t="s">
        <v>1253</v>
      </c>
      <c r="M932">
        <v>3</v>
      </c>
      <c r="N932" t="str">
        <f>L932</f>
        <v>NAM\MB3505</v>
      </c>
      <c r="O932" s="51">
        <f>J932</f>
        <v>41186</v>
      </c>
      <c r="P932" s="51" t="str">
        <f>C932</f>
        <v>~/cdd/olddocs/FMEA/MICROMINI/CHANGE-OUT/FMEA-CHGO-007  AX865251P.pdf</v>
      </c>
      <c r="Q932" s="51" t="str">
        <f>E932</f>
        <v>pdf</v>
      </c>
      <c r="R932" s="51"/>
      <c r="S932" s="51"/>
      <c r="T932" s="51"/>
      <c r="U932" s="51"/>
      <c r="V932" s="51"/>
      <c r="W932" s="51"/>
      <c r="X932" s="51"/>
      <c r="Y932" s="51"/>
      <c r="Z932" s="51"/>
      <c r="AA932" s="51"/>
      <c r="AB932" s="51"/>
      <c r="AC932" s="51"/>
      <c r="AD932" s="51"/>
      <c r="AG932" t="s">
        <v>1280</v>
      </c>
      <c r="AH932" s="51"/>
      <c r="AI932" s="51"/>
    </row>
    <row r="933" spans="2:35">
      <c r="B933" t="s">
        <v>1346</v>
      </c>
      <c r="C933" t="e">
        <v>#VALUE!</v>
      </c>
      <c r="D933">
        <v>14</v>
      </c>
      <c r="E933" t="e">
        <v>#VALUE!</v>
      </c>
      <c r="F933">
        <v>5</v>
      </c>
      <c r="G933">
        <v>12</v>
      </c>
      <c r="H933">
        <v>4</v>
      </c>
      <c r="I933" t="s">
        <v>1347</v>
      </c>
      <c r="J933" s="51">
        <v>41186</v>
      </c>
      <c r="K933" t="s">
        <v>27</v>
      </c>
      <c r="L933" t="s">
        <v>1253</v>
      </c>
      <c r="M933">
        <v>3</v>
      </c>
      <c r="N933" t="str">
        <f>L933</f>
        <v>NAM\MB3505</v>
      </c>
      <c r="O933" s="51">
        <f>J933</f>
        <v>41186</v>
      </c>
      <c r="P933" s="51" t="e">
        <f>C933</f>
        <v>#VALUE!</v>
      </c>
      <c r="Q933" s="51" t="e">
        <f>E933</f>
        <v>#VALUE!</v>
      </c>
      <c r="R933" s="51"/>
      <c r="S933" s="51"/>
      <c r="T933" s="51"/>
      <c r="U933" s="51"/>
      <c r="V933" s="51"/>
      <c r="W933" s="51"/>
      <c r="X933" s="51"/>
      <c r="Y933" s="51"/>
      <c r="Z933" s="51"/>
      <c r="AA933" s="51"/>
      <c r="AB933" s="51"/>
      <c r="AC933" s="51"/>
      <c r="AD933" s="51"/>
      <c r="AG933" t="s">
        <v>1348</v>
      </c>
      <c r="AH933" s="51"/>
      <c r="AI933" s="51"/>
    </row>
    <row r="934" spans="2:35">
      <c r="B934" t="s">
        <v>1349</v>
      </c>
      <c r="C934" t="s">
        <v>2911</v>
      </c>
      <c r="D934">
        <v>14</v>
      </c>
      <c r="E934" t="s">
        <v>2791</v>
      </c>
      <c r="F934">
        <v>5</v>
      </c>
      <c r="G934">
        <v>12</v>
      </c>
      <c r="H934">
        <v>4</v>
      </c>
      <c r="I934" t="s">
        <v>1341</v>
      </c>
      <c r="J934" s="51">
        <v>41186</v>
      </c>
      <c r="K934" t="s">
        <v>27</v>
      </c>
      <c r="L934" t="s">
        <v>1253</v>
      </c>
      <c r="M934">
        <v>3</v>
      </c>
      <c r="N934" t="str">
        <f>L934</f>
        <v>NAM\MB3505</v>
      </c>
      <c r="O934" s="51">
        <f>J934</f>
        <v>41186</v>
      </c>
      <c r="P934" s="51" t="str">
        <f>C934</f>
        <v>~/cdd/olddocs/FMEA/MICROMINI/CHANGE-OUT/FMEA-CHGO-009   X865344P.pdf</v>
      </c>
      <c r="Q934" s="51" t="str">
        <f>E934</f>
        <v>pdf</v>
      </c>
      <c r="R934" s="51"/>
      <c r="S934" s="51"/>
      <c r="T934" s="51"/>
      <c r="U934" s="51"/>
      <c r="V934" s="51"/>
      <c r="W934" s="51"/>
      <c r="X934" s="51"/>
      <c r="Y934" s="51"/>
      <c r="Z934" s="51"/>
      <c r="AA934" s="51"/>
      <c r="AB934" s="51"/>
      <c r="AC934" s="51"/>
      <c r="AD934" s="51"/>
      <c r="AG934" t="s">
        <v>1350</v>
      </c>
      <c r="AH934" s="51"/>
      <c r="AI934" s="51"/>
    </row>
    <row r="935" spans="2:35">
      <c r="B935" t="s">
        <v>1351</v>
      </c>
      <c r="C935" t="s">
        <v>2912</v>
      </c>
      <c r="D935">
        <v>14</v>
      </c>
      <c r="E935" t="s">
        <v>2791</v>
      </c>
      <c r="F935">
        <v>5</v>
      </c>
      <c r="G935">
        <v>12</v>
      </c>
      <c r="H935">
        <v>4</v>
      </c>
      <c r="I935" t="s">
        <v>1288</v>
      </c>
      <c r="J935" s="51">
        <v>41187</v>
      </c>
      <c r="K935" t="s">
        <v>27</v>
      </c>
      <c r="L935" t="s">
        <v>1253</v>
      </c>
      <c r="M935">
        <v>3</v>
      </c>
      <c r="N935" t="str">
        <f>L935</f>
        <v>NAM\MB3505</v>
      </c>
      <c r="O935" s="51">
        <f>J935</f>
        <v>41187</v>
      </c>
      <c r="P935" s="51" t="str">
        <f>C935</f>
        <v>~/cdd/olddocs/FMEA/MICROMINI/CHANGE-OUT/FMEA-CHGO-010 .pdf</v>
      </c>
      <c r="Q935" s="51" t="str">
        <f>E935</f>
        <v>pdf</v>
      </c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G935" t="s">
        <v>1352</v>
      </c>
      <c r="AH935" s="51"/>
      <c r="AI935" s="51"/>
    </row>
    <row r="936" spans="2:35">
      <c r="B936" t="s">
        <v>1353</v>
      </c>
      <c r="C936" t="s">
        <v>2913</v>
      </c>
      <c r="D936">
        <v>14</v>
      </c>
      <c r="E936" t="s">
        <v>2791</v>
      </c>
      <c r="F936">
        <v>5</v>
      </c>
      <c r="G936">
        <v>12</v>
      </c>
      <c r="H936">
        <v>4</v>
      </c>
      <c r="I936" t="s">
        <v>1354</v>
      </c>
      <c r="J936" s="51">
        <v>41191</v>
      </c>
      <c r="K936" t="s">
        <v>27</v>
      </c>
      <c r="L936" t="s">
        <v>1253</v>
      </c>
      <c r="M936">
        <v>3</v>
      </c>
      <c r="N936" t="str">
        <f>L936</f>
        <v>NAM\MB3505</v>
      </c>
      <c r="O936" s="51">
        <f>J936</f>
        <v>41191</v>
      </c>
      <c r="P936" s="51" t="str">
        <f>C936</f>
        <v>~/cdd/olddocs/FMEA/MICROMINI/CHANGE-OUT/FMEA-CHGO-011  X8651648P.pdf</v>
      </c>
      <c r="Q936" s="51" t="str">
        <f>E936</f>
        <v>pdf</v>
      </c>
      <c r="R936" s="51"/>
      <c r="S936" s="51"/>
      <c r="T936" s="51"/>
      <c r="U936" s="51"/>
      <c r="V936" s="51"/>
      <c r="W936" s="51"/>
      <c r="X936" s="51"/>
      <c r="Y936" s="51"/>
      <c r="Z936" s="51"/>
      <c r="AA936" s="51"/>
      <c r="AB936" s="51"/>
      <c r="AC936" s="51"/>
      <c r="AD936" s="51"/>
      <c r="AG936" t="s">
        <v>1355</v>
      </c>
      <c r="AH936" s="51"/>
      <c r="AI936" s="51"/>
    </row>
    <row r="937" spans="2:35">
      <c r="B937" t="s">
        <v>1356</v>
      </c>
      <c r="C937" t="s">
        <v>2914</v>
      </c>
      <c r="D937">
        <v>14</v>
      </c>
      <c r="E937" t="s">
        <v>2791</v>
      </c>
      <c r="F937">
        <v>5</v>
      </c>
      <c r="G937">
        <v>12</v>
      </c>
      <c r="H937">
        <v>4</v>
      </c>
      <c r="I937" t="s">
        <v>1357</v>
      </c>
      <c r="J937" s="51">
        <v>41191</v>
      </c>
      <c r="K937" t="s">
        <v>27</v>
      </c>
      <c r="L937" t="s">
        <v>1253</v>
      </c>
      <c r="M937">
        <v>3</v>
      </c>
      <c r="N937" t="str">
        <f>L937</f>
        <v>NAM\MB3505</v>
      </c>
      <c r="O937" s="51">
        <f>J937</f>
        <v>41191</v>
      </c>
      <c r="P937" s="51" t="str">
        <f>C937</f>
        <v>~/cdd/olddocs/FMEA/MICROMINI/CHANGE-OUT/FMEA-CHGO-012  X8653325.pdf</v>
      </c>
      <c r="Q937" s="51" t="str">
        <f>E937</f>
        <v>pdf</v>
      </c>
      <c r="R937" s="51"/>
      <c r="S937" s="51"/>
      <c r="T937" s="51"/>
      <c r="U937" s="51"/>
      <c r="V937" s="51"/>
      <c r="W937" s="51"/>
      <c r="X937" s="51"/>
      <c r="Y937" s="51"/>
      <c r="Z937" s="51"/>
      <c r="AA937" s="51"/>
      <c r="AB937" s="51"/>
      <c r="AC937" s="51"/>
      <c r="AD937" s="51"/>
      <c r="AG937" t="s">
        <v>1328</v>
      </c>
      <c r="AH937" s="51"/>
      <c r="AI937" s="51"/>
    </row>
    <row r="938" spans="2:35">
      <c r="B938" t="s">
        <v>1358</v>
      </c>
      <c r="C938" t="s">
        <v>2915</v>
      </c>
      <c r="D938">
        <v>14</v>
      </c>
      <c r="E938" t="s">
        <v>2791</v>
      </c>
      <c r="F938">
        <v>5</v>
      </c>
      <c r="G938">
        <v>12</v>
      </c>
      <c r="H938">
        <v>4</v>
      </c>
      <c r="I938" t="s">
        <v>1359</v>
      </c>
      <c r="J938" s="51">
        <v>41191</v>
      </c>
      <c r="K938" t="s">
        <v>27</v>
      </c>
      <c r="L938" t="s">
        <v>1253</v>
      </c>
      <c r="M938">
        <v>3</v>
      </c>
      <c r="N938" t="str">
        <f>L938</f>
        <v>NAM\MB3505</v>
      </c>
      <c r="O938" s="51">
        <f>J938</f>
        <v>41191</v>
      </c>
      <c r="P938" s="51" t="str">
        <f>C938</f>
        <v>~/cdd/olddocs/FMEA/MICROMINI/CHANGE-OUT/FMEA-CHGO-013  X8653382P.pdf</v>
      </c>
      <c r="Q938" s="51" t="str">
        <f>E938</f>
        <v>pdf</v>
      </c>
      <c r="R938" s="51"/>
      <c r="S938" s="51"/>
      <c r="T938" s="51"/>
      <c r="U938" s="51"/>
      <c r="V938" s="51"/>
      <c r="W938" s="51"/>
      <c r="X938" s="51"/>
      <c r="Y938" s="51"/>
      <c r="Z938" s="51"/>
      <c r="AA938" s="51"/>
      <c r="AB938" s="51"/>
      <c r="AC938" s="51"/>
      <c r="AD938" s="51"/>
      <c r="AG938" t="s">
        <v>1297</v>
      </c>
      <c r="AH938" s="51"/>
      <c r="AI938" s="51"/>
    </row>
    <row r="939" spans="2:35">
      <c r="B939" t="s">
        <v>1360</v>
      </c>
      <c r="C939" t="s">
        <v>2916</v>
      </c>
      <c r="D939">
        <v>14</v>
      </c>
      <c r="E939" t="s">
        <v>2791</v>
      </c>
      <c r="F939">
        <v>5</v>
      </c>
      <c r="G939">
        <v>12</v>
      </c>
      <c r="H939">
        <v>4</v>
      </c>
      <c r="I939" t="s">
        <v>1299</v>
      </c>
      <c r="J939" s="51">
        <v>41191</v>
      </c>
      <c r="K939" t="s">
        <v>27</v>
      </c>
      <c r="L939" t="s">
        <v>1253</v>
      </c>
      <c r="M939">
        <v>3</v>
      </c>
      <c r="N939" t="str">
        <f>L939</f>
        <v>NAM\MB3505</v>
      </c>
      <c r="O939" s="51">
        <f>J939</f>
        <v>41191</v>
      </c>
      <c r="P939" s="51" t="str">
        <f>C939</f>
        <v>~/cdd/olddocs/FMEA/MICROMINI/CHANGE-OUT/FMEA-CHGO-014     X8653568P.pdf</v>
      </c>
      <c r="Q939" s="51" t="str">
        <f>E939</f>
        <v>pdf</v>
      </c>
      <c r="R939" s="51"/>
      <c r="S939" s="51"/>
      <c r="T939" s="51"/>
      <c r="U939" s="51"/>
      <c r="V939" s="51"/>
      <c r="W939" s="51"/>
      <c r="X939" s="51"/>
      <c r="Y939" s="51"/>
      <c r="Z939" s="51"/>
      <c r="AA939" s="51"/>
      <c r="AB939" s="51"/>
      <c r="AC939" s="51"/>
      <c r="AD939" s="51"/>
      <c r="AG939" t="s">
        <v>1300</v>
      </c>
      <c r="AH939" s="51"/>
      <c r="AI939" s="51"/>
    </row>
    <row r="940" spans="2:35">
      <c r="B940" t="s">
        <v>1361</v>
      </c>
      <c r="C940" t="e">
        <v>#VALUE!</v>
      </c>
      <c r="D940">
        <v>14</v>
      </c>
      <c r="E940" t="e">
        <v>#VALUE!</v>
      </c>
      <c r="F940">
        <v>5</v>
      </c>
      <c r="G940">
        <v>12</v>
      </c>
      <c r="H940">
        <v>4</v>
      </c>
      <c r="I940" t="s">
        <v>1362</v>
      </c>
      <c r="J940" s="51">
        <v>41191</v>
      </c>
      <c r="K940" t="s">
        <v>27</v>
      </c>
      <c r="L940" t="s">
        <v>1253</v>
      </c>
      <c r="M940">
        <v>3</v>
      </c>
      <c r="N940" t="str">
        <f>L940</f>
        <v>NAM\MB3505</v>
      </c>
      <c r="O940" s="51">
        <f>J940</f>
        <v>41191</v>
      </c>
      <c r="P940" s="51" t="e">
        <f>C940</f>
        <v>#VALUE!</v>
      </c>
      <c r="Q940" s="51" t="e">
        <f>E940</f>
        <v>#VALUE!</v>
      </c>
      <c r="R940" s="51"/>
      <c r="S940" s="51"/>
      <c r="T940" s="51"/>
      <c r="U940" s="51"/>
      <c r="V940" s="51"/>
      <c r="W940" s="51"/>
      <c r="X940" s="51"/>
      <c r="Y940" s="51"/>
      <c r="Z940" s="51"/>
      <c r="AA940" s="51"/>
      <c r="AB940" s="51"/>
      <c r="AC940" s="51"/>
      <c r="AD940" s="51"/>
      <c r="AG940" t="s">
        <v>1303</v>
      </c>
      <c r="AH940" s="51"/>
      <c r="AI940" s="51"/>
    </row>
    <row r="941" spans="2:35">
      <c r="B941" t="s">
        <v>1363</v>
      </c>
      <c r="C941" t="s">
        <v>2917</v>
      </c>
      <c r="D941">
        <v>14</v>
      </c>
      <c r="E941" t="s">
        <v>2791</v>
      </c>
      <c r="F941">
        <v>5</v>
      </c>
      <c r="G941">
        <v>12</v>
      </c>
      <c r="H941">
        <v>4</v>
      </c>
      <c r="I941" t="s">
        <v>1344</v>
      </c>
      <c r="J941" s="51">
        <v>41193</v>
      </c>
      <c r="K941" t="s">
        <v>27</v>
      </c>
      <c r="L941" t="s">
        <v>1253</v>
      </c>
      <c r="M941">
        <v>3</v>
      </c>
      <c r="N941" t="str">
        <f>L941</f>
        <v>NAM\MB3505</v>
      </c>
      <c r="O941" s="51">
        <f>J941</f>
        <v>41193</v>
      </c>
      <c r="P941" s="51" t="str">
        <f>C941</f>
        <v>~/cdd/olddocs/FMEA/MICROMINI/CHANGE-OUT/FMEA-CHGO-016  X86521624p.pdf</v>
      </c>
      <c r="Q941" s="51" t="str">
        <f>E941</f>
        <v>pdf</v>
      </c>
      <c r="R941" s="51"/>
      <c r="S941" s="51"/>
      <c r="T941" s="51"/>
      <c r="U941" s="51"/>
      <c r="V941" s="51"/>
      <c r="W941" s="51"/>
      <c r="X941" s="51"/>
      <c r="Y941" s="51"/>
      <c r="Z941" s="51"/>
      <c r="AA941" s="51"/>
      <c r="AB941" s="51"/>
      <c r="AC941" s="51"/>
      <c r="AD941" s="51"/>
      <c r="AG941" t="s">
        <v>1334</v>
      </c>
      <c r="AH941" s="51"/>
      <c r="AI941" s="51"/>
    </row>
    <row r="942" spans="2:35">
      <c r="B942" t="s">
        <v>1364</v>
      </c>
      <c r="C942" t="s">
        <v>2918</v>
      </c>
      <c r="D942">
        <v>14</v>
      </c>
      <c r="E942" t="s">
        <v>2791</v>
      </c>
      <c r="F942">
        <v>5</v>
      </c>
      <c r="G942">
        <v>12</v>
      </c>
      <c r="H942">
        <v>4</v>
      </c>
      <c r="I942" t="s">
        <v>1365</v>
      </c>
      <c r="J942" s="51">
        <v>41193</v>
      </c>
      <c r="K942" t="s">
        <v>27</v>
      </c>
      <c r="L942" t="s">
        <v>1253</v>
      </c>
      <c r="M942">
        <v>3</v>
      </c>
      <c r="N942" t="str">
        <f>L942</f>
        <v>NAM\MB3505</v>
      </c>
      <c r="O942" s="51">
        <f>J942</f>
        <v>41193</v>
      </c>
      <c r="P942" s="51" t="str">
        <f>C942</f>
        <v>~/cdd/olddocs/FMEA/MICROMINI/CHANGE-OUT/FMEA-CHGO-017   X86531621P.pdf</v>
      </c>
      <c r="Q942" s="51" t="str">
        <f>E942</f>
        <v>pdf</v>
      </c>
      <c r="R942" s="51"/>
      <c r="S942" s="51"/>
      <c r="T942" s="51"/>
      <c r="U942" s="51"/>
      <c r="V942" s="51"/>
      <c r="W942" s="51"/>
      <c r="X942" s="51"/>
      <c r="Y942" s="51"/>
      <c r="Z942" s="51"/>
      <c r="AA942" s="51"/>
      <c r="AB942" s="51"/>
      <c r="AC942" s="51"/>
      <c r="AD942" s="51"/>
      <c r="AG942" t="s">
        <v>1366</v>
      </c>
      <c r="AH942" s="51"/>
      <c r="AI942" s="51"/>
    </row>
    <row r="943" spans="2:35">
      <c r="B943" t="s">
        <v>1094</v>
      </c>
      <c r="C943" t="s">
        <v>2905</v>
      </c>
      <c r="D943">
        <v>14</v>
      </c>
      <c r="E943" t="s">
        <v>2791</v>
      </c>
      <c r="F943">
        <v>5</v>
      </c>
      <c r="G943">
        <v>9</v>
      </c>
      <c r="H943">
        <v>1</v>
      </c>
      <c r="I943" t="s">
        <v>1097</v>
      </c>
      <c r="J943" s="51">
        <v>41144</v>
      </c>
      <c r="K943" t="s">
        <v>27</v>
      </c>
      <c r="L943" t="s">
        <v>880</v>
      </c>
      <c r="M943">
        <v>3</v>
      </c>
      <c r="N943" t="str">
        <f>L943</f>
        <v>NAM\MB3488</v>
      </c>
      <c r="O943" s="51">
        <f>J943</f>
        <v>41144</v>
      </c>
      <c r="P943" s="51" t="str">
        <f>C943</f>
        <v>~/cdd/olddocs/FMEA/ITRON/PLUG/FMEA- IPLUG-001 Rev. A  CBA-1300-00628-2302-0001.pdf</v>
      </c>
      <c r="Q943" s="51" t="str">
        <f>E943</f>
        <v>pdf</v>
      </c>
      <c r="R943" s="51"/>
      <c r="S943" s="51"/>
      <c r="T943" s="51"/>
      <c r="U943" s="51"/>
      <c r="V943" s="51"/>
      <c r="W943" s="51"/>
      <c r="X943" s="51"/>
      <c r="Y943" s="51"/>
      <c r="Z943" s="51"/>
      <c r="AA943" s="51"/>
      <c r="AB943" s="51"/>
      <c r="AC943" s="51"/>
      <c r="AD943" s="51"/>
      <c r="AG943" t="s">
        <v>1098</v>
      </c>
      <c r="AH943" s="51"/>
      <c r="AI943" s="51"/>
    </row>
    <row r="944" spans="2:35">
      <c r="B944" t="s">
        <v>1099</v>
      </c>
      <c r="C944" t="s">
        <v>2906</v>
      </c>
      <c r="D944">
        <v>14</v>
      </c>
      <c r="E944" t="s">
        <v>2791</v>
      </c>
      <c r="F944">
        <v>5</v>
      </c>
      <c r="G944">
        <v>9</v>
      </c>
      <c r="H944">
        <v>1</v>
      </c>
      <c r="I944" t="s">
        <v>972</v>
      </c>
      <c r="J944" s="51">
        <v>41149</v>
      </c>
      <c r="K944" t="s">
        <v>27</v>
      </c>
      <c r="L944" t="s">
        <v>880</v>
      </c>
      <c r="M944">
        <v>3</v>
      </c>
      <c r="N944" t="str">
        <f>L944</f>
        <v>NAM\MB3488</v>
      </c>
      <c r="O944" s="51">
        <f>J944</f>
        <v>41149</v>
      </c>
      <c r="P944" s="51" t="str">
        <f>C944</f>
        <v>~/cdd/olddocs/FMEA/ITRON/PLUG/FMEA-IPLUG-002  Rev. A 0002359-TAB 002360-TAB  002361-TAB.pdf</v>
      </c>
      <c r="Q944" s="51" t="str">
        <f>E944</f>
        <v>pdf</v>
      </c>
      <c r="R944" s="51"/>
      <c r="S944" s="51"/>
      <c r="T944" s="51"/>
      <c r="U944" s="51"/>
      <c r="V944" s="51"/>
      <c r="W944" s="51"/>
      <c r="X944" s="51"/>
      <c r="Y944" s="51"/>
      <c r="Z944" s="51"/>
      <c r="AA944" s="51"/>
      <c r="AB944" s="51"/>
      <c r="AC944" s="51"/>
      <c r="AD944" s="51"/>
      <c r="AG944" t="s">
        <v>973</v>
      </c>
      <c r="AH944" s="51"/>
      <c r="AI944" s="51"/>
    </row>
    <row r="945" spans="2:35">
      <c r="B945" t="s">
        <v>1431</v>
      </c>
      <c r="C945" t="s">
        <v>2919</v>
      </c>
      <c r="D945">
        <v>14</v>
      </c>
      <c r="E945" t="s">
        <v>2791</v>
      </c>
      <c r="F945">
        <v>5</v>
      </c>
      <c r="G945">
        <v>12</v>
      </c>
      <c r="H945">
        <v>16</v>
      </c>
      <c r="I945" t="s">
        <v>1368</v>
      </c>
      <c r="J945" s="51">
        <v>41179</v>
      </c>
      <c r="K945" t="s">
        <v>27</v>
      </c>
      <c r="L945" t="s">
        <v>1253</v>
      </c>
      <c r="M945">
        <v>3</v>
      </c>
      <c r="N945" t="str">
        <f>L945</f>
        <v>NAM\MB3505</v>
      </c>
      <c r="O945" s="51">
        <f>J945</f>
        <v>41179</v>
      </c>
      <c r="P945" s="51" t="str">
        <f>C945</f>
        <v>~/cdd/olddocs/FMEA/MICROMINI/MS/FMEA-MS-001  203205A.pdf</v>
      </c>
      <c r="Q945" s="51" t="str">
        <f>E945</f>
        <v>pdf</v>
      </c>
      <c r="R945" s="51"/>
      <c r="S945" s="51"/>
      <c r="T945" s="51"/>
      <c r="U945" s="51"/>
      <c r="V945" s="51"/>
      <c r="W945" s="51"/>
      <c r="X945" s="51"/>
      <c r="Y945" s="51"/>
      <c r="Z945" s="51"/>
      <c r="AA945" s="51"/>
      <c r="AB945" s="51"/>
      <c r="AC945" s="51"/>
      <c r="AD945" s="51"/>
      <c r="AG945" t="s">
        <v>1369</v>
      </c>
      <c r="AH945" s="51"/>
      <c r="AI945" s="51"/>
    </row>
    <row r="946" spans="2:35">
      <c r="B946" t="s">
        <v>1432</v>
      </c>
      <c r="C946" t="s">
        <v>2920</v>
      </c>
      <c r="D946">
        <v>14</v>
      </c>
      <c r="E946" t="s">
        <v>2791</v>
      </c>
      <c r="F946">
        <v>5</v>
      </c>
      <c r="G946">
        <v>12</v>
      </c>
      <c r="H946">
        <v>16</v>
      </c>
      <c r="I946" t="s">
        <v>1433</v>
      </c>
      <c r="J946" s="51">
        <v>41179</v>
      </c>
      <c r="K946" t="s">
        <v>27</v>
      </c>
      <c r="L946" t="s">
        <v>1253</v>
      </c>
      <c r="M946">
        <v>3</v>
      </c>
      <c r="N946" t="str">
        <f>L946</f>
        <v>NAM\MB3505</v>
      </c>
      <c r="O946" s="51">
        <f>J946</f>
        <v>41179</v>
      </c>
      <c r="P946" s="51" t="str">
        <f>C946</f>
        <v>~/cdd/olddocs/FMEA/MICROMINI/MS/FMEA-MS-002  5680551.pdf</v>
      </c>
      <c r="Q946" s="51" t="str">
        <f>E946</f>
        <v>pdf</v>
      </c>
      <c r="R946" s="51"/>
      <c r="S946" s="51"/>
      <c r="T946" s="51"/>
      <c r="U946" s="51"/>
      <c r="V946" s="51"/>
      <c r="W946" s="51"/>
      <c r="X946" s="51"/>
      <c r="Y946" s="51"/>
      <c r="Z946" s="51"/>
      <c r="AA946" s="51"/>
      <c r="AB946" s="51"/>
      <c r="AC946" s="51"/>
      <c r="AD946" s="51"/>
      <c r="AG946" t="s">
        <v>1434</v>
      </c>
      <c r="AH946" s="51"/>
      <c r="AI946" s="51"/>
    </row>
    <row r="947" spans="2:35">
      <c r="B947" t="s">
        <v>1435</v>
      </c>
      <c r="C947" t="s">
        <v>2921</v>
      </c>
      <c r="D947">
        <v>14</v>
      </c>
      <c r="E947" t="s">
        <v>2791</v>
      </c>
      <c r="F947">
        <v>5</v>
      </c>
      <c r="G947">
        <v>12</v>
      </c>
      <c r="H947">
        <v>16</v>
      </c>
      <c r="I947" t="s">
        <v>1374</v>
      </c>
      <c r="J947" s="51">
        <v>41179</v>
      </c>
      <c r="K947" t="s">
        <v>27</v>
      </c>
      <c r="L947" t="s">
        <v>1253</v>
      </c>
      <c r="M947">
        <v>3</v>
      </c>
      <c r="N947" t="str">
        <f>L947</f>
        <v>NAM\MB3505</v>
      </c>
      <c r="O947" s="51">
        <f>J947</f>
        <v>41179</v>
      </c>
      <c r="P947" s="51" t="str">
        <f>C947</f>
        <v>~/cdd/olddocs/FMEA/MICROMINI/MS/FMEA-MS-003  11613668 &amp; 11536313.pdf</v>
      </c>
      <c r="Q947" s="51" t="str">
        <f>E947</f>
        <v>pdf</v>
      </c>
      <c r="R947" s="51"/>
      <c r="S947" s="51"/>
      <c r="T947" s="51"/>
      <c r="U947" s="51"/>
      <c r="V947" s="51"/>
      <c r="W947" s="51"/>
      <c r="X947" s="51"/>
      <c r="Y947" s="51"/>
      <c r="Z947" s="51"/>
      <c r="AA947" s="51"/>
      <c r="AB947" s="51"/>
      <c r="AC947" s="51"/>
      <c r="AD947" s="51"/>
      <c r="AG947" t="s">
        <v>1436</v>
      </c>
      <c r="AH947" s="51"/>
      <c r="AI947" s="51"/>
    </row>
    <row r="948" spans="2:35">
      <c r="B948" t="s">
        <v>1437</v>
      </c>
      <c r="C948" t="s">
        <v>2922</v>
      </c>
      <c r="D948">
        <v>14</v>
      </c>
      <c r="E948" t="s">
        <v>2791</v>
      </c>
      <c r="F948">
        <v>5</v>
      </c>
      <c r="G948">
        <v>12</v>
      </c>
      <c r="H948">
        <v>16</v>
      </c>
      <c r="I948" t="s">
        <v>1438</v>
      </c>
      <c r="J948" s="51">
        <v>41180</v>
      </c>
      <c r="K948" t="s">
        <v>27</v>
      </c>
      <c r="L948" t="s">
        <v>1253</v>
      </c>
      <c r="M948">
        <v>3</v>
      </c>
      <c r="N948" t="str">
        <f>L948</f>
        <v>NAM\MB3505</v>
      </c>
      <c r="O948" s="51">
        <f>J948</f>
        <v>41180</v>
      </c>
      <c r="P948" s="51" t="str">
        <f>C948</f>
        <v>~/cdd/olddocs/FMEA/MICROMINI/MS/FMEA-MS-004   11547793.pdf</v>
      </c>
      <c r="Q948" s="51" t="str">
        <f>E948</f>
        <v>pdf</v>
      </c>
      <c r="R948" s="51"/>
      <c r="S948" s="51"/>
      <c r="T948" s="51"/>
      <c r="U948" s="51"/>
      <c r="V948" s="51"/>
      <c r="W948" s="51"/>
      <c r="X948" s="51"/>
      <c r="Y948" s="51"/>
      <c r="Z948" s="51"/>
      <c r="AA948" s="51"/>
      <c r="AB948" s="51"/>
      <c r="AC948" s="51"/>
      <c r="AD948" s="51"/>
      <c r="AG948" t="s">
        <v>1411</v>
      </c>
      <c r="AH948" s="51"/>
      <c r="AI948" s="51"/>
    </row>
    <row r="949" spans="2:35">
      <c r="B949" t="s">
        <v>1439</v>
      </c>
      <c r="C949" t="s">
        <v>2923</v>
      </c>
      <c r="D949">
        <v>14</v>
      </c>
      <c r="E949" t="s">
        <v>2791</v>
      </c>
      <c r="F949">
        <v>5</v>
      </c>
      <c r="G949">
        <v>12</v>
      </c>
      <c r="H949">
        <v>16</v>
      </c>
      <c r="I949" t="s">
        <v>1374</v>
      </c>
      <c r="J949" s="51">
        <v>41180</v>
      </c>
      <c r="K949" t="s">
        <v>27</v>
      </c>
      <c r="L949" t="s">
        <v>1253</v>
      </c>
      <c r="M949">
        <v>3</v>
      </c>
      <c r="N949" t="str">
        <f>L949</f>
        <v>NAM\MB3505</v>
      </c>
      <c r="O949" s="51">
        <f>J949</f>
        <v>41180</v>
      </c>
      <c r="P949" s="51" t="str">
        <f>C949</f>
        <v>~/cdd/olddocs/FMEA/MICROMINI/MS/FMEA-MS-005 CH5041495B0360.pdf</v>
      </c>
      <c r="Q949" s="51" t="str">
        <f>E949</f>
        <v>pdf</v>
      </c>
      <c r="R949" s="51"/>
      <c r="S949" s="51"/>
      <c r="T949" s="51"/>
      <c r="U949" s="51"/>
      <c r="V949" s="51"/>
      <c r="W949" s="51"/>
      <c r="X949" s="51"/>
      <c r="Y949" s="51"/>
      <c r="Z949" s="51"/>
      <c r="AA949" s="51"/>
      <c r="AB949" s="51"/>
      <c r="AC949" s="51"/>
      <c r="AD949" s="51"/>
      <c r="AG949" t="s">
        <v>1413</v>
      </c>
      <c r="AH949" s="51"/>
      <c r="AI949" s="51"/>
    </row>
    <row r="950" spans="2:35">
      <c r="B950" t="s">
        <v>1440</v>
      </c>
      <c r="C950" t="s">
        <v>2924</v>
      </c>
      <c r="D950">
        <v>14</v>
      </c>
      <c r="E950" t="s">
        <v>2791</v>
      </c>
      <c r="F950">
        <v>5</v>
      </c>
      <c r="G950">
        <v>12</v>
      </c>
      <c r="H950">
        <v>16</v>
      </c>
      <c r="I950" t="s">
        <v>1441</v>
      </c>
      <c r="J950" s="51">
        <v>41180</v>
      </c>
      <c r="K950" t="s">
        <v>27</v>
      </c>
      <c r="L950" t="s">
        <v>1253</v>
      </c>
      <c r="M950">
        <v>3</v>
      </c>
      <c r="N950" t="str">
        <f>L950</f>
        <v>NAM\MB3505</v>
      </c>
      <c r="O950" s="51">
        <f>J950</f>
        <v>41180</v>
      </c>
      <c r="P950" s="51" t="str">
        <f>C950</f>
        <v>~/cdd/olddocs/FMEA/MICROMINI/MS/FMEA-MS-006 CHCCR003P.pdf</v>
      </c>
      <c r="Q950" s="51" t="str">
        <f>E950</f>
        <v>pdf</v>
      </c>
      <c r="R950" s="51"/>
      <c r="S950" s="51"/>
      <c r="T950" s="51"/>
      <c r="U950" s="51"/>
      <c r="V950" s="51"/>
      <c r="W950" s="51"/>
      <c r="X950" s="51"/>
      <c r="Y950" s="51"/>
      <c r="Z950" s="51"/>
      <c r="AA950" s="51"/>
      <c r="AB950" s="51"/>
      <c r="AC950" s="51"/>
      <c r="AD950" s="51"/>
      <c r="AG950" t="s">
        <v>1442</v>
      </c>
      <c r="AH950" s="51"/>
      <c r="AI950" s="51"/>
    </row>
    <row r="951" spans="2:35">
      <c r="B951" t="s">
        <v>1443</v>
      </c>
      <c r="C951" t="s">
        <v>2923</v>
      </c>
      <c r="D951">
        <v>14</v>
      </c>
      <c r="E951" t="s">
        <v>2791</v>
      </c>
      <c r="F951">
        <v>5</v>
      </c>
      <c r="G951">
        <v>12</v>
      </c>
      <c r="H951">
        <v>16</v>
      </c>
      <c r="I951" t="s">
        <v>1417</v>
      </c>
      <c r="J951" s="51">
        <v>41180</v>
      </c>
      <c r="K951" t="s">
        <v>27</v>
      </c>
      <c r="L951" t="s">
        <v>1253</v>
      </c>
      <c r="M951">
        <v>3</v>
      </c>
      <c r="N951" t="str">
        <f>L951</f>
        <v>NAM\MB3505</v>
      </c>
      <c r="O951" s="51">
        <f>J951</f>
        <v>41180</v>
      </c>
      <c r="P951" s="51" t="str">
        <f>C951</f>
        <v>~/cdd/olddocs/FMEA/MICROMINI/MS/FMEA-MS-005 CH5041495B0360.pdf</v>
      </c>
      <c r="Q951" s="51" t="str">
        <f>E951</f>
        <v>pdf</v>
      </c>
      <c r="R951" s="51"/>
      <c r="S951" s="51"/>
      <c r="T951" s="51"/>
      <c r="U951" s="51"/>
      <c r="V951" s="51"/>
      <c r="W951" s="51"/>
      <c r="X951" s="51"/>
      <c r="Y951" s="51"/>
      <c r="Z951" s="51"/>
      <c r="AA951" s="51"/>
      <c r="AB951" s="51"/>
      <c r="AC951" s="51"/>
      <c r="AD951" s="51"/>
      <c r="AG951" t="s">
        <v>1384</v>
      </c>
      <c r="AH951" s="51"/>
      <c r="AI951" s="51"/>
    </row>
    <row r="952" spans="2:35">
      <c r="B952" t="s">
        <v>1444</v>
      </c>
      <c r="C952" t="s">
        <v>2925</v>
      </c>
      <c r="D952">
        <v>14</v>
      </c>
      <c r="E952" t="s">
        <v>2791</v>
      </c>
      <c r="F952">
        <v>5</v>
      </c>
      <c r="G952">
        <v>12</v>
      </c>
      <c r="H952">
        <v>16</v>
      </c>
      <c r="I952" t="s">
        <v>1386</v>
      </c>
      <c r="J952" s="51">
        <v>41180</v>
      </c>
      <c r="K952" t="s">
        <v>27</v>
      </c>
      <c r="L952" t="s">
        <v>1253</v>
      </c>
      <c r="M952">
        <v>3</v>
      </c>
      <c r="N952" t="str">
        <f>L952</f>
        <v>NAM\MB3505</v>
      </c>
      <c r="O952" s="51">
        <f>J952</f>
        <v>41180</v>
      </c>
      <c r="P952" s="51" t="str">
        <f>C952</f>
        <v>~/cdd/olddocs/FMEA/MICROMINI/MS/FMEA-MS-008  P1526042B130, P1529042B130, P1532302C21, P1532302C27.pdf</v>
      </c>
      <c r="Q952" s="51" t="str">
        <f>E952</f>
        <v>pdf</v>
      </c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G952" t="s">
        <v>1387</v>
      </c>
      <c r="AH952" s="51"/>
      <c r="AI952" s="51"/>
    </row>
    <row r="953" spans="2:35">
      <c r="B953" t="s">
        <v>1445</v>
      </c>
      <c r="C953" t="s">
        <v>2926</v>
      </c>
      <c r="D953">
        <v>14</v>
      </c>
      <c r="E953" t="s">
        <v>2791</v>
      </c>
      <c r="F953">
        <v>5</v>
      </c>
      <c r="G953">
        <v>12</v>
      </c>
      <c r="H953">
        <v>16</v>
      </c>
      <c r="I953" t="s">
        <v>1386</v>
      </c>
      <c r="J953" s="51">
        <v>41180</v>
      </c>
      <c r="K953" t="s">
        <v>27</v>
      </c>
      <c r="L953" t="s">
        <v>1253</v>
      </c>
      <c r="M953">
        <v>3</v>
      </c>
      <c r="N953" t="str">
        <f>L953</f>
        <v>NAM\MB3505</v>
      </c>
      <c r="O953" s="51">
        <f>J953</f>
        <v>41180</v>
      </c>
      <c r="P953" s="51" t="str">
        <f>C953</f>
        <v>~/cdd/olddocs/FMEA/MICROMINI/MS/FMEA-MS-009 Rev. A  SMEA0092010, SMEA0092025, SMEA0092030, SMEA0092040, SMEA0092045, SMEA0092050.pdf</v>
      </c>
      <c r="Q953" s="51" t="str">
        <f>E953</f>
        <v>pdf</v>
      </c>
      <c r="R953" s="51"/>
      <c r="S953" s="51"/>
      <c r="T953" s="51"/>
      <c r="U953" s="51"/>
      <c r="V953" s="51"/>
      <c r="W953" s="51"/>
      <c r="X953" s="51"/>
      <c r="Y953" s="51"/>
      <c r="Z953" s="51"/>
      <c r="AA953" s="51"/>
      <c r="AB953" s="51"/>
      <c r="AC953" s="51"/>
      <c r="AD953" s="51"/>
      <c r="AG953" t="s">
        <v>1421</v>
      </c>
      <c r="AH953" s="51"/>
      <c r="AI953" s="51"/>
    </row>
    <row r="954" spans="2:35">
      <c r="B954" t="s">
        <v>1446</v>
      </c>
      <c r="C954" t="s">
        <v>2927</v>
      </c>
      <c r="D954">
        <v>14</v>
      </c>
      <c r="E954" t="s">
        <v>2791</v>
      </c>
      <c r="F954">
        <v>5</v>
      </c>
      <c r="G954">
        <v>12</v>
      </c>
      <c r="H954">
        <v>16</v>
      </c>
      <c r="I954" t="s">
        <v>1386</v>
      </c>
      <c r="J954" s="51">
        <v>41180</v>
      </c>
      <c r="K954" t="s">
        <v>27</v>
      </c>
      <c r="L954" t="s">
        <v>1253</v>
      </c>
      <c r="M954">
        <v>3</v>
      </c>
      <c r="N954" t="str">
        <f>L954</f>
        <v>NAM\MB3505</v>
      </c>
      <c r="O954" s="51">
        <f>J954</f>
        <v>41180</v>
      </c>
      <c r="P954" s="51" t="str">
        <f>C954</f>
        <v>~/cdd/olddocs/FMEA/MICROMINI/MS/FMEA-MS-010  SMEA0094007, SMEA0094030.pdf</v>
      </c>
      <c r="Q954" s="51" t="str">
        <f>E954</f>
        <v>pdf</v>
      </c>
      <c r="R954" s="51"/>
      <c r="S954" s="51"/>
      <c r="T954" s="51"/>
      <c r="U954" s="51"/>
      <c r="V954" s="51"/>
      <c r="W954" s="51"/>
      <c r="X954" s="51"/>
      <c r="Y954" s="51"/>
      <c r="Z954" s="51"/>
      <c r="AA954" s="51"/>
      <c r="AB954" s="51"/>
      <c r="AC954" s="51"/>
      <c r="AD954" s="51"/>
      <c r="AG954" t="s">
        <v>1392</v>
      </c>
      <c r="AH954" s="51"/>
      <c r="AI954" s="51"/>
    </row>
    <row r="955" spans="2:35">
      <c r="B955" t="s">
        <v>1447</v>
      </c>
      <c r="C955" t="s">
        <v>2928</v>
      </c>
      <c r="D955">
        <v>14</v>
      </c>
      <c r="E955" t="s">
        <v>2791</v>
      </c>
      <c r="F955">
        <v>5</v>
      </c>
      <c r="G955">
        <v>12</v>
      </c>
      <c r="H955">
        <v>16</v>
      </c>
      <c r="I955" t="s">
        <v>1448</v>
      </c>
      <c r="J955" s="51">
        <v>41180</v>
      </c>
      <c r="K955" t="s">
        <v>27</v>
      </c>
      <c r="L955" t="s">
        <v>1253</v>
      </c>
      <c r="M955">
        <v>3</v>
      </c>
      <c r="N955" t="str">
        <f>L955</f>
        <v>NAM\MB3505</v>
      </c>
      <c r="O955" s="51">
        <f>J955</f>
        <v>41180</v>
      </c>
      <c r="P955" s="51" t="str">
        <f>C955</f>
        <v>~/cdd/olddocs/FMEA/MICROMINI/MS/FMEA-MS-011  SMEA0114007, 4010, 4015, 4030.pdf</v>
      </c>
      <c r="Q955" s="51" t="str">
        <f>E955</f>
        <v>pdf</v>
      </c>
      <c r="R955" s="51"/>
      <c r="S955" s="51"/>
      <c r="T955" s="51"/>
      <c r="U955" s="51"/>
      <c r="V955" s="51"/>
      <c r="W955" s="51"/>
      <c r="X955" s="51"/>
      <c r="Y955" s="51"/>
      <c r="Z955" s="51"/>
      <c r="AA955" s="51"/>
      <c r="AB955" s="51"/>
      <c r="AC955" s="51"/>
      <c r="AD955" s="51"/>
      <c r="AG955" t="s">
        <v>1395</v>
      </c>
      <c r="AH955" s="51"/>
      <c r="AI955" s="51"/>
    </row>
    <row r="956" spans="2:35">
      <c r="B956" t="s">
        <v>1449</v>
      </c>
      <c r="C956" t="s">
        <v>2929</v>
      </c>
      <c r="D956">
        <v>14</v>
      </c>
      <c r="E956" t="s">
        <v>2791</v>
      </c>
      <c r="F956">
        <v>5</v>
      </c>
      <c r="G956">
        <v>12</v>
      </c>
      <c r="H956">
        <v>16</v>
      </c>
      <c r="I956" t="s">
        <v>1450</v>
      </c>
      <c r="J956" s="51">
        <v>41180</v>
      </c>
      <c r="K956" t="s">
        <v>27</v>
      </c>
      <c r="L956" t="s">
        <v>1253</v>
      </c>
      <c r="M956">
        <v>3</v>
      </c>
      <c r="N956" t="str">
        <f>L956</f>
        <v>NAM\MB3505</v>
      </c>
      <c r="O956" s="51">
        <f>J956</f>
        <v>41180</v>
      </c>
      <c r="P956" s="51" t="str">
        <f>C956</f>
        <v>~/cdd/olddocs/FMEA/MICROMINI/MS/FMEA-MS-012  SMEA0115010,5010, 5020, 5030, 5035, 5060.pdf</v>
      </c>
      <c r="Q956" s="51" t="str">
        <f>E956</f>
        <v>pdf</v>
      </c>
      <c r="R956" s="51"/>
      <c r="S956" s="51"/>
      <c r="T956" s="51"/>
      <c r="U956" s="51"/>
      <c r="V956" s="51"/>
      <c r="W956" s="51"/>
      <c r="X956" s="51"/>
      <c r="Y956" s="51"/>
      <c r="Z956" s="51"/>
      <c r="AA956" s="51"/>
      <c r="AB956" s="51"/>
      <c r="AC956" s="51"/>
      <c r="AD956" s="51"/>
      <c r="AG956" t="s">
        <v>1428</v>
      </c>
      <c r="AH956" s="51"/>
      <c r="AI956" s="51"/>
    </row>
    <row r="957" spans="2:35">
      <c r="B957" t="s">
        <v>1451</v>
      </c>
      <c r="C957" t="s">
        <v>2930</v>
      </c>
      <c r="D957">
        <v>14</v>
      </c>
      <c r="E957" t="s">
        <v>2791</v>
      </c>
      <c r="F957">
        <v>5</v>
      </c>
      <c r="G957">
        <v>12</v>
      </c>
      <c r="H957">
        <v>16</v>
      </c>
      <c r="I957" t="s">
        <v>1400</v>
      </c>
      <c r="J957" s="51">
        <v>41180</v>
      </c>
      <c r="K957" t="s">
        <v>27</v>
      </c>
      <c r="L957" t="s">
        <v>1253</v>
      </c>
      <c r="M957">
        <v>3</v>
      </c>
      <c r="N957" t="str">
        <f>L957</f>
        <v>NAM\MB3505</v>
      </c>
      <c r="O957" s="51">
        <f>J957</f>
        <v>41180</v>
      </c>
      <c r="P957" s="51" t="str">
        <f>C957</f>
        <v>~/cdd/olddocs/FMEA/MICROMINI/MS/FMEA-MS-013 SMEA01200010, 0030, 0040, 0045.pdf</v>
      </c>
      <c r="Q957" s="51" t="str">
        <f>E957</f>
        <v>pdf</v>
      </c>
      <c r="R957" s="51"/>
      <c r="S957" s="51"/>
      <c r="T957" s="51"/>
      <c r="U957" s="51"/>
      <c r="V957" s="51"/>
      <c r="W957" s="51"/>
      <c r="X957" s="51"/>
      <c r="Y957" s="51"/>
      <c r="Z957" s="51"/>
      <c r="AA957" s="51"/>
      <c r="AB957" s="51"/>
      <c r="AC957" s="51"/>
      <c r="AD957" s="51"/>
      <c r="AG957" t="s">
        <v>1430</v>
      </c>
      <c r="AH957" s="51"/>
      <c r="AI957" s="51"/>
    </row>
    <row r="958" spans="2:35">
      <c r="B958" t="s">
        <v>1457</v>
      </c>
      <c r="C958" t="e">
        <v>#VALUE!</v>
      </c>
      <c r="D958">
        <v>14</v>
      </c>
      <c r="E958" t="e">
        <v>#VALUE!</v>
      </c>
      <c r="F958">
        <v>5</v>
      </c>
      <c r="G958">
        <v>6</v>
      </c>
      <c r="H958">
        <v>14</v>
      </c>
      <c r="I958" t="s">
        <v>94</v>
      </c>
      <c r="J958" s="51">
        <v>41178</v>
      </c>
      <c r="K958" t="s">
        <v>27</v>
      </c>
      <c r="L958" t="s">
        <v>1253</v>
      </c>
      <c r="M958">
        <v>3</v>
      </c>
      <c r="N958" t="str">
        <f>L958</f>
        <v>NAM\MB3505</v>
      </c>
      <c r="O958" s="51">
        <f>J958</f>
        <v>41178</v>
      </c>
      <c r="P958" s="51" t="e">
        <f>C958</f>
        <v>#VALUE!</v>
      </c>
      <c r="Q958" s="51" t="e">
        <f>E958</f>
        <v>#VALUE!</v>
      </c>
      <c r="R958" s="51"/>
      <c r="S958" s="51"/>
      <c r="T958" s="51"/>
      <c r="U958" s="51"/>
      <c r="V958" s="51"/>
      <c r="W958" s="51"/>
      <c r="X958" s="51"/>
      <c r="Y958" s="51"/>
      <c r="Z958" s="51"/>
      <c r="AA958" s="51"/>
      <c r="AB958" s="51"/>
      <c r="AC958" s="51"/>
      <c r="AD958" s="51"/>
      <c r="AG958" t="s">
        <v>1456</v>
      </c>
      <c r="AH958" s="51"/>
      <c r="AI958" s="51"/>
    </row>
    <row r="959" spans="2:35">
      <c r="B959" t="s">
        <v>1497</v>
      </c>
      <c r="C959" t="s">
        <v>3874</v>
      </c>
      <c r="D959">
        <v>5</v>
      </c>
      <c r="E959" t="s">
        <v>2790</v>
      </c>
      <c r="F959">
        <v>6</v>
      </c>
      <c r="G959">
        <v>15</v>
      </c>
      <c r="I959" t="s">
        <v>1498</v>
      </c>
      <c r="J959" s="51">
        <v>40846</v>
      </c>
      <c r="K959" t="s">
        <v>38</v>
      </c>
      <c r="L959" t="s">
        <v>1478</v>
      </c>
      <c r="M959">
        <v>3</v>
      </c>
      <c r="N959" t="str">
        <f>L959</f>
        <v>NAM\DEB51</v>
      </c>
      <c r="O959" s="51">
        <f>J959</f>
        <v>40846</v>
      </c>
      <c r="P959" s="51" t="str">
        <f>C959</f>
        <v>~cdd/olddocs/Formas/CNWI-PRCS (compras)/F-PRCS-01-001  Rev  D FORMATO DE REQUISICION DE COMPRA.xlsx</v>
      </c>
      <c r="Q959" s="51" t="str">
        <f>E959</f>
        <v>xlsx</v>
      </c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G959" t="s">
        <v>28</v>
      </c>
      <c r="AH959" s="51"/>
      <c r="AI959" s="51"/>
    </row>
    <row r="960" spans="2:35">
      <c r="B960" t="s">
        <v>1883</v>
      </c>
      <c r="C960" t="s">
        <v>3875</v>
      </c>
      <c r="D960">
        <v>5</v>
      </c>
      <c r="E960" t="s">
        <v>2790</v>
      </c>
      <c r="F960">
        <v>6</v>
      </c>
      <c r="G960">
        <v>15</v>
      </c>
      <c r="I960" t="s">
        <v>1884</v>
      </c>
      <c r="J960" s="51">
        <v>41207</v>
      </c>
      <c r="K960" t="s">
        <v>27</v>
      </c>
      <c r="L960" t="s">
        <v>1870</v>
      </c>
      <c r="M960">
        <v>3</v>
      </c>
      <c r="N960" t="str">
        <f>L960</f>
        <v>NAM\BD5C8</v>
      </c>
      <c r="O960" s="51">
        <f>J960</f>
        <v>41207</v>
      </c>
      <c r="P960" s="51" t="str">
        <f>C960</f>
        <v>~cdd/olddocs/Formas/CNWI-PRCS (compras)/F-PRCS-08-001 Rev. A   Nogales Inbound Routing Guide.xlsx</v>
      </c>
      <c r="Q960" s="51" t="str">
        <f>E960</f>
        <v>xlsx</v>
      </c>
      <c r="R960" s="51"/>
      <c r="S960" s="51"/>
      <c r="T960" s="51"/>
      <c r="U960" s="51"/>
      <c r="V960" s="51"/>
      <c r="W960" s="51"/>
      <c r="X960" s="51"/>
      <c r="Y960" s="51"/>
      <c r="Z960" s="51"/>
      <c r="AA960" s="51"/>
      <c r="AB960" s="51"/>
      <c r="AC960" s="51"/>
      <c r="AD960" s="51"/>
      <c r="AG960" t="s">
        <v>28</v>
      </c>
      <c r="AH960" s="51"/>
      <c r="AI960" s="51"/>
    </row>
    <row r="961" spans="2:35">
      <c r="B961" t="s">
        <v>1130</v>
      </c>
      <c r="C961" t="s">
        <v>3193</v>
      </c>
      <c r="D961">
        <v>5</v>
      </c>
      <c r="E961" t="s">
        <v>2790</v>
      </c>
      <c r="F961">
        <v>9</v>
      </c>
      <c r="I961" t="s">
        <v>1131</v>
      </c>
      <c r="J961" s="51">
        <v>41207</v>
      </c>
      <c r="K961" t="s">
        <v>27</v>
      </c>
      <c r="L961" t="s">
        <v>1109</v>
      </c>
      <c r="M961">
        <v>3</v>
      </c>
      <c r="N961" t="str">
        <f>L961</f>
        <v>NAM\MB2116</v>
      </c>
      <c r="O961" s="51">
        <f>J961</f>
        <v>41207</v>
      </c>
      <c r="P961" s="51" t="str">
        <f>C961</f>
        <v>~/cdd/olddocs/Formas/CNWI-QAAS (aseguranza de calidad)/F-QAAS-06-001 Rev. A MRB LOG .xlsx</v>
      </c>
      <c r="Q961" s="51" t="str">
        <f>E961</f>
        <v>xlsx</v>
      </c>
      <c r="R961" s="51"/>
      <c r="S961" s="51"/>
      <c r="T961" s="51"/>
      <c r="U961" s="51"/>
      <c r="V961" s="51"/>
      <c r="W961" s="51"/>
      <c r="X961" s="51"/>
      <c r="Y961" s="51"/>
      <c r="Z961" s="51"/>
      <c r="AA961" s="51"/>
      <c r="AB961" s="51"/>
      <c r="AC961" s="51"/>
      <c r="AD961" s="51"/>
      <c r="AG961" t="s">
        <v>28</v>
      </c>
      <c r="AH961" s="51"/>
      <c r="AI961" s="51"/>
    </row>
    <row r="962" spans="2:35">
      <c r="B962" t="s">
        <v>1132</v>
      </c>
      <c r="C962" t="s">
        <v>3194</v>
      </c>
      <c r="D962">
        <v>5</v>
      </c>
      <c r="E962" t="s">
        <v>2790</v>
      </c>
      <c r="F962">
        <v>9</v>
      </c>
      <c r="I962" t="s">
        <v>1133</v>
      </c>
      <c r="J962" s="51">
        <v>41201</v>
      </c>
      <c r="K962" t="s">
        <v>27</v>
      </c>
      <c r="L962" t="s">
        <v>1109</v>
      </c>
      <c r="M962">
        <v>3</v>
      </c>
      <c r="N962" t="str">
        <f>L962</f>
        <v>NAM\MB2116</v>
      </c>
      <c r="O962" s="51">
        <f>J962</f>
        <v>41201</v>
      </c>
      <c r="P962" s="51" t="str">
        <f>C962</f>
        <v>~/cdd/olddocs/Formas/CNWI-QAAS (aseguranza de calidad)/F-QAAS-09-001 Rev. A Carta de registros de inspeccion de entrada.xlsx</v>
      </c>
      <c r="Q962" s="51" t="str">
        <f>E962</f>
        <v>xlsx</v>
      </c>
      <c r="R962" s="51"/>
      <c r="S962" s="51"/>
      <c r="T962" s="51"/>
      <c r="U962" s="51"/>
      <c r="V962" s="51"/>
      <c r="W962" s="51"/>
      <c r="X962" s="51"/>
      <c r="Y962" s="51"/>
      <c r="Z962" s="51"/>
      <c r="AA962" s="51"/>
      <c r="AB962" s="51"/>
      <c r="AC962" s="51"/>
      <c r="AD962" s="51"/>
      <c r="AG962" t="s">
        <v>28</v>
      </c>
      <c r="AH962" s="51"/>
      <c r="AI962" s="51"/>
    </row>
    <row r="963" spans="2:35">
      <c r="B963" t="s">
        <v>1134</v>
      </c>
      <c r="C963" t="s">
        <v>3195</v>
      </c>
      <c r="D963">
        <v>5</v>
      </c>
      <c r="E963" t="s">
        <v>2793</v>
      </c>
      <c r="F963">
        <v>9</v>
      </c>
      <c r="I963" t="s">
        <v>2800</v>
      </c>
      <c r="J963" s="51">
        <v>41151</v>
      </c>
      <c r="K963" t="s">
        <v>27</v>
      </c>
      <c r="L963" t="s">
        <v>1109</v>
      </c>
      <c r="M963">
        <v>3</v>
      </c>
      <c r="N963" t="str">
        <f>L963</f>
        <v>NAM\MB2116</v>
      </c>
      <c r="O963" s="51">
        <f>J963</f>
        <v>41151</v>
      </c>
      <c r="P963" s="51" t="str">
        <f>C963</f>
        <v>~/cdd/olddocs/Formas/CNWI-QAAS (aseguranza de calidad)/F-QAAS-09-002 Rev. A Supplier Non-Conformace Material Notification .pptx</v>
      </c>
      <c r="Q963" s="51" t="str">
        <f>E963</f>
        <v>pptx</v>
      </c>
      <c r="R963" s="51"/>
      <c r="S963" s="51"/>
      <c r="T963" s="51"/>
      <c r="U963" s="51"/>
      <c r="V963" s="51"/>
      <c r="W963" s="51"/>
      <c r="X963" s="51"/>
      <c r="Y963" s="51"/>
      <c r="Z963" s="51"/>
      <c r="AA963" s="51"/>
      <c r="AB963" s="51"/>
      <c r="AC963" s="51"/>
      <c r="AD963" s="51"/>
      <c r="AG963" t="s">
        <v>28</v>
      </c>
      <c r="AH963" s="51"/>
      <c r="AI963" s="51"/>
    </row>
    <row r="964" spans="2:35">
      <c r="B964" t="s">
        <v>1136</v>
      </c>
      <c r="C964" t="s">
        <v>3937</v>
      </c>
      <c r="D964">
        <v>5</v>
      </c>
      <c r="E964" t="s">
        <v>2790</v>
      </c>
      <c r="F964">
        <v>9</v>
      </c>
      <c r="I964" t="s">
        <v>1137</v>
      </c>
      <c r="J964" s="51">
        <v>41204</v>
      </c>
      <c r="K964" t="s">
        <v>27</v>
      </c>
      <c r="L964" t="s">
        <v>1109</v>
      </c>
      <c r="M964">
        <v>3</v>
      </c>
      <c r="N964" t="str">
        <f>L964</f>
        <v>NAM\MB2116</v>
      </c>
      <c r="O964" s="51">
        <f>J964</f>
        <v>41204</v>
      </c>
      <c r="P964" s="51" t="str">
        <f>C964</f>
        <v>~/cdd/olddocs/CN-QAAS (Aseguranza de calidad)/FORMAS/F-QAAS-09-003 Rev. A REPORTE DE RECHAZO DE PRODUCCION.xlsx</v>
      </c>
      <c r="Q964" s="51" t="str">
        <f>E964</f>
        <v>xlsx</v>
      </c>
      <c r="R964" s="51"/>
      <c r="S964" s="51"/>
      <c r="T964" s="51"/>
      <c r="U964" s="51"/>
      <c r="V964" s="51"/>
      <c r="W964" s="51"/>
      <c r="X964" s="51"/>
      <c r="Y964" s="51"/>
      <c r="Z964" s="51"/>
      <c r="AA964" s="51"/>
      <c r="AB964" s="51"/>
      <c r="AC964" s="51"/>
      <c r="AD964" s="51"/>
      <c r="AG964" t="s">
        <v>28</v>
      </c>
      <c r="AH964" s="51"/>
      <c r="AI964" s="51"/>
    </row>
    <row r="965" spans="2:35">
      <c r="B965" t="s">
        <v>1138</v>
      </c>
      <c r="C965" t="s">
        <v>3196</v>
      </c>
      <c r="D965">
        <v>5</v>
      </c>
      <c r="E965" t="s">
        <v>2797</v>
      </c>
      <c r="F965">
        <v>9</v>
      </c>
      <c r="I965" t="s">
        <v>1139</v>
      </c>
      <c r="J965" s="51">
        <v>41204</v>
      </c>
      <c r="K965" t="s">
        <v>27</v>
      </c>
      <c r="L965" t="s">
        <v>1109</v>
      </c>
      <c r="M965">
        <v>3</v>
      </c>
      <c r="N965" t="str">
        <f>L965</f>
        <v>NAM\MB2116</v>
      </c>
      <c r="O965" s="51">
        <f>J965</f>
        <v>41204</v>
      </c>
      <c r="P965" s="51" t="str">
        <f>C965</f>
        <v>~/cdd/olddocs/Formas/CNWI-QAAS (aseguranza de calidad)/F-QAAS-09-004 Rev. A Liberacion de producto.docx</v>
      </c>
      <c r="Q965" s="51" t="str">
        <f>E965</f>
        <v>docx</v>
      </c>
      <c r="R965" s="51"/>
      <c r="S965" s="51"/>
      <c r="T965" s="51"/>
      <c r="U965" s="51"/>
      <c r="V965" s="51"/>
      <c r="W965" s="51"/>
      <c r="X965" s="51"/>
      <c r="Y965" s="51"/>
      <c r="Z965" s="51"/>
      <c r="AA965" s="51"/>
      <c r="AB965" s="51"/>
      <c r="AC965" s="51"/>
      <c r="AD965" s="51"/>
      <c r="AG965" t="s">
        <v>28</v>
      </c>
      <c r="AH965" s="51"/>
      <c r="AI965" s="51"/>
    </row>
    <row r="966" spans="2:35">
      <c r="B966" t="s">
        <v>1140</v>
      </c>
      <c r="C966" t="s">
        <v>3197</v>
      </c>
      <c r="D966">
        <v>5</v>
      </c>
      <c r="E966" t="s">
        <v>2790</v>
      </c>
      <c r="F966">
        <v>9</v>
      </c>
      <c r="I966" t="s">
        <v>1141</v>
      </c>
      <c r="J966" s="51">
        <v>41204</v>
      </c>
      <c r="K966" t="s">
        <v>27</v>
      </c>
      <c r="L966" t="s">
        <v>1109</v>
      </c>
      <c r="M966">
        <v>3</v>
      </c>
      <c r="N966" t="str">
        <f>L966</f>
        <v>NAM\MB2116</v>
      </c>
      <c r="O966" s="51">
        <f>J966</f>
        <v>41204</v>
      </c>
      <c r="P966" s="51" t="str">
        <f>C966</f>
        <v>~/cdd/olddocs/Formas/CNWI-QAAS (aseguranza de calidad)/F-QAAS-09-005 Rev. A Control de Etiquetas de Quimicos .xlsx</v>
      </c>
      <c r="Q966" s="51" t="str">
        <f>E966</f>
        <v>xlsx</v>
      </c>
      <c r="R966" s="51"/>
      <c r="S966" s="51"/>
      <c r="T966" s="51"/>
      <c r="U966" s="51"/>
      <c r="V966" s="51"/>
      <c r="W966" s="51"/>
      <c r="X966" s="51"/>
      <c r="Y966" s="51"/>
      <c r="Z966" s="51"/>
      <c r="AA966" s="51"/>
      <c r="AB966" s="51"/>
      <c r="AC966" s="51"/>
      <c r="AD966" s="51"/>
      <c r="AG966" t="s">
        <v>28</v>
      </c>
      <c r="AH966" s="51"/>
      <c r="AI966" s="51"/>
    </row>
    <row r="967" spans="2:35">
      <c r="B967" t="s">
        <v>1142</v>
      </c>
      <c r="C967" t="s">
        <v>3890</v>
      </c>
      <c r="D967">
        <v>5</v>
      </c>
      <c r="E967" t="s">
        <v>2790</v>
      </c>
      <c r="F967">
        <v>9</v>
      </c>
      <c r="I967" t="s">
        <v>1143</v>
      </c>
      <c r="J967" s="51">
        <v>41204</v>
      </c>
      <c r="K967" t="s">
        <v>27</v>
      </c>
      <c r="L967" t="s">
        <v>1109</v>
      </c>
      <c r="M967">
        <v>3</v>
      </c>
      <c r="N967" t="str">
        <f>L967</f>
        <v>NAM\MB2116</v>
      </c>
      <c r="O967" s="51">
        <f>J967</f>
        <v>41204</v>
      </c>
      <c r="P967" s="51" t="str">
        <f>C967</f>
        <v>~cdd/olddocs/Formas/CNWI-QAAS (aseguranza de calidad)/F-QAAS-09-006 Rev. A AQL Format.xlsx</v>
      </c>
      <c r="Q967" s="51" t="str">
        <f>E967</f>
        <v>xlsx</v>
      </c>
      <c r="R967" s="51"/>
      <c r="S967" s="51"/>
      <c r="T967" s="51"/>
      <c r="U967" s="51"/>
      <c r="V967" s="51"/>
      <c r="W967" s="51"/>
      <c r="X967" s="51"/>
      <c r="Y967" s="51"/>
      <c r="Z967" s="51"/>
      <c r="AA967" s="51"/>
      <c r="AB967" s="51"/>
      <c r="AC967" s="51"/>
      <c r="AD967" s="51"/>
      <c r="AG967" t="s">
        <v>28</v>
      </c>
      <c r="AH967" s="51"/>
      <c r="AI967" s="51"/>
    </row>
    <row r="968" spans="2:35">
      <c r="B968" t="s">
        <v>1144</v>
      </c>
      <c r="C968" t="s">
        <v>3891</v>
      </c>
      <c r="D968">
        <v>5</v>
      </c>
      <c r="E968" t="s">
        <v>2790</v>
      </c>
      <c r="F968">
        <v>9</v>
      </c>
      <c r="I968" t="s">
        <v>1145</v>
      </c>
      <c r="J968" s="51">
        <v>41207</v>
      </c>
      <c r="K968" t="s">
        <v>27</v>
      </c>
      <c r="L968" t="s">
        <v>1109</v>
      </c>
      <c r="M968">
        <v>3</v>
      </c>
      <c r="N968" t="str">
        <f>L968</f>
        <v>NAM\MB2116</v>
      </c>
      <c r="O968" s="51">
        <f>J968</f>
        <v>41207</v>
      </c>
      <c r="P968" s="51" t="str">
        <f>C968</f>
        <v>~cdd/olddocs/Formas/CNWI-QAAS (aseguranza de calidad)/F-QAAS-23-001 Rev. A .xlsx</v>
      </c>
      <c r="Q968" s="51" t="str">
        <f>E968</f>
        <v>xlsx</v>
      </c>
      <c r="R968" s="51"/>
      <c r="S968" s="51"/>
      <c r="T968" s="51"/>
      <c r="U968" s="51"/>
      <c r="V968" s="51"/>
      <c r="W968" s="51"/>
      <c r="X968" s="51"/>
      <c r="Y968" s="51"/>
      <c r="Z968" s="51"/>
      <c r="AA968" s="51"/>
      <c r="AB968" s="51"/>
      <c r="AC968" s="51"/>
      <c r="AD968" s="51"/>
      <c r="AG968" t="s">
        <v>28</v>
      </c>
      <c r="AH968" s="51"/>
      <c r="AI968" s="51"/>
    </row>
    <row r="969" spans="2:35">
      <c r="B969" t="s">
        <v>1146</v>
      </c>
      <c r="C969" t="s">
        <v>3938</v>
      </c>
      <c r="D969">
        <v>5</v>
      </c>
      <c r="E969" t="s">
        <v>2790</v>
      </c>
      <c r="F969">
        <v>9</v>
      </c>
      <c r="I969" t="s">
        <v>1147</v>
      </c>
      <c r="J969" s="51">
        <v>41204</v>
      </c>
      <c r="K969" t="s">
        <v>27</v>
      </c>
      <c r="L969" t="s">
        <v>1109</v>
      </c>
      <c r="M969">
        <v>3</v>
      </c>
      <c r="N969" t="str">
        <f>L969</f>
        <v>NAM\MB2116</v>
      </c>
      <c r="O969" s="51">
        <f>J969</f>
        <v>41204</v>
      </c>
      <c r="P969" s="51" t="str">
        <f>C969</f>
        <v>~/cdd/olddocs/CN-QAAS (Aseguranza de calidad)/FORMAS/F-QAAS-25-001 Check list de componentes.xlsx</v>
      </c>
      <c r="Q969" s="51" t="str">
        <f>E969</f>
        <v>xlsx</v>
      </c>
      <c r="R969" s="51"/>
      <c r="S969" s="51"/>
      <c r="T969" s="51"/>
      <c r="U969" s="51"/>
      <c r="V969" s="51"/>
      <c r="W969" s="51"/>
      <c r="X969" s="51"/>
      <c r="Y969" s="51"/>
      <c r="Z969" s="51"/>
      <c r="AA969" s="51"/>
      <c r="AB969" s="51"/>
      <c r="AC969" s="51"/>
      <c r="AD969" s="51"/>
      <c r="AG969" t="s">
        <v>28</v>
      </c>
      <c r="AH969" s="51"/>
      <c r="AI969" s="51"/>
    </row>
    <row r="970" spans="2:35">
      <c r="B970" t="s">
        <v>1148</v>
      </c>
      <c r="C970" t="s">
        <v>3939</v>
      </c>
      <c r="D970">
        <v>5</v>
      </c>
      <c r="E970" t="s">
        <v>2790</v>
      </c>
      <c r="F970">
        <v>9</v>
      </c>
      <c r="I970" t="s">
        <v>1149</v>
      </c>
      <c r="J970" s="51">
        <v>41204</v>
      </c>
      <c r="K970" t="s">
        <v>27</v>
      </c>
      <c r="L970" t="s">
        <v>1109</v>
      </c>
      <c r="M970">
        <v>3</v>
      </c>
      <c r="N970" t="str">
        <f>L970</f>
        <v>NAM\MB2116</v>
      </c>
      <c r="O970" s="51">
        <f>J970</f>
        <v>41204</v>
      </c>
      <c r="P970" s="51" t="str">
        <f>C970</f>
        <v>~/cdd/olddocs/CN-QAAS (Aseguranza de calidad)/FORMAS/F-QAAS-25-002  Rev. A LOG de FAI.xlsx</v>
      </c>
      <c r="Q970" s="51" t="str">
        <f>E970</f>
        <v>xlsx</v>
      </c>
      <c r="R970" s="51"/>
      <c r="S970" s="51"/>
      <c r="T970" s="51"/>
      <c r="U970" s="51"/>
      <c r="V970" s="51"/>
      <c r="W970" s="51"/>
      <c r="X970" s="51"/>
      <c r="Y970" s="51"/>
      <c r="Z970" s="51"/>
      <c r="AA970" s="51"/>
      <c r="AB970" s="51"/>
      <c r="AC970" s="51"/>
      <c r="AD970" s="51"/>
      <c r="AG970" t="s">
        <v>28</v>
      </c>
      <c r="AH970" s="51"/>
      <c r="AI970" s="51"/>
    </row>
    <row r="971" spans="2:35">
      <c r="B971" t="s">
        <v>1150</v>
      </c>
      <c r="C971" t="s">
        <v>3198</v>
      </c>
      <c r="D971">
        <v>5</v>
      </c>
      <c r="E971" t="s">
        <v>2790</v>
      </c>
      <c r="F971">
        <v>9</v>
      </c>
      <c r="I971" t="s">
        <v>1151</v>
      </c>
      <c r="J971" s="51">
        <v>41206</v>
      </c>
      <c r="K971" t="s">
        <v>27</v>
      </c>
      <c r="L971" t="s">
        <v>1109</v>
      </c>
      <c r="M971">
        <v>3</v>
      </c>
      <c r="N971" t="str">
        <f>L971</f>
        <v>NAM\MB2116</v>
      </c>
      <c r="O971" s="51">
        <f>J971</f>
        <v>41206</v>
      </c>
      <c r="P971" s="51" t="str">
        <f>C971</f>
        <v>~/cdd/olddocs/Formas/CNWI-QAAS (aseguranza de calidad)/F-QAAS-48-001  Rev.A Scar Log.xlsx</v>
      </c>
      <c r="Q971" s="51" t="str">
        <f>E971</f>
        <v>xlsx</v>
      </c>
      <c r="R971" s="51"/>
      <c r="S971" s="51"/>
      <c r="T971" s="51"/>
      <c r="U971" s="51"/>
      <c r="V971" s="51"/>
      <c r="W971" s="51"/>
      <c r="X971" s="51"/>
      <c r="Y971" s="51"/>
      <c r="Z971" s="51"/>
      <c r="AA971" s="51"/>
      <c r="AB971" s="51"/>
      <c r="AC971" s="51"/>
      <c r="AD971" s="51"/>
      <c r="AG971" t="s">
        <v>28</v>
      </c>
      <c r="AH971" s="51"/>
      <c r="AI971" s="51"/>
    </row>
    <row r="972" spans="2:35">
      <c r="B972" t="s">
        <v>1152</v>
      </c>
      <c r="C972" t="s">
        <v>3892</v>
      </c>
      <c r="D972">
        <v>5</v>
      </c>
      <c r="E972" t="s">
        <v>2790</v>
      </c>
      <c r="F972">
        <v>9</v>
      </c>
      <c r="I972" t="s">
        <v>1153</v>
      </c>
      <c r="J972" s="51">
        <v>41206</v>
      </c>
      <c r="K972" t="s">
        <v>27</v>
      </c>
      <c r="L972" t="s">
        <v>1109</v>
      </c>
      <c r="M972">
        <v>3</v>
      </c>
      <c r="N972" t="str">
        <f>L972</f>
        <v>NAM\MB2116</v>
      </c>
      <c r="O972" s="51">
        <f>J972</f>
        <v>41206</v>
      </c>
      <c r="P972" s="51" t="str">
        <f>C972</f>
        <v>~cdd/olddocs/Formas/CNWI-QAAS (aseguranza de calidad)/F-QAAS-48-002    Rev. A supplier scorecard spreadsheet.xlsx</v>
      </c>
      <c r="Q972" s="51" t="str">
        <f>E972</f>
        <v>xlsx</v>
      </c>
      <c r="R972" s="51"/>
      <c r="S972" s="51"/>
      <c r="T972" s="51"/>
      <c r="U972" s="51"/>
      <c r="V972" s="51"/>
      <c r="W972" s="51"/>
      <c r="X972" s="51"/>
      <c r="Y972" s="51"/>
      <c r="Z972" s="51"/>
      <c r="AA972" s="51"/>
      <c r="AB972" s="51"/>
      <c r="AC972" s="51"/>
      <c r="AD972" s="51"/>
      <c r="AG972" t="s">
        <v>28</v>
      </c>
      <c r="AH972" s="51"/>
      <c r="AI972" s="51"/>
    </row>
    <row r="973" spans="2:35">
      <c r="B973" t="s">
        <v>128</v>
      </c>
      <c r="C973" t="s">
        <v>2824</v>
      </c>
      <c r="D973">
        <v>12</v>
      </c>
      <c r="E973" t="s">
        <v>2790</v>
      </c>
      <c r="F973">
        <v>5</v>
      </c>
      <c r="G973">
        <v>9</v>
      </c>
      <c r="I973" t="s">
        <v>128</v>
      </c>
      <c r="J973" s="51">
        <v>41116</v>
      </c>
      <c r="K973" t="s">
        <v>27</v>
      </c>
      <c r="L973" t="s">
        <v>2427</v>
      </c>
      <c r="M973">
        <v>3</v>
      </c>
      <c r="N973" t="str">
        <f>L973</f>
        <v>NAM\MB1911</v>
      </c>
      <c r="O973" s="51">
        <f>J973</f>
        <v>41116</v>
      </c>
      <c r="P973" s="51" t="str">
        <f>C973</f>
        <v>~/cdd/olddocs/Especificaciones genericas/Camarillo/Itron/CNWI-ENGI-F019   Rev  A  Especificaciones de insercion de conductores  ITRON.xlsx</v>
      </c>
      <c r="Q973" s="51" t="str">
        <f>E973</f>
        <v>xlsx</v>
      </c>
      <c r="R973" s="51"/>
      <c r="S973" s="51"/>
      <c r="T973" s="51"/>
      <c r="U973" s="51"/>
      <c r="V973" s="51"/>
      <c r="W973" s="51"/>
      <c r="X973" s="51"/>
      <c r="Y973" s="51"/>
      <c r="Z973" s="51"/>
      <c r="AA973" s="51"/>
      <c r="AB973" s="51"/>
      <c r="AC973" s="51"/>
      <c r="AD973" s="51"/>
      <c r="AE973" t="s">
        <v>30</v>
      </c>
      <c r="AF973" t="s">
        <v>2693</v>
      </c>
      <c r="AG973" t="s">
        <v>28</v>
      </c>
      <c r="AH973" s="51"/>
      <c r="AI973" s="51"/>
    </row>
    <row r="974" spans="2:35">
      <c r="B974" t="s">
        <v>128</v>
      </c>
      <c r="C974" t="s">
        <v>2829</v>
      </c>
      <c r="D974">
        <v>12</v>
      </c>
      <c r="E974" t="s">
        <v>2790</v>
      </c>
      <c r="F974">
        <v>5</v>
      </c>
      <c r="G974">
        <v>12</v>
      </c>
      <c r="H974">
        <v>3</v>
      </c>
      <c r="I974" t="s">
        <v>128</v>
      </c>
      <c r="J974" s="51">
        <v>41165</v>
      </c>
      <c r="K974" t="s">
        <v>1246</v>
      </c>
      <c r="M974">
        <v>3</v>
      </c>
      <c r="N974">
        <f>L974</f>
        <v>0</v>
      </c>
      <c r="O974" s="51">
        <f>J974</f>
        <v>41165</v>
      </c>
      <c r="P974" s="51" t="str">
        <f>C974</f>
        <v>~/cdd/olddocs/Especificaciones genericas/Micromini/A Y B/CNWI-ENGI-F019 Rev P Especificaciones de insercion de conductores Celda A y B.xlsx</v>
      </c>
      <c r="Q974" s="51" t="str">
        <f>E974</f>
        <v>xlsx</v>
      </c>
      <c r="R974" s="51"/>
      <c r="S974" s="51"/>
      <c r="T974" s="51"/>
      <c r="U974" s="51"/>
      <c r="V974" s="51"/>
      <c r="W974" s="51"/>
      <c r="X974" s="51"/>
      <c r="Y974" s="51"/>
      <c r="Z974" s="51"/>
      <c r="AA974" s="51"/>
      <c r="AB974" s="51"/>
      <c r="AC974" s="51"/>
      <c r="AD974" s="51"/>
      <c r="AG974" t="s">
        <v>28</v>
      </c>
      <c r="AH974" s="51"/>
      <c r="AI974" s="51"/>
    </row>
    <row r="975" spans="2:35">
      <c r="B975" t="s">
        <v>128</v>
      </c>
      <c r="C975" t="s">
        <v>2830</v>
      </c>
      <c r="D975">
        <v>12</v>
      </c>
      <c r="E975" t="s">
        <v>2790</v>
      </c>
      <c r="F975">
        <v>5</v>
      </c>
      <c r="G975">
        <v>12</v>
      </c>
      <c r="H975">
        <v>4</v>
      </c>
      <c r="I975" t="s">
        <v>128</v>
      </c>
      <c r="J975" s="51">
        <v>41194</v>
      </c>
      <c r="K975" t="s">
        <v>659</v>
      </c>
      <c r="M975">
        <v>3</v>
      </c>
      <c r="N975">
        <f>L975</f>
        <v>0</v>
      </c>
      <c r="O975" s="51">
        <f>J975</f>
        <v>41194</v>
      </c>
      <c r="P975" s="51" t="str">
        <f>C975</f>
        <v>~/cdd/olddocs/Especificaciones genericas/Micromini/CHANGE OUT/CNWI-ENGI-F019 Rev N Especificaciones de insercion de conductores area Change Out.xlsx</v>
      </c>
      <c r="Q975" s="51" t="str">
        <f>E975</f>
        <v>xlsx</v>
      </c>
      <c r="R975" s="51"/>
      <c r="S975" s="51"/>
      <c r="T975" s="51"/>
      <c r="U975" s="51"/>
      <c r="V975" s="51"/>
      <c r="W975" s="51"/>
      <c r="X975" s="51"/>
      <c r="Y975" s="51"/>
      <c r="Z975" s="51"/>
      <c r="AA975" s="51"/>
      <c r="AB975" s="51"/>
      <c r="AC975" s="51"/>
      <c r="AD975" s="51"/>
      <c r="AG975" t="s">
        <v>28</v>
      </c>
      <c r="AH975" s="51"/>
      <c r="AI975" s="51"/>
    </row>
    <row r="976" spans="2:35">
      <c r="B976" t="s">
        <v>128</v>
      </c>
      <c r="C976" t="s">
        <v>2836</v>
      </c>
      <c r="D976">
        <v>12</v>
      </c>
      <c r="E976" t="s">
        <v>2790</v>
      </c>
      <c r="F976">
        <v>5</v>
      </c>
      <c r="G976">
        <v>12</v>
      </c>
      <c r="H976">
        <v>16</v>
      </c>
      <c r="I976" t="s">
        <v>128</v>
      </c>
      <c r="J976" s="51">
        <v>41200</v>
      </c>
      <c r="K976" t="s">
        <v>1248</v>
      </c>
      <c r="M976">
        <v>3</v>
      </c>
      <c r="N976">
        <f>L976</f>
        <v>0</v>
      </c>
      <c r="O976" s="51">
        <f>J976</f>
        <v>41200</v>
      </c>
      <c r="P976" s="51" t="str">
        <f>C976</f>
        <v>~/cdd/olddocs/Especificaciones genericas/Micromini/MS/CNWI-ENGI-F019 Rev  O Especificaciones de insercion de conductores area MS.xlsx</v>
      </c>
      <c r="Q976" s="51" t="str">
        <f>E976</f>
        <v>xlsx</v>
      </c>
      <c r="R976" s="51"/>
      <c r="S976" s="51"/>
      <c r="T976" s="51"/>
      <c r="U976" s="51"/>
      <c r="V976" s="51"/>
      <c r="W976" s="51"/>
      <c r="X976" s="51"/>
      <c r="Y976" s="51"/>
      <c r="Z976" s="51"/>
      <c r="AA976" s="51"/>
      <c r="AB976" s="51"/>
      <c r="AC976" s="51"/>
      <c r="AD976" s="51"/>
      <c r="AG976" t="s">
        <v>28</v>
      </c>
      <c r="AH976" s="51"/>
      <c r="AI976" s="51"/>
    </row>
    <row r="977" spans="2:35">
      <c r="B977" t="s">
        <v>128</v>
      </c>
      <c r="C977" t="s">
        <v>2841</v>
      </c>
      <c r="D977">
        <v>12</v>
      </c>
      <c r="E977" t="s">
        <v>2792</v>
      </c>
      <c r="F977">
        <v>5</v>
      </c>
      <c r="G977">
        <v>12</v>
      </c>
      <c r="H977">
        <v>19</v>
      </c>
      <c r="I977" t="s">
        <v>128</v>
      </c>
      <c r="J977" s="51">
        <v>41148</v>
      </c>
      <c r="K977" t="s">
        <v>38</v>
      </c>
      <c r="L977" t="s">
        <v>605</v>
      </c>
      <c r="M977">
        <v>3</v>
      </c>
      <c r="N977" t="str">
        <f>L977</f>
        <v>NA/MB1049</v>
      </c>
      <c r="O977" s="51">
        <f>J977</f>
        <v>41148</v>
      </c>
      <c r="P977" s="51" t="str">
        <f>C977</f>
        <v>~/cdd/olddocs/Especificaciones genericas/Micromini/PLEX/CNWI-ENGI-F019 Rev  B  Especificaciones de insercion de conductores area Plex (4).xls</v>
      </c>
      <c r="Q977" s="51" t="str">
        <f>E977</f>
        <v>xls</v>
      </c>
      <c r="R977" s="51"/>
      <c r="S977" s="51"/>
      <c r="T977" s="51"/>
      <c r="U977" s="51"/>
      <c r="V977" s="51"/>
      <c r="W977" s="51"/>
      <c r="X977" s="51"/>
      <c r="Y977" s="51"/>
      <c r="Z977" s="51"/>
      <c r="AA977" s="51"/>
      <c r="AB977" s="51"/>
      <c r="AC977" s="51"/>
      <c r="AD977" s="51"/>
      <c r="AG977" t="s">
        <v>28</v>
      </c>
      <c r="AH977" s="51"/>
      <c r="AI977" s="51"/>
    </row>
    <row r="978" spans="2:35">
      <c r="B978" t="s">
        <v>128</v>
      </c>
      <c r="C978" t="s">
        <v>2849</v>
      </c>
      <c r="D978">
        <v>12</v>
      </c>
      <c r="E978" t="s">
        <v>2792</v>
      </c>
      <c r="F978">
        <v>5</v>
      </c>
      <c r="G978">
        <v>12</v>
      </c>
      <c r="H978">
        <v>18</v>
      </c>
      <c r="I978" t="s">
        <v>128</v>
      </c>
      <c r="J978" s="51">
        <v>41103</v>
      </c>
      <c r="K978" t="s">
        <v>131</v>
      </c>
      <c r="M978">
        <v>3</v>
      </c>
      <c r="N978">
        <f>L978</f>
        <v>0</v>
      </c>
      <c r="O978" s="51">
        <f>J978</f>
        <v>41103</v>
      </c>
      <c r="P978" s="51" t="str">
        <f>C978</f>
        <v>~/cdd/olddocs/Especificaciones genericas/Micromini/POTTED/CNWI-ENGI-F019 Rev  J  Especificaciones de insercion de conductores area Potted.xls</v>
      </c>
      <c r="Q978" s="51" t="str">
        <f>E978</f>
        <v>xls</v>
      </c>
      <c r="R978" s="51"/>
      <c r="S978" s="51"/>
      <c r="T978" s="51"/>
      <c r="U978" s="51"/>
      <c r="V978" s="51"/>
      <c r="W978" s="51"/>
      <c r="X978" s="51"/>
      <c r="Y978" s="51"/>
      <c r="Z978" s="51"/>
      <c r="AA978" s="51"/>
      <c r="AB978" s="51"/>
      <c r="AC978" s="51"/>
      <c r="AD978" s="51"/>
      <c r="AG978" t="s">
        <v>28</v>
      </c>
      <c r="AH978" s="51"/>
      <c r="AI978" s="51"/>
    </row>
    <row r="979" spans="2:35">
      <c r="B979" t="s">
        <v>28</v>
      </c>
      <c r="C979" t="e">
        <v>#VALUE!</v>
      </c>
      <c r="D979">
        <v>6</v>
      </c>
      <c r="E979" t="e">
        <v>#VALUE!</v>
      </c>
      <c r="F979">
        <v>5</v>
      </c>
      <c r="G979">
        <v>9</v>
      </c>
      <c r="H979">
        <v>8</v>
      </c>
      <c r="I979" t="s">
        <v>2719</v>
      </c>
      <c r="J979" s="51">
        <v>41170</v>
      </c>
      <c r="K979" t="s">
        <v>27</v>
      </c>
      <c r="L979" t="s">
        <v>2427</v>
      </c>
      <c r="M979">
        <v>3</v>
      </c>
      <c r="N979" t="str">
        <f>L979</f>
        <v>NAM\MB1911</v>
      </c>
      <c r="O979" s="51">
        <f>J979</f>
        <v>41170</v>
      </c>
      <c r="P979" s="51" t="e">
        <f>C979</f>
        <v>#VALUE!</v>
      </c>
      <c r="Q979" s="51" t="e">
        <f>E979</f>
        <v>#VALUE!</v>
      </c>
      <c r="R979" s="51"/>
      <c r="S979" s="51"/>
      <c r="T979" s="51"/>
      <c r="U979" s="51"/>
      <c r="V979" s="51"/>
      <c r="W979" s="51"/>
      <c r="X979" s="51"/>
      <c r="Y979" s="51"/>
      <c r="Z979" s="51"/>
      <c r="AA979" s="51"/>
      <c r="AB979" s="51"/>
      <c r="AC979" s="51"/>
      <c r="AD979" s="51"/>
      <c r="AG979" t="s">
        <v>2720</v>
      </c>
      <c r="AH979" s="51"/>
      <c r="AI979" s="51"/>
    </row>
    <row r="980" spans="2:35">
      <c r="B980" t="s">
        <v>1688</v>
      </c>
      <c r="C980" t="s">
        <v>3418</v>
      </c>
      <c r="D980">
        <v>10</v>
      </c>
      <c r="E980" t="s">
        <v>2791</v>
      </c>
      <c r="F980">
        <v>5</v>
      </c>
      <c r="G980">
        <v>12</v>
      </c>
      <c r="H980">
        <v>3</v>
      </c>
      <c r="I980" t="s">
        <v>1691</v>
      </c>
      <c r="J980" s="51">
        <v>40920</v>
      </c>
      <c r="K980" t="s">
        <v>27</v>
      </c>
      <c r="L980" t="s">
        <v>1584</v>
      </c>
      <c r="M980">
        <v>3</v>
      </c>
      <c r="N980" t="str">
        <f>L980</f>
        <v>NAM\A8070</v>
      </c>
      <c r="O980" s="51">
        <f>J980</f>
        <v>40920</v>
      </c>
      <c r="P980" s="51" t="str">
        <f>C980</f>
        <v>~/cdd/olddocs/Quality Alerts/MICROMINI/Celda A&amp; B/QA-A&amp;B-001 5000117394-14634911 -Couplers diferente color.pdf</v>
      </c>
      <c r="Q980" s="51" t="str">
        <f>E980</f>
        <v>pdf</v>
      </c>
      <c r="R980" s="51"/>
      <c r="S980" s="51"/>
      <c r="T980" s="51"/>
      <c r="U980" s="51"/>
      <c r="V980" s="51"/>
      <c r="W980" s="51"/>
      <c r="X980" s="51"/>
      <c r="Y980" s="51"/>
      <c r="Z980" s="51"/>
      <c r="AA980" s="51"/>
      <c r="AB980" s="51"/>
      <c r="AC980" s="51"/>
      <c r="AD980" s="51"/>
      <c r="AE980">
        <v>1</v>
      </c>
      <c r="AF980" t="s">
        <v>611</v>
      </c>
      <c r="AG980">
        <v>5000117394</v>
      </c>
      <c r="AH980" s="51"/>
      <c r="AI980" s="51"/>
    </row>
    <row r="981" spans="2:35">
      <c r="B981" t="s">
        <v>1692</v>
      </c>
      <c r="C981" t="s">
        <v>3419</v>
      </c>
      <c r="D981">
        <v>10</v>
      </c>
      <c r="E981" t="s">
        <v>2791</v>
      </c>
      <c r="F981">
        <v>5</v>
      </c>
      <c r="G981">
        <v>12</v>
      </c>
      <c r="H981">
        <v>3</v>
      </c>
      <c r="I981" t="s">
        <v>1693</v>
      </c>
      <c r="J981" s="51">
        <v>40954</v>
      </c>
      <c r="K981" t="s">
        <v>27</v>
      </c>
      <c r="L981" t="s">
        <v>1584</v>
      </c>
      <c r="M981">
        <v>3</v>
      </c>
      <c r="N981" t="str">
        <f>L981</f>
        <v>NAM\A8070</v>
      </c>
      <c r="O981" s="51">
        <f>J981</f>
        <v>40954</v>
      </c>
      <c r="P981" s="51" t="str">
        <f>C981</f>
        <v>~/cdd/olddocs/Quality Alerts/MICROMINI/Celda A&amp; B/QA-A&amp;B-002 Varios numeros -Exceso de Goma.pdf</v>
      </c>
      <c r="Q981" s="51" t="str">
        <f>E981</f>
        <v>pdf</v>
      </c>
      <c r="R981" s="51"/>
      <c r="S981" s="51"/>
      <c r="T981" s="51"/>
      <c r="U981" s="51"/>
      <c r="V981" s="51"/>
      <c r="W981" s="51"/>
      <c r="X981" s="51"/>
      <c r="Y981" s="51"/>
      <c r="Z981" s="51"/>
      <c r="AA981" s="51"/>
      <c r="AB981" s="51"/>
      <c r="AC981" s="51"/>
      <c r="AD981" s="51"/>
      <c r="AE981">
        <v>1</v>
      </c>
      <c r="AF981" t="s">
        <v>611</v>
      </c>
      <c r="AG981" t="s">
        <v>1694</v>
      </c>
      <c r="AH981" s="51"/>
      <c r="AI981" s="51"/>
    </row>
    <row r="982" spans="2:35">
      <c r="B982" t="s">
        <v>1695</v>
      </c>
      <c r="C982" t="s">
        <v>3420</v>
      </c>
      <c r="D982">
        <v>10</v>
      </c>
      <c r="E982" t="s">
        <v>2791</v>
      </c>
      <c r="F982">
        <v>5</v>
      </c>
      <c r="G982">
        <v>12</v>
      </c>
      <c r="H982">
        <v>3</v>
      </c>
      <c r="I982" t="s">
        <v>1696</v>
      </c>
      <c r="J982" s="51">
        <v>40968</v>
      </c>
      <c r="K982" t="s">
        <v>27</v>
      </c>
      <c r="L982" t="s">
        <v>1584</v>
      </c>
      <c r="M982">
        <v>3</v>
      </c>
      <c r="N982" t="str">
        <f>L982</f>
        <v>NAM\A8070</v>
      </c>
      <c r="O982" s="51">
        <f>J982</f>
        <v>40968</v>
      </c>
      <c r="P982" s="51" t="str">
        <f>C982</f>
        <v>~/cdd/olddocs/Quality Alerts/MICROMINI/Celda A&amp; B/QA-A&amp;B-003 DM4C3HO2S360A1 Pieza sin goma-exceso-problemas con insert.pdf</v>
      </c>
      <c r="Q982" s="51" t="str">
        <f>E982</f>
        <v>pdf</v>
      </c>
      <c r="R982" s="51"/>
      <c r="S982" s="51"/>
      <c r="T982" s="51"/>
      <c r="U982" s="51"/>
      <c r="V982" s="51"/>
      <c r="W982" s="51"/>
      <c r="X982" s="51"/>
      <c r="Y982" s="51"/>
      <c r="Z982" s="51"/>
      <c r="AA982" s="51"/>
      <c r="AB982" s="51"/>
      <c r="AC982" s="51"/>
      <c r="AD982" s="51"/>
      <c r="AE982">
        <v>1</v>
      </c>
      <c r="AF982" t="s">
        <v>611</v>
      </c>
      <c r="AG982" t="s">
        <v>1697</v>
      </c>
      <c r="AH982" s="51"/>
      <c r="AI982" s="51"/>
    </row>
    <row r="983" spans="2:35">
      <c r="B983" t="s">
        <v>1698</v>
      </c>
      <c r="C983" t="s">
        <v>3421</v>
      </c>
      <c r="D983">
        <v>10</v>
      </c>
      <c r="E983" t="s">
        <v>2791</v>
      </c>
      <c r="F983">
        <v>5</v>
      </c>
      <c r="G983">
        <v>12</v>
      </c>
      <c r="H983">
        <v>3</v>
      </c>
      <c r="I983" t="s">
        <v>1699</v>
      </c>
      <c r="J983" s="51">
        <v>40991</v>
      </c>
      <c r="K983" t="s">
        <v>27</v>
      </c>
      <c r="L983" t="s">
        <v>1584</v>
      </c>
      <c r="M983">
        <v>3</v>
      </c>
      <c r="N983" t="str">
        <f>L983</f>
        <v>NAM\A8070</v>
      </c>
      <c r="O983" s="51">
        <f>J983</f>
        <v>40991</v>
      </c>
      <c r="P983" s="51" t="str">
        <f>C983</f>
        <v>~/cdd/olddocs/Quality Alerts/MICROMINI/Celda A&amp; B/QA-A&amp;B-004 DM4Q2M24E024FS Contacto Bajo- Contacto desalineado.pdf</v>
      </c>
      <c r="Q983" s="51" t="str">
        <f>E983</f>
        <v>pdf</v>
      </c>
      <c r="R983" s="51"/>
      <c r="S983" s="51"/>
      <c r="T983" s="51"/>
      <c r="U983" s="51"/>
      <c r="V983" s="51"/>
      <c r="W983" s="51"/>
      <c r="X983" s="51"/>
      <c r="Y983" s="51"/>
      <c r="Z983" s="51"/>
      <c r="AA983" s="51"/>
      <c r="AB983" s="51"/>
      <c r="AC983" s="51"/>
      <c r="AD983" s="51"/>
      <c r="AE983">
        <v>1</v>
      </c>
      <c r="AF983" t="s">
        <v>611</v>
      </c>
      <c r="AG983" t="s">
        <v>1700</v>
      </c>
      <c r="AH983" s="51"/>
      <c r="AI983" s="51"/>
    </row>
    <row r="984" spans="2:35">
      <c r="B984" t="s">
        <v>1701</v>
      </c>
      <c r="C984" t="s">
        <v>3422</v>
      </c>
      <c r="D984">
        <v>10</v>
      </c>
      <c r="E984" t="s">
        <v>2791</v>
      </c>
      <c r="F984">
        <v>5</v>
      </c>
      <c r="G984">
        <v>12</v>
      </c>
      <c r="H984">
        <v>3</v>
      </c>
      <c r="I984" t="s">
        <v>1702</v>
      </c>
      <c r="J984" s="51">
        <v>41045</v>
      </c>
      <c r="K984" t="s">
        <v>27</v>
      </c>
      <c r="L984" t="s">
        <v>1584</v>
      </c>
      <c r="M984">
        <v>3</v>
      </c>
      <c r="N984" t="str">
        <f>L984</f>
        <v>NAM\A8070</v>
      </c>
      <c r="O984" s="51">
        <f>J984</f>
        <v>41045</v>
      </c>
      <c r="P984" s="51" t="str">
        <f>C984</f>
        <v>~/cdd/olddocs/Quality Alerts/MICROMINI/Celda A&amp; B/QA-A&amp;B-005 1786-TCT2BD1 Componente faltante -Dust Cap.pdf</v>
      </c>
      <c r="Q984" s="51" t="str">
        <f>E984</f>
        <v>pdf</v>
      </c>
      <c r="R984" s="51"/>
      <c r="S984" s="51"/>
      <c r="T984" s="51"/>
      <c r="U984" s="51"/>
      <c r="V984" s="51"/>
      <c r="W984" s="51"/>
      <c r="X984" s="51"/>
      <c r="Y984" s="51"/>
      <c r="Z984" s="51"/>
      <c r="AA984" s="51"/>
      <c r="AB984" s="51"/>
      <c r="AC984" s="51"/>
      <c r="AD984" s="51"/>
      <c r="AE984">
        <v>1</v>
      </c>
      <c r="AF984" t="s">
        <v>611</v>
      </c>
      <c r="AG984" t="s">
        <v>1703</v>
      </c>
      <c r="AH984" s="51"/>
      <c r="AI984" s="51"/>
    </row>
    <row r="985" spans="2:35">
      <c r="B985" t="s">
        <v>2064</v>
      </c>
      <c r="C985" t="s">
        <v>3926</v>
      </c>
      <c r="D985">
        <v>10</v>
      </c>
      <c r="E985" t="s">
        <v>2790</v>
      </c>
      <c r="F985">
        <v>5</v>
      </c>
      <c r="G985">
        <v>10</v>
      </c>
      <c r="H985">
        <v>7</v>
      </c>
      <c r="I985" t="s">
        <v>2065</v>
      </c>
      <c r="J985" s="51">
        <v>41122</v>
      </c>
      <c r="K985" t="s">
        <v>27</v>
      </c>
      <c r="L985" t="s">
        <v>2063</v>
      </c>
      <c r="M985">
        <v>3</v>
      </c>
      <c r="N985" t="str">
        <f>L985</f>
        <v>NAM\MB2117</v>
      </c>
      <c r="O985" s="51">
        <f>J985</f>
        <v>41122</v>
      </c>
      <c r="P985" s="51" t="str">
        <f>C985</f>
        <v>~/cdd/olddocs/CN-QAAS (Aseguranza de calidad)/Control Plans/MICROMINI/CELDA A-B/CP-A&amp;B-012  Rev. A  PDR1-18.xlsx</v>
      </c>
      <c r="Q985" s="51" t="str">
        <f>E985</f>
        <v>xlsx</v>
      </c>
      <c r="R985" s="51"/>
      <c r="S985" s="51"/>
      <c r="T985" s="51"/>
      <c r="U985" s="51"/>
      <c r="V985" s="51"/>
      <c r="W985" s="51"/>
      <c r="X985" s="51"/>
      <c r="Y985" s="51"/>
      <c r="Z985" s="51"/>
      <c r="AA985" s="51"/>
      <c r="AB985" s="51"/>
      <c r="AC985" s="51"/>
      <c r="AD985" s="51"/>
      <c r="AE985">
        <v>1</v>
      </c>
      <c r="AF985" t="s">
        <v>2066</v>
      </c>
      <c r="AG985" t="s">
        <v>1694</v>
      </c>
      <c r="AH985" s="51"/>
      <c r="AI985" s="51"/>
    </row>
    <row r="986" spans="2:35">
      <c r="B986" t="s">
        <v>2067</v>
      </c>
      <c r="C986" t="s">
        <v>3926</v>
      </c>
      <c r="D986">
        <v>10</v>
      </c>
      <c r="E986" t="s">
        <v>2790</v>
      </c>
      <c r="F986">
        <v>5</v>
      </c>
      <c r="G986">
        <v>10</v>
      </c>
      <c r="H986">
        <v>7</v>
      </c>
      <c r="I986" t="s">
        <v>2068</v>
      </c>
      <c r="J986" s="51">
        <v>41172</v>
      </c>
      <c r="K986" t="s">
        <v>27</v>
      </c>
      <c r="L986" t="s">
        <v>2063</v>
      </c>
      <c r="M986">
        <v>3</v>
      </c>
      <c r="N986" t="str">
        <f>L986</f>
        <v>NAM\MB2117</v>
      </c>
      <c r="O986" s="51">
        <f>J986</f>
        <v>41172</v>
      </c>
      <c r="P986" s="51" t="str">
        <f>C986</f>
        <v>~/cdd/olddocs/CN-QAAS (Aseguranza de calidad)/Control Plans/MICROMINI/CELDA A-B/CP-A&amp;B-012  Rev. A  PDR1-18.xlsx</v>
      </c>
      <c r="Q986" s="51" t="str">
        <f>E986</f>
        <v>xlsx</v>
      </c>
      <c r="R986" s="51"/>
      <c r="S986" s="51"/>
      <c r="T986" s="51"/>
      <c r="U986" s="51"/>
      <c r="V986" s="51"/>
      <c r="W986" s="51"/>
      <c r="X986" s="51"/>
      <c r="Y986" s="51"/>
      <c r="Z986" s="51"/>
      <c r="AA986" s="51"/>
      <c r="AB986" s="51"/>
      <c r="AC986" s="51"/>
      <c r="AD986" s="51"/>
      <c r="AE986">
        <v>1</v>
      </c>
      <c r="AF986" t="s">
        <v>2066</v>
      </c>
      <c r="AG986" t="s">
        <v>2069</v>
      </c>
      <c r="AH986" s="51"/>
      <c r="AI986" s="51"/>
    </row>
    <row r="987" spans="2:35">
      <c r="B987" t="s">
        <v>2070</v>
      </c>
      <c r="C987" t="s">
        <v>3386</v>
      </c>
      <c r="D987">
        <v>10</v>
      </c>
      <c r="E987" t="s">
        <v>2791</v>
      </c>
      <c r="F987">
        <v>5</v>
      </c>
      <c r="G987">
        <v>10</v>
      </c>
      <c r="H987">
        <v>7</v>
      </c>
      <c r="I987" t="s">
        <v>2071</v>
      </c>
      <c r="J987" s="51">
        <v>41184</v>
      </c>
      <c r="K987" t="s">
        <v>27</v>
      </c>
      <c r="L987" t="s">
        <v>2063</v>
      </c>
      <c r="M987">
        <v>3</v>
      </c>
      <c r="N987" t="str">
        <f>L987</f>
        <v>NAM\MB2117</v>
      </c>
      <c r="O987" s="51">
        <f>J987</f>
        <v>41184</v>
      </c>
      <c r="P987" s="51" t="str">
        <f>C987</f>
        <v>~/cdd/olddocs/Quality Alerts/ITRON/AMSAFE/QA-AMSA-003 .pdf</v>
      </c>
      <c r="Q987" s="51" t="str">
        <f>E987</f>
        <v>pdf</v>
      </c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>
        <v>1</v>
      </c>
      <c r="AF987" t="s">
        <v>2066</v>
      </c>
      <c r="AG987" t="s">
        <v>2072</v>
      </c>
      <c r="AH987" s="51"/>
      <c r="AI987" s="51"/>
    </row>
    <row r="988" spans="2:35">
      <c r="B988" t="s">
        <v>2073</v>
      </c>
      <c r="C988" t="s">
        <v>3696</v>
      </c>
      <c r="D988">
        <v>10</v>
      </c>
      <c r="E988" t="s">
        <v>2791</v>
      </c>
      <c r="F988">
        <v>5</v>
      </c>
      <c r="G988">
        <v>10</v>
      </c>
      <c r="H988">
        <v>7</v>
      </c>
      <c r="I988" t="s">
        <v>2074</v>
      </c>
      <c r="J988" s="51">
        <v>41185</v>
      </c>
      <c r="K988" t="s">
        <v>27</v>
      </c>
      <c r="L988" t="s">
        <v>2063</v>
      </c>
      <c r="M988">
        <v>3</v>
      </c>
      <c r="N988" t="str">
        <f>L988</f>
        <v>NAM\MB2117</v>
      </c>
      <c r="O988" s="51">
        <f>J988</f>
        <v>41185</v>
      </c>
      <c r="P988" s="51" t="str">
        <f>C988</f>
        <v>~/cdd/olddocs/Control Plans/MICROMINI/CELDA A&amp;B/CP-A&amp;B-016  ML4C4TC.pdf</v>
      </c>
      <c r="Q988" s="51" t="str">
        <f>E988</f>
        <v>pdf</v>
      </c>
      <c r="R988" s="51"/>
      <c r="S988" s="51"/>
      <c r="T988" s="51"/>
      <c r="U988" s="51"/>
      <c r="V988" s="51"/>
      <c r="W988" s="51"/>
      <c r="X988" s="51"/>
      <c r="Y988" s="51"/>
      <c r="Z988" s="51"/>
      <c r="AA988" s="51"/>
      <c r="AB988" s="51"/>
      <c r="AC988" s="51"/>
      <c r="AD988" s="51"/>
      <c r="AE988">
        <v>1</v>
      </c>
      <c r="AF988" t="s">
        <v>2066</v>
      </c>
      <c r="AG988" t="s">
        <v>2075</v>
      </c>
      <c r="AH988" s="51"/>
      <c r="AI988" s="51"/>
    </row>
    <row r="989" spans="2:35">
      <c r="B989" t="s">
        <v>2076</v>
      </c>
      <c r="C989" t="s">
        <v>3696</v>
      </c>
      <c r="D989">
        <v>10</v>
      </c>
      <c r="E989" t="s">
        <v>2791</v>
      </c>
      <c r="F989">
        <v>5</v>
      </c>
      <c r="G989">
        <v>10</v>
      </c>
      <c r="H989">
        <v>7</v>
      </c>
      <c r="I989" t="s">
        <v>2077</v>
      </c>
      <c r="J989" s="51">
        <v>41190</v>
      </c>
      <c r="K989" t="s">
        <v>27</v>
      </c>
      <c r="L989" t="s">
        <v>2063</v>
      </c>
      <c r="M989">
        <v>3</v>
      </c>
      <c r="N989" t="str">
        <f>L989</f>
        <v>NAM\MB2117</v>
      </c>
      <c r="O989" s="51">
        <f>J989</f>
        <v>41190</v>
      </c>
      <c r="P989" s="51" t="str">
        <f>C989</f>
        <v>~/cdd/olddocs/Control Plans/MICROMINI/CELDA A&amp;B/CP-A&amp;B-016  ML4C4TC.pdf</v>
      </c>
      <c r="Q989" s="51" t="str">
        <f>E989</f>
        <v>pdf</v>
      </c>
      <c r="R989" s="51"/>
      <c r="S989" s="51"/>
      <c r="T989" s="51"/>
      <c r="U989" s="51"/>
      <c r="V989" s="51"/>
      <c r="W989" s="51"/>
      <c r="X989" s="51"/>
      <c r="Y989" s="51"/>
      <c r="Z989" s="51"/>
      <c r="AA989" s="51"/>
      <c r="AB989" s="51"/>
      <c r="AC989" s="51"/>
      <c r="AD989" s="51"/>
      <c r="AE989">
        <v>1</v>
      </c>
      <c r="AF989" t="s">
        <v>2066</v>
      </c>
      <c r="AG989" t="s">
        <v>2078</v>
      </c>
      <c r="AH989" s="51"/>
      <c r="AI989" s="51"/>
    </row>
    <row r="990" spans="2:35">
      <c r="B990" t="s">
        <v>2079</v>
      </c>
      <c r="C990" t="s">
        <v>3696</v>
      </c>
      <c r="D990">
        <v>10</v>
      </c>
      <c r="E990" t="s">
        <v>2791</v>
      </c>
      <c r="F990">
        <v>5</v>
      </c>
      <c r="G990">
        <v>10</v>
      </c>
      <c r="H990">
        <v>10</v>
      </c>
      <c r="I990" t="s">
        <v>2080</v>
      </c>
      <c r="J990" s="51">
        <v>41109</v>
      </c>
      <c r="K990" t="s">
        <v>27</v>
      </c>
      <c r="L990" t="s">
        <v>2063</v>
      </c>
      <c r="M990">
        <v>3</v>
      </c>
      <c r="N990" t="str">
        <f>L990</f>
        <v>NAM\MB2117</v>
      </c>
      <c r="O990" s="51">
        <f>J990</f>
        <v>41109</v>
      </c>
      <c r="P990" s="51" t="str">
        <f>C990</f>
        <v>~/cdd/olddocs/Control Plans/MICROMINI/CELDA A&amp;B/CP-A&amp;B-016  ML4C4TC.pdf</v>
      </c>
      <c r="Q990" s="51" t="str">
        <f>E990</f>
        <v>pdf</v>
      </c>
      <c r="R990" s="51"/>
      <c r="S990" s="51"/>
      <c r="T990" s="51"/>
      <c r="U990" s="51"/>
      <c r="V990" s="51"/>
      <c r="W990" s="51"/>
      <c r="X990" s="51"/>
      <c r="Y990" s="51"/>
      <c r="Z990" s="51"/>
      <c r="AA990" s="51"/>
      <c r="AB990" s="51"/>
      <c r="AC990" s="51"/>
      <c r="AD990" s="51"/>
      <c r="AE990">
        <v>1</v>
      </c>
      <c r="AF990" t="s">
        <v>2066</v>
      </c>
      <c r="AG990" t="s">
        <v>2081</v>
      </c>
      <c r="AH990" s="51"/>
      <c r="AI990" s="51"/>
    </row>
    <row r="991" spans="2:35">
      <c r="B991" t="s">
        <v>2079</v>
      </c>
      <c r="C991" t="s">
        <v>3387</v>
      </c>
      <c r="D991">
        <v>10</v>
      </c>
      <c r="E991" t="s">
        <v>2791</v>
      </c>
      <c r="F991">
        <v>5</v>
      </c>
      <c r="G991">
        <v>10</v>
      </c>
      <c r="H991">
        <v>10</v>
      </c>
      <c r="I991" t="s">
        <v>2082</v>
      </c>
      <c r="J991" s="51">
        <v>40931</v>
      </c>
      <c r="K991" t="s">
        <v>27</v>
      </c>
      <c r="L991" t="s">
        <v>2063</v>
      </c>
      <c r="M991">
        <v>3</v>
      </c>
      <c r="N991" t="str">
        <f>L991</f>
        <v>NAM\MB2117</v>
      </c>
      <c r="O991" s="51">
        <f>J991</f>
        <v>40931</v>
      </c>
      <c r="P991" s="51" t="str">
        <f>C991</f>
        <v>~/cdd/olddocs/Quality Alerts/ITRON/BONDING/QA-BOND-001 BACC65AK211P Housing-Incorrecto.pdf</v>
      </c>
      <c r="Q991" s="51" t="str">
        <f>E991</f>
        <v>pdf</v>
      </c>
      <c r="R991" s="51"/>
      <c r="S991" s="51"/>
      <c r="T991" s="51"/>
      <c r="U991" s="51"/>
      <c r="V991" s="51"/>
      <c r="W991" s="51"/>
      <c r="X991" s="51"/>
      <c r="Y991" s="51"/>
      <c r="Z991" s="51"/>
      <c r="AA991" s="51"/>
      <c r="AB991" s="51"/>
      <c r="AC991" s="51"/>
      <c r="AD991" s="51"/>
      <c r="AE991">
        <v>1</v>
      </c>
      <c r="AF991" t="s">
        <v>2066</v>
      </c>
      <c r="AG991" t="s">
        <v>2083</v>
      </c>
      <c r="AH991" s="51"/>
      <c r="AI991" s="51"/>
    </row>
    <row r="992" spans="2:35">
      <c r="B992" t="s">
        <v>2084</v>
      </c>
      <c r="C992" t="s">
        <v>3388</v>
      </c>
      <c r="D992">
        <v>10</v>
      </c>
      <c r="E992" t="s">
        <v>2791</v>
      </c>
      <c r="F992">
        <v>5</v>
      </c>
      <c r="G992">
        <v>10</v>
      </c>
      <c r="H992">
        <v>10</v>
      </c>
      <c r="I992" t="s">
        <v>2085</v>
      </c>
      <c r="J992" s="51">
        <v>41109</v>
      </c>
      <c r="K992" t="s">
        <v>27</v>
      </c>
      <c r="L992" t="s">
        <v>2063</v>
      </c>
      <c r="M992">
        <v>3</v>
      </c>
      <c r="N992" t="str">
        <f>L992</f>
        <v>NAM\MB2117</v>
      </c>
      <c r="O992" s="51">
        <f>J992</f>
        <v>41109</v>
      </c>
      <c r="P992" s="51" t="str">
        <f>C992</f>
        <v>~/cdd/olddocs/Quality Alerts/ITRON/BONDING/QA-BOND-002 002359-000X-002360-000X- 002361-000X Empaque en catidad 50 piezas.pdf</v>
      </c>
      <c r="Q992" s="51" t="str">
        <f>E992</f>
        <v>pdf</v>
      </c>
      <c r="R992" s="51"/>
      <c r="S992" s="51"/>
      <c r="T992" s="51"/>
      <c r="U992" s="51"/>
      <c r="V992" s="51"/>
      <c r="W992" s="51"/>
      <c r="X992" s="51"/>
      <c r="Y992" s="51"/>
      <c r="Z992" s="51"/>
      <c r="AA992" s="51"/>
      <c r="AB992" s="51"/>
      <c r="AC992" s="51"/>
      <c r="AD992" s="51"/>
      <c r="AE992">
        <v>1</v>
      </c>
      <c r="AF992" t="s">
        <v>2066</v>
      </c>
      <c r="AG992" t="s">
        <v>2086</v>
      </c>
      <c r="AH992" s="51"/>
      <c r="AI992" s="51"/>
    </row>
    <row r="993" spans="2:35">
      <c r="B993" t="s">
        <v>2084</v>
      </c>
      <c r="C993" t="s">
        <v>3388</v>
      </c>
      <c r="D993">
        <v>10</v>
      </c>
      <c r="E993" t="s">
        <v>2791</v>
      </c>
      <c r="F993">
        <v>5</v>
      </c>
      <c r="G993">
        <v>10</v>
      </c>
      <c r="H993">
        <v>10</v>
      </c>
      <c r="I993" t="s">
        <v>2087</v>
      </c>
      <c r="J993" s="51">
        <v>40940</v>
      </c>
      <c r="K993" t="s">
        <v>27</v>
      </c>
      <c r="L993" t="s">
        <v>2063</v>
      </c>
      <c r="M993">
        <v>3</v>
      </c>
      <c r="N993" t="str">
        <f>L993</f>
        <v>NAM\MB2117</v>
      </c>
      <c r="O993" s="51">
        <f>J993</f>
        <v>40940</v>
      </c>
      <c r="P993" s="51" t="str">
        <f>C993</f>
        <v>~/cdd/olddocs/Quality Alerts/ITRON/BONDING/QA-BOND-002 002359-000X-002360-000X- 002361-000X Empaque en catidad 50 piezas.pdf</v>
      </c>
      <c r="Q993" s="51" t="str">
        <f>E993</f>
        <v>pdf</v>
      </c>
      <c r="R993" s="51"/>
      <c r="S993" s="51"/>
      <c r="T993" s="51"/>
      <c r="U993" s="51"/>
      <c r="V993" s="51"/>
      <c r="W993" s="51"/>
      <c r="X993" s="51"/>
      <c r="Y993" s="51"/>
      <c r="Z993" s="51"/>
      <c r="AA993" s="51"/>
      <c r="AB993" s="51"/>
      <c r="AC993" s="51"/>
      <c r="AD993" s="51"/>
      <c r="AE993">
        <v>1</v>
      </c>
      <c r="AF993" t="s">
        <v>2066</v>
      </c>
      <c r="AG993" t="s">
        <v>2088</v>
      </c>
      <c r="AH993" s="51"/>
      <c r="AI993" s="51"/>
    </row>
    <row r="994" spans="2:35">
      <c r="B994" t="s">
        <v>2089</v>
      </c>
      <c r="C994" t="s">
        <v>3389</v>
      </c>
      <c r="D994">
        <v>10</v>
      </c>
      <c r="E994" t="s">
        <v>2791</v>
      </c>
      <c r="F994">
        <v>5</v>
      </c>
      <c r="G994">
        <v>10</v>
      </c>
      <c r="H994">
        <v>10</v>
      </c>
      <c r="I994" t="s">
        <v>2090</v>
      </c>
      <c r="J994" s="51">
        <v>40954</v>
      </c>
      <c r="K994" t="s">
        <v>27</v>
      </c>
      <c r="L994" t="s">
        <v>2063</v>
      </c>
      <c r="M994">
        <v>3</v>
      </c>
      <c r="N994" t="str">
        <f>L994</f>
        <v>NAM\MB2117</v>
      </c>
      <c r="O994" s="51">
        <f>J994</f>
        <v>40954</v>
      </c>
      <c r="P994" s="51" t="str">
        <f>C994</f>
        <v>~/cdd/olddocs/Quality Alerts/ITRON/BONDING/QA-BOND-003 002359-000X Rebaba en el punto de inyeccion.pdf</v>
      </c>
      <c r="Q994" s="51" t="str">
        <f>E994</f>
        <v>pdf</v>
      </c>
      <c r="R994" s="51"/>
      <c r="S994" s="51"/>
      <c r="T994" s="51"/>
      <c r="U994" s="51"/>
      <c r="V994" s="51"/>
      <c r="W994" s="51"/>
      <c r="X994" s="51"/>
      <c r="Y994" s="51"/>
      <c r="Z994" s="51"/>
      <c r="AA994" s="51"/>
      <c r="AB994" s="51"/>
      <c r="AC994" s="51"/>
      <c r="AD994" s="51"/>
      <c r="AE994">
        <v>1</v>
      </c>
      <c r="AF994" t="s">
        <v>2066</v>
      </c>
      <c r="AG994" t="s">
        <v>2088</v>
      </c>
      <c r="AH994" s="51"/>
      <c r="AI994" s="51"/>
    </row>
    <row r="995" spans="2:35">
      <c r="B995" t="s">
        <v>2091</v>
      </c>
      <c r="C995" t="s">
        <v>3390</v>
      </c>
      <c r="D995">
        <v>10</v>
      </c>
      <c r="E995" t="s">
        <v>2791</v>
      </c>
      <c r="F995">
        <v>5</v>
      </c>
      <c r="G995">
        <v>10</v>
      </c>
      <c r="H995">
        <v>10</v>
      </c>
      <c r="I995" t="s">
        <v>2092</v>
      </c>
      <c r="J995" s="51">
        <v>40974</v>
      </c>
      <c r="K995" t="s">
        <v>27</v>
      </c>
      <c r="L995" t="s">
        <v>2063</v>
      </c>
      <c r="M995">
        <v>3</v>
      </c>
      <c r="N995" t="str">
        <f>L995</f>
        <v>NAM\MB2117</v>
      </c>
      <c r="O995" s="51">
        <f>J995</f>
        <v>40974</v>
      </c>
      <c r="P995" s="51" t="str">
        <f>C995</f>
        <v>~/cdd/olddocs/Quality Alerts/ITRON/BONDING/QA-BOND-004 027-0252-221 Grommet con pellizcos.pdf</v>
      </c>
      <c r="Q995" s="51" t="str">
        <f>E995</f>
        <v>pdf</v>
      </c>
      <c r="R995" s="51"/>
      <c r="S995" s="51"/>
      <c r="T995" s="51"/>
      <c r="U995" s="51"/>
      <c r="V995" s="51"/>
      <c r="W995" s="51"/>
      <c r="X995" s="51"/>
      <c r="Y995" s="51"/>
      <c r="Z995" s="51"/>
      <c r="AA995" s="51"/>
      <c r="AB995" s="51"/>
      <c r="AC995" s="51"/>
      <c r="AD995" s="51"/>
      <c r="AE995">
        <v>1</v>
      </c>
      <c r="AF995" t="s">
        <v>2066</v>
      </c>
      <c r="AG995" t="s">
        <v>2093</v>
      </c>
      <c r="AH995" s="51"/>
      <c r="AI995" s="51"/>
    </row>
    <row r="996" spans="2:35">
      <c r="B996" t="s">
        <v>2094</v>
      </c>
      <c r="C996" t="s">
        <v>3391</v>
      </c>
      <c r="D996">
        <v>10</v>
      </c>
      <c r="E996" t="s">
        <v>2791</v>
      </c>
      <c r="F996">
        <v>5</v>
      </c>
      <c r="G996">
        <v>10</v>
      </c>
      <c r="H996">
        <v>10</v>
      </c>
      <c r="I996" t="s">
        <v>2092</v>
      </c>
      <c r="J996" s="51">
        <v>41061</v>
      </c>
      <c r="K996" t="s">
        <v>27</v>
      </c>
      <c r="L996" t="s">
        <v>2063</v>
      </c>
      <c r="M996">
        <v>3</v>
      </c>
      <c r="N996" t="str">
        <f>L996</f>
        <v>NAM\MB2117</v>
      </c>
      <c r="O996" s="51">
        <f>J996</f>
        <v>41061</v>
      </c>
      <c r="P996" s="51" t="str">
        <f>C996</f>
        <v>~/cdd/olddocs/Quality Alerts/ITRON/BONDING/QA-BOND-005 027-0212-001 Grommet con pellizcos.pdf</v>
      </c>
      <c r="Q996" s="51" t="str">
        <f>E996</f>
        <v>pdf</v>
      </c>
      <c r="R996" s="51"/>
      <c r="S996" s="51"/>
      <c r="T996" s="51"/>
      <c r="U996" s="51"/>
      <c r="V996" s="51"/>
      <c r="W996" s="51"/>
      <c r="X996" s="51"/>
      <c r="Y996" s="51"/>
      <c r="Z996" s="51"/>
      <c r="AA996" s="51"/>
      <c r="AB996" s="51"/>
      <c r="AC996" s="51"/>
      <c r="AD996" s="51"/>
      <c r="AE996">
        <v>1</v>
      </c>
      <c r="AF996" t="s">
        <v>2066</v>
      </c>
      <c r="AG996" t="s">
        <v>2095</v>
      </c>
      <c r="AH996" s="51"/>
      <c r="AI996" s="51"/>
    </row>
    <row r="997" spans="2:35">
      <c r="B997" t="s">
        <v>2096</v>
      </c>
      <c r="C997" t="s">
        <v>3392</v>
      </c>
      <c r="D997">
        <v>10</v>
      </c>
      <c r="E997" t="s">
        <v>2791</v>
      </c>
      <c r="F997">
        <v>5</v>
      </c>
      <c r="G997">
        <v>10</v>
      </c>
      <c r="H997">
        <v>10</v>
      </c>
      <c r="I997" t="s">
        <v>2097</v>
      </c>
      <c r="J997" s="51">
        <v>40983</v>
      </c>
      <c r="K997" t="s">
        <v>27</v>
      </c>
      <c r="L997" t="s">
        <v>2063</v>
      </c>
      <c r="M997">
        <v>3</v>
      </c>
      <c r="N997" t="str">
        <f>L997</f>
        <v>NAM\MB2117</v>
      </c>
      <c r="O997" s="51">
        <f>J997</f>
        <v>40983</v>
      </c>
      <c r="P997" s="51" t="str">
        <f>C997</f>
        <v>~/cdd/olddocs/Quality Alerts/ITRON/BONDING/QA-BOND-006 002359-000X Grommet despegado.pdf</v>
      </c>
      <c r="Q997" s="51" t="str">
        <f>E997</f>
        <v>pdf</v>
      </c>
      <c r="R997" s="51"/>
      <c r="S997" s="51"/>
      <c r="T997" s="51"/>
      <c r="U997" s="51"/>
      <c r="V997" s="51"/>
      <c r="W997" s="51"/>
      <c r="X997" s="51"/>
      <c r="Y997" s="51"/>
      <c r="Z997" s="51"/>
      <c r="AA997" s="51"/>
      <c r="AB997" s="51"/>
      <c r="AC997" s="51"/>
      <c r="AD997" s="51"/>
      <c r="AE997">
        <v>1</v>
      </c>
      <c r="AF997" t="s">
        <v>2066</v>
      </c>
      <c r="AG997" t="s">
        <v>2088</v>
      </c>
      <c r="AH997" s="51"/>
      <c r="AI997" s="51"/>
    </row>
    <row r="998" spans="2:35">
      <c r="B998" t="s">
        <v>2098</v>
      </c>
      <c r="C998" t="s">
        <v>3393</v>
      </c>
      <c r="D998">
        <v>10</v>
      </c>
      <c r="E998" t="s">
        <v>2791</v>
      </c>
      <c r="F998">
        <v>5</v>
      </c>
      <c r="G998">
        <v>10</v>
      </c>
      <c r="H998">
        <v>10</v>
      </c>
      <c r="I998" t="s">
        <v>2099</v>
      </c>
      <c r="J998" s="51">
        <v>40988</v>
      </c>
      <c r="K998" t="s">
        <v>27</v>
      </c>
      <c r="L998" t="s">
        <v>2063</v>
      </c>
      <c r="M998">
        <v>3</v>
      </c>
      <c r="N998" t="str">
        <f>L998</f>
        <v>NAM\MB2117</v>
      </c>
      <c r="O998" s="51">
        <f>J998</f>
        <v>40988</v>
      </c>
      <c r="P998" s="51" t="str">
        <f>C998</f>
        <v>~/cdd/olddocs/Quality Alerts/ITRON/BONDING/QA-BOND-007 027-0231-001 Grommet dañado-Cortado rasgado.pdf</v>
      </c>
      <c r="Q998" s="51" t="str">
        <f>E998</f>
        <v>pdf</v>
      </c>
      <c r="R998" s="51"/>
      <c r="S998" s="51"/>
      <c r="T998" s="51"/>
      <c r="U998" s="51"/>
      <c r="V998" s="51"/>
      <c r="W998" s="51"/>
      <c r="X998" s="51"/>
      <c r="Y998" s="51"/>
      <c r="Z998" s="51"/>
      <c r="AA998" s="51"/>
      <c r="AB998" s="51"/>
      <c r="AC998" s="51"/>
      <c r="AD998" s="51"/>
      <c r="AE998">
        <v>1</v>
      </c>
      <c r="AF998" t="s">
        <v>2066</v>
      </c>
      <c r="AG998" t="s">
        <v>2100</v>
      </c>
      <c r="AH998" s="51"/>
      <c r="AI998" s="51"/>
    </row>
    <row r="999" spans="2:35">
      <c r="B999" t="s">
        <v>2101</v>
      </c>
      <c r="C999" t="s">
        <v>3394</v>
      </c>
      <c r="D999">
        <v>10</v>
      </c>
      <c r="E999" t="s">
        <v>2791</v>
      </c>
      <c r="F999">
        <v>5</v>
      </c>
      <c r="G999">
        <v>10</v>
      </c>
      <c r="H999">
        <v>10</v>
      </c>
      <c r="I999" t="s">
        <v>2102</v>
      </c>
      <c r="J999" s="51">
        <v>41012</v>
      </c>
      <c r="K999" t="s">
        <v>27</v>
      </c>
      <c r="L999" t="s">
        <v>2063</v>
      </c>
      <c r="M999">
        <v>3</v>
      </c>
      <c r="N999" t="str">
        <f>L999</f>
        <v>NAM\MB2117</v>
      </c>
      <c r="O999" s="51">
        <f>J999</f>
        <v>41012</v>
      </c>
      <c r="P999" s="51" t="str">
        <f>C999</f>
        <v>~/cdd/olddocs/Quality Alerts/ITRON/BONDING/QA-BOND-008 BACC65AK261P Pieza fuera de spec.pdf</v>
      </c>
      <c r="Q999" s="51" t="str">
        <f>E999</f>
        <v>pdf</v>
      </c>
      <c r="R999" s="51"/>
      <c r="S999" s="51"/>
      <c r="T999" s="51"/>
      <c r="U999" s="51"/>
      <c r="V999" s="51"/>
      <c r="W999" s="51"/>
      <c r="X999" s="51"/>
      <c r="Y999" s="51"/>
      <c r="Z999" s="51"/>
      <c r="AA999" s="51"/>
      <c r="AB999" s="51"/>
      <c r="AC999" s="51"/>
      <c r="AD999" s="51"/>
      <c r="AE999">
        <v>1</v>
      </c>
      <c r="AF999" t="s">
        <v>2066</v>
      </c>
      <c r="AG999" t="s">
        <v>2103</v>
      </c>
      <c r="AH999" s="51"/>
      <c r="AI999" s="51"/>
    </row>
    <row r="1000" spans="2:35">
      <c r="B1000" t="s">
        <v>2104</v>
      </c>
      <c r="C1000" t="s">
        <v>3395</v>
      </c>
      <c r="D1000">
        <v>10</v>
      </c>
      <c r="E1000" t="s">
        <v>2791</v>
      </c>
      <c r="F1000">
        <v>5</v>
      </c>
      <c r="G1000">
        <v>10</v>
      </c>
      <c r="H1000">
        <v>10</v>
      </c>
      <c r="I1000" t="s">
        <v>2105</v>
      </c>
      <c r="J1000" s="51">
        <v>41032</v>
      </c>
      <c r="K1000" t="s">
        <v>27</v>
      </c>
      <c r="L1000" t="s">
        <v>2063</v>
      </c>
      <c r="M1000">
        <v>3</v>
      </c>
      <c r="N1000" t="str">
        <f>L1000</f>
        <v>NAM\MB2117</v>
      </c>
      <c r="O1000" s="51">
        <f>J1000</f>
        <v>41032</v>
      </c>
      <c r="P1000" s="51" t="str">
        <f>C1000</f>
        <v>~/cdd/olddocs/Quality Alerts/ITRON/BONDING/QA-BOND-009 BACC65AK251P Grommet Invertido.pdf</v>
      </c>
      <c r="Q1000" s="51" t="str">
        <f>E1000</f>
        <v>pdf</v>
      </c>
      <c r="R1000" s="51"/>
      <c r="S1000" s="51"/>
      <c r="T1000" s="51"/>
      <c r="U1000" s="51"/>
      <c r="V1000" s="51"/>
      <c r="W1000" s="51"/>
      <c r="X1000" s="51"/>
      <c r="Y1000" s="51"/>
      <c r="Z1000" s="51"/>
      <c r="AA1000" s="51"/>
      <c r="AB1000" s="51"/>
      <c r="AC1000" s="51"/>
      <c r="AD1000" s="51"/>
      <c r="AE1000">
        <v>1</v>
      </c>
      <c r="AF1000" t="s">
        <v>2066</v>
      </c>
      <c r="AG1000" t="s">
        <v>2106</v>
      </c>
      <c r="AH1000" s="51"/>
      <c r="AI1000" s="51"/>
    </row>
    <row r="1001" spans="2:35">
      <c r="B1001" t="s">
        <v>2107</v>
      </c>
      <c r="C1001" t="s">
        <v>3396</v>
      </c>
      <c r="D1001">
        <v>10</v>
      </c>
      <c r="E1001" t="s">
        <v>2791</v>
      </c>
      <c r="F1001">
        <v>5</v>
      </c>
      <c r="G1001">
        <v>10</v>
      </c>
      <c r="H1001">
        <v>10</v>
      </c>
      <c r="I1001" t="s">
        <v>2108</v>
      </c>
      <c r="J1001" s="51">
        <v>41089</v>
      </c>
      <c r="K1001" t="s">
        <v>27</v>
      </c>
      <c r="L1001" t="s">
        <v>2063</v>
      </c>
      <c r="M1001">
        <v>3</v>
      </c>
      <c r="N1001" t="str">
        <f>L1001</f>
        <v>NAM\MB2117</v>
      </c>
      <c r="O1001" s="51">
        <f>J1001</f>
        <v>41089</v>
      </c>
      <c r="P1001" s="51" t="str">
        <f>C1001</f>
        <v>~/cdd/olddocs/Quality Alerts/ITRON/BONDING/QA-BOND-010 ENGOMADO 002359-0002 (129-0029-002).pdf</v>
      </c>
      <c r="Q1001" s="51" t="str">
        <f>E1001</f>
        <v>pdf</v>
      </c>
      <c r="R1001" s="51"/>
      <c r="S1001" s="51"/>
      <c r="T1001" s="51"/>
      <c r="U1001" s="51"/>
      <c r="V1001" s="51"/>
      <c r="W1001" s="51"/>
      <c r="X1001" s="51"/>
      <c r="Y1001" s="51"/>
      <c r="Z1001" s="51"/>
      <c r="AA1001" s="51"/>
      <c r="AB1001" s="51"/>
      <c r="AC1001" s="51"/>
      <c r="AD1001" s="51"/>
      <c r="AE1001">
        <v>1</v>
      </c>
      <c r="AF1001" t="s">
        <v>2066</v>
      </c>
      <c r="AG1001" t="s">
        <v>2109</v>
      </c>
      <c r="AH1001" s="51"/>
      <c r="AI1001" s="51"/>
    </row>
    <row r="1002" spans="2:35">
      <c r="B1002" t="s">
        <v>2110</v>
      </c>
      <c r="C1002" t="s">
        <v>3397</v>
      </c>
      <c r="D1002">
        <v>10</v>
      </c>
      <c r="E1002" t="s">
        <v>2791</v>
      </c>
      <c r="F1002">
        <v>5</v>
      </c>
      <c r="G1002">
        <v>10</v>
      </c>
      <c r="H1002">
        <v>10</v>
      </c>
      <c r="I1002" t="s">
        <v>2111</v>
      </c>
      <c r="J1002" s="51">
        <v>41101</v>
      </c>
      <c r="K1002" t="s">
        <v>27</v>
      </c>
      <c r="L1002" t="s">
        <v>2063</v>
      </c>
      <c r="M1002">
        <v>3</v>
      </c>
      <c r="N1002" t="str">
        <f>L1002</f>
        <v>NAM\MB2117</v>
      </c>
      <c r="O1002" s="51">
        <f>J1002</f>
        <v>41101</v>
      </c>
      <c r="P1002" s="51" t="str">
        <f>C1002</f>
        <v>~/cdd/olddocs/Quality Alerts/ITRON/BONDING/QA-BOND-011 conectores sin contactos  000300-0596.pdf</v>
      </c>
      <c r="Q1002" s="51" t="str">
        <f>E1002</f>
        <v>pdf</v>
      </c>
      <c r="R1002" s="51"/>
      <c r="S1002" s="51"/>
      <c r="T1002" s="51"/>
      <c r="U1002" s="51"/>
      <c r="V1002" s="51"/>
      <c r="W1002" s="51"/>
      <c r="X1002" s="51"/>
      <c r="Y1002" s="51"/>
      <c r="Z1002" s="51"/>
      <c r="AA1002" s="51"/>
      <c r="AB1002" s="51"/>
      <c r="AC1002" s="51"/>
      <c r="AD1002" s="51"/>
      <c r="AE1002">
        <v>1</v>
      </c>
      <c r="AF1002" t="s">
        <v>2066</v>
      </c>
      <c r="AG1002" t="s">
        <v>2112</v>
      </c>
      <c r="AH1002" s="51"/>
      <c r="AI1002" s="51"/>
    </row>
    <row r="1003" spans="2:35">
      <c r="B1003" t="s">
        <v>2113</v>
      </c>
      <c r="C1003" t="s">
        <v>3398</v>
      </c>
      <c r="D1003">
        <v>10</v>
      </c>
      <c r="E1003" t="s">
        <v>2791</v>
      </c>
      <c r="F1003">
        <v>5</v>
      </c>
      <c r="G1003">
        <v>10</v>
      </c>
      <c r="H1003">
        <v>10</v>
      </c>
      <c r="I1003" t="s">
        <v>2114</v>
      </c>
      <c r="J1003" s="51">
        <v>41136</v>
      </c>
      <c r="K1003" t="s">
        <v>27</v>
      </c>
      <c r="L1003" t="s">
        <v>2063</v>
      </c>
      <c r="M1003">
        <v>3</v>
      </c>
      <c r="N1003" t="str">
        <f>L1003</f>
        <v>NAM\MB2117</v>
      </c>
      <c r="O1003" s="51">
        <f>J1003</f>
        <v>41136</v>
      </c>
      <c r="P1003" s="51" t="str">
        <f>C1003</f>
        <v>~/cdd/olddocs/Quality Alerts/ITRON/BONDING/QA-BOND-012 BACC65AJ121S Problemas de retencion.pdf</v>
      </c>
      <c r="Q1003" s="51" t="str">
        <f>E1003</f>
        <v>pdf</v>
      </c>
      <c r="R1003" s="51"/>
      <c r="S1003" s="51"/>
      <c r="T1003" s="51"/>
      <c r="U1003" s="51"/>
      <c r="V1003" s="51"/>
      <c r="W1003" s="51"/>
      <c r="X1003" s="51"/>
      <c r="Y1003" s="51"/>
      <c r="Z1003" s="51"/>
      <c r="AA1003" s="51"/>
      <c r="AB1003" s="51"/>
      <c r="AC1003" s="51"/>
      <c r="AD1003" s="51"/>
      <c r="AE1003">
        <v>1</v>
      </c>
      <c r="AF1003" t="s">
        <v>2066</v>
      </c>
      <c r="AG1003" t="s">
        <v>2115</v>
      </c>
      <c r="AH1003" s="51"/>
      <c r="AI1003" s="51"/>
    </row>
    <row r="1004" spans="2:35">
      <c r="B1004" t="s">
        <v>2116</v>
      </c>
      <c r="C1004" t="s">
        <v>3399</v>
      </c>
      <c r="D1004">
        <v>10</v>
      </c>
      <c r="E1004" t="s">
        <v>2791</v>
      </c>
      <c r="F1004">
        <v>5</v>
      </c>
      <c r="G1004">
        <v>10</v>
      </c>
      <c r="H1004">
        <v>10</v>
      </c>
      <c r="I1004" t="s">
        <v>2117</v>
      </c>
      <c r="J1004" s="51">
        <v>41136</v>
      </c>
      <c r="K1004" t="s">
        <v>27</v>
      </c>
      <c r="L1004" t="s">
        <v>2063</v>
      </c>
      <c r="M1004">
        <v>3</v>
      </c>
      <c r="N1004" t="str">
        <f>L1004</f>
        <v>NAM\MB2117</v>
      </c>
      <c r="O1004" s="51">
        <f>J1004</f>
        <v>41136</v>
      </c>
      <c r="P1004" s="51" t="str">
        <f>C1004</f>
        <v>~/cdd/olddocs/Quality Alerts/ITRON/BONDING/QA-BOND-013 BACC65AL801SH Prob de Empaque [Read-Only].pdf</v>
      </c>
      <c r="Q1004" s="51" t="str">
        <f>E1004</f>
        <v>pdf</v>
      </c>
      <c r="R1004" s="51"/>
      <c r="S1004" s="51"/>
      <c r="T1004" s="51"/>
      <c r="U1004" s="51"/>
      <c r="V1004" s="51"/>
      <c r="W1004" s="51"/>
      <c r="X1004" s="51"/>
      <c r="Y1004" s="51"/>
      <c r="Z1004" s="51"/>
      <c r="AA1004" s="51"/>
      <c r="AB1004" s="51"/>
      <c r="AC1004" s="51"/>
      <c r="AD1004" s="51"/>
      <c r="AE1004">
        <v>1</v>
      </c>
      <c r="AF1004" t="s">
        <v>2066</v>
      </c>
      <c r="AG1004" t="s">
        <v>2118</v>
      </c>
      <c r="AH1004" s="51"/>
      <c r="AI1004" s="51"/>
    </row>
    <row r="1005" spans="2:35">
      <c r="B1005" t="s">
        <v>2119</v>
      </c>
      <c r="C1005" t="s">
        <v>3400</v>
      </c>
      <c r="D1005">
        <v>10</v>
      </c>
      <c r="E1005" t="s">
        <v>2791</v>
      </c>
      <c r="F1005">
        <v>5</v>
      </c>
      <c r="G1005">
        <v>10</v>
      </c>
      <c r="H1005">
        <v>10</v>
      </c>
      <c r="I1005" t="s">
        <v>2120</v>
      </c>
      <c r="J1005" s="51">
        <v>41138</v>
      </c>
      <c r="K1005" t="s">
        <v>27</v>
      </c>
      <c r="L1005" t="s">
        <v>2063</v>
      </c>
      <c r="M1005">
        <v>3</v>
      </c>
      <c r="N1005" t="str">
        <f>L1005</f>
        <v>NAM\MB2117</v>
      </c>
      <c r="O1005" s="51">
        <f>J1005</f>
        <v>41138</v>
      </c>
      <c r="P1005" s="51" t="str">
        <f>C1005</f>
        <v>~/cdd/olddocs/Quality Alerts/ITRON/BONDING/QA-BOND-014 AMC02PA03W  Estampado Ilegible.pdf</v>
      </c>
      <c r="Q1005" s="51" t="str">
        <f>E1005</f>
        <v>pdf</v>
      </c>
      <c r="R1005" s="51"/>
      <c r="S1005" s="51"/>
      <c r="T1005" s="51"/>
      <c r="U1005" s="51"/>
      <c r="V1005" s="51"/>
      <c r="W1005" s="51"/>
      <c r="X1005" s="51"/>
      <c r="Y1005" s="51"/>
      <c r="Z1005" s="51"/>
      <c r="AA1005" s="51"/>
      <c r="AB1005" s="51"/>
      <c r="AC1005" s="51"/>
      <c r="AD1005" s="51"/>
      <c r="AE1005">
        <v>1</v>
      </c>
      <c r="AF1005" t="s">
        <v>2066</v>
      </c>
      <c r="AG1005" t="s">
        <v>2121</v>
      </c>
      <c r="AH1005" s="51"/>
      <c r="AI1005" s="51"/>
    </row>
    <row r="1006" spans="2:35">
      <c r="B1006" t="s">
        <v>2122</v>
      </c>
      <c r="C1006" t="s">
        <v>3401</v>
      </c>
      <c r="D1006">
        <v>10</v>
      </c>
      <c r="E1006" t="s">
        <v>2791</v>
      </c>
      <c r="F1006">
        <v>5</v>
      </c>
      <c r="G1006">
        <v>10</v>
      </c>
      <c r="H1006">
        <v>10</v>
      </c>
      <c r="I1006" t="s">
        <v>2123</v>
      </c>
      <c r="J1006" s="51">
        <v>41163</v>
      </c>
      <c r="K1006" t="s">
        <v>27</v>
      </c>
      <c r="L1006" t="s">
        <v>2063</v>
      </c>
      <c r="M1006">
        <v>3</v>
      </c>
      <c r="N1006" t="str">
        <f>L1006</f>
        <v>NAM\MB2117</v>
      </c>
      <c r="O1006" s="51">
        <f>J1006</f>
        <v>41163</v>
      </c>
      <c r="P1006" s="51" t="str">
        <f>C1006</f>
        <v>~/cdd/olddocs/Quality Alerts/ITRON/BONDING/QA-BOND-016 Consolidación.pdf</v>
      </c>
      <c r="Q1006" s="51" t="str">
        <f>E1006</f>
        <v>pdf</v>
      </c>
      <c r="R1006" s="51"/>
      <c r="S1006" s="51"/>
      <c r="T1006" s="51"/>
      <c r="U1006" s="51"/>
      <c r="V1006" s="51"/>
      <c r="W1006" s="51"/>
      <c r="X1006" s="51"/>
      <c r="Y1006" s="51"/>
      <c r="Z1006" s="51"/>
      <c r="AA1006" s="51"/>
      <c r="AB1006" s="51"/>
      <c r="AC1006" s="51"/>
      <c r="AD1006" s="51"/>
      <c r="AE1006">
        <v>1</v>
      </c>
      <c r="AF1006" t="s">
        <v>2066</v>
      </c>
      <c r="AG1006" t="s">
        <v>2124</v>
      </c>
      <c r="AH1006" s="51"/>
      <c r="AI1006" s="51"/>
    </row>
    <row r="1007" spans="2:35">
      <c r="B1007" t="s">
        <v>1715</v>
      </c>
      <c r="C1007" t="s">
        <v>3423</v>
      </c>
      <c r="D1007">
        <v>10</v>
      </c>
      <c r="E1007" t="s">
        <v>2791</v>
      </c>
      <c r="F1007">
        <v>5</v>
      </c>
      <c r="G1007">
        <v>12</v>
      </c>
      <c r="H1007">
        <v>4</v>
      </c>
      <c r="I1007" t="s">
        <v>1716</v>
      </c>
      <c r="J1007" s="51">
        <v>40969</v>
      </c>
      <c r="K1007" t="s">
        <v>27</v>
      </c>
      <c r="L1007" t="s">
        <v>1584</v>
      </c>
      <c r="M1007">
        <v>3</v>
      </c>
      <c r="N1007" t="str">
        <f>L1007</f>
        <v>NAM\A8070</v>
      </c>
      <c r="O1007" s="51">
        <f>J1007</f>
        <v>40969</v>
      </c>
      <c r="P1007" s="51" t="str">
        <f>C1007</f>
        <v>~/cdd/olddocs/Quality Alerts/MICROMINI/Change Out/QA-CHGO-001 CH5041597D0360 Exceso de goma-burbujas.pdf</v>
      </c>
      <c r="Q1007" s="51" t="str">
        <f>E1007</f>
        <v>pdf</v>
      </c>
      <c r="R1007" s="51"/>
      <c r="S1007" s="51"/>
      <c r="T1007" s="51"/>
      <c r="U1007" s="51"/>
      <c r="V1007" s="51"/>
      <c r="W1007" s="51"/>
      <c r="X1007" s="51"/>
      <c r="Y1007" s="51"/>
      <c r="Z1007" s="51"/>
      <c r="AA1007" s="51"/>
      <c r="AB1007" s="51"/>
      <c r="AC1007" s="51"/>
      <c r="AD1007" s="51"/>
      <c r="AE1007">
        <v>1</v>
      </c>
      <c r="AF1007" t="s">
        <v>611</v>
      </c>
      <c r="AG1007" t="s">
        <v>1717</v>
      </c>
      <c r="AH1007" s="51"/>
      <c r="AI1007" s="51"/>
    </row>
    <row r="1008" spans="2:35">
      <c r="B1008" t="s">
        <v>2125</v>
      </c>
      <c r="C1008" t="s">
        <v>3402</v>
      </c>
      <c r="D1008">
        <v>10</v>
      </c>
      <c r="E1008" t="s">
        <v>2791</v>
      </c>
      <c r="F1008">
        <v>5</v>
      </c>
      <c r="G1008">
        <v>36</v>
      </c>
      <c r="H1008">
        <v>26</v>
      </c>
      <c r="I1008" t="s">
        <v>2128</v>
      </c>
      <c r="J1008" s="51">
        <v>40927</v>
      </c>
      <c r="K1008" t="s">
        <v>27</v>
      </c>
      <c r="L1008" t="s">
        <v>2063</v>
      </c>
      <c r="M1008">
        <v>3</v>
      </c>
      <c r="N1008" t="str">
        <f>L1008</f>
        <v>NAM\MB2117</v>
      </c>
      <c r="O1008" s="51">
        <f>J1008</f>
        <v>40927</v>
      </c>
      <c r="P1008" s="51" t="str">
        <f>C1008</f>
        <v>~/cdd/olddocs/Quality Alerts/ITRON/ENSAMBLE GENERAL/QA-EGRAL-001 Rev. A  Agregar no. catalago a Etiqueta [Compatibility Mode].pdf</v>
      </c>
      <c r="Q1008" s="51" t="str">
        <f>E1008</f>
        <v>pdf</v>
      </c>
      <c r="R1008" s="51"/>
      <c r="S1008" s="51"/>
      <c r="T1008" s="51"/>
      <c r="U1008" s="51"/>
      <c r="V1008" s="51"/>
      <c r="W1008" s="51"/>
      <c r="X1008" s="51"/>
      <c r="Y1008" s="51"/>
      <c r="Z1008" s="51"/>
      <c r="AA1008" s="51"/>
      <c r="AB1008" s="51"/>
      <c r="AC1008" s="51"/>
      <c r="AD1008" s="51"/>
      <c r="AE1008">
        <v>1</v>
      </c>
      <c r="AF1008" t="s">
        <v>2066</v>
      </c>
      <c r="AG1008" t="s">
        <v>2129</v>
      </c>
      <c r="AH1008" s="51"/>
      <c r="AI1008" s="51"/>
    </row>
    <row r="1009" spans="2:35">
      <c r="B1009" t="s">
        <v>2130</v>
      </c>
      <c r="C1009" t="s">
        <v>3403</v>
      </c>
      <c r="D1009">
        <v>10</v>
      </c>
      <c r="E1009" t="s">
        <v>2791</v>
      </c>
      <c r="F1009">
        <v>5</v>
      </c>
      <c r="G1009">
        <v>36</v>
      </c>
      <c r="H1009">
        <v>26</v>
      </c>
      <c r="I1009" t="s">
        <v>2131</v>
      </c>
      <c r="J1009" s="51">
        <v>40961</v>
      </c>
      <c r="K1009" t="s">
        <v>27</v>
      </c>
      <c r="L1009" t="s">
        <v>2063</v>
      </c>
      <c r="M1009">
        <v>3</v>
      </c>
      <c r="N1009" t="str">
        <f>L1009</f>
        <v>NAM\MB2117</v>
      </c>
      <c r="O1009" s="51">
        <f>J1009</f>
        <v>40961</v>
      </c>
      <c r="P1009" s="51" t="str">
        <f>C1009</f>
        <v>~/cdd/olddocs/Quality Alerts/ITRON/ENSAMBLE GENERAL/QA-EGRAL-002 Rev. A 019-0039-002 Contactos sin pintura.pdf</v>
      </c>
      <c r="Q1009" s="51" t="str">
        <f>E1009</f>
        <v>pdf</v>
      </c>
      <c r="R1009" s="51"/>
      <c r="S1009" s="51"/>
      <c r="T1009" s="51"/>
      <c r="U1009" s="51"/>
      <c r="V1009" s="51"/>
      <c r="W1009" s="51"/>
      <c r="X1009" s="51"/>
      <c r="Y1009" s="51"/>
      <c r="Z1009" s="51"/>
      <c r="AA1009" s="51"/>
      <c r="AB1009" s="51"/>
      <c r="AC1009" s="51"/>
      <c r="AD1009" s="51"/>
      <c r="AE1009">
        <v>1</v>
      </c>
      <c r="AF1009" t="s">
        <v>2066</v>
      </c>
      <c r="AG1009" t="s">
        <v>2132</v>
      </c>
      <c r="AH1009" s="51"/>
      <c r="AI1009" s="51"/>
    </row>
    <row r="1010" spans="2:35">
      <c r="B1010" t="s">
        <v>2133</v>
      </c>
      <c r="C1010" t="s">
        <v>3404</v>
      </c>
      <c r="D1010">
        <v>10</v>
      </c>
      <c r="E1010" t="s">
        <v>2791</v>
      </c>
      <c r="F1010">
        <v>5</v>
      </c>
      <c r="G1010">
        <v>36</v>
      </c>
      <c r="H1010">
        <v>26</v>
      </c>
      <c r="I1010" t="s">
        <v>2134</v>
      </c>
      <c r="J1010" s="51">
        <v>40970</v>
      </c>
      <c r="K1010" t="s">
        <v>27</v>
      </c>
      <c r="L1010" t="s">
        <v>2063</v>
      </c>
      <c r="M1010">
        <v>3</v>
      </c>
      <c r="N1010" t="str">
        <f>L1010</f>
        <v>NAM\MB2117</v>
      </c>
      <c r="O1010" s="51">
        <f>J1010</f>
        <v>40970</v>
      </c>
      <c r="P1010" s="51" t="str">
        <f>C1010</f>
        <v>~/cdd/olddocs/Quality Alerts/ITRON/ENSAMBLE GENERAL/QA-EGRAL-003 Rev. A 000267-0062 Piezas fuera de especificacion.pdf</v>
      </c>
      <c r="Q1010" s="51" t="str">
        <f>E1010</f>
        <v>pdf</v>
      </c>
      <c r="R1010" s="51"/>
      <c r="S1010" s="51"/>
      <c r="T1010" s="51"/>
      <c r="U1010" s="51"/>
      <c r="V1010" s="51"/>
      <c r="W1010" s="51"/>
      <c r="X1010" s="51"/>
      <c r="Y1010" s="51"/>
      <c r="Z1010" s="51"/>
      <c r="AA1010" s="51"/>
      <c r="AB1010" s="51"/>
      <c r="AC1010" s="51"/>
      <c r="AD1010" s="51"/>
      <c r="AE1010">
        <v>1</v>
      </c>
      <c r="AF1010" t="s">
        <v>2066</v>
      </c>
      <c r="AG1010" t="s">
        <v>2135</v>
      </c>
      <c r="AH1010" s="51"/>
      <c r="AI1010" s="51"/>
    </row>
    <row r="1011" spans="2:35">
      <c r="B1011" t="s">
        <v>2136</v>
      </c>
      <c r="C1011" t="s">
        <v>3405</v>
      </c>
      <c r="D1011">
        <v>10</v>
      </c>
      <c r="E1011" t="s">
        <v>2791</v>
      </c>
      <c r="F1011">
        <v>5</v>
      </c>
      <c r="G1011">
        <v>36</v>
      </c>
      <c r="H1011">
        <v>26</v>
      </c>
      <c r="I1011" t="s">
        <v>2137</v>
      </c>
      <c r="J1011" s="51">
        <v>41020</v>
      </c>
      <c r="K1011" t="s">
        <v>27</v>
      </c>
      <c r="L1011" t="s">
        <v>2063</v>
      </c>
      <c r="M1011">
        <v>3</v>
      </c>
      <c r="N1011" t="str">
        <f>L1011</f>
        <v>NAM\MB2117</v>
      </c>
      <c r="O1011" s="51">
        <f>J1011</f>
        <v>41020</v>
      </c>
      <c r="P1011" s="51" t="str">
        <f>C1011</f>
        <v>~/cdd/olddocs/Quality Alerts/ITRON/ENSAMBLE GENERAL/QA-EGRAL-004 Rev. A 000201-2551 Mal estampado -Falta de caracter.pdf</v>
      </c>
      <c r="Q1011" s="51" t="str">
        <f>E1011</f>
        <v>pdf</v>
      </c>
      <c r="R1011" s="51"/>
      <c r="S1011" s="51"/>
      <c r="T1011" s="51"/>
      <c r="U1011" s="51"/>
      <c r="V1011" s="51"/>
      <c r="W1011" s="51"/>
      <c r="X1011" s="51"/>
      <c r="Y1011" s="51"/>
      <c r="Z1011" s="51"/>
      <c r="AA1011" s="51"/>
      <c r="AB1011" s="51"/>
      <c r="AC1011" s="51"/>
      <c r="AD1011" s="51"/>
      <c r="AE1011">
        <v>1</v>
      </c>
      <c r="AF1011" t="s">
        <v>2066</v>
      </c>
      <c r="AG1011" t="s">
        <v>2138</v>
      </c>
      <c r="AH1011" s="51"/>
      <c r="AI1011" s="51"/>
    </row>
    <row r="1012" spans="2:35" ht="15.75">
      <c r="B1012" t="s">
        <v>2139</v>
      </c>
      <c r="C1012" s="52" t="s">
        <v>3715</v>
      </c>
      <c r="D1012">
        <v>10</v>
      </c>
      <c r="E1012" t="s">
        <v>2791</v>
      </c>
      <c r="F1012">
        <v>5</v>
      </c>
      <c r="G1012">
        <v>9</v>
      </c>
      <c r="H1012">
        <v>8</v>
      </c>
      <c r="I1012" t="s">
        <v>2140</v>
      </c>
      <c r="J1012" s="51">
        <v>41001</v>
      </c>
      <c r="K1012" t="s">
        <v>27</v>
      </c>
      <c r="L1012" t="s">
        <v>2063</v>
      </c>
      <c r="M1012">
        <v>3</v>
      </c>
      <c r="N1012" t="str">
        <f>L1012</f>
        <v>NAM\MB2117</v>
      </c>
      <c r="O1012" s="51">
        <f>J1012</f>
        <v>41001</v>
      </c>
      <c r="P1012" s="51" t="str">
        <f>C1012</f>
        <v>~/cdd/olddocs/Control Plans/MICROMINI/CELDA A&amp;B/CP-A&amp;B-040  AM2C2MG030F, AM3C2MG030F, AM4C2MG030F, AM5C2MG030F.pdf</v>
      </c>
      <c r="Q1012" s="51" t="str">
        <f>E1012</f>
        <v>pdf</v>
      </c>
      <c r="R1012" s="51"/>
      <c r="S1012" s="51"/>
      <c r="T1012" s="51"/>
      <c r="U1012" s="51"/>
      <c r="V1012" s="51"/>
      <c r="W1012" s="51"/>
      <c r="X1012" s="51"/>
      <c r="Y1012" s="51"/>
      <c r="Z1012" s="51"/>
      <c r="AA1012" s="51"/>
      <c r="AB1012" s="51"/>
      <c r="AC1012" s="51"/>
      <c r="AD1012" s="51"/>
      <c r="AE1012">
        <v>1</v>
      </c>
      <c r="AF1012" t="s">
        <v>2066</v>
      </c>
      <c r="AG1012" t="s">
        <v>2141</v>
      </c>
      <c r="AH1012" s="51"/>
      <c r="AI1012" s="51"/>
    </row>
    <row r="1013" spans="2:35">
      <c r="B1013" t="s">
        <v>2142</v>
      </c>
      <c r="C1013" t="s">
        <v>3715</v>
      </c>
      <c r="D1013">
        <v>10</v>
      </c>
      <c r="E1013" t="s">
        <v>2791</v>
      </c>
      <c r="F1013">
        <v>5</v>
      </c>
      <c r="G1013">
        <v>9</v>
      </c>
      <c r="H1013">
        <v>8</v>
      </c>
      <c r="I1013" t="s">
        <v>2143</v>
      </c>
      <c r="J1013" s="51">
        <v>41015</v>
      </c>
      <c r="K1013" t="s">
        <v>27</v>
      </c>
      <c r="L1013" t="s">
        <v>2063</v>
      </c>
      <c r="M1013">
        <v>3</v>
      </c>
      <c r="N1013" t="str">
        <f>L1013</f>
        <v>NAM\MB2117</v>
      </c>
      <c r="O1013" s="51">
        <f>J1013</f>
        <v>41015</v>
      </c>
      <c r="P1013" s="51" t="str">
        <f>C1013</f>
        <v>~/cdd/olddocs/Control Plans/MICROMINI/CELDA A&amp;B/CP-A&amp;B-040  AM2C2MG030F, AM3C2MG030F, AM4C2MG030F, AM5C2MG030F.pdf</v>
      </c>
      <c r="Q1013" s="51" t="str">
        <f>E1013</f>
        <v>pdf</v>
      </c>
      <c r="R1013" s="51"/>
      <c r="S1013" s="51"/>
      <c r="T1013" s="51"/>
      <c r="U1013" s="51"/>
      <c r="V1013" s="51"/>
      <c r="W1013" s="51"/>
      <c r="X1013" s="51"/>
      <c r="Y1013" s="51"/>
      <c r="Z1013" s="51"/>
      <c r="AA1013" s="51"/>
      <c r="AB1013" s="51"/>
      <c r="AC1013" s="51"/>
      <c r="AD1013" s="51"/>
      <c r="AE1013">
        <v>1</v>
      </c>
      <c r="AF1013" t="s">
        <v>2066</v>
      </c>
      <c r="AG1013" t="s">
        <v>2144</v>
      </c>
      <c r="AH1013" s="51"/>
      <c r="AI1013" s="51"/>
    </row>
    <row r="1014" spans="2:35">
      <c r="B1014" t="s">
        <v>2145</v>
      </c>
      <c r="C1014" t="s">
        <v>3715</v>
      </c>
      <c r="D1014">
        <v>10</v>
      </c>
      <c r="E1014" t="s">
        <v>2791</v>
      </c>
      <c r="F1014">
        <v>5</v>
      </c>
      <c r="G1014">
        <v>9</v>
      </c>
      <c r="H1014">
        <v>8</v>
      </c>
      <c r="I1014" t="s">
        <v>1763</v>
      </c>
      <c r="J1014" s="51">
        <v>40934</v>
      </c>
      <c r="K1014" t="s">
        <v>27</v>
      </c>
      <c r="L1014" t="s">
        <v>2063</v>
      </c>
      <c r="M1014">
        <v>3</v>
      </c>
      <c r="N1014" t="str">
        <f>L1014</f>
        <v>NAM\MB2117</v>
      </c>
      <c r="O1014" s="51">
        <f>J1014</f>
        <v>40934</v>
      </c>
      <c r="P1014" s="51" t="str">
        <f>C1014</f>
        <v>~/cdd/olddocs/Control Plans/MICROMINI/CELDA A&amp;B/CP-A&amp;B-040  AM2C2MG030F, AM3C2MG030F, AM4C2MG030F, AM5C2MG030F.pdf</v>
      </c>
      <c r="Q1014" s="51" t="str">
        <f>E1014</f>
        <v>pdf</v>
      </c>
      <c r="R1014" s="51"/>
      <c r="S1014" s="51"/>
      <c r="T1014" s="51"/>
      <c r="U1014" s="51"/>
      <c r="V1014" s="51"/>
      <c r="W1014" s="51"/>
      <c r="X1014" s="51"/>
      <c r="Y1014" s="51"/>
      <c r="Z1014" s="51"/>
      <c r="AA1014" s="51"/>
      <c r="AB1014" s="51"/>
      <c r="AC1014" s="51"/>
      <c r="AD1014" s="51"/>
      <c r="AE1014">
        <v>1</v>
      </c>
      <c r="AF1014" t="s">
        <v>2066</v>
      </c>
      <c r="AG1014" t="s">
        <v>2146</v>
      </c>
      <c r="AH1014" s="51"/>
      <c r="AI1014" s="51"/>
    </row>
    <row r="1015" spans="2:35">
      <c r="B1015" t="s">
        <v>2147</v>
      </c>
      <c r="C1015" t="s">
        <v>3406</v>
      </c>
      <c r="D1015">
        <v>10</v>
      </c>
      <c r="E1015" t="s">
        <v>2791</v>
      </c>
      <c r="F1015">
        <v>5</v>
      </c>
      <c r="G1015">
        <v>9</v>
      </c>
      <c r="H1015">
        <v>8</v>
      </c>
      <c r="I1015" t="s">
        <v>2148</v>
      </c>
      <c r="J1015" s="51">
        <v>40968</v>
      </c>
      <c r="K1015" t="s">
        <v>27</v>
      </c>
      <c r="L1015" t="s">
        <v>2063</v>
      </c>
      <c r="M1015">
        <v>3</v>
      </c>
      <c r="N1015" t="str">
        <f>L1015</f>
        <v>NAM\MB2117</v>
      </c>
      <c r="O1015" s="51">
        <f>J1015</f>
        <v>40968</v>
      </c>
      <c r="P1015" s="51" t="str">
        <f>C1015</f>
        <v>~/cdd/olddocs/Quality Alerts/ITRON/MULTICELL A&amp;B/QA-IMA-004 Rev. A CBA-1300- Contactos doblados.pdf</v>
      </c>
      <c r="Q1015" s="51" t="str">
        <f>E1015</f>
        <v>pdf</v>
      </c>
      <c r="R1015" s="51"/>
      <c r="S1015" s="51"/>
      <c r="T1015" s="51"/>
      <c r="U1015" s="51"/>
      <c r="V1015" s="51"/>
      <c r="W1015" s="51"/>
      <c r="X1015" s="51"/>
      <c r="Y1015" s="51"/>
      <c r="Z1015" s="51"/>
      <c r="AA1015" s="51"/>
      <c r="AB1015" s="51"/>
      <c r="AC1015" s="51"/>
      <c r="AD1015" s="51"/>
      <c r="AE1015">
        <v>1</v>
      </c>
      <c r="AF1015" t="s">
        <v>2066</v>
      </c>
      <c r="AG1015" t="s">
        <v>2149</v>
      </c>
      <c r="AH1015" s="51"/>
      <c r="AI1015" s="51"/>
    </row>
    <row r="1016" spans="2:35">
      <c r="B1016" t="s">
        <v>2150</v>
      </c>
      <c r="C1016" t="s">
        <v>3407</v>
      </c>
      <c r="D1016">
        <v>10</v>
      </c>
      <c r="E1016" t="s">
        <v>2791</v>
      </c>
      <c r="F1016">
        <v>5</v>
      </c>
      <c r="G1016">
        <v>9</v>
      </c>
      <c r="H1016">
        <v>8</v>
      </c>
      <c r="I1016" t="s">
        <v>2151</v>
      </c>
      <c r="J1016" s="51">
        <v>40961</v>
      </c>
      <c r="K1016" t="s">
        <v>27</v>
      </c>
      <c r="L1016" t="s">
        <v>2063</v>
      </c>
      <c r="M1016">
        <v>3</v>
      </c>
      <c r="N1016" t="str">
        <f>L1016</f>
        <v>NAM\MB2117</v>
      </c>
      <c r="O1016" s="51">
        <f>J1016</f>
        <v>40961</v>
      </c>
      <c r="P1016" s="51" t="str">
        <f>C1016</f>
        <v>~/cdd/olddocs/Quality Alerts/ITRON/MULTICELL A&amp;B/QA-IMA-005 Rev. A CBA Contactos dañados.pdf</v>
      </c>
      <c r="Q1016" s="51" t="str">
        <f>E1016</f>
        <v>pdf</v>
      </c>
      <c r="R1016" s="51"/>
      <c r="S1016" s="51"/>
      <c r="T1016" s="51"/>
      <c r="U1016" s="51"/>
      <c r="V1016" s="51"/>
      <c r="W1016" s="51"/>
      <c r="X1016" s="51"/>
      <c r="Y1016" s="51"/>
      <c r="Z1016" s="51"/>
      <c r="AA1016" s="51"/>
      <c r="AB1016" s="51"/>
      <c r="AC1016" s="51"/>
      <c r="AD1016" s="51"/>
      <c r="AE1016">
        <v>1</v>
      </c>
      <c r="AF1016" t="s">
        <v>2066</v>
      </c>
      <c r="AG1016" t="s">
        <v>2152</v>
      </c>
      <c r="AH1016" s="51"/>
      <c r="AI1016" s="51"/>
    </row>
    <row r="1017" spans="2:35">
      <c r="B1017" t="s">
        <v>2153</v>
      </c>
      <c r="C1017" t="s">
        <v>3408</v>
      </c>
      <c r="D1017">
        <v>10</v>
      </c>
      <c r="E1017" t="s">
        <v>2791</v>
      </c>
      <c r="F1017">
        <v>5</v>
      </c>
      <c r="G1017">
        <v>9</v>
      </c>
      <c r="H1017">
        <v>8</v>
      </c>
      <c r="I1017" t="s">
        <v>2154</v>
      </c>
      <c r="J1017" s="51">
        <v>40959</v>
      </c>
      <c r="K1017" t="s">
        <v>27</v>
      </c>
      <c r="L1017" t="s">
        <v>2063</v>
      </c>
      <c r="M1017">
        <v>3</v>
      </c>
      <c r="N1017" t="str">
        <f>L1017</f>
        <v>NAM\MB2117</v>
      </c>
      <c r="O1017" s="51">
        <f>J1017</f>
        <v>40959</v>
      </c>
      <c r="P1017" s="51" t="str">
        <f>C1017</f>
        <v>~/cdd/olddocs/Quality Alerts/ITRON/MULTICELL A&amp;B/QA-IMA-006 Rev. A CON Contactados dorados.pdf</v>
      </c>
      <c r="Q1017" s="51" t="str">
        <f>E1017</f>
        <v>pdf</v>
      </c>
      <c r="R1017" s="51"/>
      <c r="S1017" s="51"/>
      <c r="T1017" s="51"/>
      <c r="U1017" s="51"/>
      <c r="V1017" s="51"/>
      <c r="W1017" s="51"/>
      <c r="X1017" s="51"/>
      <c r="Y1017" s="51"/>
      <c r="Z1017" s="51"/>
      <c r="AA1017" s="51"/>
      <c r="AB1017" s="51"/>
      <c r="AC1017" s="51"/>
      <c r="AD1017" s="51"/>
      <c r="AE1017">
        <v>1</v>
      </c>
      <c r="AF1017" t="s">
        <v>2066</v>
      </c>
      <c r="AG1017" t="s">
        <v>2144</v>
      </c>
      <c r="AH1017" s="51"/>
      <c r="AI1017" s="51"/>
    </row>
    <row r="1018" spans="2:35">
      <c r="B1018" t="s">
        <v>2155</v>
      </c>
      <c r="C1018" t="s">
        <v>3409</v>
      </c>
      <c r="D1018">
        <v>10</v>
      </c>
      <c r="E1018" t="s">
        <v>2791</v>
      </c>
      <c r="F1018">
        <v>5</v>
      </c>
      <c r="G1018">
        <v>9</v>
      </c>
      <c r="H1018">
        <v>8</v>
      </c>
      <c r="I1018" t="s">
        <v>2156</v>
      </c>
      <c r="J1018" s="51">
        <v>41010</v>
      </c>
      <c r="K1018" t="s">
        <v>27</v>
      </c>
      <c r="L1018" t="s">
        <v>2063</v>
      </c>
      <c r="M1018">
        <v>3</v>
      </c>
      <c r="N1018" t="str">
        <f>L1018</f>
        <v>NAM\MB2117</v>
      </c>
      <c r="O1018" s="51">
        <f>J1018</f>
        <v>41010</v>
      </c>
      <c r="P1018" s="51" t="str">
        <f>C1018</f>
        <v>~/cdd/olddocs/Quality Alerts/ITRON/MULTICELL A&amp;B/QA-IMA-007 Rev. A CBA &amp; CON Contactos faltantes.pdf</v>
      </c>
      <c r="Q1018" s="51" t="str">
        <f>E1018</f>
        <v>pdf</v>
      </c>
      <c r="R1018" s="51"/>
      <c r="S1018" s="51"/>
      <c r="T1018" s="51"/>
      <c r="U1018" s="51"/>
      <c r="V1018" s="51"/>
      <c r="W1018" s="51"/>
      <c r="X1018" s="51"/>
      <c r="Y1018" s="51"/>
      <c r="Z1018" s="51"/>
      <c r="AA1018" s="51"/>
      <c r="AB1018" s="51"/>
      <c r="AC1018" s="51"/>
      <c r="AD1018" s="51"/>
      <c r="AE1018">
        <v>1</v>
      </c>
      <c r="AF1018" t="s">
        <v>2066</v>
      </c>
      <c r="AG1018" t="s">
        <v>2141</v>
      </c>
      <c r="AH1018" s="51"/>
      <c r="AI1018" s="51"/>
    </row>
    <row r="1019" spans="2:35">
      <c r="B1019" t="s">
        <v>2157</v>
      </c>
      <c r="C1019" t="s">
        <v>3410</v>
      </c>
      <c r="D1019">
        <v>10</v>
      </c>
      <c r="E1019" t="s">
        <v>2791</v>
      </c>
      <c r="F1019">
        <v>5</v>
      </c>
      <c r="G1019">
        <v>9</v>
      </c>
      <c r="H1019">
        <v>9</v>
      </c>
      <c r="I1019" t="s">
        <v>2158</v>
      </c>
      <c r="J1019" s="51">
        <v>40919</v>
      </c>
      <c r="K1019" t="s">
        <v>27</v>
      </c>
      <c r="L1019" t="s">
        <v>2063</v>
      </c>
      <c r="M1019">
        <v>3</v>
      </c>
      <c r="N1019" t="str">
        <f>L1019</f>
        <v>NAM\MB2117</v>
      </c>
      <c r="O1019" s="51">
        <f>J1019</f>
        <v>40919</v>
      </c>
      <c r="P1019" s="51" t="str">
        <f>C1019</f>
        <v>~/cdd/olddocs/Quality Alerts/ITRON/MULTICELL A&amp;B/QA-IMB-001 Rev.A Pieza Moldeada-Color diferente Compound 12-002 [Compatibility Mode].pdf</v>
      </c>
      <c r="Q1019" s="51" t="str">
        <f>E1019</f>
        <v>pdf</v>
      </c>
      <c r="R1019" s="51"/>
      <c r="S1019" s="51"/>
      <c r="T1019" s="51"/>
      <c r="U1019" s="51"/>
      <c r="V1019" s="51"/>
      <c r="W1019" s="51"/>
      <c r="X1019" s="51"/>
      <c r="Y1019" s="51"/>
      <c r="Z1019" s="51"/>
      <c r="AA1019" s="51"/>
      <c r="AB1019" s="51"/>
      <c r="AC1019" s="51"/>
      <c r="AD1019" s="51"/>
      <c r="AE1019">
        <v>1</v>
      </c>
      <c r="AF1019" t="s">
        <v>2066</v>
      </c>
      <c r="AH1019" s="51"/>
      <c r="AI1019" s="51"/>
    </row>
    <row r="1020" spans="2:35">
      <c r="B1020" t="s">
        <v>2159</v>
      </c>
      <c r="C1020" t="s">
        <v>3411</v>
      </c>
      <c r="D1020">
        <v>10</v>
      </c>
      <c r="E1020" t="s">
        <v>2791</v>
      </c>
      <c r="F1020">
        <v>5</v>
      </c>
      <c r="G1020">
        <v>9</v>
      </c>
      <c r="H1020">
        <v>9</v>
      </c>
      <c r="I1020" t="s">
        <v>2160</v>
      </c>
      <c r="J1020" s="51">
        <v>40976</v>
      </c>
      <c r="K1020" t="s">
        <v>27</v>
      </c>
      <c r="L1020" t="s">
        <v>2063</v>
      </c>
      <c r="M1020">
        <v>3</v>
      </c>
      <c r="N1020" t="str">
        <f>L1020</f>
        <v>NAM\MB2117</v>
      </c>
      <c r="O1020" s="51">
        <f>J1020</f>
        <v>40976</v>
      </c>
      <c r="P1020" s="51" t="str">
        <f>C1020</f>
        <v>~/cdd/olddocs/Quality Alerts/ITRON/MULTICELL A&amp;B/QA-IMB-002 Rev. A 28-2266-0001 Pieza incorrecta  longitud total  corta.pdf</v>
      </c>
      <c r="Q1020" s="51" t="str">
        <f>E1020</f>
        <v>pdf</v>
      </c>
      <c r="R1020" s="51"/>
      <c r="S1020" s="51"/>
      <c r="T1020" s="51"/>
      <c r="U1020" s="51"/>
      <c r="V1020" s="51"/>
      <c r="W1020" s="51"/>
      <c r="X1020" s="51"/>
      <c r="Y1020" s="51"/>
      <c r="Z1020" s="51"/>
      <c r="AA1020" s="51"/>
      <c r="AB1020" s="51"/>
      <c r="AC1020" s="51"/>
      <c r="AD1020" s="51"/>
      <c r="AE1020">
        <v>1</v>
      </c>
      <c r="AF1020" t="s">
        <v>2066</v>
      </c>
      <c r="AG1020" t="s">
        <v>2161</v>
      </c>
      <c r="AH1020" s="51"/>
      <c r="AI1020" s="51"/>
    </row>
    <row r="1021" spans="2:35">
      <c r="B1021" t="s">
        <v>2162</v>
      </c>
      <c r="C1021" t="s">
        <v>3412</v>
      </c>
      <c r="D1021">
        <v>10</v>
      </c>
      <c r="E1021" t="s">
        <v>2791</v>
      </c>
      <c r="F1021">
        <v>5</v>
      </c>
      <c r="G1021">
        <v>9</v>
      </c>
      <c r="H1021">
        <v>9</v>
      </c>
      <c r="I1021" t="s">
        <v>2163</v>
      </c>
      <c r="J1021" s="51">
        <v>40996</v>
      </c>
      <c r="K1021" t="s">
        <v>27</v>
      </c>
      <c r="L1021" t="s">
        <v>2063</v>
      </c>
      <c r="M1021">
        <v>3</v>
      </c>
      <c r="N1021" t="str">
        <f>L1021</f>
        <v>NAM\MB2117</v>
      </c>
      <c r="O1021" s="51">
        <f>J1021</f>
        <v>40996</v>
      </c>
      <c r="P1021" s="51" t="str">
        <f>C1021</f>
        <v>~/cdd/olddocs/Quality Alerts/ITRON/MULTICELL A&amp;B/QA-IMB-003 Rev. A MSC-0019-008 Posicion incorrecta.pdf</v>
      </c>
      <c r="Q1021" s="51" t="str">
        <f>E1021</f>
        <v>pdf</v>
      </c>
      <c r="R1021" s="51"/>
      <c r="S1021" s="51"/>
      <c r="T1021" s="51"/>
      <c r="U1021" s="51"/>
      <c r="V1021" s="51"/>
      <c r="W1021" s="51"/>
      <c r="X1021" s="51"/>
      <c r="Y1021" s="51"/>
      <c r="Z1021" s="51"/>
      <c r="AA1021" s="51"/>
      <c r="AB1021" s="51"/>
      <c r="AC1021" s="51"/>
      <c r="AD1021" s="51"/>
      <c r="AE1021">
        <v>1</v>
      </c>
      <c r="AF1021" t="s">
        <v>2066</v>
      </c>
      <c r="AG1021" t="s">
        <v>2164</v>
      </c>
      <c r="AH1021" s="51"/>
      <c r="AI1021" s="51"/>
    </row>
    <row r="1022" spans="2:35">
      <c r="B1022" t="s">
        <v>2165</v>
      </c>
      <c r="C1022" t="s">
        <v>3413</v>
      </c>
      <c r="D1022">
        <v>10</v>
      </c>
      <c r="E1022" t="s">
        <v>2791</v>
      </c>
      <c r="F1022">
        <v>5</v>
      </c>
      <c r="G1022">
        <v>9</v>
      </c>
      <c r="H1022">
        <v>9</v>
      </c>
      <c r="I1022" t="s">
        <v>2166</v>
      </c>
      <c r="J1022" s="51">
        <v>41078</v>
      </c>
      <c r="K1022" t="s">
        <v>27</v>
      </c>
      <c r="L1022" t="s">
        <v>2063</v>
      </c>
      <c r="M1022">
        <v>3</v>
      </c>
      <c r="N1022" t="str">
        <f>L1022</f>
        <v>NAM\MB2117</v>
      </c>
      <c r="O1022" s="51">
        <f>J1022</f>
        <v>41078</v>
      </c>
      <c r="P1022" s="51" t="str">
        <f>C1022</f>
        <v>~/cdd/olddocs/Quality Alerts/ITRON/MULTICELL A&amp;B/QA-IMB-004 Rev. A  127-0461-001 Legenda Ilegible.pdf</v>
      </c>
      <c r="Q1022" s="51" t="str">
        <f>E1022</f>
        <v>pdf</v>
      </c>
      <c r="R1022" s="51"/>
      <c r="S1022" s="51"/>
      <c r="T1022" s="51"/>
      <c r="U1022" s="51"/>
      <c r="V1022" s="51"/>
      <c r="W1022" s="51"/>
      <c r="X1022" s="51"/>
      <c r="Y1022" s="51"/>
      <c r="Z1022" s="51"/>
      <c r="AA1022" s="51"/>
      <c r="AB1022" s="51"/>
      <c r="AC1022" s="51"/>
      <c r="AD1022" s="51"/>
      <c r="AE1022">
        <v>1</v>
      </c>
      <c r="AF1022" t="s">
        <v>2066</v>
      </c>
      <c r="AG1022" t="s">
        <v>2167</v>
      </c>
      <c r="AH1022" s="51"/>
      <c r="AI1022" s="51"/>
    </row>
    <row r="1023" spans="2:35">
      <c r="B1023" t="s">
        <v>2168</v>
      </c>
      <c r="C1023" t="e">
        <v>#VALUE!</v>
      </c>
      <c r="D1023">
        <v>10</v>
      </c>
      <c r="E1023" t="e">
        <v>#VALUE!</v>
      </c>
      <c r="F1023">
        <v>5</v>
      </c>
      <c r="G1023">
        <v>9</v>
      </c>
      <c r="H1023">
        <v>9</v>
      </c>
      <c r="I1023" t="s">
        <v>2169</v>
      </c>
      <c r="K1023" t="s">
        <v>27</v>
      </c>
      <c r="L1023" t="s">
        <v>2063</v>
      </c>
      <c r="M1023">
        <v>3</v>
      </c>
      <c r="N1023" t="str">
        <f>L1023</f>
        <v>NAM\MB2117</v>
      </c>
      <c r="O1023" s="51">
        <f>J1023</f>
        <v>0</v>
      </c>
      <c r="P1023" s="51" t="e">
        <f>C1023</f>
        <v>#VALUE!</v>
      </c>
      <c r="Q1023" s="51" t="e">
        <f>E1023</f>
        <v>#VALUE!</v>
      </c>
      <c r="R1023" s="51"/>
      <c r="S1023" s="51"/>
      <c r="T1023" s="51"/>
      <c r="U1023" s="51"/>
      <c r="V1023" s="51"/>
      <c r="W1023" s="51"/>
      <c r="X1023" s="51"/>
      <c r="Y1023" s="51"/>
      <c r="Z1023" s="51"/>
      <c r="AA1023" s="51"/>
      <c r="AB1023" s="51"/>
      <c r="AC1023" s="51"/>
      <c r="AD1023" s="51"/>
      <c r="AE1023">
        <v>1</v>
      </c>
      <c r="AF1023" t="s">
        <v>2066</v>
      </c>
      <c r="AG1023" t="s">
        <v>2170</v>
      </c>
      <c r="AH1023" s="51"/>
      <c r="AI1023" s="51"/>
    </row>
    <row r="1024" spans="2:35">
      <c r="B1024" t="s">
        <v>2171</v>
      </c>
      <c r="C1024" t="e">
        <v>#VALUE!</v>
      </c>
      <c r="D1024">
        <v>10</v>
      </c>
      <c r="E1024" t="e">
        <v>#VALUE!</v>
      </c>
      <c r="F1024">
        <v>5</v>
      </c>
      <c r="G1024">
        <v>9</v>
      </c>
      <c r="H1024">
        <v>9</v>
      </c>
      <c r="I1024" t="s">
        <v>2172</v>
      </c>
      <c r="K1024" t="s">
        <v>27</v>
      </c>
      <c r="L1024" t="s">
        <v>2063</v>
      </c>
      <c r="M1024">
        <v>3</v>
      </c>
      <c r="N1024" t="str">
        <f>L1024</f>
        <v>NAM\MB2117</v>
      </c>
      <c r="O1024" s="51">
        <f>J1024</f>
        <v>0</v>
      </c>
      <c r="P1024" s="51" t="e">
        <f>C1024</f>
        <v>#VALUE!</v>
      </c>
      <c r="Q1024" s="51" t="e">
        <f>E1024</f>
        <v>#VALUE!</v>
      </c>
      <c r="R1024" s="51"/>
      <c r="S1024" s="51"/>
      <c r="T1024" s="51"/>
      <c r="U1024" s="51"/>
      <c r="V1024" s="51"/>
      <c r="W1024" s="51"/>
      <c r="X1024" s="51"/>
      <c r="Y1024" s="51"/>
      <c r="Z1024" s="51"/>
      <c r="AA1024" s="51"/>
      <c r="AB1024" s="51"/>
      <c r="AC1024" s="51"/>
      <c r="AD1024" s="51"/>
      <c r="AE1024">
        <v>1</v>
      </c>
      <c r="AF1024" t="s">
        <v>2066</v>
      </c>
      <c r="AG1024" t="s">
        <v>2173</v>
      </c>
      <c r="AH1024" s="51"/>
      <c r="AI1024" s="51"/>
    </row>
    <row r="1025" spans="2:35">
      <c r="B1025" t="s">
        <v>2174</v>
      </c>
      <c r="C1025" t="s">
        <v>3414</v>
      </c>
      <c r="D1025">
        <v>10</v>
      </c>
      <c r="E1025" t="s">
        <v>2791</v>
      </c>
      <c r="F1025">
        <v>5</v>
      </c>
      <c r="G1025">
        <v>9</v>
      </c>
      <c r="H1025">
        <v>1</v>
      </c>
      <c r="I1025" t="s">
        <v>2175</v>
      </c>
      <c r="J1025" s="51">
        <v>41026</v>
      </c>
      <c r="K1025" t="s">
        <v>27</v>
      </c>
      <c r="L1025" t="s">
        <v>2063</v>
      </c>
      <c r="M1025">
        <v>3</v>
      </c>
      <c r="N1025" t="str">
        <f>L1025</f>
        <v>NAM\MB2117</v>
      </c>
      <c r="O1025" s="51">
        <f>J1025</f>
        <v>41026</v>
      </c>
      <c r="P1025" s="51" t="str">
        <f>C1025</f>
        <v>~/cdd/olddocs/Quality Alerts/ITRON/PLUG/QA-IPLUG-001 Rev. A  035- 0532-00 Bota deforme.pdf</v>
      </c>
      <c r="Q1025" s="51" t="str">
        <f>E1025</f>
        <v>pdf</v>
      </c>
      <c r="R1025" s="51"/>
      <c r="S1025" s="51"/>
      <c r="T1025" s="51"/>
      <c r="U1025" s="51"/>
      <c r="V1025" s="51"/>
      <c r="W1025" s="51"/>
      <c r="X1025" s="51"/>
      <c r="Y1025" s="51"/>
      <c r="Z1025" s="51"/>
      <c r="AA1025" s="51"/>
      <c r="AB1025" s="51"/>
      <c r="AC1025" s="51"/>
      <c r="AD1025" s="51"/>
      <c r="AE1025">
        <v>1</v>
      </c>
      <c r="AF1025" t="s">
        <v>2066</v>
      </c>
      <c r="AG1025" t="s">
        <v>2176</v>
      </c>
      <c r="AH1025" s="51"/>
      <c r="AI1025" s="51"/>
    </row>
    <row r="1026" spans="2:35">
      <c r="B1026" t="s">
        <v>2177</v>
      </c>
      <c r="C1026" t="s">
        <v>3415</v>
      </c>
      <c r="D1026">
        <v>10</v>
      </c>
      <c r="E1026" t="s">
        <v>2791</v>
      </c>
      <c r="F1026">
        <v>5</v>
      </c>
      <c r="G1026">
        <v>9</v>
      </c>
      <c r="H1026">
        <v>1</v>
      </c>
      <c r="I1026" t="s">
        <v>2178</v>
      </c>
      <c r="J1026" s="51">
        <v>41029</v>
      </c>
      <c r="K1026" t="s">
        <v>27</v>
      </c>
      <c r="L1026" t="s">
        <v>2063</v>
      </c>
      <c r="M1026">
        <v>3</v>
      </c>
      <c r="N1026" t="str">
        <f>L1026</f>
        <v>NAM\MB2117</v>
      </c>
      <c r="O1026" s="51">
        <f>J1026</f>
        <v>41029</v>
      </c>
      <c r="P1026" s="51" t="str">
        <f>C1026</f>
        <v>~/cdd/olddocs/Quality Alerts/ITRON/PLUG/QA-IPLUG-002 Rev. A 28-2259-0022 Tapon faltante.pdf</v>
      </c>
      <c r="Q1026" s="51" t="str">
        <f>E1026</f>
        <v>pdf</v>
      </c>
      <c r="R1026" s="51"/>
      <c r="S1026" s="51"/>
      <c r="T1026" s="51"/>
      <c r="U1026" s="51"/>
      <c r="V1026" s="51"/>
      <c r="W1026" s="51"/>
      <c r="X1026" s="51"/>
      <c r="Y1026" s="51"/>
      <c r="Z1026" s="51"/>
      <c r="AA1026" s="51"/>
      <c r="AB1026" s="51"/>
      <c r="AC1026" s="51"/>
      <c r="AD1026" s="51"/>
      <c r="AE1026">
        <v>1</v>
      </c>
      <c r="AF1026" t="s">
        <v>2066</v>
      </c>
      <c r="AG1026" t="s">
        <v>2179</v>
      </c>
      <c r="AH1026" s="51"/>
      <c r="AI1026" s="51"/>
    </row>
    <row r="1027" spans="2:35">
      <c r="B1027" t="s">
        <v>2180</v>
      </c>
      <c r="C1027" t="s">
        <v>3415</v>
      </c>
      <c r="D1027">
        <v>10</v>
      </c>
      <c r="E1027" t="s">
        <v>2791</v>
      </c>
      <c r="F1027">
        <v>5</v>
      </c>
      <c r="G1027">
        <v>9</v>
      </c>
      <c r="H1027">
        <v>1</v>
      </c>
      <c r="I1027" t="s">
        <v>2181</v>
      </c>
      <c r="J1027" s="51">
        <v>41162</v>
      </c>
      <c r="K1027" t="s">
        <v>27</v>
      </c>
      <c r="L1027" t="s">
        <v>2063</v>
      </c>
      <c r="M1027">
        <v>3</v>
      </c>
      <c r="N1027" t="str">
        <f>L1027</f>
        <v>NAM\MB2117</v>
      </c>
      <c r="O1027" s="51">
        <f>J1027</f>
        <v>41162</v>
      </c>
      <c r="P1027" s="51" t="str">
        <f>C1027</f>
        <v>~/cdd/olddocs/Quality Alerts/ITRON/PLUG/QA-IPLUG-002 Rev. A 28-2259-0022 Tapon faltante.pdf</v>
      </c>
      <c r="Q1027" s="51" t="str">
        <f>E1027</f>
        <v>pdf</v>
      </c>
      <c r="R1027" s="51"/>
      <c r="S1027" s="51"/>
      <c r="T1027" s="51"/>
      <c r="U1027" s="51"/>
      <c r="V1027" s="51"/>
      <c r="W1027" s="51"/>
      <c r="X1027" s="51"/>
      <c r="Y1027" s="51"/>
      <c r="Z1027" s="51"/>
      <c r="AA1027" s="51"/>
      <c r="AB1027" s="51"/>
      <c r="AC1027" s="51"/>
      <c r="AD1027" s="51"/>
      <c r="AE1027">
        <v>1</v>
      </c>
      <c r="AF1027" t="s">
        <v>2066</v>
      </c>
      <c r="AG1027" t="s">
        <v>1098</v>
      </c>
      <c r="AH1027" s="51"/>
      <c r="AI1027" s="51"/>
    </row>
    <row r="1028" spans="2:35">
      <c r="B1028" t="s">
        <v>2182</v>
      </c>
      <c r="C1028" t="s">
        <v>3416</v>
      </c>
      <c r="D1028">
        <v>10</v>
      </c>
      <c r="E1028" t="s">
        <v>2791</v>
      </c>
      <c r="F1028">
        <v>5</v>
      </c>
      <c r="G1028">
        <v>9</v>
      </c>
      <c r="H1028">
        <v>13</v>
      </c>
      <c r="I1028" t="s">
        <v>2185</v>
      </c>
      <c r="J1028" s="51">
        <v>41009</v>
      </c>
      <c r="K1028" t="s">
        <v>27</v>
      </c>
      <c r="L1028" t="s">
        <v>2063</v>
      </c>
      <c r="M1028">
        <v>3</v>
      </c>
      <c r="N1028" t="str">
        <f>L1028</f>
        <v>NAM\MB2117</v>
      </c>
      <c r="O1028" s="51">
        <f>J1028</f>
        <v>41009</v>
      </c>
      <c r="P1028" s="51" t="str">
        <f>C1028</f>
        <v>~/cdd/olddocs/Quality Alerts/ITRON/RECEPTACLE/QA-IRCPT-001 Rev. A Cables disparejos.pdf</v>
      </c>
      <c r="Q1028" s="51" t="str">
        <f>E1028</f>
        <v>pdf</v>
      </c>
      <c r="R1028" s="51"/>
      <c r="S1028" s="51"/>
      <c r="T1028" s="51"/>
      <c r="U1028" s="51"/>
      <c r="V1028" s="51"/>
      <c r="W1028" s="51"/>
      <c r="X1028" s="51"/>
      <c r="Y1028" s="51"/>
      <c r="Z1028" s="51"/>
      <c r="AA1028" s="51"/>
      <c r="AB1028" s="51"/>
      <c r="AC1028" s="51"/>
      <c r="AD1028" s="51"/>
      <c r="AE1028">
        <v>1</v>
      </c>
      <c r="AF1028" t="s">
        <v>2066</v>
      </c>
      <c r="AH1028" s="51"/>
      <c r="AI1028" s="51"/>
    </row>
    <row r="1029" spans="2:35">
      <c r="B1029" t="s">
        <v>2186</v>
      </c>
      <c r="C1029" t="s">
        <v>3442</v>
      </c>
      <c r="D1029">
        <v>10</v>
      </c>
      <c r="E1029" t="s">
        <v>2791</v>
      </c>
      <c r="F1029">
        <v>5</v>
      </c>
      <c r="G1029">
        <v>13</v>
      </c>
      <c r="H1029">
        <v>15</v>
      </c>
      <c r="I1029" t="s">
        <v>2187</v>
      </c>
      <c r="J1029" s="51">
        <v>40924</v>
      </c>
      <c r="K1029" t="s">
        <v>27</v>
      </c>
      <c r="L1029" t="s">
        <v>2063</v>
      </c>
      <c r="M1029">
        <v>3</v>
      </c>
      <c r="N1029" t="str">
        <f>L1029</f>
        <v>NAM\MB2117</v>
      </c>
      <c r="O1029" s="51">
        <f>J1029</f>
        <v>40924</v>
      </c>
      <c r="P1029" s="51" t="str">
        <f>C1029</f>
        <v>~/cdd/olddocs/Quality Alerts/MOLDEO/Moldeo Moorpark/QA-MRPK-001 Rev. A 096-0257-001 Rosca Interna -Falta de Material [Compatibility Mode].pdf</v>
      </c>
      <c r="Q1029" s="51" t="str">
        <f>E1029</f>
        <v>pdf</v>
      </c>
      <c r="R1029" s="51"/>
      <c r="S1029" s="51"/>
      <c r="T1029" s="51"/>
      <c r="U1029" s="51"/>
      <c r="V1029" s="51"/>
      <c r="W1029" s="51"/>
      <c r="X1029" s="51"/>
      <c r="Y1029" s="51"/>
      <c r="Z1029" s="51"/>
      <c r="AA1029" s="51"/>
      <c r="AB1029" s="51"/>
      <c r="AC1029" s="51"/>
      <c r="AD1029" s="51"/>
      <c r="AE1029">
        <v>1</v>
      </c>
      <c r="AF1029" t="s">
        <v>2189</v>
      </c>
      <c r="AG1029" t="s">
        <v>2188</v>
      </c>
      <c r="AH1029" s="51"/>
      <c r="AI1029" s="51"/>
    </row>
    <row r="1030" spans="2:35">
      <c r="B1030" t="s">
        <v>2190</v>
      </c>
      <c r="C1030" t="s">
        <v>3443</v>
      </c>
      <c r="D1030">
        <v>10</v>
      </c>
      <c r="E1030" t="s">
        <v>2791</v>
      </c>
      <c r="F1030">
        <v>5</v>
      </c>
      <c r="G1030">
        <v>13</v>
      </c>
      <c r="H1030">
        <v>15</v>
      </c>
      <c r="I1030" t="s">
        <v>2191</v>
      </c>
      <c r="J1030" s="51">
        <v>41031</v>
      </c>
      <c r="K1030" t="s">
        <v>27</v>
      </c>
      <c r="L1030" t="s">
        <v>2063</v>
      </c>
      <c r="M1030">
        <v>3</v>
      </c>
      <c r="N1030" t="str">
        <f>L1030</f>
        <v>NAM\MB2117</v>
      </c>
      <c r="O1030" s="51">
        <f>J1030</f>
        <v>41031</v>
      </c>
      <c r="P1030" s="51" t="str">
        <f>C1030</f>
        <v>~/cdd/olddocs/Quality Alerts/MOLDEO/Moldeo Moorpark/QA-MRPK-002 Rev. A RF22-2852-5 Clamp -Configaracion incorrecta.pdf</v>
      </c>
      <c r="Q1030" s="51" t="str">
        <f>E1030</f>
        <v>pdf</v>
      </c>
      <c r="R1030" s="51"/>
      <c r="S1030" s="51"/>
      <c r="T1030" s="51"/>
      <c r="U1030" s="51"/>
      <c r="V1030" s="51"/>
      <c r="W1030" s="51"/>
      <c r="X1030" s="51"/>
      <c r="Y1030" s="51"/>
      <c r="Z1030" s="51"/>
      <c r="AA1030" s="51"/>
      <c r="AB1030" s="51"/>
      <c r="AC1030" s="51"/>
      <c r="AD1030" s="51"/>
      <c r="AE1030">
        <v>1</v>
      </c>
      <c r="AF1030" t="s">
        <v>2189</v>
      </c>
      <c r="AG1030" t="s">
        <v>2192</v>
      </c>
      <c r="AH1030" s="51"/>
      <c r="AI1030" s="51"/>
    </row>
    <row r="1031" spans="2:35">
      <c r="B1031" t="s">
        <v>2193</v>
      </c>
      <c r="C1031" t="s">
        <v>3444</v>
      </c>
      <c r="D1031">
        <v>10</v>
      </c>
      <c r="E1031" t="s">
        <v>2791</v>
      </c>
      <c r="F1031">
        <v>5</v>
      </c>
      <c r="G1031">
        <v>13</v>
      </c>
      <c r="H1031">
        <v>15</v>
      </c>
      <c r="I1031" t="s">
        <v>2194</v>
      </c>
      <c r="J1031" s="51">
        <v>41045</v>
      </c>
      <c r="K1031" t="s">
        <v>27</v>
      </c>
      <c r="L1031" t="s">
        <v>2063</v>
      </c>
      <c r="M1031">
        <v>3</v>
      </c>
      <c r="N1031" t="str">
        <f>L1031</f>
        <v>NAM\MB2117</v>
      </c>
      <c r="O1031" s="51">
        <f>J1031</f>
        <v>41045</v>
      </c>
      <c r="P1031" s="51" t="str">
        <f>C1031</f>
        <v>~/cdd/olddocs/Quality Alerts/MOLDEO/Moldeo Moorpark/QA-MRPK-003  Rev. A  128-0074-001 Pieza con marcas.pdf</v>
      </c>
      <c r="Q1031" s="51" t="str">
        <f>E1031</f>
        <v>pdf</v>
      </c>
      <c r="R1031" s="51"/>
      <c r="S1031" s="51"/>
      <c r="T1031" s="51"/>
      <c r="U1031" s="51"/>
      <c r="V1031" s="51"/>
      <c r="W1031" s="51"/>
      <c r="X1031" s="51"/>
      <c r="Y1031" s="51"/>
      <c r="Z1031" s="51"/>
      <c r="AA1031" s="51"/>
      <c r="AB1031" s="51"/>
      <c r="AC1031" s="51"/>
      <c r="AD1031" s="51"/>
      <c r="AE1031">
        <v>1</v>
      </c>
      <c r="AF1031" t="s">
        <v>2189</v>
      </c>
      <c r="AG1031" t="s">
        <v>2195</v>
      </c>
      <c r="AH1031" s="51"/>
      <c r="AI1031" s="51"/>
    </row>
    <row r="1032" spans="2:35">
      <c r="B1032" t="s">
        <v>2196</v>
      </c>
      <c r="C1032" t="s">
        <v>3445</v>
      </c>
      <c r="D1032">
        <v>10</v>
      </c>
      <c r="E1032" t="s">
        <v>2791</v>
      </c>
      <c r="F1032">
        <v>5</v>
      </c>
      <c r="G1032">
        <v>13</v>
      </c>
      <c r="H1032">
        <v>15</v>
      </c>
      <c r="I1032" t="s">
        <v>2197</v>
      </c>
      <c r="J1032" s="51">
        <v>40932</v>
      </c>
      <c r="K1032" t="s">
        <v>27</v>
      </c>
      <c r="L1032" t="s">
        <v>2063</v>
      </c>
      <c r="M1032">
        <v>3</v>
      </c>
      <c r="N1032" t="str">
        <f>L1032</f>
        <v>NAM\MB2117</v>
      </c>
      <c r="O1032" s="51">
        <f>J1032</f>
        <v>40932</v>
      </c>
      <c r="P1032" s="51" t="str">
        <f>C1032</f>
        <v>~/cdd/olddocs/Quality Alerts/MOLDEO/Moldeo Moorpark/QA-MRPK-004 Rev. A Pieza mal moldeada-Hundimientos.pdf</v>
      </c>
      <c r="Q1032" s="51" t="str">
        <f>E1032</f>
        <v>pdf</v>
      </c>
      <c r="R1032" s="51"/>
      <c r="S1032" s="51"/>
      <c r="T1032" s="51"/>
      <c r="U1032" s="51"/>
      <c r="V1032" s="51"/>
      <c r="W1032" s="51"/>
      <c r="X1032" s="51"/>
      <c r="Y1032" s="51"/>
      <c r="Z1032" s="51"/>
      <c r="AA1032" s="51"/>
      <c r="AB1032" s="51"/>
      <c r="AC1032" s="51"/>
      <c r="AD1032" s="51"/>
      <c r="AE1032">
        <v>1</v>
      </c>
      <c r="AF1032" t="s">
        <v>2189</v>
      </c>
      <c r="AG1032" t="s">
        <v>2124</v>
      </c>
      <c r="AH1032" s="51"/>
      <c r="AI1032" s="51"/>
    </row>
    <row r="1033" spans="2:35">
      <c r="B1033" t="s">
        <v>2198</v>
      </c>
      <c r="C1033" t="s">
        <v>3446</v>
      </c>
      <c r="D1033">
        <v>10</v>
      </c>
      <c r="E1033" t="s">
        <v>2791</v>
      </c>
      <c r="F1033">
        <v>5</v>
      </c>
      <c r="G1033">
        <v>13</v>
      </c>
      <c r="H1033">
        <v>15</v>
      </c>
      <c r="I1033" t="s">
        <v>2199</v>
      </c>
      <c r="J1033" s="51">
        <v>41162</v>
      </c>
      <c r="K1033" t="s">
        <v>27</v>
      </c>
      <c r="L1033" t="s">
        <v>2063</v>
      </c>
      <c r="M1033">
        <v>3</v>
      </c>
      <c r="N1033" t="str">
        <f>L1033</f>
        <v>NAM\MB2117</v>
      </c>
      <c r="O1033" s="51">
        <f>J1033</f>
        <v>41162</v>
      </c>
      <c r="P1033" s="51" t="str">
        <f>C1033</f>
        <v>~/cdd/olddocs/Quality Alerts/MOLDEO/Moldeo Moorpark/QA-MRPK-005  Moldeo Orificios sin perforar.pdf</v>
      </c>
      <c r="Q1033" s="51" t="str">
        <f>E1033</f>
        <v>pdf</v>
      </c>
      <c r="R1033" s="51"/>
      <c r="S1033" s="51"/>
      <c r="T1033" s="51"/>
      <c r="U1033" s="51"/>
      <c r="V1033" s="51"/>
      <c r="W1033" s="51"/>
      <c r="X1033" s="51"/>
      <c r="Y1033" s="51"/>
      <c r="Z1033" s="51"/>
      <c r="AA1033" s="51"/>
      <c r="AB1033" s="51"/>
      <c r="AC1033" s="51"/>
      <c r="AD1033" s="51"/>
      <c r="AE1033">
        <v>1</v>
      </c>
      <c r="AF1033" t="s">
        <v>2189</v>
      </c>
      <c r="AG1033" t="s">
        <v>2200</v>
      </c>
      <c r="AH1033" s="51"/>
      <c r="AI1033" s="51"/>
    </row>
    <row r="1034" spans="2:35">
      <c r="B1034" t="s">
        <v>2201</v>
      </c>
      <c r="C1034" t="s">
        <v>3446</v>
      </c>
      <c r="D1034">
        <v>10</v>
      </c>
      <c r="E1034" t="s">
        <v>2791</v>
      </c>
      <c r="F1034">
        <v>5</v>
      </c>
      <c r="G1034">
        <v>13</v>
      </c>
      <c r="H1034">
        <v>15</v>
      </c>
      <c r="I1034" t="s">
        <v>2202</v>
      </c>
      <c r="J1034" s="51">
        <v>41162</v>
      </c>
      <c r="K1034" t="s">
        <v>27</v>
      </c>
      <c r="L1034" t="s">
        <v>2063</v>
      </c>
      <c r="M1034">
        <v>3</v>
      </c>
      <c r="N1034" t="str">
        <f>L1034</f>
        <v>NAM\MB2117</v>
      </c>
      <c r="O1034" s="51">
        <f>J1034</f>
        <v>41162</v>
      </c>
      <c r="P1034" s="51" t="str">
        <f>C1034</f>
        <v>~/cdd/olddocs/Quality Alerts/MOLDEO/Moldeo Moorpark/QA-MRPK-005  Moldeo Orificios sin perforar.pdf</v>
      </c>
      <c r="Q1034" s="51" t="str">
        <f>E1034</f>
        <v>pdf</v>
      </c>
      <c r="R1034" s="51"/>
      <c r="S1034" s="51"/>
      <c r="T1034" s="51"/>
      <c r="U1034" s="51"/>
      <c r="V1034" s="51"/>
      <c r="W1034" s="51"/>
      <c r="X1034" s="51"/>
      <c r="Y1034" s="51"/>
      <c r="Z1034" s="51"/>
      <c r="AA1034" s="51"/>
      <c r="AB1034" s="51"/>
      <c r="AC1034" s="51"/>
      <c r="AD1034" s="51"/>
      <c r="AE1034">
        <v>1</v>
      </c>
      <c r="AF1034" t="s">
        <v>2189</v>
      </c>
      <c r="AG1034" t="s">
        <v>2203</v>
      </c>
      <c r="AH1034" s="51"/>
      <c r="AI1034" s="51"/>
    </row>
    <row r="1035" spans="2:35">
      <c r="B1035" t="s">
        <v>1747</v>
      </c>
      <c r="C1035" t="s">
        <v>3424</v>
      </c>
      <c r="D1035">
        <v>10</v>
      </c>
      <c r="E1035" t="s">
        <v>2791</v>
      </c>
      <c r="F1035">
        <v>5</v>
      </c>
      <c r="G1035">
        <v>12</v>
      </c>
      <c r="H1035">
        <v>16</v>
      </c>
      <c r="I1035" t="s">
        <v>1748</v>
      </c>
      <c r="J1035" s="51">
        <v>40928</v>
      </c>
      <c r="K1035" t="s">
        <v>27</v>
      </c>
      <c r="L1035" t="s">
        <v>1584</v>
      </c>
      <c r="M1035">
        <v>3</v>
      </c>
      <c r="N1035" t="str">
        <f>L1035</f>
        <v>NAM\A8070</v>
      </c>
      <c r="O1035" s="51">
        <f>J1035</f>
        <v>40928</v>
      </c>
      <c r="P1035" s="51" t="str">
        <f>C1035</f>
        <v>~/cdd/olddocs/Quality Alerts/MICROMINI/MS/QA-MS-001 MEA0092025 Contactos desalineados -Deformados.pdf</v>
      </c>
      <c r="Q1035" s="51" t="str">
        <f>E1035</f>
        <v>pdf</v>
      </c>
      <c r="R1035" s="51"/>
      <c r="S1035" s="51"/>
      <c r="T1035" s="51"/>
      <c r="U1035" s="51"/>
      <c r="V1035" s="51"/>
      <c r="W1035" s="51"/>
      <c r="X1035" s="51"/>
      <c r="Y1035" s="51"/>
      <c r="Z1035" s="51"/>
      <c r="AA1035" s="51"/>
      <c r="AB1035" s="51"/>
      <c r="AC1035" s="51"/>
      <c r="AD1035" s="51"/>
      <c r="AE1035">
        <v>1</v>
      </c>
      <c r="AF1035" t="s">
        <v>611</v>
      </c>
      <c r="AG1035" t="s">
        <v>1749</v>
      </c>
      <c r="AH1035" s="51"/>
      <c r="AI1035" s="51"/>
    </row>
    <row r="1036" spans="2:35">
      <c r="B1036" t="s">
        <v>1750</v>
      </c>
      <c r="C1036" t="s">
        <v>3425</v>
      </c>
      <c r="D1036">
        <v>10</v>
      </c>
      <c r="E1036" t="s">
        <v>2791</v>
      </c>
      <c r="F1036">
        <v>5</v>
      </c>
      <c r="G1036">
        <v>12</v>
      </c>
      <c r="H1036">
        <v>16</v>
      </c>
      <c r="I1036" t="s">
        <v>1751</v>
      </c>
      <c r="J1036" s="51">
        <v>40947</v>
      </c>
      <c r="K1036" t="s">
        <v>27</v>
      </c>
      <c r="L1036" t="s">
        <v>1584</v>
      </c>
      <c r="M1036">
        <v>3</v>
      </c>
      <c r="N1036" t="str">
        <f>L1036</f>
        <v>NAM\A8070</v>
      </c>
      <c r="O1036" s="51">
        <f>J1036</f>
        <v>40947</v>
      </c>
      <c r="P1036" s="51" t="str">
        <f>C1036</f>
        <v>~/cdd/olddocs/Quality Alerts/MICROMINI/MS/QA-MS-002 MEA0114010 Pieza dañada.pdf</v>
      </c>
      <c r="Q1036" s="51" t="str">
        <f>E1036</f>
        <v>pdf</v>
      </c>
      <c r="R1036" s="51"/>
      <c r="S1036" s="51"/>
      <c r="T1036" s="51"/>
      <c r="U1036" s="51"/>
      <c r="V1036" s="51"/>
      <c r="W1036" s="51"/>
      <c r="X1036" s="51"/>
      <c r="Y1036" s="51"/>
      <c r="Z1036" s="51"/>
      <c r="AA1036" s="51"/>
      <c r="AB1036" s="51"/>
      <c r="AC1036" s="51"/>
      <c r="AD1036" s="51"/>
      <c r="AE1036">
        <v>1</v>
      </c>
      <c r="AF1036" t="s">
        <v>611</v>
      </c>
      <c r="AG1036" t="s">
        <v>1752</v>
      </c>
      <c r="AH1036" s="51"/>
      <c r="AI1036" s="51"/>
    </row>
    <row r="1037" spans="2:35">
      <c r="B1037" t="s">
        <v>1753</v>
      </c>
      <c r="C1037" t="s">
        <v>3426</v>
      </c>
      <c r="D1037">
        <v>10</v>
      </c>
      <c r="E1037" t="s">
        <v>2791</v>
      </c>
      <c r="F1037">
        <v>5</v>
      </c>
      <c r="G1037">
        <v>12</v>
      </c>
      <c r="H1037">
        <v>16</v>
      </c>
      <c r="I1037" t="s">
        <v>1754</v>
      </c>
      <c r="J1037" s="51">
        <v>40962</v>
      </c>
      <c r="K1037" t="s">
        <v>27</v>
      </c>
      <c r="L1037" t="s">
        <v>1584</v>
      </c>
      <c r="M1037">
        <v>3</v>
      </c>
      <c r="N1037" t="str">
        <f>L1037</f>
        <v>NAM\A8070</v>
      </c>
      <c r="O1037" s="51">
        <f>J1037</f>
        <v>40962</v>
      </c>
      <c r="P1037" s="51" t="str">
        <f>C1037</f>
        <v>~/cdd/olddocs/Quality Alerts/MICROMINI/MS/QA-MS-003 MEA114010 Cables no adheridos - Falta de goma.pdf</v>
      </c>
      <c r="Q1037" s="51" t="str">
        <f>E1037</f>
        <v>pdf</v>
      </c>
      <c r="R1037" s="51"/>
      <c r="S1037" s="51"/>
      <c r="T1037" s="51"/>
      <c r="U1037" s="51"/>
      <c r="V1037" s="51"/>
      <c r="W1037" s="51"/>
      <c r="X1037" s="51"/>
      <c r="Y1037" s="51"/>
      <c r="Z1037" s="51"/>
      <c r="AA1037" s="51"/>
      <c r="AB1037" s="51"/>
      <c r="AC1037" s="51"/>
      <c r="AD1037" s="51"/>
      <c r="AE1037">
        <v>1</v>
      </c>
      <c r="AF1037" t="s">
        <v>611</v>
      </c>
      <c r="AG1037" t="s">
        <v>1752</v>
      </c>
      <c r="AH1037" s="51"/>
      <c r="AI1037" s="51"/>
    </row>
    <row r="1038" spans="2:35">
      <c r="B1038" t="s">
        <v>1755</v>
      </c>
      <c r="C1038" t="s">
        <v>3427</v>
      </c>
      <c r="D1038">
        <v>10</v>
      </c>
      <c r="E1038" t="s">
        <v>2791</v>
      </c>
      <c r="F1038">
        <v>5</v>
      </c>
      <c r="G1038">
        <v>12</v>
      </c>
      <c r="H1038">
        <v>16</v>
      </c>
      <c r="I1038" t="s">
        <v>1756</v>
      </c>
      <c r="J1038" s="51">
        <v>40962</v>
      </c>
      <c r="K1038" t="s">
        <v>27</v>
      </c>
      <c r="L1038" t="s">
        <v>1584</v>
      </c>
      <c r="M1038">
        <v>3</v>
      </c>
      <c r="N1038" t="str">
        <f>L1038</f>
        <v>NAM\A8070</v>
      </c>
      <c r="O1038" s="51">
        <f>J1038</f>
        <v>40962</v>
      </c>
      <c r="P1038" s="51" t="str">
        <f>C1038</f>
        <v>~/cdd/olddocs/Quality Alerts/MICROMINI/MS/QA-MS-004 Varios Cable sin presencia de Mek.pdf</v>
      </c>
      <c r="Q1038" s="51" t="str">
        <f>E1038</f>
        <v>pdf</v>
      </c>
      <c r="R1038" s="51"/>
      <c r="S1038" s="51"/>
      <c r="T1038" s="51"/>
      <c r="U1038" s="51"/>
      <c r="V1038" s="51"/>
      <c r="W1038" s="51"/>
      <c r="X1038" s="51"/>
      <c r="Y1038" s="51"/>
      <c r="Z1038" s="51"/>
      <c r="AA1038" s="51"/>
      <c r="AB1038" s="51"/>
      <c r="AC1038" s="51"/>
      <c r="AD1038" s="51"/>
      <c r="AE1038">
        <v>1</v>
      </c>
      <c r="AF1038" t="s">
        <v>611</v>
      </c>
      <c r="AG1038" t="s">
        <v>1694</v>
      </c>
      <c r="AH1038" s="51"/>
      <c r="AI1038" s="51"/>
    </row>
    <row r="1039" spans="2:35">
      <c r="B1039" t="s">
        <v>1757</v>
      </c>
      <c r="C1039" t="s">
        <v>3428</v>
      </c>
      <c r="D1039">
        <v>10</v>
      </c>
      <c r="E1039" t="s">
        <v>2791</v>
      </c>
      <c r="F1039">
        <v>5</v>
      </c>
      <c r="G1039">
        <v>12</v>
      </c>
      <c r="H1039">
        <v>16</v>
      </c>
      <c r="I1039" t="s">
        <v>1758</v>
      </c>
      <c r="J1039" s="51">
        <v>40964</v>
      </c>
      <c r="K1039" t="s">
        <v>27</v>
      </c>
      <c r="L1039" t="s">
        <v>1584</v>
      </c>
      <c r="M1039">
        <v>3</v>
      </c>
      <c r="N1039" t="str">
        <f>L1039</f>
        <v>NAM\A8070</v>
      </c>
      <c r="O1039" s="51">
        <f>J1039</f>
        <v>40964</v>
      </c>
      <c r="P1039" s="51" t="str">
        <f>C1039</f>
        <v>~/cdd/olddocs/Quality Alerts/MICROMINI/MS/QA-MS-005 Vario Ping Gage-Medircion profundidad.pdf</v>
      </c>
      <c r="Q1039" s="51" t="str">
        <f>E1039</f>
        <v>pdf</v>
      </c>
      <c r="R1039" s="51"/>
      <c r="S1039" s="51"/>
      <c r="T1039" s="51"/>
      <c r="U1039" s="51"/>
      <c r="V1039" s="51"/>
      <c r="W1039" s="51"/>
      <c r="X1039" s="51"/>
      <c r="Y1039" s="51"/>
      <c r="Z1039" s="51"/>
      <c r="AA1039" s="51"/>
      <c r="AB1039" s="51"/>
      <c r="AC1039" s="51"/>
      <c r="AD1039" s="51"/>
      <c r="AE1039">
        <v>1</v>
      </c>
      <c r="AF1039" t="s">
        <v>611</v>
      </c>
      <c r="AG1039" t="s">
        <v>1694</v>
      </c>
      <c r="AH1039" s="51"/>
      <c r="AI1039" s="51"/>
    </row>
    <row r="1040" spans="2:35">
      <c r="B1040" t="s">
        <v>1759</v>
      </c>
      <c r="C1040" t="s">
        <v>3429</v>
      </c>
      <c r="D1040">
        <v>10</v>
      </c>
      <c r="E1040" t="s">
        <v>2791</v>
      </c>
      <c r="F1040">
        <v>5</v>
      </c>
      <c r="G1040">
        <v>12</v>
      </c>
      <c r="H1040">
        <v>16</v>
      </c>
      <c r="I1040" t="s">
        <v>1760</v>
      </c>
      <c r="J1040" s="51">
        <v>40974</v>
      </c>
      <c r="K1040" t="s">
        <v>27</v>
      </c>
      <c r="L1040" t="s">
        <v>1584</v>
      </c>
      <c r="M1040">
        <v>3</v>
      </c>
      <c r="N1040" t="str">
        <f>L1040</f>
        <v>NAM\A8070</v>
      </c>
      <c r="O1040" s="51">
        <f>J1040</f>
        <v>40974</v>
      </c>
      <c r="P1040" s="51" t="str">
        <f>C1040</f>
        <v>~/cdd/olddocs/Quality Alerts/MICROMINI/MS/QA-MS-006  CHMEA0115040 Pieza dañada- Quemada.pdf</v>
      </c>
      <c r="Q1040" s="51" t="str">
        <f>E1040</f>
        <v>pdf</v>
      </c>
      <c r="R1040" s="51"/>
      <c r="S1040" s="51"/>
      <c r="T1040" s="51"/>
      <c r="U1040" s="51"/>
      <c r="V1040" s="51"/>
      <c r="W1040" s="51"/>
      <c r="X1040" s="51"/>
      <c r="Y1040" s="51"/>
      <c r="Z1040" s="51"/>
      <c r="AA1040" s="51"/>
      <c r="AB1040" s="51"/>
      <c r="AC1040" s="51"/>
      <c r="AD1040" s="51"/>
      <c r="AE1040">
        <v>1</v>
      </c>
      <c r="AF1040" t="s">
        <v>611</v>
      </c>
      <c r="AG1040" t="s">
        <v>1761</v>
      </c>
      <c r="AH1040" s="51"/>
      <c r="AI1040" s="51"/>
    </row>
    <row r="1041" spans="2:35">
      <c r="B1041" t="s">
        <v>1762</v>
      </c>
      <c r="C1041" t="s">
        <v>3430</v>
      </c>
      <c r="D1041">
        <v>10</v>
      </c>
      <c r="E1041" t="s">
        <v>2791</v>
      </c>
      <c r="F1041">
        <v>5</v>
      </c>
      <c r="G1041">
        <v>12</v>
      </c>
      <c r="H1041">
        <v>16</v>
      </c>
      <c r="I1041" t="s">
        <v>1763</v>
      </c>
      <c r="J1041" s="51">
        <v>40974</v>
      </c>
      <c r="K1041" t="s">
        <v>27</v>
      </c>
      <c r="L1041" t="s">
        <v>1584</v>
      </c>
      <c r="M1041">
        <v>3</v>
      </c>
      <c r="N1041" t="str">
        <f>L1041</f>
        <v>NAM\A8070</v>
      </c>
      <c r="O1041" s="51">
        <f>J1041</f>
        <v>40974</v>
      </c>
      <c r="P1041" s="51" t="str">
        <f>C1041</f>
        <v>~/cdd/olddocs/Quality Alerts/MICROMINI/MS/QA-MS-007 CCR006P8 Insert desalineado.pdf</v>
      </c>
      <c r="Q1041" s="51" t="str">
        <f>E1041</f>
        <v>pdf</v>
      </c>
      <c r="R1041" s="51"/>
      <c r="S1041" s="51"/>
      <c r="T1041" s="51"/>
      <c r="U1041" s="51"/>
      <c r="V1041" s="51"/>
      <c r="W1041" s="51"/>
      <c r="X1041" s="51"/>
      <c r="Y1041" s="51"/>
      <c r="Z1041" s="51"/>
      <c r="AA1041" s="51"/>
      <c r="AB1041" s="51"/>
      <c r="AC1041" s="51"/>
      <c r="AD1041" s="51"/>
      <c r="AE1041">
        <v>1</v>
      </c>
      <c r="AF1041" t="s">
        <v>611</v>
      </c>
      <c r="AG1041" t="s">
        <v>1764</v>
      </c>
      <c r="AH1041" s="51"/>
      <c r="AI1041" s="51"/>
    </row>
    <row r="1042" spans="2:35">
      <c r="B1042" t="s">
        <v>1765</v>
      </c>
      <c r="C1042" t="s">
        <v>3431</v>
      </c>
      <c r="D1042">
        <v>10</v>
      </c>
      <c r="E1042" t="s">
        <v>2791</v>
      </c>
      <c r="F1042">
        <v>5</v>
      </c>
      <c r="G1042">
        <v>12</v>
      </c>
      <c r="H1042">
        <v>16</v>
      </c>
      <c r="I1042" t="s">
        <v>1766</v>
      </c>
      <c r="J1042" s="51">
        <v>40974</v>
      </c>
      <c r="K1042" t="s">
        <v>27</v>
      </c>
      <c r="L1042" t="s">
        <v>1584</v>
      </c>
      <c r="M1042">
        <v>3</v>
      </c>
      <c r="N1042" t="str">
        <f>L1042</f>
        <v>NAM\A8070</v>
      </c>
      <c r="O1042" s="51">
        <f>J1042</f>
        <v>40974</v>
      </c>
      <c r="P1042" s="51" t="str">
        <f>C1042</f>
        <v>~/cdd/olddocs/Quality Alerts/MICROMINI/MS/QA-MS-008  11667277 Contacto bajo.pdf</v>
      </c>
      <c r="Q1042" s="51" t="str">
        <f>E1042</f>
        <v>pdf</v>
      </c>
      <c r="R1042" s="51"/>
      <c r="S1042" s="51"/>
      <c r="T1042" s="51"/>
      <c r="U1042" s="51"/>
      <c r="V1042" s="51"/>
      <c r="W1042" s="51"/>
      <c r="X1042" s="51"/>
      <c r="Y1042" s="51"/>
      <c r="Z1042" s="51"/>
      <c r="AA1042" s="51"/>
      <c r="AB1042" s="51"/>
      <c r="AC1042" s="51"/>
      <c r="AD1042" s="51"/>
      <c r="AE1042">
        <v>1</v>
      </c>
      <c r="AF1042" t="s">
        <v>611</v>
      </c>
      <c r="AG1042">
        <v>11667277</v>
      </c>
      <c r="AH1042" s="51"/>
      <c r="AI1042" s="51"/>
    </row>
    <row r="1043" spans="2:35">
      <c r="B1043" t="s">
        <v>1767</v>
      </c>
      <c r="C1043" t="s">
        <v>3432</v>
      </c>
      <c r="D1043">
        <v>10</v>
      </c>
      <c r="E1043" t="s">
        <v>2791</v>
      </c>
      <c r="F1043">
        <v>5</v>
      </c>
      <c r="G1043">
        <v>12</v>
      </c>
      <c r="H1043">
        <v>16</v>
      </c>
      <c r="I1043" t="s">
        <v>1768</v>
      </c>
      <c r="J1043" s="51">
        <v>40974</v>
      </c>
      <c r="K1043" t="s">
        <v>27</v>
      </c>
      <c r="L1043" t="s">
        <v>1584</v>
      </c>
      <c r="M1043">
        <v>3</v>
      </c>
      <c r="N1043" t="str">
        <f>L1043</f>
        <v>NAM\A8070</v>
      </c>
      <c r="O1043" s="51">
        <f>J1043</f>
        <v>40974</v>
      </c>
      <c r="P1043" s="51" t="str">
        <f>C1043</f>
        <v>~/cdd/olddocs/Quality Alerts/MICROMINI/MS/QA-MS-009 CCR006P8 Pieza dañada  insulacion con corte.pdf</v>
      </c>
      <c r="Q1043" s="51" t="str">
        <f>E1043</f>
        <v>pdf</v>
      </c>
      <c r="R1043" s="51"/>
      <c r="S1043" s="51"/>
      <c r="T1043" s="51"/>
      <c r="U1043" s="51"/>
      <c r="V1043" s="51"/>
      <c r="W1043" s="51"/>
      <c r="X1043" s="51"/>
      <c r="Y1043" s="51"/>
      <c r="Z1043" s="51"/>
      <c r="AA1043" s="51"/>
      <c r="AB1043" s="51"/>
      <c r="AC1043" s="51"/>
      <c r="AD1043" s="51"/>
      <c r="AE1043">
        <v>1</v>
      </c>
      <c r="AF1043" t="s">
        <v>611</v>
      </c>
      <c r="AG1043" t="s">
        <v>1764</v>
      </c>
      <c r="AH1043" s="51"/>
      <c r="AI1043" s="51"/>
    </row>
    <row r="1044" spans="2:35">
      <c r="B1044" t="s">
        <v>1769</v>
      </c>
      <c r="C1044" t="s">
        <v>3433</v>
      </c>
      <c r="D1044">
        <v>10</v>
      </c>
      <c r="E1044" t="s">
        <v>2791</v>
      </c>
      <c r="F1044">
        <v>5</v>
      </c>
      <c r="G1044">
        <v>12</v>
      </c>
      <c r="H1044">
        <v>16</v>
      </c>
      <c r="I1044" t="s">
        <v>1770</v>
      </c>
      <c r="J1044" s="51">
        <v>40987</v>
      </c>
      <c r="K1044" t="s">
        <v>27</v>
      </c>
      <c r="L1044" t="s">
        <v>1584</v>
      </c>
      <c r="M1044">
        <v>3</v>
      </c>
      <c r="N1044" t="str">
        <f>L1044</f>
        <v>NAM\A8070</v>
      </c>
      <c r="O1044" s="51">
        <f>J1044</f>
        <v>40987</v>
      </c>
      <c r="P1044" s="51" t="str">
        <f>C1044</f>
        <v>~/cdd/olddocs/Quality Alerts/MICROMINI/MS/QA-MS-010 SMEA PRODUCTS  Conector Manufacturador Equivocado.pdf</v>
      </c>
      <c r="Q1044" s="51" t="str">
        <f>E1044</f>
        <v>pdf</v>
      </c>
      <c r="R1044" s="51"/>
      <c r="S1044" s="51"/>
      <c r="T1044" s="51"/>
      <c r="U1044" s="51"/>
      <c r="V1044" s="51"/>
      <c r="W1044" s="51"/>
      <c r="X1044" s="51"/>
      <c r="Y1044" s="51"/>
      <c r="Z1044" s="51"/>
      <c r="AA1044" s="51"/>
      <c r="AB1044" s="51"/>
      <c r="AC1044" s="51"/>
      <c r="AD1044" s="51"/>
      <c r="AE1044">
        <v>1</v>
      </c>
      <c r="AF1044" t="s">
        <v>611</v>
      </c>
      <c r="AG1044" t="s">
        <v>1771</v>
      </c>
      <c r="AH1044" s="51"/>
      <c r="AI1044" s="51"/>
    </row>
    <row r="1045" spans="2:35">
      <c r="B1045" t="s">
        <v>1772</v>
      </c>
      <c r="C1045" t="s">
        <v>3434</v>
      </c>
      <c r="D1045">
        <v>10</v>
      </c>
      <c r="E1045" t="s">
        <v>2791</v>
      </c>
      <c r="F1045">
        <v>5</v>
      </c>
      <c r="G1045">
        <v>12</v>
      </c>
      <c r="H1045">
        <v>16</v>
      </c>
      <c r="I1045" t="s">
        <v>1773</v>
      </c>
      <c r="J1045" s="51">
        <v>40988</v>
      </c>
      <c r="K1045" t="s">
        <v>27</v>
      </c>
      <c r="L1045" t="s">
        <v>1584</v>
      </c>
      <c r="M1045">
        <v>3</v>
      </c>
      <c r="N1045" t="str">
        <f>L1045</f>
        <v>NAM\A8070</v>
      </c>
      <c r="O1045" s="51">
        <f>J1045</f>
        <v>40988</v>
      </c>
      <c r="P1045" s="51" t="str">
        <f>C1045</f>
        <v>~/cdd/olddocs/Quality Alerts/MICROMINI/MS/QA-MS-011 Varios Identificar etiqueta-Punto verde.pdf</v>
      </c>
      <c r="Q1045" s="51" t="str">
        <f>E1045</f>
        <v>pdf</v>
      </c>
      <c r="R1045" s="51"/>
      <c r="S1045" s="51"/>
      <c r="T1045" s="51"/>
      <c r="U1045" s="51"/>
      <c r="V1045" s="51"/>
      <c r="W1045" s="51"/>
      <c r="X1045" s="51"/>
      <c r="Y1045" s="51"/>
      <c r="Z1045" s="51"/>
      <c r="AA1045" s="51"/>
      <c r="AB1045" s="51"/>
      <c r="AC1045" s="51"/>
      <c r="AD1045" s="51"/>
      <c r="AE1045">
        <v>1</v>
      </c>
      <c r="AF1045" t="s">
        <v>611</v>
      </c>
      <c r="AG1045" t="s">
        <v>1694</v>
      </c>
      <c r="AH1045" s="51"/>
      <c r="AI1045" s="51"/>
    </row>
    <row r="1046" spans="2:35">
      <c r="B1046" t="s">
        <v>1774</v>
      </c>
      <c r="C1046" t="s">
        <v>3435</v>
      </c>
      <c r="D1046">
        <v>10</v>
      </c>
      <c r="E1046" t="s">
        <v>2791</v>
      </c>
      <c r="F1046">
        <v>5</v>
      </c>
      <c r="G1046">
        <v>12</v>
      </c>
      <c r="H1046">
        <v>16</v>
      </c>
      <c r="I1046" t="s">
        <v>1775</v>
      </c>
      <c r="J1046" s="51">
        <v>41191</v>
      </c>
      <c r="K1046" t="s">
        <v>27</v>
      </c>
      <c r="L1046" t="s">
        <v>1584</v>
      </c>
      <c r="M1046">
        <v>3</v>
      </c>
      <c r="N1046" t="str">
        <f>L1046</f>
        <v>NAM\A8070</v>
      </c>
      <c r="O1046" s="51">
        <f>J1046</f>
        <v>41191</v>
      </c>
      <c r="P1046" s="51" t="str">
        <f>C1046</f>
        <v>~/cdd/olddocs/Quality Alerts/MICROMINI/MS/QA-MS-012 Compound  3460500-xx.pdf</v>
      </c>
      <c r="Q1046" s="51" t="str">
        <f>E1046</f>
        <v>pdf</v>
      </c>
      <c r="R1046" s="51"/>
      <c r="S1046" s="51"/>
      <c r="T1046" s="51"/>
      <c r="U1046" s="51"/>
      <c r="V1046" s="51"/>
      <c r="W1046" s="51"/>
      <c r="X1046" s="51"/>
      <c r="Y1046" s="51"/>
      <c r="Z1046" s="51"/>
      <c r="AA1046" s="51"/>
      <c r="AB1046" s="51"/>
      <c r="AC1046" s="51"/>
      <c r="AD1046" s="51"/>
      <c r="AE1046">
        <v>1</v>
      </c>
      <c r="AF1046" t="s">
        <v>611</v>
      </c>
      <c r="AG1046" t="s">
        <v>1776</v>
      </c>
      <c r="AH1046" s="51"/>
      <c r="AI1046" s="51"/>
    </row>
    <row r="1047" spans="2:35">
      <c r="B1047" t="s">
        <v>1777</v>
      </c>
      <c r="C1047" t="s">
        <v>3436</v>
      </c>
      <c r="D1047">
        <v>10</v>
      </c>
      <c r="E1047" t="s">
        <v>2791</v>
      </c>
      <c r="F1047">
        <v>5</v>
      </c>
      <c r="G1047">
        <v>12</v>
      </c>
      <c r="H1047">
        <v>19</v>
      </c>
      <c r="I1047" t="s">
        <v>1778</v>
      </c>
      <c r="J1047" s="51">
        <v>40924</v>
      </c>
      <c r="K1047" t="s">
        <v>27</v>
      </c>
      <c r="L1047" t="s">
        <v>1584</v>
      </c>
      <c r="M1047">
        <v>3</v>
      </c>
      <c r="N1047" t="str">
        <f>L1047</f>
        <v>NAM\A8070</v>
      </c>
      <c r="O1047" s="51">
        <f>J1047</f>
        <v>40924</v>
      </c>
      <c r="P1047" s="51" t="str">
        <f>C1047</f>
        <v>~/cdd/olddocs/Quality Alerts/MICROMINI/Potted- Plex/QA-PLEX-001 REV. A 14633392 Coupler -falta anodizado [Compatibility Mode].pdf</v>
      </c>
      <c r="Q1047" s="51" t="str">
        <f>E1047</f>
        <v>pdf</v>
      </c>
      <c r="R1047" s="51"/>
      <c r="S1047" s="51"/>
      <c r="T1047" s="51"/>
      <c r="U1047" s="51"/>
      <c r="V1047" s="51"/>
      <c r="W1047" s="51"/>
      <c r="X1047" s="51"/>
      <c r="Y1047" s="51"/>
      <c r="Z1047" s="51"/>
      <c r="AA1047" s="51"/>
      <c r="AB1047" s="51"/>
      <c r="AC1047" s="51"/>
      <c r="AD1047" s="51"/>
      <c r="AE1047">
        <v>1</v>
      </c>
      <c r="AF1047" t="s">
        <v>611</v>
      </c>
      <c r="AG1047">
        <v>14633392</v>
      </c>
      <c r="AH1047" s="51"/>
      <c r="AI1047" s="51"/>
    </row>
    <row r="1048" spans="2:35">
      <c r="B1048" t="s">
        <v>1779</v>
      </c>
      <c r="C1048" t="s">
        <v>3437</v>
      </c>
      <c r="D1048">
        <v>10</v>
      </c>
      <c r="E1048" t="s">
        <v>2791</v>
      </c>
      <c r="F1048">
        <v>5</v>
      </c>
      <c r="G1048">
        <v>12</v>
      </c>
      <c r="H1048">
        <v>19</v>
      </c>
      <c r="I1048" t="s">
        <v>1780</v>
      </c>
      <c r="J1048" s="51">
        <v>40924</v>
      </c>
      <c r="K1048" t="s">
        <v>27</v>
      </c>
      <c r="L1048" t="s">
        <v>1584</v>
      </c>
      <c r="M1048">
        <v>3</v>
      </c>
      <c r="N1048" t="str">
        <f>L1048</f>
        <v>NAM\A8070</v>
      </c>
      <c r="O1048" s="51">
        <f>J1048</f>
        <v>40924</v>
      </c>
      <c r="P1048" s="51" t="str">
        <f>C1048</f>
        <v>~/cdd/olddocs/Quality Alerts/MICROMINI/Potted- Plex/QA-PLEX-002 Rev. A ABPP4R5D5 Coupler Rayado [Compatibility Mode].pdf</v>
      </c>
      <c r="Q1048" s="51" t="str">
        <f>E1048</f>
        <v>pdf</v>
      </c>
      <c r="R1048" s="51"/>
      <c r="S1048" s="51"/>
      <c r="T1048" s="51"/>
      <c r="U1048" s="51"/>
      <c r="V1048" s="51"/>
      <c r="W1048" s="51"/>
      <c r="X1048" s="51"/>
      <c r="Y1048" s="51"/>
      <c r="Z1048" s="51"/>
      <c r="AA1048" s="51"/>
      <c r="AB1048" s="51"/>
      <c r="AC1048" s="51"/>
      <c r="AD1048" s="51"/>
      <c r="AE1048">
        <v>1</v>
      </c>
      <c r="AF1048" t="s">
        <v>611</v>
      </c>
      <c r="AG1048" t="s">
        <v>1781</v>
      </c>
      <c r="AH1048" s="51"/>
      <c r="AI1048" s="51"/>
    </row>
    <row r="1049" spans="2:35">
      <c r="B1049" t="s">
        <v>1782</v>
      </c>
      <c r="C1049" t="s">
        <v>3438</v>
      </c>
      <c r="D1049">
        <v>10</v>
      </c>
      <c r="E1049" t="s">
        <v>2791</v>
      </c>
      <c r="F1049">
        <v>5</v>
      </c>
      <c r="G1049">
        <v>12</v>
      </c>
      <c r="H1049">
        <v>19</v>
      </c>
      <c r="I1049" t="s">
        <v>1783</v>
      </c>
      <c r="J1049" s="51">
        <v>40997</v>
      </c>
      <c r="K1049" t="s">
        <v>27</v>
      </c>
      <c r="L1049" t="s">
        <v>1584</v>
      </c>
      <c r="M1049">
        <v>3</v>
      </c>
      <c r="N1049" t="str">
        <f>L1049</f>
        <v>NAM\A8070</v>
      </c>
      <c r="O1049" s="51">
        <f>J1049</f>
        <v>40997</v>
      </c>
      <c r="P1049" s="51" t="str">
        <f>C1049</f>
        <v>~/cdd/olddocs/Quality Alerts/MICROMINI/Potted- Plex/QA-PLEX-003 Rev. A A98DP56PTA5 Falta de Oring- Exceso de Epoxy.pdf</v>
      </c>
      <c r="Q1049" s="51" t="str">
        <f>E1049</f>
        <v>pdf</v>
      </c>
      <c r="R1049" s="51"/>
      <c r="S1049" s="51"/>
      <c r="T1049" s="51"/>
      <c r="U1049" s="51"/>
      <c r="V1049" s="51"/>
      <c r="W1049" s="51"/>
      <c r="X1049" s="51"/>
      <c r="Y1049" s="51"/>
      <c r="Z1049" s="51"/>
      <c r="AA1049" s="51"/>
      <c r="AB1049" s="51"/>
      <c r="AC1049" s="51"/>
      <c r="AD1049" s="51"/>
      <c r="AE1049">
        <v>1</v>
      </c>
      <c r="AF1049" t="s">
        <v>611</v>
      </c>
      <c r="AG1049" t="s">
        <v>1784</v>
      </c>
      <c r="AH1049" s="51"/>
      <c r="AI1049" s="51"/>
    </row>
    <row r="1050" spans="2:35">
      <c r="B1050" t="s">
        <v>1785</v>
      </c>
      <c r="C1050" t="s">
        <v>3439</v>
      </c>
      <c r="D1050">
        <v>10</v>
      </c>
      <c r="E1050" t="s">
        <v>2791</v>
      </c>
      <c r="F1050">
        <v>5</v>
      </c>
      <c r="G1050">
        <v>12</v>
      </c>
      <c r="H1050">
        <v>19</v>
      </c>
      <c r="I1050" t="s">
        <v>1786</v>
      </c>
      <c r="J1050" s="51">
        <v>41026</v>
      </c>
      <c r="K1050" t="s">
        <v>27</v>
      </c>
      <c r="L1050" t="s">
        <v>1584</v>
      </c>
      <c r="M1050">
        <v>3</v>
      </c>
      <c r="N1050" t="str">
        <f>L1050</f>
        <v>NAM\A8070</v>
      </c>
      <c r="O1050" s="51">
        <f>J1050</f>
        <v>41026</v>
      </c>
      <c r="P1050" s="51" t="str">
        <f>C1050</f>
        <v>~/cdd/olddocs/Quality Alerts/MICROMINI/Potted- Plex/QA-PLEX-004 Rev. A Utilizacion de etiquetas.pdf</v>
      </c>
      <c r="Q1050" s="51" t="str">
        <f>E1050</f>
        <v>pdf</v>
      </c>
      <c r="R1050" s="51"/>
      <c r="S1050" s="51"/>
      <c r="T1050" s="51"/>
      <c r="U1050" s="51"/>
      <c r="V1050" s="51"/>
      <c r="W1050" s="51"/>
      <c r="X1050" s="51"/>
      <c r="Y1050" s="51"/>
      <c r="Z1050" s="51"/>
      <c r="AA1050" s="51"/>
      <c r="AB1050" s="51"/>
      <c r="AC1050" s="51"/>
      <c r="AD1050" s="51"/>
      <c r="AE1050">
        <v>1</v>
      </c>
      <c r="AF1050" t="s">
        <v>611</v>
      </c>
      <c r="AG1050" t="s">
        <v>1694</v>
      </c>
      <c r="AH1050" s="51"/>
      <c r="AI1050" s="51"/>
    </row>
    <row r="1051" spans="2:35">
      <c r="B1051" t="s">
        <v>1806</v>
      </c>
      <c r="C1051" t="s">
        <v>3440</v>
      </c>
      <c r="D1051">
        <v>10</v>
      </c>
      <c r="E1051" t="s">
        <v>2791</v>
      </c>
      <c r="F1051">
        <v>5</v>
      </c>
      <c r="G1051">
        <v>12</v>
      </c>
      <c r="H1051">
        <v>18</v>
      </c>
      <c r="I1051" t="s">
        <v>1807</v>
      </c>
      <c r="J1051" s="51">
        <v>40946</v>
      </c>
      <c r="K1051" t="s">
        <v>27</v>
      </c>
      <c r="L1051" t="s">
        <v>1584</v>
      </c>
      <c r="M1051">
        <v>3</v>
      </c>
      <c r="N1051" t="str">
        <f>L1051</f>
        <v>NAM\A8070</v>
      </c>
      <c r="O1051" s="51">
        <f>J1051</f>
        <v>40946</v>
      </c>
      <c r="P1051" s="51" t="str">
        <f>C1051</f>
        <v>~/cdd/olddocs/Quality Alerts/MICROMINI/Potted- Plex/QA-POTT-001 Rev. A 11695251 Pieza- Faltante.pdf</v>
      </c>
      <c r="Q1051" s="51" t="str">
        <f>E1051</f>
        <v>pdf</v>
      </c>
      <c r="R1051" s="51"/>
      <c r="S1051" s="51"/>
      <c r="T1051" s="51"/>
      <c r="U1051" s="51"/>
      <c r="V1051" s="51"/>
      <c r="W1051" s="51"/>
      <c r="X1051" s="51"/>
      <c r="Y1051" s="51"/>
      <c r="Z1051" s="51"/>
      <c r="AA1051" s="51"/>
      <c r="AB1051" s="51"/>
      <c r="AC1051" s="51"/>
      <c r="AD1051" s="51"/>
      <c r="AE1051">
        <v>1</v>
      </c>
      <c r="AF1051" t="s">
        <v>611</v>
      </c>
      <c r="AG1051">
        <v>11695251</v>
      </c>
      <c r="AH1051" s="51"/>
      <c r="AI1051" s="51"/>
    </row>
    <row r="1052" spans="2:35">
      <c r="B1052" t="s">
        <v>1808</v>
      </c>
      <c r="C1052" t="s">
        <v>3441</v>
      </c>
      <c r="D1052">
        <v>10</v>
      </c>
      <c r="E1052" t="s">
        <v>2791</v>
      </c>
      <c r="F1052">
        <v>5</v>
      </c>
      <c r="G1052">
        <v>12</v>
      </c>
      <c r="H1052">
        <v>18</v>
      </c>
      <c r="I1052" t="s">
        <v>1809</v>
      </c>
      <c r="J1052" s="51">
        <v>41145</v>
      </c>
      <c r="K1052" t="s">
        <v>27</v>
      </c>
      <c r="L1052" t="s">
        <v>1584</v>
      </c>
      <c r="M1052">
        <v>3</v>
      </c>
      <c r="N1052" t="str">
        <f>L1052</f>
        <v>NAM\A8070</v>
      </c>
      <c r="O1052" s="51">
        <f>J1052</f>
        <v>41145</v>
      </c>
      <c r="P1052" s="51" t="str">
        <f>C1052</f>
        <v>~/cdd/olddocs/Quality Alerts/MICROMINI/Potted- Plex/QA-POTT-002 Rev. A . 1463659 Inspeccion de Entrada.pdf</v>
      </c>
      <c r="Q1052" s="51" t="str">
        <f>E1052</f>
        <v>pdf</v>
      </c>
      <c r="R1052" s="51"/>
      <c r="S1052" s="51"/>
      <c r="T1052" s="51"/>
      <c r="U1052" s="51"/>
      <c r="V1052" s="51"/>
      <c r="W1052" s="51"/>
      <c r="X1052" s="51"/>
      <c r="Y1052" s="51"/>
      <c r="Z1052" s="51"/>
      <c r="AA1052" s="51"/>
      <c r="AB1052" s="51"/>
      <c r="AC1052" s="51"/>
      <c r="AD1052" s="51"/>
      <c r="AE1052">
        <v>1</v>
      </c>
      <c r="AF1052" t="s">
        <v>611</v>
      </c>
      <c r="AG1052">
        <v>1463659</v>
      </c>
      <c r="AH1052" s="51"/>
      <c r="AI1052" s="51"/>
    </row>
    <row r="1053" spans="2:35">
      <c r="B1053" t="s">
        <v>1810</v>
      </c>
      <c r="C1053" t="s">
        <v>3941</v>
      </c>
      <c r="D1053">
        <v>10</v>
      </c>
      <c r="E1053" t="s">
        <v>2793</v>
      </c>
      <c r="F1053">
        <v>5</v>
      </c>
      <c r="G1053">
        <v>12</v>
      </c>
      <c r="H1053">
        <v>18</v>
      </c>
      <c r="I1053" t="s">
        <v>1811</v>
      </c>
      <c r="J1053" s="51">
        <v>41206</v>
      </c>
      <c r="K1053" t="s">
        <v>27</v>
      </c>
      <c r="L1053" t="s">
        <v>1584</v>
      </c>
      <c r="M1053">
        <v>3</v>
      </c>
      <c r="N1053" t="str">
        <f>L1053</f>
        <v>NAM\A8070</v>
      </c>
      <c r="O1053" s="51">
        <f>J1053</f>
        <v>41206</v>
      </c>
      <c r="P1053" s="51" t="str">
        <f>C1053</f>
        <v>~/cdd/olddocs/CN-QAAS (Aseguranza de calidad)/Quality Alerts/MICROMINI/Potted- Plex/QA-POTT 003 Rev. A MP1819D60050F doble coupler.pptx</v>
      </c>
      <c r="Q1053" s="51" t="str">
        <f>E1053</f>
        <v>pptx</v>
      </c>
      <c r="R1053" s="51"/>
      <c r="S1053" s="51"/>
      <c r="T1053" s="51"/>
      <c r="U1053" s="51"/>
      <c r="V1053" s="51"/>
      <c r="W1053" s="51"/>
      <c r="X1053" s="51"/>
      <c r="Y1053" s="51"/>
      <c r="Z1053" s="51"/>
      <c r="AA1053" s="51"/>
      <c r="AB1053" s="51"/>
      <c r="AC1053" s="51"/>
      <c r="AD1053" s="51"/>
      <c r="AE1053">
        <v>1</v>
      </c>
      <c r="AF1053" t="s">
        <v>611</v>
      </c>
      <c r="AG1053" t="s">
        <v>1812</v>
      </c>
      <c r="AH1053" s="51"/>
      <c r="AI1053" s="51"/>
    </row>
    <row r="1054" spans="2:35">
      <c r="B1054" t="s">
        <v>2204</v>
      </c>
      <c r="C1054" t="s">
        <v>3940</v>
      </c>
      <c r="D1054">
        <v>10</v>
      </c>
      <c r="E1054" t="s">
        <v>2793</v>
      </c>
      <c r="F1054">
        <v>5</v>
      </c>
      <c r="G1054">
        <v>34</v>
      </c>
      <c r="H1054">
        <v>25</v>
      </c>
      <c r="I1054" t="s">
        <v>2207</v>
      </c>
      <c r="J1054" s="51">
        <v>41052</v>
      </c>
      <c r="K1054" t="s">
        <v>27</v>
      </c>
      <c r="L1054" t="s">
        <v>2063</v>
      </c>
      <c r="M1054">
        <v>3</v>
      </c>
      <c r="N1054" t="str">
        <f>L1054</f>
        <v>NAM\MB2117</v>
      </c>
      <c r="O1054" s="51">
        <f>J1054</f>
        <v>41052</v>
      </c>
      <c r="P1054" s="51" t="str">
        <f>C1054</f>
        <v>~/cdd/olddocs/CN-QAAS (Aseguranza de calidad)/Quality Alerts/ITRON/SALEM/QA-SALE-001 Rev. A AL-329-0000-080 Alambre expuesto - Exceso de epoxy.pptx</v>
      </c>
      <c r="Q1054" s="51" t="str">
        <f>E1054</f>
        <v>pptx</v>
      </c>
      <c r="R1054" s="51"/>
      <c r="S1054" s="51"/>
      <c r="T1054" s="51"/>
      <c r="U1054" s="51"/>
      <c r="V1054" s="51"/>
      <c r="W1054" s="51"/>
      <c r="X1054" s="51"/>
      <c r="Y1054" s="51"/>
      <c r="Z1054" s="51"/>
      <c r="AA1054" s="51"/>
      <c r="AB1054" s="51"/>
      <c r="AC1054" s="51"/>
      <c r="AD1054" s="51"/>
      <c r="AE1054">
        <v>1</v>
      </c>
      <c r="AF1054" t="s">
        <v>2066</v>
      </c>
      <c r="AG1054" t="s">
        <v>2208</v>
      </c>
      <c r="AH1054" s="51"/>
      <c r="AI1054" s="51"/>
    </row>
    <row r="1055" spans="2:35">
      <c r="B1055" t="s">
        <v>2209</v>
      </c>
      <c r="C1055" t="s">
        <v>3417</v>
      </c>
      <c r="D1055">
        <v>10</v>
      </c>
      <c r="E1055" t="s">
        <v>2791</v>
      </c>
      <c r="F1055">
        <v>5</v>
      </c>
      <c r="G1055">
        <v>34</v>
      </c>
      <c r="H1055">
        <v>25</v>
      </c>
      <c r="I1055" t="s">
        <v>2210</v>
      </c>
      <c r="J1055" s="51">
        <v>41246</v>
      </c>
      <c r="K1055" t="s">
        <v>27</v>
      </c>
      <c r="L1055" t="s">
        <v>2063</v>
      </c>
      <c r="M1055">
        <v>3</v>
      </c>
      <c r="N1055" t="str">
        <f>L1055</f>
        <v>NAM\MB2117</v>
      </c>
      <c r="O1055" s="51">
        <f>J1055</f>
        <v>41246</v>
      </c>
      <c r="P1055" s="51" t="str">
        <f>C1055</f>
        <v>~/cdd/olddocs/Quality Alerts/ITRON/SALEM/QA-SALM-002 Al-329-000-080 Cont. hembra sin acomplamiento - Exceso de epoxy.pdf</v>
      </c>
      <c r="Q1055" s="51" t="str">
        <f>E1055</f>
        <v>pdf</v>
      </c>
      <c r="R1055" s="51"/>
      <c r="S1055" s="51"/>
      <c r="T1055" s="51"/>
      <c r="U1055" s="51"/>
      <c r="V1055" s="51"/>
      <c r="W1055" s="51"/>
      <c r="X1055" s="51"/>
      <c r="Y1055" s="51"/>
      <c r="Z1055" s="51"/>
      <c r="AA1055" s="51"/>
      <c r="AB1055" s="51"/>
      <c r="AC1055" s="51"/>
      <c r="AD1055" s="51"/>
      <c r="AE1055">
        <v>1</v>
      </c>
      <c r="AF1055" t="s">
        <v>2066</v>
      </c>
      <c r="AG1055" t="s">
        <v>2212</v>
      </c>
      <c r="AH1055" s="51"/>
      <c r="AI1055" s="51"/>
    </row>
    <row r="1056" spans="2:35">
      <c r="B1056" t="s">
        <v>1829</v>
      </c>
      <c r="C1056" t="s">
        <v>3447</v>
      </c>
      <c r="D1056">
        <v>10</v>
      </c>
      <c r="E1056" t="s">
        <v>2791</v>
      </c>
      <c r="F1056">
        <v>5</v>
      </c>
      <c r="G1056">
        <v>6</v>
      </c>
      <c r="H1056">
        <v>14</v>
      </c>
      <c r="I1056" t="s">
        <v>1830</v>
      </c>
      <c r="J1056" s="51">
        <v>41129</v>
      </c>
      <c r="K1056" t="s">
        <v>27</v>
      </c>
      <c r="L1056" t="s">
        <v>1584</v>
      </c>
      <c r="M1056">
        <v>3</v>
      </c>
      <c r="N1056" t="str">
        <f>L1056</f>
        <v>NAM\A8070</v>
      </c>
      <c r="O1056" s="51">
        <f>J1056</f>
        <v>41129</v>
      </c>
      <c r="P1056" s="51" t="str">
        <f>C1056</f>
        <v>~/cdd/olddocs/Quality Alerts/SOLAR/QA-SOL-001 Nedco.pdf</v>
      </c>
      <c r="Q1056" s="51" t="str">
        <f>E1056</f>
        <v>pdf</v>
      </c>
      <c r="R1056" s="51"/>
      <c r="S1056" s="51"/>
      <c r="T1056" s="51"/>
      <c r="U1056" s="51"/>
      <c r="V1056" s="51"/>
      <c r="W1056" s="51"/>
      <c r="X1056" s="51"/>
      <c r="Y1056" s="51"/>
      <c r="Z1056" s="51"/>
      <c r="AA1056" s="51"/>
      <c r="AB1056" s="51"/>
      <c r="AC1056" s="51"/>
      <c r="AD1056" s="51"/>
      <c r="AE1056">
        <v>1</v>
      </c>
      <c r="AF1056" t="s">
        <v>1832</v>
      </c>
      <c r="AG1056" t="s">
        <v>1831</v>
      </c>
      <c r="AH1056" s="51"/>
      <c r="AI1056" s="51"/>
    </row>
    <row r="1057" spans="2:35">
      <c r="B1057" t="s">
        <v>1833</v>
      </c>
      <c r="C1057" t="s">
        <v>3447</v>
      </c>
      <c r="D1057">
        <v>10</v>
      </c>
      <c r="E1057" t="s">
        <v>2791</v>
      </c>
      <c r="F1057">
        <v>5</v>
      </c>
      <c r="G1057">
        <v>6</v>
      </c>
      <c r="H1057">
        <v>14</v>
      </c>
      <c r="I1057" t="s">
        <v>1834</v>
      </c>
      <c r="J1057" s="51">
        <v>41165</v>
      </c>
      <c r="K1057" t="s">
        <v>27</v>
      </c>
      <c r="L1057" t="s">
        <v>1584</v>
      </c>
      <c r="M1057">
        <v>3</v>
      </c>
      <c r="N1057" t="str">
        <f>L1057</f>
        <v>NAM\A8070</v>
      </c>
      <c r="O1057" s="51">
        <f>J1057</f>
        <v>41165</v>
      </c>
      <c r="P1057" s="51" t="str">
        <f>C1057</f>
        <v>~/cdd/olddocs/Quality Alerts/SOLAR/QA-SOL-001 Nedco.pdf</v>
      </c>
      <c r="Q1057" s="51" t="str">
        <f>E1057</f>
        <v>pdf</v>
      </c>
      <c r="R1057" s="51"/>
      <c r="S1057" s="51"/>
      <c r="T1057" s="51"/>
      <c r="U1057" s="51"/>
      <c r="V1057" s="51"/>
      <c r="W1057" s="51"/>
      <c r="X1057" s="51"/>
      <c r="Y1057" s="51"/>
      <c r="Z1057" s="51"/>
      <c r="AA1057" s="51"/>
      <c r="AB1057" s="51"/>
      <c r="AC1057" s="51"/>
      <c r="AD1057" s="51"/>
      <c r="AE1057">
        <v>1</v>
      </c>
      <c r="AF1057" t="s">
        <v>1832</v>
      </c>
      <c r="AG1057" t="s">
        <v>1831</v>
      </c>
      <c r="AH1057" s="51"/>
      <c r="AI1057" s="51"/>
    </row>
    <row r="1058" spans="2:35">
      <c r="B1058" t="s">
        <v>1835</v>
      </c>
      <c r="C1058" t="s">
        <v>3448</v>
      </c>
      <c r="D1058">
        <v>10</v>
      </c>
      <c r="E1058" t="s">
        <v>2791</v>
      </c>
      <c r="F1058">
        <v>5</v>
      </c>
      <c r="G1058">
        <v>6</v>
      </c>
      <c r="H1058">
        <v>14</v>
      </c>
      <c r="I1058" t="s">
        <v>1836</v>
      </c>
      <c r="J1058" s="51">
        <v>41179</v>
      </c>
      <c r="K1058" t="s">
        <v>27</v>
      </c>
      <c r="L1058" t="s">
        <v>1584</v>
      </c>
      <c r="M1058">
        <v>3</v>
      </c>
      <c r="N1058" t="str">
        <f>L1058</f>
        <v>NAM\A8070</v>
      </c>
      <c r="O1058" s="51">
        <f>J1058</f>
        <v>41179</v>
      </c>
      <c r="P1058" s="51" t="str">
        <f>C1058</f>
        <v>~/cdd/olddocs/Quality Alerts/SOLAR/QA-SOL-003 Orientacion del tubing.pdf</v>
      </c>
      <c r="Q1058" s="51" t="str">
        <f>E1058</f>
        <v>pdf</v>
      </c>
      <c r="R1058" s="51"/>
      <c r="S1058" s="51"/>
      <c r="T1058" s="51"/>
      <c r="U1058" s="51"/>
      <c r="V1058" s="51"/>
      <c r="W1058" s="51"/>
      <c r="X1058" s="51"/>
      <c r="Y1058" s="51"/>
      <c r="Z1058" s="51"/>
      <c r="AA1058" s="51"/>
      <c r="AB1058" s="51"/>
      <c r="AC1058" s="51"/>
      <c r="AD1058" s="51"/>
      <c r="AE1058">
        <v>1</v>
      </c>
      <c r="AF1058" t="s">
        <v>1832</v>
      </c>
      <c r="AG1058" t="s">
        <v>1831</v>
      </c>
      <c r="AH1058" s="51"/>
      <c r="AI1058" s="51"/>
    </row>
    <row r="1059" spans="2:35">
      <c r="B1059" t="s">
        <v>1837</v>
      </c>
      <c r="C1059" t="s">
        <v>3449</v>
      </c>
      <c r="D1059">
        <v>10</v>
      </c>
      <c r="E1059" t="s">
        <v>2791</v>
      </c>
      <c r="F1059">
        <v>5</v>
      </c>
      <c r="G1059">
        <v>6</v>
      </c>
      <c r="H1059">
        <v>14</v>
      </c>
      <c r="I1059" t="s">
        <v>1838</v>
      </c>
      <c r="J1059" s="51">
        <v>41208</v>
      </c>
      <c r="K1059" t="s">
        <v>27</v>
      </c>
      <c r="L1059" t="s">
        <v>1584</v>
      </c>
      <c r="M1059">
        <v>3</v>
      </c>
      <c r="N1059" t="str">
        <f>L1059</f>
        <v>NAM\A8070</v>
      </c>
      <c r="O1059" s="51">
        <f>J1059</f>
        <v>41208</v>
      </c>
      <c r="P1059" s="51" t="str">
        <f>C1059</f>
        <v>~/cdd/olddocs/Quality Alerts/SOLAR/QA-SOL-004  Carretes Solar.pdf</v>
      </c>
      <c r="Q1059" s="51" t="str">
        <f>E1059</f>
        <v>pdf</v>
      </c>
      <c r="R1059" s="51"/>
      <c r="S1059" s="51"/>
      <c r="T1059" s="51"/>
      <c r="U1059" s="51"/>
      <c r="V1059" s="51"/>
      <c r="W1059" s="51"/>
      <c r="X1059" s="51"/>
      <c r="Y1059" s="51"/>
      <c r="Z1059" s="51"/>
      <c r="AA1059" s="51"/>
      <c r="AB1059" s="51"/>
      <c r="AC1059" s="51"/>
      <c r="AD1059" s="51"/>
      <c r="AE1059">
        <v>1</v>
      </c>
      <c r="AF1059" t="s">
        <v>1832</v>
      </c>
      <c r="AG1059" t="s">
        <v>1831</v>
      </c>
      <c r="AH1059" s="51"/>
      <c r="AI1059" s="51"/>
    </row>
    <row r="1060" spans="2:35">
      <c r="B1060" t="s">
        <v>254</v>
      </c>
      <c r="C1060" t="s">
        <v>3380</v>
      </c>
      <c r="D1060">
        <v>1</v>
      </c>
      <c r="E1060" t="s">
        <v>2791</v>
      </c>
      <c r="F1060">
        <v>5</v>
      </c>
      <c r="G1060">
        <v>9</v>
      </c>
      <c r="H1060">
        <v>8</v>
      </c>
      <c r="I1060" t="s">
        <v>260</v>
      </c>
      <c r="J1060" s="51">
        <v>40994</v>
      </c>
      <c r="K1060" t="s">
        <v>261</v>
      </c>
      <c r="L1060" t="s">
        <v>222</v>
      </c>
      <c r="M1060">
        <v>3</v>
      </c>
      <c r="N1060" t="str">
        <f>L1060</f>
        <v>NAM\MA9769</v>
      </c>
      <c r="O1060" s="51">
        <f>J1060</f>
        <v>40994</v>
      </c>
      <c r="P1060" s="51" t="str">
        <f>C1060</f>
        <v>~/cdd/olddocs/Manual de Calidad/QM-01 Quality Manual.pdf</v>
      </c>
      <c r="Q1060" s="51" t="str">
        <f>E1060</f>
        <v>pdf</v>
      </c>
      <c r="R1060" s="51"/>
      <c r="S1060" s="51"/>
      <c r="T1060" s="51"/>
      <c r="U1060" s="51"/>
      <c r="V1060" s="51"/>
      <c r="W1060" s="51"/>
      <c r="X1060" s="51"/>
      <c r="Y1060" s="51"/>
      <c r="Z1060" s="51"/>
      <c r="AA1060" s="51"/>
      <c r="AB1060" s="51"/>
      <c r="AC1060" s="51"/>
      <c r="AD1060" s="51"/>
      <c r="AG1060" t="s">
        <v>28</v>
      </c>
      <c r="AH1060" s="51"/>
      <c r="AI1060" s="51"/>
    </row>
    <row r="1061" spans="2:35">
      <c r="B1061" t="s">
        <v>262</v>
      </c>
      <c r="C1061" t="s">
        <v>2851</v>
      </c>
      <c r="D1061">
        <v>1</v>
      </c>
      <c r="E1061" t="s">
        <v>2791</v>
      </c>
      <c r="F1061">
        <v>5</v>
      </c>
      <c r="G1061">
        <v>9</v>
      </c>
      <c r="H1061">
        <v>8</v>
      </c>
      <c r="I1061" t="s">
        <v>263</v>
      </c>
      <c r="J1061" s="51">
        <v>41244</v>
      </c>
      <c r="K1061" t="s">
        <v>159</v>
      </c>
      <c r="L1061" t="s">
        <v>222</v>
      </c>
      <c r="M1061">
        <v>3</v>
      </c>
      <c r="N1061" t="str">
        <f>L1061</f>
        <v>NAM\MA9769</v>
      </c>
      <c r="O1061" s="51">
        <f>J1061</f>
        <v>41244</v>
      </c>
      <c r="P1061" s="51" t="str">
        <f>C1061</f>
        <v>~/cdd/olddocs/Estandares/Estandar AS9100/QM-03 Estandard AS9100 Rev, C pdf.pdf</v>
      </c>
      <c r="Q1061" s="51" t="str">
        <f>E1061</f>
        <v>pdf</v>
      </c>
      <c r="R1061" s="51"/>
      <c r="S1061" s="51"/>
      <c r="T1061" s="51"/>
      <c r="U1061" s="51"/>
      <c r="V1061" s="51"/>
      <c r="W1061" s="51"/>
      <c r="X1061" s="51"/>
      <c r="Y1061" s="51"/>
      <c r="Z1061" s="51"/>
      <c r="AA1061" s="51"/>
      <c r="AB1061" s="51"/>
      <c r="AC1061" s="51"/>
      <c r="AD1061" s="51"/>
      <c r="AG1061" t="s">
        <v>28</v>
      </c>
      <c r="AH1061" s="51"/>
      <c r="AI1061" s="51"/>
    </row>
    <row r="1062" spans="2:35">
      <c r="B1062" t="s">
        <v>20</v>
      </c>
      <c r="C1062" t="s">
        <v>2827</v>
      </c>
      <c r="D1062">
        <v>12</v>
      </c>
      <c r="E1062" t="s">
        <v>2790</v>
      </c>
      <c r="F1062">
        <v>5</v>
      </c>
      <c r="G1062">
        <v>12</v>
      </c>
      <c r="H1062">
        <v>3</v>
      </c>
      <c r="I1062" t="s">
        <v>20</v>
      </c>
      <c r="J1062" s="51">
        <v>41037</v>
      </c>
      <c r="K1062" t="s">
        <v>742</v>
      </c>
      <c r="L1062" t="s">
        <v>605</v>
      </c>
      <c r="M1062">
        <v>3</v>
      </c>
      <c r="N1062" t="str">
        <f>L1062</f>
        <v>NA/MB1049</v>
      </c>
      <c r="O1062" s="51">
        <f>J1062</f>
        <v>41037</v>
      </c>
      <c r="P1062" s="51" t="str">
        <f>C1062</f>
        <v>~/cdd/olddocs/Especificaciones genericas/Micromini/A Y B/CNWI-ENGI-F019 Rev  F Especificaciones remachado Celda A y B Rev  B.xlsx</v>
      </c>
      <c r="Q1062" s="51" t="str">
        <f>E1062</f>
        <v>xlsx</v>
      </c>
      <c r="R1062" s="51"/>
      <c r="S1062" s="51"/>
      <c r="T1062" s="51"/>
      <c r="U1062" s="51"/>
      <c r="V1062" s="51"/>
      <c r="W1062" s="51"/>
      <c r="X1062" s="51"/>
      <c r="Y1062" s="51"/>
      <c r="Z1062" s="51"/>
      <c r="AA1062" s="51"/>
      <c r="AB1062" s="51"/>
      <c r="AC1062" s="51"/>
      <c r="AD1062" s="51"/>
      <c r="AE1062" t="s">
        <v>30</v>
      </c>
      <c r="AF1062" t="s">
        <v>31</v>
      </c>
      <c r="AG1062" t="s">
        <v>28</v>
      </c>
      <c r="AH1062" s="51"/>
      <c r="AI1062" s="51"/>
    </row>
    <row r="1063" spans="2:35">
      <c r="B1063" t="s">
        <v>20</v>
      </c>
      <c r="C1063" t="s">
        <v>2834</v>
      </c>
      <c r="D1063">
        <v>12</v>
      </c>
      <c r="E1063" t="s">
        <v>2790</v>
      </c>
      <c r="F1063">
        <v>5</v>
      </c>
      <c r="G1063">
        <v>12</v>
      </c>
      <c r="H1063">
        <v>4</v>
      </c>
      <c r="I1063" t="s">
        <v>20</v>
      </c>
      <c r="J1063" s="51">
        <v>41026</v>
      </c>
      <c r="K1063" t="s">
        <v>27</v>
      </c>
      <c r="M1063">
        <v>3</v>
      </c>
      <c r="N1063">
        <f>L1063</f>
        <v>0</v>
      </c>
      <c r="O1063" s="51">
        <f>J1063</f>
        <v>41026</v>
      </c>
      <c r="P1063" s="51" t="str">
        <f>C1063</f>
        <v>~/cdd/olddocs/Especificaciones genericas/Micromini/CHANGE OUT/CNWI-ENGI-F019 Rev. A Especificaciones remachado area Change out Rev. A.xlsx</v>
      </c>
      <c r="Q1063" s="51" t="str">
        <f>E1063</f>
        <v>xlsx</v>
      </c>
      <c r="R1063" s="51"/>
      <c r="S1063" s="51"/>
      <c r="T1063" s="51"/>
      <c r="U1063" s="51"/>
      <c r="V1063" s="51"/>
      <c r="W1063" s="51"/>
      <c r="X1063" s="51"/>
      <c r="Y1063" s="51"/>
      <c r="Z1063" s="51"/>
      <c r="AA1063" s="51"/>
      <c r="AB1063" s="51"/>
      <c r="AC1063" s="51"/>
      <c r="AD1063" s="51"/>
      <c r="AE1063" t="s">
        <v>30</v>
      </c>
      <c r="AF1063" t="s">
        <v>31</v>
      </c>
      <c r="AG1063" t="s">
        <v>28</v>
      </c>
      <c r="AH1063" s="51"/>
      <c r="AI1063" s="51"/>
    </row>
    <row r="1064" spans="2:35">
      <c r="B1064" t="s">
        <v>20</v>
      </c>
      <c r="C1064" t="s">
        <v>2837</v>
      </c>
      <c r="D1064">
        <v>12</v>
      </c>
      <c r="E1064" t="s">
        <v>2790</v>
      </c>
      <c r="F1064">
        <v>5</v>
      </c>
      <c r="G1064">
        <v>12</v>
      </c>
      <c r="H1064">
        <v>16</v>
      </c>
      <c r="I1064" t="s">
        <v>20</v>
      </c>
      <c r="J1064" s="51">
        <v>41020</v>
      </c>
      <c r="K1064" t="s">
        <v>261</v>
      </c>
      <c r="L1064" t="s">
        <v>605</v>
      </c>
      <c r="M1064">
        <v>3</v>
      </c>
      <c r="N1064" t="str">
        <f>L1064</f>
        <v>NA/MB1049</v>
      </c>
      <c r="O1064" s="51">
        <f>J1064</f>
        <v>41020</v>
      </c>
      <c r="P1064" s="51" t="str">
        <f>C1064</f>
        <v>~/cdd/olddocs/Especificaciones genericas/Micromini/MS/CNWI-ENGI-F019 Rev. E Especificaciones remachado area MS.xlsx</v>
      </c>
      <c r="Q1064" s="51" t="str">
        <f>E1064</f>
        <v>xlsx</v>
      </c>
      <c r="R1064" s="51"/>
      <c r="S1064" s="51"/>
      <c r="T1064" s="51"/>
      <c r="U1064" s="51"/>
      <c r="V1064" s="51"/>
      <c r="W1064" s="51"/>
      <c r="X1064" s="51"/>
      <c r="Y1064" s="51"/>
      <c r="Z1064" s="51"/>
      <c r="AA1064" s="51"/>
      <c r="AB1064" s="51"/>
      <c r="AC1064" s="51"/>
      <c r="AD1064" s="51"/>
      <c r="AE1064" t="s">
        <v>30</v>
      </c>
      <c r="AF1064" t="s">
        <v>601</v>
      </c>
      <c r="AG1064" t="s">
        <v>28</v>
      </c>
      <c r="AH1064" s="51"/>
      <c r="AI1064" s="51"/>
    </row>
    <row r="1065" spans="2:35">
      <c r="B1065" t="s">
        <v>20</v>
      </c>
      <c r="C1065" t="s">
        <v>2844</v>
      </c>
      <c r="D1065">
        <v>12</v>
      </c>
      <c r="E1065" t="s">
        <v>2790</v>
      </c>
      <c r="F1065">
        <v>5</v>
      </c>
      <c r="G1065">
        <v>12</v>
      </c>
      <c r="H1065">
        <v>19</v>
      </c>
      <c r="I1065" t="s">
        <v>20</v>
      </c>
      <c r="J1065" s="51">
        <v>40896</v>
      </c>
      <c r="K1065" t="s">
        <v>46</v>
      </c>
      <c r="L1065" t="s">
        <v>605</v>
      </c>
      <c r="M1065">
        <v>3</v>
      </c>
      <c r="N1065" t="str">
        <f>L1065</f>
        <v>NA/MB1049</v>
      </c>
      <c r="O1065" s="51">
        <f>J1065</f>
        <v>40896</v>
      </c>
      <c r="P1065" s="51" t="str">
        <f>C1065</f>
        <v>~/cdd/olddocs/Especificaciones genericas/Micromini/PLEX/CNWI-ENGI-F019 Rev. A Especificaciones remachado area Plex.xlsx</v>
      </c>
      <c r="Q1065" s="51" t="str">
        <f>E1065</f>
        <v>xlsx</v>
      </c>
      <c r="R1065" s="51"/>
      <c r="S1065" s="51"/>
      <c r="T1065" s="51"/>
      <c r="U1065" s="51"/>
      <c r="V1065" s="51"/>
      <c r="W1065" s="51"/>
      <c r="X1065" s="51"/>
      <c r="Y1065" s="51"/>
      <c r="Z1065" s="51"/>
      <c r="AA1065" s="51"/>
      <c r="AB1065" s="51"/>
      <c r="AC1065" s="51"/>
      <c r="AD1065" s="51"/>
      <c r="AE1065" t="s">
        <v>30</v>
      </c>
      <c r="AF1065" t="s">
        <v>601</v>
      </c>
      <c r="AG1065" t="s">
        <v>28</v>
      </c>
      <c r="AH1065" s="51"/>
      <c r="AI1065" s="51"/>
    </row>
    <row r="1066" spans="2:35">
      <c r="B1066" t="s">
        <v>20</v>
      </c>
      <c r="C1066" t="s">
        <v>2848</v>
      </c>
      <c r="D1066">
        <v>12</v>
      </c>
      <c r="E1066" t="s">
        <v>2790</v>
      </c>
      <c r="F1066">
        <v>5</v>
      </c>
      <c r="G1066">
        <v>12</v>
      </c>
      <c r="H1066">
        <v>18</v>
      </c>
      <c r="I1066" t="s">
        <v>20</v>
      </c>
      <c r="J1066" s="51">
        <v>40893</v>
      </c>
      <c r="K1066" t="s">
        <v>742</v>
      </c>
      <c r="L1066" t="s">
        <v>605</v>
      </c>
      <c r="M1066">
        <v>3</v>
      </c>
      <c r="N1066" t="str">
        <f>L1066</f>
        <v>NA/MB1049</v>
      </c>
      <c r="O1066" s="51">
        <f>J1066</f>
        <v>40893</v>
      </c>
      <c r="P1066" s="51" t="str">
        <f>C1066</f>
        <v>~/cdd/olddocs/Especificaciones genericas/Micromini/POTTED/CNWI-ENGI-F019 Rev  F Especificaciones remachado area Potted.xlsx</v>
      </c>
      <c r="Q1066" s="51" t="str">
        <f>E1066</f>
        <v>xlsx</v>
      </c>
      <c r="R1066" s="51"/>
      <c r="S1066" s="51"/>
      <c r="T1066" s="51"/>
      <c r="U1066" s="51"/>
      <c r="V1066" s="51"/>
      <c r="W1066" s="51"/>
      <c r="X1066" s="51"/>
      <c r="Y1066" s="51"/>
      <c r="Z1066" s="51"/>
      <c r="AA1066" s="51"/>
      <c r="AB1066" s="51"/>
      <c r="AC1066" s="51"/>
      <c r="AD1066" s="51"/>
      <c r="AE1066" t="s">
        <v>30</v>
      </c>
      <c r="AF1066" t="s">
        <v>601</v>
      </c>
      <c r="AG1066" t="s">
        <v>28</v>
      </c>
      <c r="AH1066" s="51"/>
      <c r="AI1066" s="51"/>
    </row>
    <row r="1067" spans="2:35">
      <c r="B1067" t="s">
        <v>1531</v>
      </c>
      <c r="C1067" t="s">
        <v>3450</v>
      </c>
      <c r="D1067">
        <v>15</v>
      </c>
      <c r="E1067" t="s">
        <v>2790</v>
      </c>
      <c r="F1067">
        <v>5</v>
      </c>
      <c r="G1067">
        <v>9</v>
      </c>
      <c r="H1067">
        <v>8</v>
      </c>
      <c r="I1067" t="s">
        <v>1533</v>
      </c>
      <c r="J1067" s="51">
        <v>41079</v>
      </c>
      <c r="K1067" t="s">
        <v>27</v>
      </c>
      <c r="L1067" t="s">
        <v>1520</v>
      </c>
      <c r="M1067">
        <v>3</v>
      </c>
      <c r="N1067" t="str">
        <f>L1067</f>
        <v>NAM\A09DF</v>
      </c>
      <c r="O1067" s="51">
        <f>J1067</f>
        <v>41079</v>
      </c>
      <c r="P1067" s="51" t="str">
        <f>C1067</f>
        <v>~/cdd/olddocs/TPMs/Moorpark/TPM-MRPK-002 Rev. A TP-18 Tecn. de Mantto.xlsx</v>
      </c>
      <c r="Q1067" s="51" t="str">
        <f>E1067</f>
        <v>xlsx</v>
      </c>
      <c r="R1067" s="51"/>
      <c r="S1067" s="51"/>
      <c r="T1067" s="51"/>
      <c r="U1067" s="51"/>
      <c r="V1067" s="51"/>
      <c r="W1067" s="51"/>
      <c r="X1067" s="51"/>
      <c r="Y1067" s="51"/>
      <c r="Z1067" s="51"/>
      <c r="AA1067" s="51"/>
      <c r="AB1067" s="51"/>
      <c r="AC1067" s="51"/>
      <c r="AD1067" s="51"/>
      <c r="AG1067" t="s">
        <v>28</v>
      </c>
      <c r="AH1067" s="51"/>
      <c r="AI1067" s="51"/>
    </row>
    <row r="1068" spans="2:35">
      <c r="B1068" t="s">
        <v>1534</v>
      </c>
      <c r="C1068" t="s">
        <v>3450</v>
      </c>
      <c r="D1068">
        <v>15</v>
      </c>
      <c r="E1068" t="s">
        <v>2790</v>
      </c>
      <c r="F1068">
        <v>5</v>
      </c>
      <c r="G1068">
        <v>9</v>
      </c>
      <c r="H1068">
        <v>8</v>
      </c>
      <c r="I1068" t="s">
        <v>1535</v>
      </c>
      <c r="J1068" s="51">
        <v>41079</v>
      </c>
      <c r="K1068" t="s">
        <v>27</v>
      </c>
      <c r="L1068" t="s">
        <v>1520</v>
      </c>
      <c r="M1068">
        <v>3</v>
      </c>
      <c r="N1068" t="str">
        <f>L1068</f>
        <v>NAM\A09DF</v>
      </c>
      <c r="O1068" s="51">
        <f>J1068</f>
        <v>41079</v>
      </c>
      <c r="P1068" s="51" t="str">
        <f>C1068</f>
        <v>~/cdd/olddocs/TPMs/Moorpark/TPM-MRPK-002 Rev. A TP-18 Tecn. de Mantto.xlsx</v>
      </c>
      <c r="Q1068" s="51" t="str">
        <f>E1068</f>
        <v>xlsx</v>
      </c>
      <c r="R1068" s="51"/>
      <c r="S1068" s="51"/>
      <c r="T1068" s="51"/>
      <c r="U1068" s="51"/>
      <c r="V1068" s="51"/>
      <c r="W1068" s="51"/>
      <c r="X1068" s="51"/>
      <c r="Y1068" s="51"/>
      <c r="Z1068" s="51"/>
      <c r="AA1068" s="51"/>
      <c r="AB1068" s="51"/>
      <c r="AC1068" s="51"/>
      <c r="AD1068" s="51"/>
      <c r="AG1068" t="s">
        <v>28</v>
      </c>
      <c r="AH1068" s="51"/>
      <c r="AI1068" s="51"/>
    </row>
    <row r="1069" spans="2:35">
      <c r="B1069" t="s">
        <v>2442</v>
      </c>
      <c r="C1069" t="s">
        <v>3785</v>
      </c>
      <c r="D1069">
        <v>6</v>
      </c>
      <c r="E1069" t="s">
        <v>2796</v>
      </c>
      <c r="F1069">
        <v>5</v>
      </c>
      <c r="G1069">
        <v>10</v>
      </c>
      <c r="H1069">
        <v>7</v>
      </c>
      <c r="I1069" t="s">
        <v>2443</v>
      </c>
      <c r="J1069" s="51">
        <v>41212</v>
      </c>
      <c r="K1069" t="s">
        <v>2444</v>
      </c>
      <c r="L1069" t="s">
        <v>2427</v>
      </c>
      <c r="M1069">
        <v>3</v>
      </c>
      <c r="N1069" t="str">
        <f>L1069</f>
        <v>NAM\MB1911</v>
      </c>
      <c r="O1069" s="51">
        <f>J1069</f>
        <v>41212</v>
      </c>
      <c r="P1069" s="51" t="str">
        <f>C1069</f>
        <v>~cdd/olddocs/Ayudas visuales/Camarillo/Amsafe/VA-AMSA-001 Rev Doc E  Rev Draw N ASSEMBLY  CABLE  INTERFACE  508418  pag 1.ppt</v>
      </c>
      <c r="Q1069" s="51" t="str">
        <f>E1069</f>
        <v>ppt</v>
      </c>
      <c r="R1069" s="51"/>
      <c r="S1069" s="51"/>
      <c r="T1069" s="51"/>
      <c r="U1069" s="51"/>
      <c r="V1069" s="51"/>
      <c r="W1069" s="51"/>
      <c r="X1069" s="51"/>
      <c r="Y1069" s="51"/>
      <c r="Z1069" s="51"/>
      <c r="AA1069" s="51"/>
      <c r="AB1069" s="51"/>
      <c r="AC1069" s="51"/>
      <c r="AD1069" s="51"/>
      <c r="AE1069" t="s">
        <v>30</v>
      </c>
      <c r="AF1069" t="s">
        <v>479</v>
      </c>
      <c r="AG1069">
        <v>508418</v>
      </c>
      <c r="AH1069" s="51"/>
      <c r="AI1069" s="51"/>
    </row>
    <row r="1070" spans="2:35">
      <c r="B1070" t="s">
        <v>2445</v>
      </c>
      <c r="C1070" t="s">
        <v>3467</v>
      </c>
      <c r="D1070">
        <v>6</v>
      </c>
      <c r="E1070" t="s">
        <v>2796</v>
      </c>
      <c r="F1070">
        <v>5</v>
      </c>
      <c r="G1070">
        <v>10</v>
      </c>
      <c r="H1070">
        <v>7</v>
      </c>
      <c r="I1070" t="s">
        <v>2446</v>
      </c>
      <c r="J1070" s="51">
        <v>41082</v>
      </c>
      <c r="K1070" t="s">
        <v>27</v>
      </c>
      <c r="L1070" t="s">
        <v>2427</v>
      </c>
      <c r="M1070">
        <v>3</v>
      </c>
      <c r="N1070" t="str">
        <f>L1070</f>
        <v>NAM\MB1911</v>
      </c>
      <c r="O1070" s="51">
        <f>J1070</f>
        <v>41082</v>
      </c>
      <c r="P1070" s="51" t="str">
        <f>C1070</f>
        <v>~/cdd/olddocs/Ayudas visuales/Camarillo/Amsafe/VA-AMSA-002 Rev A  CABLE ASSEMPLY EXTENTION  DRAWING 509800  PART   004038-0001.ppt</v>
      </c>
      <c r="Q1070" s="51" t="str">
        <f>E1070</f>
        <v>ppt</v>
      </c>
      <c r="R1070" s="51"/>
      <c r="S1070" s="51"/>
      <c r="T1070" s="51"/>
      <c r="U1070" s="51"/>
      <c r="V1070" s="51"/>
      <c r="W1070" s="51"/>
      <c r="X1070" s="51"/>
      <c r="Y1070" s="51"/>
      <c r="Z1070" s="51"/>
      <c r="AA1070" s="51"/>
      <c r="AB1070" s="51"/>
      <c r="AC1070" s="51"/>
      <c r="AD1070" s="51"/>
      <c r="AE1070" t="s">
        <v>30</v>
      </c>
      <c r="AF1070" t="s">
        <v>479</v>
      </c>
      <c r="AG1070">
        <v>509800</v>
      </c>
      <c r="AH1070" s="51"/>
      <c r="AI1070" s="51"/>
    </row>
    <row r="1071" spans="2:35">
      <c r="B1071" t="s">
        <v>2447</v>
      </c>
      <c r="C1071" t="s">
        <v>3786</v>
      </c>
      <c r="D1071">
        <v>6</v>
      </c>
      <c r="E1071" t="s">
        <v>2796</v>
      </c>
      <c r="F1071">
        <v>5</v>
      </c>
      <c r="G1071">
        <v>10</v>
      </c>
      <c r="H1071">
        <v>7</v>
      </c>
      <c r="I1071" t="s">
        <v>2448</v>
      </c>
      <c r="J1071" s="51">
        <v>41192</v>
      </c>
      <c r="K1071" t="s">
        <v>2449</v>
      </c>
      <c r="L1071" t="s">
        <v>2427</v>
      </c>
      <c r="M1071">
        <v>3</v>
      </c>
      <c r="N1071" t="str">
        <f>L1071</f>
        <v>NAM\MB1911</v>
      </c>
      <c r="O1071" s="51">
        <f>J1071</f>
        <v>41192</v>
      </c>
      <c r="P1071" s="51" t="str">
        <f>C1071</f>
        <v>~cdd/olddocs/Ayudas visuales/Camarillo/Amsafe/VA-AMSA-003 Rev Doc G - Drawing  BM CABLE ASSEMBLY INTERFACE 509976 Pag 5.ppt</v>
      </c>
      <c r="Q1071" s="51" t="str">
        <f>E1071</f>
        <v>ppt</v>
      </c>
      <c r="R1071" s="51"/>
      <c r="S1071" s="51"/>
      <c r="T1071" s="51"/>
      <c r="U1071" s="51"/>
      <c r="V1071" s="51"/>
      <c r="W1071" s="51"/>
      <c r="X1071" s="51"/>
      <c r="Y1071" s="51"/>
      <c r="Z1071" s="51"/>
      <c r="AA1071" s="51"/>
      <c r="AB1071" s="51"/>
      <c r="AC1071" s="51"/>
      <c r="AD1071" s="51"/>
      <c r="AE1071" t="s">
        <v>30</v>
      </c>
      <c r="AF1071" t="s">
        <v>479</v>
      </c>
      <c r="AG1071">
        <v>509976</v>
      </c>
      <c r="AH1071" s="51"/>
      <c r="AI1071" s="51"/>
    </row>
    <row r="1072" spans="2:35" ht="30">
      <c r="B1072" t="s">
        <v>2450</v>
      </c>
      <c r="C1072" t="s">
        <v>3787</v>
      </c>
      <c r="D1072">
        <v>6</v>
      </c>
      <c r="E1072" t="s">
        <v>2796</v>
      </c>
      <c r="F1072">
        <v>5</v>
      </c>
      <c r="G1072">
        <v>10</v>
      </c>
      <c r="H1072">
        <v>7</v>
      </c>
      <c r="I1072" s="53" t="s">
        <v>3782</v>
      </c>
      <c r="J1072" s="51">
        <v>41192</v>
      </c>
      <c r="K1072" t="s">
        <v>2452</v>
      </c>
      <c r="L1072" t="s">
        <v>2427</v>
      </c>
      <c r="M1072">
        <v>3</v>
      </c>
      <c r="N1072" t="str">
        <f>L1072</f>
        <v>NAM\MB1911</v>
      </c>
      <c r="O1072" s="51">
        <f>J1072</f>
        <v>41192</v>
      </c>
      <c r="P1072" s="51" t="str">
        <f>C1072</f>
        <v>~cdd/olddocs/Ayudas visuales/Camarillo/Amsafe/VA-AMSA-004  Rev Doc E  Drawin BM CABLE ASSEMPLY INTERFACE 509976 Pag 4.ppt</v>
      </c>
      <c r="Q1072" s="51" t="str">
        <f>E1072</f>
        <v>ppt</v>
      </c>
      <c r="R1072" s="51"/>
      <c r="S1072" s="51"/>
      <c r="T1072" s="51"/>
      <c r="U1072" s="51"/>
      <c r="V1072" s="51"/>
      <c r="W1072" s="51"/>
      <c r="X1072" s="51"/>
      <c r="Y1072" s="51"/>
      <c r="Z1072" s="51"/>
      <c r="AA1072" s="51"/>
      <c r="AB1072" s="51"/>
      <c r="AC1072" s="51"/>
      <c r="AD1072" s="51"/>
      <c r="AE1072" t="s">
        <v>30</v>
      </c>
      <c r="AF1072" t="s">
        <v>479</v>
      </c>
      <c r="AG1072">
        <v>509976</v>
      </c>
      <c r="AH1072" s="51"/>
      <c r="AI1072" s="51"/>
    </row>
    <row r="1073" spans="2:35">
      <c r="B1073" t="s">
        <v>2453</v>
      </c>
      <c r="C1073" t="s">
        <v>3788</v>
      </c>
      <c r="D1073">
        <v>6</v>
      </c>
      <c r="E1073" t="s">
        <v>2796</v>
      </c>
      <c r="F1073">
        <v>5</v>
      </c>
      <c r="G1073">
        <v>10</v>
      </c>
      <c r="H1073">
        <v>7</v>
      </c>
      <c r="I1073" t="s">
        <v>2454</v>
      </c>
      <c r="J1073" s="51">
        <v>41192</v>
      </c>
      <c r="K1073" t="s">
        <v>2455</v>
      </c>
      <c r="L1073" t="s">
        <v>2427</v>
      </c>
      <c r="M1073">
        <v>3</v>
      </c>
      <c r="N1073" t="str">
        <f>L1073</f>
        <v>NAM\MB1911</v>
      </c>
      <c r="O1073" s="51">
        <f>J1073</f>
        <v>41192</v>
      </c>
      <c r="P1073" s="51" t="str">
        <f>C1073</f>
        <v>~cdd/olddocs/Ayudas visuales/Camarillo/Amsafe/VA-AMSA-005 Rev Doc D- Drawing  BM CABLE ASSEMBLY INTERFACE 509976 pag 12.ppt</v>
      </c>
      <c r="Q1073" s="51" t="str">
        <f>E1073</f>
        <v>ppt</v>
      </c>
      <c r="R1073" s="51"/>
      <c r="S1073" s="51"/>
      <c r="T1073" s="51"/>
      <c r="U1073" s="51"/>
      <c r="V1073" s="51"/>
      <c r="W1073" s="51"/>
      <c r="X1073" s="51"/>
      <c r="Y1073" s="51"/>
      <c r="Z1073" s="51"/>
      <c r="AA1073" s="51"/>
      <c r="AB1073" s="51"/>
      <c r="AC1073" s="51"/>
      <c r="AD1073" s="51"/>
      <c r="AE1073" t="s">
        <v>30</v>
      </c>
      <c r="AF1073" t="s">
        <v>479</v>
      </c>
      <c r="AG1073">
        <v>509976</v>
      </c>
      <c r="AH1073" s="51"/>
      <c r="AI1073" s="51"/>
    </row>
    <row r="1074" spans="2:35">
      <c r="B1074" t="s">
        <v>2456</v>
      </c>
      <c r="C1074" t="s">
        <v>3789</v>
      </c>
      <c r="D1074">
        <v>6</v>
      </c>
      <c r="E1074" t="s">
        <v>2796</v>
      </c>
      <c r="F1074">
        <v>5</v>
      </c>
      <c r="G1074">
        <v>10</v>
      </c>
      <c r="H1074">
        <v>7</v>
      </c>
      <c r="I1074" t="s">
        <v>2457</v>
      </c>
      <c r="J1074" s="51">
        <v>41143</v>
      </c>
      <c r="K1074" t="s">
        <v>2458</v>
      </c>
      <c r="L1074" t="s">
        <v>2427</v>
      </c>
      <c r="M1074">
        <v>3</v>
      </c>
      <c r="N1074" t="str">
        <f>L1074</f>
        <v>NAM\MB1911</v>
      </c>
      <c r="O1074" s="51">
        <f>J1074</f>
        <v>41143</v>
      </c>
      <c r="P1074" s="51" t="str">
        <f>C1074</f>
        <v>~cdd/olddocs/Ayudas visuales/Camarillo/Amsafe/VA-AMSA-006 Rev Doc C - Rev Drawing L  CABLE  ASSEMBLY 508328 PART 003076-0001.ppt</v>
      </c>
      <c r="Q1074" s="51" t="str">
        <f>E1074</f>
        <v>ppt</v>
      </c>
      <c r="R1074" s="51"/>
      <c r="S1074" s="51"/>
      <c r="T1074" s="51"/>
      <c r="U1074" s="51"/>
      <c r="V1074" s="51"/>
      <c r="W1074" s="51"/>
      <c r="X1074" s="51"/>
      <c r="Y1074" s="51"/>
      <c r="Z1074" s="51"/>
      <c r="AA1074" s="51"/>
      <c r="AB1074" s="51"/>
      <c r="AC1074" s="51"/>
      <c r="AD1074" s="51"/>
      <c r="AE1074" t="s">
        <v>30</v>
      </c>
      <c r="AF1074" t="s">
        <v>479</v>
      </c>
      <c r="AG1074">
        <v>508328</v>
      </c>
      <c r="AH1074" s="51"/>
      <c r="AI1074" s="51"/>
    </row>
    <row r="1075" spans="2:35">
      <c r="B1075" t="s">
        <v>2459</v>
      </c>
      <c r="C1075" t="s">
        <v>3790</v>
      </c>
      <c r="D1075">
        <v>6</v>
      </c>
      <c r="E1075" t="s">
        <v>2796</v>
      </c>
      <c r="F1075">
        <v>5</v>
      </c>
      <c r="G1075">
        <v>10</v>
      </c>
      <c r="H1075">
        <v>7</v>
      </c>
      <c r="I1075" t="s">
        <v>2460</v>
      </c>
      <c r="J1075" s="51">
        <v>41137</v>
      </c>
      <c r="K1075" t="s">
        <v>2461</v>
      </c>
      <c r="L1075" t="s">
        <v>2427</v>
      </c>
      <c r="M1075">
        <v>3</v>
      </c>
      <c r="N1075" t="str">
        <f>L1075</f>
        <v>NAM\MB1911</v>
      </c>
      <c r="O1075" s="51">
        <f>J1075</f>
        <v>41137</v>
      </c>
      <c r="P1075" s="51" t="str">
        <f>C1075</f>
        <v>~cdd/olddocs/Ayudas visuales/Camarillo/Amsafe/VA-AMSA-007  Rev Doc C - Rev Drawing AN CABLE ASSEMBLY INTERFACE 508976 Pag 2.ppt</v>
      </c>
      <c r="Q1075" s="51" t="str">
        <f>E1075</f>
        <v>ppt</v>
      </c>
      <c r="R1075" s="51"/>
      <c r="S1075" s="51"/>
      <c r="T1075" s="51"/>
      <c r="U1075" s="51"/>
      <c r="V1075" s="51"/>
      <c r="W1075" s="51"/>
      <c r="X1075" s="51"/>
      <c r="Y1075" s="51"/>
      <c r="Z1075" s="51"/>
      <c r="AA1075" s="51"/>
      <c r="AB1075" s="51"/>
      <c r="AC1075" s="51"/>
      <c r="AD1075" s="51"/>
      <c r="AE1075" t="s">
        <v>30</v>
      </c>
      <c r="AF1075" t="s">
        <v>479</v>
      </c>
      <c r="AG1075">
        <v>508976</v>
      </c>
      <c r="AH1075" s="51"/>
      <c r="AI1075" s="51"/>
    </row>
    <row r="1076" spans="2:35">
      <c r="B1076" t="s">
        <v>2462</v>
      </c>
      <c r="C1076" t="s">
        <v>3468</v>
      </c>
      <c r="D1076">
        <v>6</v>
      </c>
      <c r="E1076" t="s">
        <v>2796</v>
      </c>
      <c r="F1076">
        <v>5</v>
      </c>
      <c r="G1076">
        <v>10</v>
      </c>
      <c r="H1076">
        <v>7</v>
      </c>
      <c r="I1076" t="s">
        <v>2463</v>
      </c>
      <c r="J1076" s="51">
        <v>41092</v>
      </c>
      <c r="K1076" t="s">
        <v>27</v>
      </c>
      <c r="L1076" t="s">
        <v>2427</v>
      </c>
      <c r="M1076">
        <v>3</v>
      </c>
      <c r="N1076" t="str">
        <f>L1076</f>
        <v>NAM\MB1911</v>
      </c>
      <c r="O1076" s="51">
        <f>J1076</f>
        <v>41092</v>
      </c>
      <c r="P1076" s="51" t="str">
        <f>C1076</f>
        <v>~/cdd/olddocs/Ayudas visuales/Camarillo/Amsafe/VA-AMSA-008 Rev. A  508976 APLICA 003086-0001 003088-0001 003095-0001 004000-0001.ppt</v>
      </c>
      <c r="Q1076" s="51" t="str">
        <f>E1076</f>
        <v>ppt</v>
      </c>
      <c r="R1076" s="51"/>
      <c r="S1076" s="51"/>
      <c r="T1076" s="51"/>
      <c r="U1076" s="51"/>
      <c r="V1076" s="51"/>
      <c r="W1076" s="51"/>
      <c r="X1076" s="51"/>
      <c r="Y1076" s="51"/>
      <c r="Z1076" s="51"/>
      <c r="AA1076" s="51"/>
      <c r="AB1076" s="51"/>
      <c r="AC1076" s="51"/>
      <c r="AD1076" s="51"/>
      <c r="AE1076" t="s">
        <v>30</v>
      </c>
      <c r="AF1076" t="s">
        <v>479</v>
      </c>
      <c r="AG1076">
        <v>508976</v>
      </c>
      <c r="AH1076" s="51"/>
      <c r="AI1076" s="51"/>
    </row>
    <row r="1077" spans="2:35">
      <c r="B1077" t="s">
        <v>2464</v>
      </c>
      <c r="C1077" t="s">
        <v>3469</v>
      </c>
      <c r="D1077">
        <v>6</v>
      </c>
      <c r="E1077" t="s">
        <v>2796</v>
      </c>
      <c r="F1077">
        <v>5</v>
      </c>
      <c r="G1077">
        <v>10</v>
      </c>
      <c r="H1077">
        <v>7</v>
      </c>
      <c r="I1077" t="s">
        <v>2465</v>
      </c>
      <c r="J1077" s="51">
        <v>41095</v>
      </c>
      <c r="K1077" t="s">
        <v>38</v>
      </c>
      <c r="L1077" t="s">
        <v>2427</v>
      </c>
      <c r="M1077">
        <v>3</v>
      </c>
      <c r="N1077" t="str">
        <f>L1077</f>
        <v>NAM\MB1911</v>
      </c>
      <c r="O1077" s="51">
        <f>J1077</f>
        <v>41095</v>
      </c>
      <c r="P1077" s="51" t="str">
        <f>C1077</f>
        <v>~/cdd/olddocs/Ayudas visuales/Camarillo/Amsafe/VA-AMSA-009 Rev D CABLE INTERFACE 511324.ppt</v>
      </c>
      <c r="Q1077" s="51" t="str">
        <f>E1077</f>
        <v>ppt</v>
      </c>
      <c r="R1077" s="51"/>
      <c r="S1077" s="51"/>
      <c r="T1077" s="51"/>
      <c r="U1077" s="51"/>
      <c r="V1077" s="51"/>
      <c r="W1077" s="51"/>
      <c r="X1077" s="51"/>
      <c r="Y1077" s="51"/>
      <c r="Z1077" s="51"/>
      <c r="AA1077" s="51"/>
      <c r="AB1077" s="51"/>
      <c r="AC1077" s="51"/>
      <c r="AD1077" s="51"/>
      <c r="AE1077" t="s">
        <v>2466</v>
      </c>
      <c r="AF1077" t="s">
        <v>479</v>
      </c>
      <c r="AG1077">
        <v>511324</v>
      </c>
      <c r="AH1077" s="51"/>
      <c r="AI1077" s="51"/>
    </row>
    <row r="1078" spans="2:35">
      <c r="B1078" t="s">
        <v>2467</v>
      </c>
      <c r="C1078" t="s">
        <v>3791</v>
      </c>
      <c r="D1078">
        <v>6</v>
      </c>
      <c r="E1078" t="s">
        <v>2793</v>
      </c>
      <c r="F1078">
        <v>5</v>
      </c>
      <c r="G1078">
        <v>10</v>
      </c>
      <c r="H1078">
        <v>7</v>
      </c>
      <c r="I1078" t="s">
        <v>2468</v>
      </c>
      <c r="J1078" s="51">
        <v>41177</v>
      </c>
      <c r="K1078" t="s">
        <v>2469</v>
      </c>
      <c r="L1078" t="s">
        <v>2427</v>
      </c>
      <c r="M1078">
        <v>3</v>
      </c>
      <c r="N1078" t="str">
        <f>L1078</f>
        <v>NAM\MB1911</v>
      </c>
      <c r="O1078" s="51">
        <f>J1078</f>
        <v>41177</v>
      </c>
      <c r="P1078" s="51" t="str">
        <f>C1078</f>
        <v>~cdd/olddocs/Ayudas visuales/Camarillo/Amsafe/VA-AMSA-010 Rev Doc C - Rev Draw  G  CABLE  ASSEMBLY DRAW 510256 PART 004049-0001.pptx</v>
      </c>
      <c r="Q1078" s="51" t="str">
        <f>E1078</f>
        <v>pptx</v>
      </c>
      <c r="R1078" s="51"/>
      <c r="S1078" s="51"/>
      <c r="T1078" s="51"/>
      <c r="U1078" s="51"/>
      <c r="V1078" s="51"/>
      <c r="W1078" s="51"/>
      <c r="X1078" s="51"/>
      <c r="Y1078" s="51"/>
      <c r="Z1078" s="51"/>
      <c r="AA1078" s="51"/>
      <c r="AB1078" s="51"/>
      <c r="AC1078" s="51"/>
      <c r="AD1078" s="51"/>
      <c r="AE1078" t="s">
        <v>30</v>
      </c>
      <c r="AF1078" t="s">
        <v>479</v>
      </c>
      <c r="AG1078">
        <v>510256</v>
      </c>
      <c r="AH1078" s="51"/>
      <c r="AI1078" s="51"/>
    </row>
    <row r="1079" spans="2:35">
      <c r="B1079" t="s">
        <v>2470</v>
      </c>
      <c r="C1079" t="s">
        <v>3470</v>
      </c>
      <c r="D1079">
        <v>6</v>
      </c>
      <c r="E1079" t="s">
        <v>2796</v>
      </c>
      <c r="F1079">
        <v>5</v>
      </c>
      <c r="G1079">
        <v>10</v>
      </c>
      <c r="H1079">
        <v>7</v>
      </c>
      <c r="I1079" t="s">
        <v>2471</v>
      </c>
      <c r="J1079" s="51">
        <v>41114</v>
      </c>
      <c r="K1079" t="s">
        <v>2472</v>
      </c>
      <c r="L1079" t="s">
        <v>2427</v>
      </c>
      <c r="M1079">
        <v>3</v>
      </c>
      <c r="N1079" t="str">
        <f>L1079</f>
        <v>NAM\MB1911</v>
      </c>
      <c r="O1079" s="51">
        <f>J1079</f>
        <v>41114</v>
      </c>
      <c r="P1079" s="51" t="str">
        <f>C1079</f>
        <v>~/cdd/olddocs/Ayudas visuales/Camarillo/Amsafe/VA-AMSA-011  REV T  004046-0006 (Rev T).ppt</v>
      </c>
      <c r="Q1079" s="51" t="str">
        <f>E1079</f>
        <v>ppt</v>
      </c>
      <c r="R1079" s="51"/>
      <c r="S1079" s="51"/>
      <c r="T1079" s="51"/>
      <c r="U1079" s="51"/>
      <c r="V1079" s="51"/>
      <c r="W1079" s="51"/>
      <c r="X1079" s="51"/>
      <c r="Y1079" s="51"/>
      <c r="Z1079" s="51"/>
      <c r="AA1079" s="51"/>
      <c r="AB1079" s="51"/>
      <c r="AC1079" s="51"/>
      <c r="AD1079" s="51"/>
      <c r="AE1079" t="s">
        <v>30</v>
      </c>
      <c r="AF1079" t="s">
        <v>479</v>
      </c>
      <c r="AG1079">
        <v>509701</v>
      </c>
      <c r="AH1079" s="51"/>
      <c r="AI1079" s="51"/>
    </row>
    <row r="1080" spans="2:35">
      <c r="B1080" t="s">
        <v>2473</v>
      </c>
      <c r="C1080" t="s">
        <v>3471</v>
      </c>
      <c r="D1080">
        <v>6</v>
      </c>
      <c r="E1080" t="s">
        <v>2793</v>
      </c>
      <c r="F1080">
        <v>5</v>
      </c>
      <c r="G1080">
        <v>10</v>
      </c>
      <c r="H1080">
        <v>7</v>
      </c>
      <c r="I1080" t="s">
        <v>2474</v>
      </c>
      <c r="J1080" s="51">
        <v>41114</v>
      </c>
      <c r="K1080" t="s">
        <v>2472</v>
      </c>
      <c r="L1080" t="s">
        <v>2427</v>
      </c>
      <c r="M1080">
        <v>3</v>
      </c>
      <c r="N1080" t="str">
        <f>L1080</f>
        <v>NAM\MB1911</v>
      </c>
      <c r="O1080" s="51">
        <f>J1080</f>
        <v>41114</v>
      </c>
      <c r="P1080" s="51" t="str">
        <f>C1080</f>
        <v>~/cdd/olddocs/Ayudas visuales/Camarillo/Amsafe/VA-AMSA-012  REV T  004042-0001, 004042-0002, 004042-0003, 004046-0004 (Rev T).pptx</v>
      </c>
      <c r="Q1080" s="51" t="str">
        <f>E1080</f>
        <v>pptx</v>
      </c>
      <c r="R1080" s="51"/>
      <c r="S1080" s="51"/>
      <c r="T1080" s="51"/>
      <c r="U1080" s="51"/>
      <c r="V1080" s="51"/>
      <c r="W1080" s="51"/>
      <c r="X1080" s="51"/>
      <c r="Y1080" s="51"/>
      <c r="Z1080" s="51"/>
      <c r="AA1080" s="51"/>
      <c r="AB1080" s="51"/>
      <c r="AC1080" s="51"/>
      <c r="AD1080" s="51"/>
      <c r="AE1080" t="s">
        <v>30</v>
      </c>
      <c r="AF1080" t="s">
        <v>479</v>
      </c>
      <c r="AG1080">
        <v>509701</v>
      </c>
      <c r="AH1080" s="51"/>
      <c r="AI1080" s="51"/>
    </row>
    <row r="1081" spans="2:35">
      <c r="B1081" t="s">
        <v>2475</v>
      </c>
      <c r="C1081" t="s">
        <v>3792</v>
      </c>
      <c r="D1081">
        <v>6</v>
      </c>
      <c r="E1081" t="s">
        <v>2796</v>
      </c>
      <c r="F1081">
        <v>5</v>
      </c>
      <c r="G1081">
        <v>10</v>
      </c>
      <c r="H1081">
        <v>7</v>
      </c>
      <c r="I1081" t="s">
        <v>3781</v>
      </c>
      <c r="J1081" s="51">
        <v>41192</v>
      </c>
      <c r="K1081" t="s">
        <v>2477</v>
      </c>
      <c r="L1081" t="s">
        <v>2427</v>
      </c>
      <c r="M1081">
        <v>3</v>
      </c>
      <c r="N1081" t="str">
        <f>L1081</f>
        <v>NAM\MB1911</v>
      </c>
      <c r="O1081" s="51">
        <f>J1081</f>
        <v>41192</v>
      </c>
      <c r="P1081" s="51" t="str">
        <f>C1081</f>
        <v>~cdd/olddocs/Ayudas visuales/Camarillo/Amsafe/VA-AMSA-013 Rev Doc AI - Rev Draw AG   CABLE INTERFACE 508978  pag 2 PART 003089-XXXX Y 004035-XXXX.ppt</v>
      </c>
      <c r="Q1081" s="51" t="str">
        <f>E1081</f>
        <v>ppt</v>
      </c>
      <c r="R1081" s="51"/>
      <c r="S1081" s="51"/>
      <c r="T1081" s="51"/>
      <c r="U1081" s="51"/>
      <c r="V1081" s="51"/>
      <c r="W1081" s="51"/>
      <c r="X1081" s="51"/>
      <c r="Y1081" s="51"/>
      <c r="Z1081" s="51"/>
      <c r="AA1081" s="51"/>
      <c r="AB1081" s="51"/>
      <c r="AC1081" s="51"/>
      <c r="AD1081" s="51"/>
      <c r="AE1081" t="s">
        <v>2478</v>
      </c>
      <c r="AF1081" t="s">
        <v>479</v>
      </c>
      <c r="AG1081">
        <v>508978</v>
      </c>
      <c r="AH1081" s="51"/>
      <c r="AI1081" s="51"/>
    </row>
    <row r="1082" spans="2:35">
      <c r="B1082" t="s">
        <v>2479</v>
      </c>
      <c r="C1082" t="s">
        <v>3472</v>
      </c>
      <c r="D1082">
        <v>6</v>
      </c>
      <c r="E1082" t="s">
        <v>2796</v>
      </c>
      <c r="F1082">
        <v>5</v>
      </c>
      <c r="G1082">
        <v>10</v>
      </c>
      <c r="H1082">
        <v>7</v>
      </c>
      <c r="I1082" t="s">
        <v>2480</v>
      </c>
      <c r="J1082" s="51">
        <v>41117</v>
      </c>
      <c r="K1082" t="s">
        <v>27</v>
      </c>
      <c r="L1082" t="s">
        <v>2427</v>
      </c>
      <c r="M1082">
        <v>3</v>
      </c>
      <c r="N1082" t="str">
        <f>L1082</f>
        <v>NAM\MB1911</v>
      </c>
      <c r="O1082" s="51">
        <f>J1082</f>
        <v>41117</v>
      </c>
      <c r="P1082" s="51" t="str">
        <f>C1082</f>
        <v>~/cdd/olddocs/Ayudas visuales/Camarillo/Amsafe/VA-AMSA-014  REV --  (Es revision A error tipografico --)  511434 (004070-0001).ppt</v>
      </c>
      <c r="Q1082" s="51" t="str">
        <f>E1082</f>
        <v>ppt</v>
      </c>
      <c r="R1082" s="51"/>
      <c r="S1082" s="51"/>
      <c r="T1082" s="51"/>
      <c r="U1082" s="51"/>
      <c r="V1082" s="51"/>
      <c r="W1082" s="51"/>
      <c r="X1082" s="51"/>
      <c r="Y1082" s="51"/>
      <c r="Z1082" s="51"/>
      <c r="AA1082" s="51"/>
      <c r="AB1082" s="51"/>
      <c r="AC1082" s="51"/>
      <c r="AD1082" s="51"/>
      <c r="AE1082" t="s">
        <v>30</v>
      </c>
      <c r="AF1082" t="s">
        <v>479</v>
      </c>
      <c r="AG1082">
        <v>511434</v>
      </c>
      <c r="AH1082" s="51"/>
      <c r="AI1082" s="51"/>
    </row>
    <row r="1083" spans="2:35">
      <c r="B1083" t="s">
        <v>2481</v>
      </c>
      <c r="C1083" t="s">
        <v>3473</v>
      </c>
      <c r="D1083">
        <v>6</v>
      </c>
      <c r="E1083" t="s">
        <v>2796</v>
      </c>
      <c r="F1083">
        <v>5</v>
      </c>
      <c r="G1083">
        <v>10</v>
      </c>
      <c r="H1083">
        <v>7</v>
      </c>
      <c r="I1083" t="s">
        <v>2482</v>
      </c>
      <c r="J1083" s="51">
        <v>41117</v>
      </c>
      <c r="K1083" t="s">
        <v>2483</v>
      </c>
      <c r="L1083" t="s">
        <v>2427</v>
      </c>
      <c r="M1083">
        <v>3</v>
      </c>
      <c r="N1083" t="str">
        <f>L1083</f>
        <v>NAM\MB1911</v>
      </c>
      <c r="O1083" s="51">
        <f>J1083</f>
        <v>41117</v>
      </c>
      <c r="P1083" s="51" t="str">
        <f>C1083</f>
        <v>~/cdd/olddocs/Ayudas visuales/Camarillo/Amsafe/VA-AMSA-015  REV DOC A- DRAWING REV L    508348  PART   003075-0001.ppt</v>
      </c>
      <c r="Q1083" s="51" t="str">
        <f>E1083</f>
        <v>ppt</v>
      </c>
      <c r="R1083" s="51"/>
      <c r="S1083" s="51"/>
      <c r="T1083" s="51"/>
      <c r="U1083" s="51"/>
      <c r="V1083" s="51"/>
      <c r="W1083" s="51"/>
      <c r="X1083" s="51"/>
      <c r="Y1083" s="51"/>
      <c r="Z1083" s="51"/>
      <c r="AA1083" s="51"/>
      <c r="AB1083" s="51"/>
      <c r="AC1083" s="51"/>
      <c r="AD1083" s="51"/>
      <c r="AE1083" t="s">
        <v>30</v>
      </c>
      <c r="AF1083" t="s">
        <v>479</v>
      </c>
      <c r="AG1083">
        <v>508348</v>
      </c>
      <c r="AH1083" s="51"/>
      <c r="AI1083" s="51"/>
    </row>
    <row r="1084" spans="2:35">
      <c r="B1084" t="s">
        <v>2484</v>
      </c>
      <c r="C1084" t="s">
        <v>3793</v>
      </c>
      <c r="D1084">
        <v>6</v>
      </c>
      <c r="E1084" t="s">
        <v>2796</v>
      </c>
      <c r="F1084">
        <v>5</v>
      </c>
      <c r="G1084">
        <v>10</v>
      </c>
      <c r="H1084">
        <v>7</v>
      </c>
      <c r="I1084" t="s">
        <v>2485</v>
      </c>
      <c r="J1084" s="51">
        <v>41192</v>
      </c>
      <c r="K1084" t="s">
        <v>2486</v>
      </c>
      <c r="L1084" t="s">
        <v>2427</v>
      </c>
      <c r="M1084">
        <v>3</v>
      </c>
      <c r="N1084" t="str">
        <f>L1084</f>
        <v>NAM\MB1911</v>
      </c>
      <c r="O1084" s="51">
        <f>J1084</f>
        <v>41192</v>
      </c>
      <c r="P1084" s="51" t="str">
        <f>C1084</f>
        <v>~cdd/olddocs/Ayudas visuales/Camarillo/Amsafe/VA-AMSA-016  Rev Doc H - Drawing  BN Cable assembly interface 509976 Pag 7.ppt</v>
      </c>
      <c r="Q1084" s="51" t="str">
        <f>E1084</f>
        <v>ppt</v>
      </c>
      <c r="R1084" s="51"/>
      <c r="S1084" s="51"/>
      <c r="T1084" s="51"/>
      <c r="U1084" s="51"/>
      <c r="V1084" s="51"/>
      <c r="W1084" s="51"/>
      <c r="X1084" s="51"/>
      <c r="Y1084" s="51"/>
      <c r="Z1084" s="51"/>
      <c r="AA1084" s="51"/>
      <c r="AB1084" s="51"/>
      <c r="AC1084" s="51"/>
      <c r="AD1084" s="51"/>
      <c r="AE1084" t="s">
        <v>2487</v>
      </c>
      <c r="AF1084" t="s">
        <v>479</v>
      </c>
      <c r="AG1084">
        <v>509976</v>
      </c>
      <c r="AH1084" s="51"/>
      <c r="AI1084" s="51"/>
    </row>
    <row r="1085" spans="2:35">
      <c r="B1085" t="s">
        <v>2488</v>
      </c>
      <c r="C1085" t="s">
        <v>3474</v>
      </c>
      <c r="D1085">
        <v>6</v>
      </c>
      <c r="E1085" t="s">
        <v>2796</v>
      </c>
      <c r="F1085">
        <v>5</v>
      </c>
      <c r="G1085">
        <v>10</v>
      </c>
      <c r="H1085">
        <v>7</v>
      </c>
      <c r="I1085" t="s">
        <v>2489</v>
      </c>
      <c r="J1085" s="51">
        <v>41054</v>
      </c>
      <c r="K1085" t="s">
        <v>2490</v>
      </c>
      <c r="L1085" t="s">
        <v>2427</v>
      </c>
      <c r="M1085">
        <v>3</v>
      </c>
      <c r="N1085" t="str">
        <f>L1085</f>
        <v>NAM\MB1911</v>
      </c>
      <c r="O1085" s="51">
        <f>J1085</f>
        <v>41054</v>
      </c>
      <c r="P1085" s="51" t="str">
        <f>C1085</f>
        <v>~/cdd/olddocs/Ayudas visuales/Camarillo/Amsafe/VA-AMSA-017 Rev Doc B- Drawing AN CABLE ASSEMBLY INTERFACE 508976 pag 4.ppt</v>
      </c>
      <c r="Q1085" s="51" t="str">
        <f>E1085</f>
        <v>ppt</v>
      </c>
      <c r="R1085" s="51"/>
      <c r="S1085" s="51"/>
      <c r="T1085" s="51"/>
      <c r="U1085" s="51"/>
      <c r="V1085" s="51"/>
      <c r="W1085" s="51"/>
      <c r="X1085" s="51"/>
      <c r="Y1085" s="51"/>
      <c r="Z1085" s="51"/>
      <c r="AA1085" s="51"/>
      <c r="AB1085" s="51"/>
      <c r="AC1085" s="51"/>
      <c r="AD1085" s="51"/>
      <c r="AE1085" t="s">
        <v>30</v>
      </c>
      <c r="AF1085" t="s">
        <v>479</v>
      </c>
      <c r="AG1085">
        <v>508976</v>
      </c>
      <c r="AH1085" s="51"/>
      <c r="AI1085" s="51"/>
    </row>
    <row r="1086" spans="2:35">
      <c r="B1086" t="s">
        <v>2491</v>
      </c>
      <c r="C1086" t="s">
        <v>3475</v>
      </c>
      <c r="D1086">
        <v>6</v>
      </c>
      <c r="E1086" t="s">
        <v>2796</v>
      </c>
      <c r="F1086">
        <v>5</v>
      </c>
      <c r="G1086">
        <v>10</v>
      </c>
      <c r="H1086">
        <v>7</v>
      </c>
      <c r="I1086" t="s">
        <v>2492</v>
      </c>
      <c r="J1086" s="51">
        <v>41054</v>
      </c>
      <c r="K1086" t="s">
        <v>2493</v>
      </c>
      <c r="L1086" t="s">
        <v>2427</v>
      </c>
      <c r="M1086">
        <v>3</v>
      </c>
      <c r="N1086" t="str">
        <f>L1086</f>
        <v>NAM\MB1911</v>
      </c>
      <c r="O1086" s="51">
        <f>J1086</f>
        <v>41054</v>
      </c>
      <c r="P1086" s="51" t="str">
        <f>C1086</f>
        <v>~/cdd/olddocs/Ayudas visuales/Camarillo/Amsafe/VA-AMSA-018 Rev Doc B- Drawing AN CABLE ASSEMBLY INTERFACE  508976 pag 7.ppt</v>
      </c>
      <c r="Q1086" s="51" t="str">
        <f>E1086</f>
        <v>ppt</v>
      </c>
      <c r="R1086" s="51"/>
      <c r="S1086" s="51"/>
      <c r="T1086" s="51"/>
      <c r="U1086" s="51"/>
      <c r="V1086" s="51"/>
      <c r="W1086" s="51"/>
      <c r="X1086" s="51"/>
      <c r="Y1086" s="51"/>
      <c r="Z1086" s="51"/>
      <c r="AA1086" s="51"/>
      <c r="AB1086" s="51"/>
      <c r="AC1086" s="51"/>
      <c r="AD1086" s="51"/>
      <c r="AE1086" t="s">
        <v>30</v>
      </c>
      <c r="AF1086" t="s">
        <v>479</v>
      </c>
      <c r="AG1086">
        <v>508976</v>
      </c>
      <c r="AH1086" s="51"/>
      <c r="AI1086" s="51"/>
    </row>
    <row r="1087" spans="2:35">
      <c r="B1087" t="s">
        <v>2494</v>
      </c>
      <c r="C1087" t="s">
        <v>3476</v>
      </c>
      <c r="D1087">
        <v>6</v>
      </c>
      <c r="E1087" t="s">
        <v>2796</v>
      </c>
      <c r="F1087">
        <v>5</v>
      </c>
      <c r="G1087">
        <v>10</v>
      </c>
      <c r="H1087">
        <v>7</v>
      </c>
      <c r="I1087" t="s">
        <v>2495</v>
      </c>
      <c r="J1087" s="51">
        <v>41120</v>
      </c>
      <c r="K1087" t="s">
        <v>2496</v>
      </c>
      <c r="L1087" t="s">
        <v>2427</v>
      </c>
      <c r="M1087">
        <v>3</v>
      </c>
      <c r="N1087" t="str">
        <f>L1087</f>
        <v>NAM\MB1911</v>
      </c>
      <c r="O1087" s="51">
        <f>J1087</f>
        <v>41120</v>
      </c>
      <c r="P1087" s="51" t="str">
        <f>C1087</f>
        <v>~/cdd/olddocs/Ayudas visuales/Camarillo/Amsafe/VA-AMSA-019  Rev Doc D- Drawing  AG CABLE INTERFACE 508978 Pag 3.ppt</v>
      </c>
      <c r="Q1087" s="51" t="str">
        <f>E1087</f>
        <v>ppt</v>
      </c>
      <c r="R1087" s="51"/>
      <c r="S1087" s="51"/>
      <c r="T1087" s="51"/>
      <c r="U1087" s="51"/>
      <c r="V1087" s="51"/>
      <c r="W1087" s="51"/>
      <c r="X1087" s="51"/>
      <c r="Y1087" s="51"/>
      <c r="Z1087" s="51"/>
      <c r="AA1087" s="51"/>
      <c r="AB1087" s="51"/>
      <c r="AC1087" s="51"/>
      <c r="AD1087" s="51"/>
      <c r="AE1087" t="s">
        <v>30</v>
      </c>
      <c r="AF1087" t="s">
        <v>479</v>
      </c>
      <c r="AG1087">
        <v>508978</v>
      </c>
      <c r="AH1087" s="51"/>
      <c r="AI1087" s="51"/>
    </row>
    <row r="1088" spans="2:35">
      <c r="B1088" t="s">
        <v>2497</v>
      </c>
      <c r="C1088" t="s">
        <v>3794</v>
      </c>
      <c r="D1088">
        <v>6</v>
      </c>
      <c r="E1088" t="s">
        <v>2796</v>
      </c>
      <c r="F1088">
        <v>5</v>
      </c>
      <c r="G1088">
        <v>10</v>
      </c>
      <c r="H1088">
        <v>7</v>
      </c>
      <c r="I1088" t="s">
        <v>2498</v>
      </c>
      <c r="J1088" s="51">
        <v>41143</v>
      </c>
      <c r="K1088" t="s">
        <v>2499</v>
      </c>
      <c r="L1088" t="s">
        <v>2427</v>
      </c>
      <c r="M1088">
        <v>3</v>
      </c>
      <c r="N1088" t="str">
        <f>L1088</f>
        <v>NAM\MB1911</v>
      </c>
      <c r="O1088" s="51">
        <f>J1088</f>
        <v>41143</v>
      </c>
      <c r="P1088" s="51" t="str">
        <f>C1088</f>
        <v>~cdd/olddocs/Ayudas visuales/Camarillo/Amsafe/VA-AMSA-020 Rev Doc D-  Drawing T  CABLE ASSEMBLY INTERFACE  509701 Pag 4.ppt</v>
      </c>
      <c r="Q1088" s="51" t="str">
        <f>E1088</f>
        <v>ppt</v>
      </c>
      <c r="R1088" s="51"/>
      <c r="S1088" s="51"/>
      <c r="T1088" s="51"/>
      <c r="U1088" s="51"/>
      <c r="V1088" s="51"/>
      <c r="W1088" s="51"/>
      <c r="X1088" s="51"/>
      <c r="Y1088" s="51"/>
      <c r="Z1088" s="51"/>
      <c r="AA1088" s="51"/>
      <c r="AB1088" s="51"/>
      <c r="AC1088" s="51"/>
      <c r="AD1088" s="51"/>
      <c r="AE1088" t="s">
        <v>2500</v>
      </c>
      <c r="AF1088" t="s">
        <v>479</v>
      </c>
      <c r="AG1088">
        <v>509701</v>
      </c>
      <c r="AH1088" s="51"/>
      <c r="AI1088" s="51"/>
    </row>
    <row r="1089" spans="2:35">
      <c r="B1089" t="s">
        <v>2501</v>
      </c>
      <c r="C1089" t="s">
        <v>3795</v>
      </c>
      <c r="D1089">
        <v>6</v>
      </c>
      <c r="E1089" t="s">
        <v>2796</v>
      </c>
      <c r="F1089">
        <v>5</v>
      </c>
      <c r="G1089">
        <v>10</v>
      </c>
      <c r="H1089">
        <v>7</v>
      </c>
      <c r="I1089" t="s">
        <v>2502</v>
      </c>
      <c r="J1089" s="51">
        <v>41121</v>
      </c>
      <c r="K1089" t="s">
        <v>2503</v>
      </c>
      <c r="L1089" t="s">
        <v>2427</v>
      </c>
      <c r="M1089">
        <v>3</v>
      </c>
      <c r="N1089" t="str">
        <f>L1089</f>
        <v>NAM\MB1911</v>
      </c>
      <c r="O1089" s="51">
        <f>J1089</f>
        <v>41121</v>
      </c>
      <c r="P1089" s="51" t="str">
        <f>C1089</f>
        <v>~cdd/olddocs/Ayudas visuales/Camarillo/Amsafe/VA-AMSA-021 Rev Doc B- Drawing  E   CABLE ASSEMBLY 509828-201  pag 1 PART 004041-0001.ppt</v>
      </c>
      <c r="Q1089" s="51" t="str">
        <f>E1089</f>
        <v>ppt</v>
      </c>
      <c r="R1089" s="51"/>
      <c r="S1089" s="51"/>
      <c r="T1089" s="51"/>
      <c r="U1089" s="51"/>
      <c r="V1089" s="51"/>
      <c r="W1089" s="51"/>
      <c r="X1089" s="51"/>
      <c r="Y1089" s="51"/>
      <c r="Z1089" s="51"/>
      <c r="AA1089" s="51"/>
      <c r="AB1089" s="51"/>
      <c r="AC1089" s="51"/>
      <c r="AD1089" s="51"/>
      <c r="AE1089" t="s">
        <v>30</v>
      </c>
      <c r="AF1089" t="s">
        <v>479</v>
      </c>
      <c r="AG1089">
        <v>509828</v>
      </c>
      <c r="AH1089" s="51"/>
      <c r="AI1089" s="51"/>
    </row>
    <row r="1090" spans="2:35">
      <c r="B1090" t="s">
        <v>2504</v>
      </c>
      <c r="C1090" t="s">
        <v>3796</v>
      </c>
      <c r="D1090">
        <v>6</v>
      </c>
      <c r="E1090" t="s">
        <v>2796</v>
      </c>
      <c r="F1090">
        <v>5</v>
      </c>
      <c r="G1090">
        <v>10</v>
      </c>
      <c r="H1090">
        <v>7</v>
      </c>
      <c r="I1090" t="s">
        <v>2505</v>
      </c>
      <c r="J1090" s="51">
        <v>41197</v>
      </c>
      <c r="K1090" t="s">
        <v>2506</v>
      </c>
      <c r="L1090" t="s">
        <v>2427</v>
      </c>
      <c r="M1090">
        <v>3</v>
      </c>
      <c r="N1090" t="str">
        <f>L1090</f>
        <v>NAM\MB1911</v>
      </c>
      <c r="O1090" s="51">
        <f>J1090</f>
        <v>41197</v>
      </c>
      <c r="P1090" s="51" t="str">
        <f>C1090</f>
        <v>~cdd/olddocs/Ayudas visuales/Camarillo/Amsafe/VA-AMSA-022 Rev Doc B -  Drawing BM CABLE ASSEMBLY INTERFACE  509976 Pag 13.ppt</v>
      </c>
      <c r="Q1090" s="51" t="str">
        <f>E1090</f>
        <v>ppt</v>
      </c>
      <c r="R1090" s="51"/>
      <c r="S1090" s="51"/>
      <c r="T1090" s="51"/>
      <c r="U1090" s="51"/>
      <c r="V1090" s="51"/>
      <c r="W1090" s="51"/>
      <c r="X1090" s="51"/>
      <c r="Y1090" s="51"/>
      <c r="Z1090" s="51"/>
      <c r="AA1090" s="51"/>
      <c r="AB1090" s="51"/>
      <c r="AC1090" s="51"/>
      <c r="AD1090" s="51"/>
      <c r="AE1090" t="s">
        <v>30</v>
      </c>
      <c r="AF1090" t="s">
        <v>479</v>
      </c>
      <c r="AG1090">
        <v>509976</v>
      </c>
      <c r="AH1090" s="51"/>
      <c r="AI1090" s="51"/>
    </row>
    <row r="1091" spans="2:35">
      <c r="B1091" t="s">
        <v>2507</v>
      </c>
      <c r="C1091" t="s">
        <v>3797</v>
      </c>
      <c r="D1091">
        <v>6</v>
      </c>
      <c r="E1091" t="s">
        <v>2796</v>
      </c>
      <c r="F1091">
        <v>5</v>
      </c>
      <c r="G1091">
        <v>10</v>
      </c>
      <c r="H1091">
        <v>7</v>
      </c>
      <c r="I1091" t="s">
        <v>2508</v>
      </c>
      <c r="J1091" s="51">
        <v>41212</v>
      </c>
      <c r="K1091" t="s">
        <v>2509</v>
      </c>
      <c r="L1091" t="s">
        <v>2427</v>
      </c>
      <c r="M1091">
        <v>3</v>
      </c>
      <c r="N1091" t="str">
        <f>L1091</f>
        <v>NAM\MB1911</v>
      </c>
      <c r="O1091" s="51">
        <f>J1091</f>
        <v>41212</v>
      </c>
      <c r="P1091" s="51" t="str">
        <f>C1091</f>
        <v>~cdd/olddocs/Ayudas visuales/Camarillo/Amsafe/VA-AMSA-023  Rev Doc E - Drawing Rev BN CABLE ASSEMBLY INTERFACE 509976 Pag 10.ppt</v>
      </c>
      <c r="Q1091" s="51" t="str">
        <f>E1091</f>
        <v>ppt</v>
      </c>
      <c r="R1091" s="51"/>
      <c r="S1091" s="51"/>
      <c r="T1091" s="51"/>
      <c r="U1091" s="51"/>
      <c r="V1091" s="51"/>
      <c r="W1091" s="51"/>
      <c r="X1091" s="51"/>
      <c r="Y1091" s="51"/>
      <c r="Z1091" s="51"/>
      <c r="AA1091" s="51"/>
      <c r="AB1091" s="51"/>
      <c r="AC1091" s="51"/>
      <c r="AD1091" s="51"/>
      <c r="AE1091" t="s">
        <v>30</v>
      </c>
      <c r="AF1091" t="s">
        <v>479</v>
      </c>
      <c r="AG1091">
        <v>509976</v>
      </c>
      <c r="AH1091" s="51"/>
      <c r="AI1091" s="51"/>
    </row>
    <row r="1092" spans="2:35">
      <c r="B1092" t="s">
        <v>2510</v>
      </c>
      <c r="C1092" t="s">
        <v>3798</v>
      </c>
      <c r="D1092">
        <v>6</v>
      </c>
      <c r="E1092" t="s">
        <v>2796</v>
      </c>
      <c r="F1092">
        <v>5</v>
      </c>
      <c r="G1092">
        <v>10</v>
      </c>
      <c r="H1092">
        <v>7</v>
      </c>
      <c r="I1092" t="s">
        <v>2511</v>
      </c>
      <c r="J1092" s="51">
        <v>41212</v>
      </c>
      <c r="K1092" t="s">
        <v>2512</v>
      </c>
      <c r="L1092" t="s">
        <v>2427</v>
      </c>
      <c r="M1092">
        <v>3</v>
      </c>
      <c r="N1092" t="str">
        <f>L1092</f>
        <v>NAM\MB1911</v>
      </c>
      <c r="O1092" s="51">
        <f>J1092</f>
        <v>41212</v>
      </c>
      <c r="P1092" s="51" t="str">
        <f>C1092</f>
        <v>~cdd/olddocs/Ayudas visuales/Camarillo/Amsafe/VA-AMSA-024  Rev Doc  AN - Drawing Rev BN    CABLE ASSEMBLY 509976 Pag. 6.ppt</v>
      </c>
      <c r="Q1092" s="51" t="str">
        <f>E1092</f>
        <v>ppt</v>
      </c>
      <c r="R1092" s="51"/>
      <c r="S1092" s="51"/>
      <c r="T1092" s="51"/>
      <c r="U1092" s="51"/>
      <c r="V1092" s="51"/>
      <c r="W1092" s="51"/>
      <c r="X1092" s="51"/>
      <c r="Y1092" s="51"/>
      <c r="Z1092" s="51"/>
      <c r="AA1092" s="51"/>
      <c r="AB1092" s="51"/>
      <c r="AC1092" s="51"/>
      <c r="AD1092" s="51"/>
      <c r="AE1092" t="s">
        <v>30</v>
      </c>
      <c r="AF1092" t="s">
        <v>479</v>
      </c>
      <c r="AG1092">
        <v>509976</v>
      </c>
      <c r="AH1092" s="51"/>
      <c r="AI1092" s="51"/>
    </row>
    <row r="1093" spans="2:35">
      <c r="B1093" t="s">
        <v>2513</v>
      </c>
      <c r="C1093" t="s">
        <v>3799</v>
      </c>
      <c r="D1093">
        <v>6</v>
      </c>
      <c r="E1093" t="s">
        <v>2796</v>
      </c>
      <c r="F1093">
        <v>5</v>
      </c>
      <c r="G1093">
        <v>10</v>
      </c>
      <c r="H1093">
        <v>7</v>
      </c>
      <c r="I1093" t="s">
        <v>2514</v>
      </c>
      <c r="J1093" s="51">
        <v>41143</v>
      </c>
      <c r="K1093" t="s">
        <v>2515</v>
      </c>
      <c r="L1093" t="s">
        <v>2427</v>
      </c>
      <c r="M1093">
        <v>3</v>
      </c>
      <c r="N1093" t="str">
        <f>L1093</f>
        <v>NAM\MB1911</v>
      </c>
      <c r="O1093" s="51">
        <f>J1093</f>
        <v>41143</v>
      </c>
      <c r="P1093" s="51" t="str">
        <f>C1093</f>
        <v>~cdd/olddocs/Ayudas visuales/Camarillo/Amsafe/VA-AMSA-025  Rev Doc C - Rev Drawing K  DRAWNG 509320  PART 004002-0001 Pag 1.ppt</v>
      </c>
      <c r="Q1093" s="51" t="str">
        <f>E1093</f>
        <v>ppt</v>
      </c>
      <c r="R1093" s="51"/>
      <c r="S1093" s="51"/>
      <c r="T1093" s="51"/>
      <c r="U1093" s="51"/>
      <c r="V1093" s="51"/>
      <c r="W1093" s="51"/>
      <c r="X1093" s="51"/>
      <c r="Y1093" s="51"/>
      <c r="Z1093" s="51"/>
      <c r="AA1093" s="51"/>
      <c r="AB1093" s="51"/>
      <c r="AC1093" s="51"/>
      <c r="AD1093" s="51"/>
      <c r="AE1093" t="s">
        <v>30</v>
      </c>
      <c r="AF1093" t="s">
        <v>479</v>
      </c>
      <c r="AG1093">
        <v>509320</v>
      </c>
      <c r="AH1093" s="51"/>
      <c r="AI1093" s="51"/>
    </row>
    <row r="1094" spans="2:35">
      <c r="B1094" t="s">
        <v>2516</v>
      </c>
      <c r="C1094" t="s">
        <v>3800</v>
      </c>
      <c r="D1094">
        <v>6</v>
      </c>
      <c r="E1094" t="s">
        <v>2796</v>
      </c>
      <c r="F1094">
        <v>5</v>
      </c>
      <c r="G1094">
        <v>10</v>
      </c>
      <c r="H1094">
        <v>7</v>
      </c>
      <c r="I1094" t="s">
        <v>2517</v>
      </c>
      <c r="J1094" s="51">
        <v>41177</v>
      </c>
      <c r="K1094" t="s">
        <v>2518</v>
      </c>
      <c r="L1094" t="s">
        <v>2427</v>
      </c>
      <c r="M1094">
        <v>3</v>
      </c>
      <c r="N1094" t="str">
        <f>L1094</f>
        <v>NAM\MB1911</v>
      </c>
      <c r="O1094" s="51">
        <f>J1094</f>
        <v>41177</v>
      </c>
      <c r="P1094" s="51" t="str">
        <f>C1094</f>
        <v>~cdd/olddocs/Ayudas visuales/Camarillo/Amsafe/VA-AMSA-026 Rev Doc B - Rev Drawing AN   ESTAMPADO PARA EL  508976.ppt</v>
      </c>
      <c r="Q1094" s="51" t="str">
        <f>E1094</f>
        <v>ppt</v>
      </c>
      <c r="R1094" s="51"/>
      <c r="S1094" s="51"/>
      <c r="T1094" s="51"/>
      <c r="U1094" s="51"/>
      <c r="V1094" s="51"/>
      <c r="W1094" s="51"/>
      <c r="X1094" s="51"/>
      <c r="Y1094" s="51"/>
      <c r="Z1094" s="51"/>
      <c r="AA1094" s="51"/>
      <c r="AB1094" s="51"/>
      <c r="AC1094" s="51"/>
      <c r="AD1094" s="51"/>
      <c r="AE1094" t="s">
        <v>30</v>
      </c>
      <c r="AF1094" t="s">
        <v>479</v>
      </c>
      <c r="AG1094">
        <v>508976</v>
      </c>
      <c r="AH1094" s="51"/>
      <c r="AI1094" s="51"/>
    </row>
    <row r="1095" spans="2:35">
      <c r="B1095" t="s">
        <v>2519</v>
      </c>
      <c r="C1095" t="s">
        <v>3801</v>
      </c>
      <c r="D1095">
        <v>6</v>
      </c>
      <c r="E1095" t="s">
        <v>2796</v>
      </c>
      <c r="F1095">
        <v>5</v>
      </c>
      <c r="G1095">
        <v>10</v>
      </c>
      <c r="H1095">
        <v>7</v>
      </c>
      <c r="I1095" t="s">
        <v>2520</v>
      </c>
      <c r="J1095" s="51">
        <v>41143</v>
      </c>
      <c r="K1095" t="s">
        <v>2521</v>
      </c>
      <c r="L1095" t="s">
        <v>2427</v>
      </c>
      <c r="M1095">
        <v>3</v>
      </c>
      <c r="N1095" t="str">
        <f>L1095</f>
        <v>NAM\MB1911</v>
      </c>
      <c r="O1095" s="51">
        <f>J1095</f>
        <v>41143</v>
      </c>
      <c r="P1095" s="51" t="str">
        <f>C1095</f>
        <v>~cdd/olddocs/Ayudas visuales/Camarillo/Amsafe/VA-AMSA-027 Rev Doc D - Rev Drawing H  CABLE ASSEMBLY PIGTAIL 508340  003077-001.ppt</v>
      </c>
      <c r="Q1095" s="51" t="str">
        <f>E1095</f>
        <v>ppt</v>
      </c>
      <c r="R1095" s="51"/>
      <c r="S1095" s="51"/>
      <c r="T1095" s="51"/>
      <c r="U1095" s="51"/>
      <c r="V1095" s="51"/>
      <c r="W1095" s="51"/>
      <c r="X1095" s="51"/>
      <c r="Y1095" s="51"/>
      <c r="Z1095" s="51"/>
      <c r="AA1095" s="51"/>
      <c r="AB1095" s="51"/>
      <c r="AC1095" s="51"/>
      <c r="AD1095" s="51"/>
      <c r="AE1095" t="s">
        <v>30</v>
      </c>
      <c r="AF1095" t="s">
        <v>479</v>
      </c>
      <c r="AG1095">
        <v>508340</v>
      </c>
      <c r="AH1095" s="51"/>
      <c r="AI1095" s="51"/>
    </row>
    <row r="1096" spans="2:35">
      <c r="B1096" t="s">
        <v>2522</v>
      </c>
      <c r="C1096" t="s">
        <v>3802</v>
      </c>
      <c r="D1096">
        <v>6</v>
      </c>
      <c r="E1096" t="s">
        <v>2796</v>
      </c>
      <c r="F1096">
        <v>5</v>
      </c>
      <c r="G1096">
        <v>10</v>
      </c>
      <c r="H1096">
        <v>7</v>
      </c>
      <c r="I1096" t="s">
        <v>2523</v>
      </c>
      <c r="J1096" s="51">
        <v>41177</v>
      </c>
      <c r="K1096" t="s">
        <v>2524</v>
      </c>
      <c r="L1096" t="s">
        <v>2427</v>
      </c>
      <c r="M1096">
        <v>3</v>
      </c>
      <c r="N1096" t="str">
        <f>L1096</f>
        <v>NAM\MB1911</v>
      </c>
      <c r="O1096" s="51">
        <f>J1096</f>
        <v>41177</v>
      </c>
      <c r="P1096" s="51" t="str">
        <f>C1096</f>
        <v>~cdd/olddocs/Ayudas visuales/Camarillo/Amsafe/VA-AMSA-028  Rev Doc C - Rev Drawing  C  T511890 part 004080-0001.ppt</v>
      </c>
      <c r="Q1096" s="51" t="str">
        <f>E1096</f>
        <v>ppt</v>
      </c>
      <c r="R1096" s="51"/>
      <c r="S1096" s="51"/>
      <c r="T1096" s="51"/>
      <c r="U1096" s="51"/>
      <c r="V1096" s="51"/>
      <c r="W1096" s="51"/>
      <c r="X1096" s="51"/>
      <c r="Y1096" s="51"/>
      <c r="Z1096" s="51"/>
      <c r="AA1096" s="51"/>
      <c r="AB1096" s="51"/>
      <c r="AC1096" s="51"/>
      <c r="AD1096" s="51"/>
      <c r="AE1096" t="s">
        <v>30</v>
      </c>
      <c r="AF1096" t="s">
        <v>479</v>
      </c>
      <c r="AG1096" t="s">
        <v>2525</v>
      </c>
      <c r="AH1096" s="51"/>
      <c r="AI1096" s="51"/>
    </row>
    <row r="1097" spans="2:35">
      <c r="B1097" t="s">
        <v>2526</v>
      </c>
      <c r="C1097" t="s">
        <v>3803</v>
      </c>
      <c r="D1097">
        <v>6</v>
      </c>
      <c r="E1097" t="s">
        <v>2796</v>
      </c>
      <c r="F1097">
        <v>5</v>
      </c>
      <c r="G1097">
        <v>10</v>
      </c>
      <c r="H1097">
        <v>7</v>
      </c>
      <c r="I1097" t="s">
        <v>2527</v>
      </c>
      <c r="J1097" s="51">
        <v>41177</v>
      </c>
      <c r="K1097" t="s">
        <v>2528</v>
      </c>
      <c r="L1097" t="s">
        <v>2427</v>
      </c>
      <c r="M1097">
        <v>3</v>
      </c>
      <c r="N1097" t="str">
        <f>L1097</f>
        <v>NAM\MB1911</v>
      </c>
      <c r="O1097" s="51">
        <f>J1097</f>
        <v>41177</v>
      </c>
      <c r="P1097" s="51" t="str">
        <f>C1097</f>
        <v>~cdd/olddocs/Ayudas visuales/Camarillo/Amsafe/VA-AMSA-029 Rev Doc A- Rev Draw AG  508978 ESTAMPADO.ppt</v>
      </c>
      <c r="Q1097" s="51" t="str">
        <f>E1097</f>
        <v>ppt</v>
      </c>
      <c r="R1097" s="51"/>
      <c r="S1097" s="51"/>
      <c r="T1097" s="51"/>
      <c r="U1097" s="51"/>
      <c r="V1097" s="51"/>
      <c r="W1097" s="51"/>
      <c r="X1097" s="51"/>
      <c r="Y1097" s="51"/>
      <c r="Z1097" s="51"/>
      <c r="AA1097" s="51"/>
      <c r="AB1097" s="51"/>
      <c r="AC1097" s="51"/>
      <c r="AD1097" s="51"/>
      <c r="AE1097" t="s">
        <v>30</v>
      </c>
      <c r="AF1097" t="s">
        <v>479</v>
      </c>
      <c r="AG1097">
        <v>508978</v>
      </c>
      <c r="AH1097" s="51"/>
      <c r="AI1097" s="51"/>
    </row>
    <row r="1098" spans="2:35">
      <c r="B1098" t="s">
        <v>2529</v>
      </c>
      <c r="C1098" t="s">
        <v>3804</v>
      </c>
      <c r="D1098">
        <v>6</v>
      </c>
      <c r="E1098" t="s">
        <v>2796</v>
      </c>
      <c r="F1098">
        <v>5</v>
      </c>
      <c r="G1098">
        <v>10</v>
      </c>
      <c r="H1098">
        <v>7</v>
      </c>
      <c r="I1098" t="s">
        <v>2530</v>
      </c>
      <c r="J1098" s="51">
        <v>41197</v>
      </c>
      <c r="K1098" t="s">
        <v>2506</v>
      </c>
      <c r="L1098" t="s">
        <v>2427</v>
      </c>
      <c r="M1098">
        <v>3</v>
      </c>
      <c r="N1098" t="str">
        <f>L1098</f>
        <v>NAM\MB1911</v>
      </c>
      <c r="O1098" s="51">
        <f>J1098</f>
        <v>41197</v>
      </c>
      <c r="P1098" s="51" t="str">
        <f>C1098</f>
        <v>~cdd/olddocs/Ayudas visuales/Camarillo/Amsafe/VA-AMSA-030 Rev Doc B - Rev Draw BM   509976 ESTAMPADO.ppt</v>
      </c>
      <c r="Q1098" s="51" t="str">
        <f>E1098</f>
        <v>ppt</v>
      </c>
      <c r="R1098" s="51"/>
      <c r="S1098" s="51"/>
      <c r="T1098" s="51"/>
      <c r="U1098" s="51"/>
      <c r="V1098" s="51"/>
      <c r="W1098" s="51"/>
      <c r="X1098" s="51"/>
      <c r="Y1098" s="51"/>
      <c r="Z1098" s="51"/>
      <c r="AA1098" s="51"/>
      <c r="AB1098" s="51"/>
      <c r="AC1098" s="51"/>
      <c r="AD1098" s="51"/>
      <c r="AE1098" t="s">
        <v>30</v>
      </c>
      <c r="AF1098" t="s">
        <v>479</v>
      </c>
      <c r="AG1098">
        <v>509976</v>
      </c>
      <c r="AH1098" s="51"/>
      <c r="AI1098" s="51"/>
    </row>
    <row r="1099" spans="2:35">
      <c r="B1099" t="s">
        <v>2531</v>
      </c>
      <c r="C1099" t="s">
        <v>3805</v>
      </c>
      <c r="D1099">
        <v>6</v>
      </c>
      <c r="E1099" t="s">
        <v>2796</v>
      </c>
      <c r="F1099">
        <v>5</v>
      </c>
      <c r="G1099">
        <v>10</v>
      </c>
      <c r="H1099">
        <v>7</v>
      </c>
      <c r="I1099" t="s">
        <v>2532</v>
      </c>
      <c r="J1099" s="51">
        <v>41177</v>
      </c>
      <c r="K1099" t="s">
        <v>2533</v>
      </c>
      <c r="L1099" t="s">
        <v>2427</v>
      </c>
      <c r="M1099">
        <v>3</v>
      </c>
      <c r="N1099" t="str">
        <f>L1099</f>
        <v>NAM\MB1911</v>
      </c>
      <c r="O1099" s="51">
        <f>J1099</f>
        <v>41177</v>
      </c>
      <c r="P1099" s="51" t="str">
        <f>C1099</f>
        <v>~cdd/olddocs/Ayudas visuales/Camarillo/Amsafe/VA-AMSA-031 Rev Doc A - Rev Draw C   ESTAMPADO DE T511890.ppt</v>
      </c>
      <c r="Q1099" s="51" t="str">
        <f>E1099</f>
        <v>ppt</v>
      </c>
      <c r="R1099" s="51"/>
      <c r="S1099" s="51"/>
      <c r="T1099" s="51"/>
      <c r="U1099" s="51"/>
      <c r="V1099" s="51"/>
      <c r="W1099" s="51"/>
      <c r="X1099" s="51"/>
      <c r="Y1099" s="51"/>
      <c r="Z1099" s="51"/>
      <c r="AA1099" s="51"/>
      <c r="AB1099" s="51"/>
      <c r="AC1099" s="51"/>
      <c r="AD1099" s="51"/>
      <c r="AE1099" t="s">
        <v>30</v>
      </c>
      <c r="AF1099" t="s">
        <v>479</v>
      </c>
      <c r="AG1099" t="s">
        <v>2525</v>
      </c>
      <c r="AH1099" s="51"/>
      <c r="AI1099" s="51"/>
    </row>
    <row r="1100" spans="2:35">
      <c r="B1100" t="s">
        <v>2534</v>
      </c>
      <c r="C1100" t="s">
        <v>3806</v>
      </c>
      <c r="D1100">
        <v>6</v>
      </c>
      <c r="E1100" t="s">
        <v>2796</v>
      </c>
      <c r="F1100">
        <v>5</v>
      </c>
      <c r="G1100">
        <v>10</v>
      </c>
      <c r="H1100">
        <v>7</v>
      </c>
      <c r="I1100" t="s">
        <v>3775</v>
      </c>
      <c r="J1100" s="51">
        <v>41177</v>
      </c>
      <c r="K1100" t="s">
        <v>2535</v>
      </c>
      <c r="L1100" t="s">
        <v>2427</v>
      </c>
      <c r="M1100">
        <v>3</v>
      </c>
      <c r="N1100" t="str">
        <f>L1100</f>
        <v>NAM\MB1911</v>
      </c>
      <c r="O1100" s="51">
        <f>J1100</f>
        <v>41177</v>
      </c>
      <c r="P1100" s="51" t="str">
        <f>C1100</f>
        <v>~cdd/olddocs/Ayudas visuales/Camarillo/Amsafe/VA-AMSA-032  REV Doc D Draw AG 508978 pag 1 003082-XXXX 004014-XXXX 004034-XXXX 004035-XXXX.ppt</v>
      </c>
      <c r="Q1100" s="51" t="str">
        <f>E1100</f>
        <v>ppt</v>
      </c>
      <c r="R1100" s="51"/>
      <c r="S1100" s="51"/>
      <c r="T1100" s="51"/>
      <c r="U1100" s="51"/>
      <c r="V1100" s="51"/>
      <c r="W1100" s="51"/>
      <c r="X1100" s="51"/>
      <c r="Y1100" s="51"/>
      <c r="Z1100" s="51"/>
      <c r="AA1100" s="51"/>
      <c r="AB1100" s="51"/>
      <c r="AC1100" s="51"/>
      <c r="AD1100" s="51"/>
      <c r="AE1100" t="s">
        <v>2430</v>
      </c>
      <c r="AF1100" t="s">
        <v>479</v>
      </c>
      <c r="AG1100">
        <v>508978</v>
      </c>
      <c r="AH1100" s="51"/>
      <c r="AI1100" s="51"/>
    </row>
    <row r="1101" spans="2:35">
      <c r="B1101" t="s">
        <v>2536</v>
      </c>
      <c r="C1101" t="s">
        <v>3807</v>
      </c>
      <c r="D1101">
        <v>6</v>
      </c>
      <c r="E1101" t="s">
        <v>2796</v>
      </c>
      <c r="F1101">
        <v>5</v>
      </c>
      <c r="G1101">
        <v>10</v>
      </c>
      <c r="H1101">
        <v>7</v>
      </c>
      <c r="I1101" t="s">
        <v>2537</v>
      </c>
      <c r="J1101" s="51">
        <v>41212</v>
      </c>
      <c r="K1101" t="s">
        <v>2538</v>
      </c>
      <c r="L1101" t="s">
        <v>2427</v>
      </c>
      <c r="M1101">
        <v>3</v>
      </c>
      <c r="N1101" t="str">
        <f>L1101</f>
        <v>NAM\MB1911</v>
      </c>
      <c r="O1101" s="51">
        <f>J1101</f>
        <v>41212</v>
      </c>
      <c r="P1101" s="51" t="str">
        <f>C1101</f>
        <v>~cdd/olddocs/Ayudas visuales/Camarillo/Amsafe/VA-AMSA-033 Rev Doc  B- Drawing D  CABLE ASSEMBLY INTERFACE 511125 Pag 1.ppt</v>
      </c>
      <c r="Q1101" s="51" t="str">
        <f>E1101</f>
        <v>ppt</v>
      </c>
      <c r="R1101" s="51"/>
      <c r="S1101" s="51"/>
      <c r="T1101" s="51"/>
      <c r="U1101" s="51"/>
      <c r="V1101" s="51"/>
      <c r="W1101" s="51"/>
      <c r="X1101" s="51"/>
      <c r="Y1101" s="51"/>
      <c r="Z1101" s="51"/>
      <c r="AA1101" s="51"/>
      <c r="AB1101" s="51"/>
      <c r="AC1101" s="51"/>
      <c r="AD1101" s="51"/>
      <c r="AE1101" t="s">
        <v>30</v>
      </c>
      <c r="AF1101" t="s">
        <v>479</v>
      </c>
      <c r="AG1101">
        <v>511125</v>
      </c>
      <c r="AH1101" s="51"/>
      <c r="AI1101" s="51"/>
    </row>
    <row r="1102" spans="2:35">
      <c r="B1102" t="s">
        <v>2539</v>
      </c>
      <c r="C1102" t="s">
        <v>3808</v>
      </c>
      <c r="D1102">
        <v>6</v>
      </c>
      <c r="E1102" t="s">
        <v>2796</v>
      </c>
      <c r="F1102">
        <v>5</v>
      </c>
      <c r="G1102">
        <v>10</v>
      </c>
      <c r="H1102">
        <v>7</v>
      </c>
      <c r="I1102" t="s">
        <v>2540</v>
      </c>
      <c r="J1102" s="51">
        <v>41177</v>
      </c>
      <c r="K1102" t="s">
        <v>27</v>
      </c>
      <c r="L1102" t="s">
        <v>2427</v>
      </c>
      <c r="M1102">
        <v>3</v>
      </c>
      <c r="N1102" t="str">
        <f>L1102</f>
        <v>NAM\MB1911</v>
      </c>
      <c r="O1102" s="51">
        <f>J1102</f>
        <v>41177</v>
      </c>
      <c r="P1102" s="51" t="str">
        <f>C1102</f>
        <v>~cdd/olddocs/Ayudas visuales/Camarillo/Amsafe/VA-AMSA-034 Rev A  EMPAQUE GENERAL DE AMSAFE.ppt</v>
      </c>
      <c r="Q1102" s="51" t="str">
        <f>E1102</f>
        <v>ppt</v>
      </c>
      <c r="R1102" s="51"/>
      <c r="S1102" s="51"/>
      <c r="T1102" s="51"/>
      <c r="U1102" s="51"/>
      <c r="V1102" s="51"/>
      <c r="W1102" s="51"/>
      <c r="X1102" s="51"/>
      <c r="Y1102" s="51"/>
      <c r="Z1102" s="51"/>
      <c r="AA1102" s="51"/>
      <c r="AB1102" s="51"/>
      <c r="AC1102" s="51"/>
      <c r="AD1102" s="51"/>
      <c r="AE1102" t="s">
        <v>30</v>
      </c>
      <c r="AF1102" t="s">
        <v>479</v>
      </c>
      <c r="AG1102" t="s">
        <v>28</v>
      </c>
      <c r="AH1102" s="51"/>
      <c r="AI1102" s="51"/>
    </row>
    <row r="1103" spans="2:35">
      <c r="B1103" t="s">
        <v>743</v>
      </c>
      <c r="C1103" t="s">
        <v>3582</v>
      </c>
      <c r="D1103">
        <v>6</v>
      </c>
      <c r="E1103" t="s">
        <v>2793</v>
      </c>
      <c r="F1103">
        <v>5</v>
      </c>
      <c r="G1103">
        <v>12</v>
      </c>
      <c r="H1103">
        <v>3</v>
      </c>
      <c r="I1103" t="s">
        <v>744</v>
      </c>
      <c r="J1103" s="51">
        <v>41085</v>
      </c>
      <c r="K1103" t="s">
        <v>27</v>
      </c>
      <c r="L1103" t="s">
        <v>605</v>
      </c>
      <c r="M1103">
        <v>3</v>
      </c>
      <c r="N1103" t="str">
        <f>L1103</f>
        <v>NA/MB1049</v>
      </c>
      <c r="O1103" s="51">
        <f>J1103</f>
        <v>41085</v>
      </c>
      <c r="P1103" s="51" t="str">
        <f>C1103</f>
        <v>~/cdd/olddocs/Ayudas visuales/Micromini/A y B/VA-AYB-001 Rev B ALTURA DE CONTACTOS PARA DIBUJOS A89N-F7AF-2, A89N-F7AF5- A89N-F8AF2, A89B-F8AF-5.pptx</v>
      </c>
      <c r="Q1103" s="51" t="str">
        <f>E1103</f>
        <v>pptx</v>
      </c>
      <c r="R1103" s="51"/>
      <c r="S1103" s="51"/>
      <c r="T1103" s="51"/>
      <c r="U1103" s="51"/>
      <c r="V1103" s="51"/>
      <c r="W1103" s="51"/>
      <c r="X1103" s="51"/>
      <c r="Y1103" s="51"/>
      <c r="Z1103" s="51"/>
      <c r="AA1103" s="51"/>
      <c r="AB1103" s="51"/>
      <c r="AC1103" s="51"/>
      <c r="AD1103" s="51"/>
      <c r="AE1103" t="s">
        <v>30</v>
      </c>
      <c r="AF1103" t="s">
        <v>90</v>
      </c>
      <c r="AG1103" t="s">
        <v>745</v>
      </c>
      <c r="AH1103" s="51"/>
      <c r="AI1103" s="51"/>
    </row>
    <row r="1104" spans="2:35">
      <c r="B1104" t="s">
        <v>746</v>
      </c>
      <c r="C1104" t="s">
        <v>3583</v>
      </c>
      <c r="D1104">
        <v>6</v>
      </c>
      <c r="E1104" t="s">
        <v>2793</v>
      </c>
      <c r="F1104">
        <v>5</v>
      </c>
      <c r="G1104">
        <v>12</v>
      </c>
      <c r="H1104">
        <v>3</v>
      </c>
      <c r="I1104" t="s">
        <v>747</v>
      </c>
      <c r="J1104" s="51">
        <v>41085</v>
      </c>
      <c r="K1104" t="s">
        <v>46</v>
      </c>
      <c r="L1104" t="s">
        <v>605</v>
      </c>
      <c r="M1104">
        <v>3</v>
      </c>
      <c r="N1104" t="str">
        <f>L1104</f>
        <v>NA/MB1049</v>
      </c>
      <c r="O1104" s="51">
        <f>J1104</f>
        <v>41085</v>
      </c>
      <c r="P1104" s="51" t="str">
        <f>C1104</f>
        <v>~/cdd/olddocs/Ayudas visuales/Micromini/A y B/VA-AYB-002 Rev B  ALTURA DE CONTACTOS TEE DIBUJO CHDN-TAER Y  CHDN-TAER-N Y A98N-43PB-N4.pptx</v>
      </c>
      <c r="Q1104" s="51" t="str">
        <f>E1104</f>
        <v>pptx</v>
      </c>
      <c r="R1104" s="51"/>
      <c r="S1104" s="51"/>
      <c r="T1104" s="51"/>
      <c r="U1104" s="51"/>
      <c r="V1104" s="51"/>
      <c r="W1104" s="51"/>
      <c r="X1104" s="51"/>
      <c r="Y1104" s="51"/>
      <c r="Z1104" s="51"/>
      <c r="AA1104" s="51"/>
      <c r="AB1104" s="51"/>
      <c r="AC1104" s="51"/>
      <c r="AD1104" s="51"/>
      <c r="AE1104" t="s">
        <v>30</v>
      </c>
      <c r="AF1104" t="s">
        <v>90</v>
      </c>
      <c r="AG1104" t="s">
        <v>748</v>
      </c>
      <c r="AH1104" s="51"/>
      <c r="AI1104" s="51"/>
    </row>
    <row r="1105" spans="2:35">
      <c r="B1105" t="s">
        <v>749</v>
      </c>
      <c r="C1105" t="s">
        <v>3584</v>
      </c>
      <c r="D1105">
        <v>6</v>
      </c>
      <c r="E1105" t="s">
        <v>2793</v>
      </c>
      <c r="F1105">
        <v>5</v>
      </c>
      <c r="G1105">
        <v>12</v>
      </c>
      <c r="H1105">
        <v>3</v>
      </c>
      <c r="I1105" t="s">
        <v>750</v>
      </c>
      <c r="J1105" s="51">
        <v>41102</v>
      </c>
      <c r="K1105" t="s">
        <v>27</v>
      </c>
      <c r="L1105" t="s">
        <v>605</v>
      </c>
      <c r="M1105">
        <v>3</v>
      </c>
      <c r="N1105" t="str">
        <f>L1105</f>
        <v>NA/MB1049</v>
      </c>
      <c r="O1105" s="51">
        <f>J1105</f>
        <v>41102</v>
      </c>
      <c r="P1105" s="51" t="str">
        <f>C1105</f>
        <v>~/cdd/olddocs/Ayudas visuales/Micromini/A y B/VA-AYB-003 Rev A DM4Q2M24E-A (Dominico).pptx</v>
      </c>
      <c r="Q1105" s="51" t="str">
        <f>E1105</f>
        <v>pptx</v>
      </c>
      <c r="R1105" s="51"/>
      <c r="S1105" s="51"/>
      <c r="T1105" s="51"/>
      <c r="U1105" s="51"/>
      <c r="V1105" s="51"/>
      <c r="W1105" s="51"/>
      <c r="X1105" s="51"/>
      <c r="Y1105" s="51"/>
      <c r="Z1105" s="51"/>
      <c r="AA1105" s="51"/>
      <c r="AB1105" s="51"/>
      <c r="AC1105" s="51"/>
      <c r="AD1105" s="51"/>
      <c r="AE1105" t="s">
        <v>30</v>
      </c>
      <c r="AF1105" t="s">
        <v>90</v>
      </c>
      <c r="AG1105" t="s">
        <v>751</v>
      </c>
      <c r="AH1105" s="51"/>
      <c r="AI1105" s="51"/>
    </row>
    <row r="1106" spans="2:35">
      <c r="B1106" t="s">
        <v>2606</v>
      </c>
      <c r="C1106" t="s">
        <v>3497</v>
      </c>
      <c r="D1106">
        <v>6</v>
      </c>
      <c r="E1106" t="s">
        <v>2796</v>
      </c>
      <c r="F1106">
        <v>5</v>
      </c>
      <c r="G1106">
        <v>10</v>
      </c>
      <c r="H1106">
        <v>10</v>
      </c>
      <c r="I1106" t="s">
        <v>2607</v>
      </c>
      <c r="J1106" s="51">
        <v>41114</v>
      </c>
      <c r="K1106" t="s">
        <v>741</v>
      </c>
      <c r="L1106" t="s">
        <v>2427</v>
      </c>
      <c r="M1106">
        <v>3</v>
      </c>
      <c r="N1106" t="str">
        <f>L1106</f>
        <v>NAM\MB1911</v>
      </c>
      <c r="O1106" s="51">
        <f>J1106</f>
        <v>41114</v>
      </c>
      <c r="P1106" s="51" t="str">
        <f>C1106</f>
        <v>~/cdd/olddocs/Ayudas visuales/Camarillo/Bonding/VA-BOND-002 Rev G 002359-0000 (AMC02PA03R- AMC02PS03W- AMC02PA03B).ppt</v>
      </c>
      <c r="Q1106" s="51" t="str">
        <f>E1106</f>
        <v>ppt</v>
      </c>
      <c r="R1106" s="51"/>
      <c r="S1106" s="51"/>
      <c r="T1106" s="51"/>
      <c r="U1106" s="51"/>
      <c r="V1106" s="51"/>
      <c r="W1106" s="51"/>
      <c r="X1106" s="51"/>
      <c r="Y1106" s="51"/>
      <c r="Z1106" s="51"/>
      <c r="AA1106" s="51"/>
      <c r="AB1106" s="51"/>
      <c r="AC1106" s="51"/>
      <c r="AD1106" s="51"/>
      <c r="AE1106" t="s">
        <v>2609</v>
      </c>
      <c r="AF1106" t="s">
        <v>1473</v>
      </c>
      <c r="AG1106" t="s">
        <v>2608</v>
      </c>
      <c r="AH1106" s="51"/>
      <c r="AI1106" s="51"/>
    </row>
    <row r="1107" spans="2:35">
      <c r="B1107" t="s">
        <v>2610</v>
      </c>
      <c r="C1107" t="s">
        <v>3498</v>
      </c>
      <c r="D1107">
        <v>6</v>
      </c>
      <c r="E1107" t="s">
        <v>2796</v>
      </c>
      <c r="F1107">
        <v>5</v>
      </c>
      <c r="G1107">
        <v>10</v>
      </c>
      <c r="H1107">
        <v>10</v>
      </c>
      <c r="I1107" t="s">
        <v>2611</v>
      </c>
      <c r="J1107" s="51">
        <v>41101</v>
      </c>
      <c r="K1107" t="s">
        <v>742</v>
      </c>
      <c r="L1107" t="s">
        <v>2427</v>
      </c>
      <c r="M1107">
        <v>3</v>
      </c>
      <c r="N1107" t="str">
        <f>L1107</f>
        <v>NAM\MB1911</v>
      </c>
      <c r="O1107" s="51">
        <f>J1107</f>
        <v>41101</v>
      </c>
      <c r="P1107" s="51" t="str">
        <f>C1107</f>
        <v>~/cdd/olddocs/Ayudas visuales/Camarillo/Bonding/VA-BOND-003 Rev F   BACC65AKXXXP.ppt</v>
      </c>
      <c r="Q1107" s="51" t="str">
        <f>E1107</f>
        <v>ppt</v>
      </c>
      <c r="R1107" s="51"/>
      <c r="S1107" s="51"/>
      <c r="T1107" s="51"/>
      <c r="U1107" s="51"/>
      <c r="V1107" s="51"/>
      <c r="W1107" s="51"/>
      <c r="X1107" s="51"/>
      <c r="Y1107" s="51"/>
      <c r="Z1107" s="51"/>
      <c r="AA1107" s="51"/>
      <c r="AB1107" s="51"/>
      <c r="AC1107" s="51"/>
      <c r="AD1107" s="51"/>
      <c r="AE1107" t="s">
        <v>2609</v>
      </c>
      <c r="AF1107" t="s">
        <v>1473</v>
      </c>
      <c r="AG1107" t="s">
        <v>1034</v>
      </c>
      <c r="AH1107" s="51"/>
      <c r="AI1107" s="51"/>
    </row>
    <row r="1108" spans="2:35">
      <c r="B1108" t="s">
        <v>2612</v>
      </c>
      <c r="C1108" t="s">
        <v>3809</v>
      </c>
      <c r="D1108">
        <v>6</v>
      </c>
      <c r="E1108" t="s">
        <v>2796</v>
      </c>
      <c r="F1108">
        <v>5</v>
      </c>
      <c r="G1108">
        <v>10</v>
      </c>
      <c r="H1108">
        <v>10</v>
      </c>
      <c r="I1108" t="s">
        <v>2613</v>
      </c>
      <c r="J1108" s="51">
        <v>41172</v>
      </c>
      <c r="K1108" t="s">
        <v>261</v>
      </c>
      <c r="L1108" t="s">
        <v>2427</v>
      </c>
      <c r="M1108">
        <v>3</v>
      </c>
      <c r="N1108" t="str">
        <f>L1108</f>
        <v>NAM\MB1911</v>
      </c>
      <c r="O1108" s="51">
        <f>J1108</f>
        <v>41172</v>
      </c>
      <c r="P1108" s="51" t="str">
        <f>C1108</f>
        <v>~cdd/olddocs/Ayudas visuales/Camarillo/Bonding/VA-BOND-004  Rev E  empaque bacc.ppt</v>
      </c>
      <c r="Q1108" s="51" t="str">
        <f>E1108</f>
        <v>ppt</v>
      </c>
      <c r="R1108" s="51"/>
      <c r="S1108" s="51"/>
      <c r="T1108" s="51"/>
      <c r="U1108" s="51"/>
      <c r="V1108" s="51"/>
      <c r="W1108" s="51"/>
      <c r="X1108" s="51"/>
      <c r="Y1108" s="51"/>
      <c r="Z1108" s="51"/>
      <c r="AA1108" s="51"/>
      <c r="AB1108" s="51"/>
      <c r="AC1108" s="51"/>
      <c r="AD1108" s="51"/>
      <c r="AE1108" t="s">
        <v>624</v>
      </c>
      <c r="AF1108" t="s">
        <v>1473</v>
      </c>
      <c r="AG1108" t="s">
        <v>28</v>
      </c>
      <c r="AH1108" s="51"/>
      <c r="AI1108" s="51"/>
    </row>
    <row r="1109" spans="2:35">
      <c r="B1109" t="s">
        <v>2614</v>
      </c>
      <c r="C1109" t="s">
        <v>3499</v>
      </c>
      <c r="D1109">
        <v>6</v>
      </c>
      <c r="E1109" t="s">
        <v>2796</v>
      </c>
      <c r="F1109">
        <v>5</v>
      </c>
      <c r="G1109">
        <v>10</v>
      </c>
      <c r="H1109">
        <v>10</v>
      </c>
      <c r="I1109" t="s">
        <v>2615</v>
      </c>
      <c r="J1109" s="51">
        <v>41143</v>
      </c>
      <c r="K1109" t="s">
        <v>159</v>
      </c>
      <c r="L1109" t="s">
        <v>2427</v>
      </c>
      <c r="M1109">
        <v>3</v>
      </c>
      <c r="N1109" t="str">
        <f>L1109</f>
        <v>NAM\MB1911</v>
      </c>
      <c r="O1109" s="51">
        <f>J1109</f>
        <v>41143</v>
      </c>
      <c r="P1109" s="51" t="str">
        <f>C1109</f>
        <v>~/cdd/olddocs/Ayudas visuales/Camarillo/Bonding/VA-BOND-005 Rev C  002359-0000 EMPAQUE  PLUG AIRBORNEMINIATURE CIRCULAR COLORS RED WHAITE &amp; BLUE.ppt</v>
      </c>
      <c r="Q1109" s="51" t="str">
        <f>E1109</f>
        <v>ppt</v>
      </c>
      <c r="R1109" s="51"/>
      <c r="S1109" s="51"/>
      <c r="T1109" s="51"/>
      <c r="U1109" s="51"/>
      <c r="V1109" s="51"/>
      <c r="W1109" s="51"/>
      <c r="X1109" s="51"/>
      <c r="Y1109" s="51"/>
      <c r="Z1109" s="51"/>
      <c r="AA1109" s="51"/>
      <c r="AB1109" s="51"/>
      <c r="AC1109" s="51"/>
      <c r="AD1109" s="51"/>
      <c r="AE1109" t="s">
        <v>30</v>
      </c>
      <c r="AF1109" t="s">
        <v>1473</v>
      </c>
      <c r="AG1109" t="s">
        <v>2616</v>
      </c>
      <c r="AH1109" s="51"/>
      <c r="AI1109" s="51"/>
    </row>
    <row r="1110" spans="2:35">
      <c r="B1110" t="s">
        <v>2617</v>
      </c>
      <c r="C1110" t="s">
        <v>3500</v>
      </c>
      <c r="D1110">
        <v>6</v>
      </c>
      <c r="E1110" t="s">
        <v>2796</v>
      </c>
      <c r="F1110">
        <v>5</v>
      </c>
      <c r="G1110">
        <v>10</v>
      </c>
      <c r="H1110">
        <v>10</v>
      </c>
      <c r="I1110" t="s">
        <v>2618</v>
      </c>
      <c r="J1110" s="51">
        <v>41148</v>
      </c>
      <c r="K1110" t="s">
        <v>46</v>
      </c>
      <c r="L1110" t="s">
        <v>2427</v>
      </c>
      <c r="M1110">
        <v>3</v>
      </c>
      <c r="N1110" t="str">
        <f>L1110</f>
        <v>NAM\MB1911</v>
      </c>
      <c r="O1110" s="51">
        <f>J1110</f>
        <v>41148</v>
      </c>
      <c r="P1110" s="51" t="str">
        <f>C1110</f>
        <v>~/cdd/olddocs/Ayudas visuales/Camarillo/Bonding/VA-BOND-006 Rev B CONECTOR  000100-0113M.ppt</v>
      </c>
      <c r="Q1110" s="51" t="str">
        <f>E1110</f>
        <v>ppt</v>
      </c>
      <c r="R1110" s="51"/>
      <c r="S1110" s="51"/>
      <c r="T1110" s="51"/>
      <c r="U1110" s="51"/>
      <c r="V1110" s="51"/>
      <c r="W1110" s="51"/>
      <c r="X1110" s="51"/>
      <c r="Y1110" s="51"/>
      <c r="Z1110" s="51"/>
      <c r="AA1110" s="51"/>
      <c r="AB1110" s="51"/>
      <c r="AC1110" s="51"/>
      <c r="AD1110" s="51"/>
      <c r="AE1110" t="s">
        <v>30</v>
      </c>
      <c r="AF1110" t="s">
        <v>1473</v>
      </c>
      <c r="AG1110" t="s">
        <v>2619</v>
      </c>
      <c r="AH1110" s="51"/>
      <c r="AI1110" s="51"/>
    </row>
    <row r="1111" spans="2:35">
      <c r="B1111" t="s">
        <v>2620</v>
      </c>
      <c r="C1111" t="s">
        <v>3501</v>
      </c>
      <c r="D1111">
        <v>6</v>
      </c>
      <c r="E1111" t="s">
        <v>2796</v>
      </c>
      <c r="F1111">
        <v>5</v>
      </c>
      <c r="G1111">
        <v>10</v>
      </c>
      <c r="H1111">
        <v>10</v>
      </c>
      <c r="I1111" t="s">
        <v>2621</v>
      </c>
      <c r="J1111" s="51">
        <v>41170</v>
      </c>
      <c r="K1111" t="s">
        <v>27</v>
      </c>
      <c r="L1111" t="s">
        <v>2427</v>
      </c>
      <c r="M1111">
        <v>3</v>
      </c>
      <c r="N1111" t="str">
        <f>L1111</f>
        <v>NAM\MB1911</v>
      </c>
      <c r="O1111" s="51">
        <f>J1111</f>
        <v>41170</v>
      </c>
      <c r="P1111" s="51" t="str">
        <f>C1111</f>
        <v>~/cdd/olddocs/Ayudas visuales/Camarillo/Bonding/VA-BOND-007 Rev A  002359-0000  002360-0000  002361-0000.ppt</v>
      </c>
      <c r="Q1111" s="51" t="str">
        <f>E1111</f>
        <v>ppt</v>
      </c>
      <c r="R1111" s="51"/>
      <c r="S1111" s="51"/>
      <c r="T1111" s="51"/>
      <c r="U1111" s="51"/>
      <c r="V1111" s="51"/>
      <c r="W1111" s="51"/>
      <c r="X1111" s="51"/>
      <c r="Y1111" s="51"/>
      <c r="Z1111" s="51"/>
      <c r="AA1111" s="51"/>
      <c r="AB1111" s="51"/>
      <c r="AC1111" s="51"/>
      <c r="AD1111" s="51"/>
      <c r="AE1111" t="s">
        <v>30</v>
      </c>
      <c r="AF1111" t="s">
        <v>1473</v>
      </c>
      <c r="AG1111" t="s">
        <v>2622</v>
      </c>
      <c r="AH1111" s="51"/>
      <c r="AI1111" s="51"/>
    </row>
    <row r="1112" spans="2:35">
      <c r="B1112" t="s">
        <v>2623</v>
      </c>
      <c r="C1112" t="s">
        <v>3810</v>
      </c>
      <c r="D1112">
        <v>6</v>
      </c>
      <c r="E1112" t="s">
        <v>2796</v>
      </c>
      <c r="F1112">
        <v>5</v>
      </c>
      <c r="G1112">
        <v>10</v>
      </c>
      <c r="H1112">
        <v>10</v>
      </c>
      <c r="I1112" t="s">
        <v>2624</v>
      </c>
      <c r="J1112" s="51">
        <v>41204</v>
      </c>
      <c r="K1112" t="s">
        <v>741</v>
      </c>
      <c r="L1112" t="s">
        <v>2427</v>
      </c>
      <c r="M1112">
        <v>3</v>
      </c>
      <c r="N1112" t="str">
        <f>L1112</f>
        <v>NAM\MB1911</v>
      </c>
      <c r="O1112" s="51">
        <f>J1112</f>
        <v>41204</v>
      </c>
      <c r="P1112" s="51" t="str">
        <f>C1112</f>
        <v>~cdd/olddocs/Ayudas visuales/Camarillo/Bonding/VA-BOND-008 Rev G ASSEMBLY PLUG BACC65AJXXXS.ppt</v>
      </c>
      <c r="Q1112" s="51" t="str">
        <f>E1112</f>
        <v>ppt</v>
      </c>
      <c r="R1112" s="51"/>
      <c r="S1112" s="51"/>
      <c r="T1112" s="51"/>
      <c r="U1112" s="51"/>
      <c r="V1112" s="51"/>
      <c r="W1112" s="51"/>
      <c r="X1112" s="51"/>
      <c r="Y1112" s="51"/>
      <c r="Z1112" s="51"/>
      <c r="AA1112" s="51"/>
      <c r="AB1112" s="51"/>
      <c r="AC1112" s="51"/>
      <c r="AD1112" s="51"/>
      <c r="AE1112" t="s">
        <v>30</v>
      </c>
      <c r="AF1112" t="s">
        <v>1473</v>
      </c>
      <c r="AG1112" t="s">
        <v>2625</v>
      </c>
      <c r="AH1112" s="51"/>
      <c r="AI1112" s="51"/>
    </row>
    <row r="1113" spans="2:35">
      <c r="B1113" t="s">
        <v>2626</v>
      </c>
      <c r="C1113" t="s">
        <v>3811</v>
      </c>
      <c r="D1113">
        <v>6</v>
      </c>
      <c r="E1113" t="s">
        <v>2796</v>
      </c>
      <c r="F1113">
        <v>5</v>
      </c>
      <c r="G1113">
        <v>10</v>
      </c>
      <c r="H1113">
        <v>10</v>
      </c>
      <c r="I1113" t="s">
        <v>2627</v>
      </c>
      <c r="J1113" s="51">
        <v>41178</v>
      </c>
      <c r="K1113" t="s">
        <v>27</v>
      </c>
      <c r="L1113" t="s">
        <v>2427</v>
      </c>
      <c r="M1113">
        <v>3</v>
      </c>
      <c r="N1113" t="str">
        <f>L1113</f>
        <v>NAM\MB1911</v>
      </c>
      <c r="O1113" s="51">
        <f>J1113</f>
        <v>41178</v>
      </c>
      <c r="P1113" s="51" t="str">
        <f>C1113</f>
        <v>~cdd/olddocs/Ayudas visuales/Camarillo/Bonding/VA-BOND-009 Rev A LAVADO MEK.ppt</v>
      </c>
      <c r="Q1113" s="51" t="str">
        <f>E1113</f>
        <v>ppt</v>
      </c>
      <c r="R1113" s="51"/>
      <c r="S1113" s="51"/>
      <c r="T1113" s="51"/>
      <c r="U1113" s="51"/>
      <c r="V1113" s="51"/>
      <c r="W1113" s="51"/>
      <c r="X1113" s="51"/>
      <c r="Y1113" s="51"/>
      <c r="Z1113" s="51"/>
      <c r="AA1113" s="51"/>
      <c r="AB1113" s="51"/>
      <c r="AC1113" s="51"/>
      <c r="AD1113" s="51"/>
      <c r="AE1113" t="s">
        <v>30</v>
      </c>
      <c r="AF1113" t="s">
        <v>1473</v>
      </c>
      <c r="AG1113" t="s">
        <v>28</v>
      </c>
      <c r="AH1113" s="51"/>
      <c r="AI1113" s="51"/>
    </row>
    <row r="1114" spans="2:35">
      <c r="B1114" t="s">
        <v>2628</v>
      </c>
      <c r="C1114" t="s">
        <v>3812</v>
      </c>
      <c r="D1114">
        <v>6</v>
      </c>
      <c r="E1114" t="s">
        <v>2796</v>
      </c>
      <c r="F1114">
        <v>5</v>
      </c>
      <c r="G1114">
        <v>10</v>
      </c>
      <c r="H1114">
        <v>10</v>
      </c>
      <c r="I1114" t="s">
        <v>2629</v>
      </c>
      <c r="J1114" s="51">
        <v>41184</v>
      </c>
      <c r="K1114" t="s">
        <v>27</v>
      </c>
      <c r="L1114" t="s">
        <v>2427</v>
      </c>
      <c r="M1114">
        <v>3</v>
      </c>
      <c r="N1114" t="str">
        <f>L1114</f>
        <v>NAM\MB1911</v>
      </c>
      <c r="O1114" s="51">
        <f>J1114</f>
        <v>41184</v>
      </c>
      <c r="P1114" s="51" t="str">
        <f>C1114</f>
        <v>~cdd/olddocs/Ayudas visuales/Camarillo/Bonding/VA-BOND-010 Rev A  INSULATOR ASSY 000300-059X.ppt</v>
      </c>
      <c r="Q1114" s="51" t="str">
        <f>E1114</f>
        <v>ppt</v>
      </c>
      <c r="R1114" s="51"/>
      <c r="S1114" s="51"/>
      <c r="T1114" s="51"/>
      <c r="U1114" s="51"/>
      <c r="V1114" s="51"/>
      <c r="W1114" s="51"/>
      <c r="X1114" s="51"/>
      <c r="Y1114" s="51"/>
      <c r="Z1114" s="51"/>
      <c r="AA1114" s="51"/>
      <c r="AB1114" s="51"/>
      <c r="AC1114" s="51"/>
      <c r="AD1114" s="51"/>
      <c r="AE1114" t="s">
        <v>30</v>
      </c>
      <c r="AF1114" t="s">
        <v>1473</v>
      </c>
      <c r="AG1114" t="s">
        <v>2630</v>
      </c>
      <c r="AH1114" s="51"/>
      <c r="AI1114" s="51"/>
    </row>
    <row r="1115" spans="2:35">
      <c r="B1115" t="s">
        <v>2631</v>
      </c>
      <c r="C1115" t="s">
        <v>3813</v>
      </c>
      <c r="D1115">
        <v>6</v>
      </c>
      <c r="E1115" t="s">
        <v>2796</v>
      </c>
      <c r="F1115">
        <v>5</v>
      </c>
      <c r="G1115">
        <v>10</v>
      </c>
      <c r="H1115">
        <v>10</v>
      </c>
      <c r="I1115" t="s">
        <v>2632</v>
      </c>
      <c r="J1115" s="51">
        <v>41192</v>
      </c>
      <c r="K1115" t="s">
        <v>27</v>
      </c>
      <c r="L1115" t="s">
        <v>2427</v>
      </c>
      <c r="M1115">
        <v>3</v>
      </c>
      <c r="N1115" t="str">
        <f>L1115</f>
        <v>NAM\MB1911</v>
      </c>
      <c r="O1115" s="51">
        <f>J1115</f>
        <v>41192</v>
      </c>
      <c r="P1115" s="51" t="str">
        <f>C1115</f>
        <v>~cdd/olddocs/Ayudas visuales/Camarillo/Bonding/VA-BOND-011Rev A PLUG ASSEMBLY 000102-0381.ppt</v>
      </c>
      <c r="Q1115" s="51" t="str">
        <f>E1115</f>
        <v>ppt</v>
      </c>
      <c r="R1115" s="51"/>
      <c r="S1115" s="51"/>
      <c r="T1115" s="51"/>
      <c r="U1115" s="51"/>
      <c r="V1115" s="51"/>
      <c r="W1115" s="51"/>
      <c r="X1115" s="51"/>
      <c r="Y1115" s="51"/>
      <c r="Z1115" s="51"/>
      <c r="AA1115" s="51"/>
      <c r="AB1115" s="51"/>
      <c r="AC1115" s="51"/>
      <c r="AD1115" s="51"/>
      <c r="AE1115" t="s">
        <v>30</v>
      </c>
      <c r="AF1115" t="s">
        <v>1473</v>
      </c>
      <c r="AG1115" t="s">
        <v>2633</v>
      </c>
      <c r="AH1115" s="51"/>
      <c r="AI1115" s="51"/>
    </row>
    <row r="1116" spans="2:35">
      <c r="B1116" t="s">
        <v>1466</v>
      </c>
      <c r="C1116" t="s">
        <v>3523</v>
      </c>
      <c r="D1116">
        <v>6</v>
      </c>
      <c r="E1116" t="s">
        <v>2796</v>
      </c>
      <c r="F1116">
        <v>5</v>
      </c>
      <c r="G1116">
        <v>33</v>
      </c>
      <c r="H1116">
        <v>21</v>
      </c>
      <c r="I1116" t="s">
        <v>1469</v>
      </c>
      <c r="J1116" s="51">
        <v>41137</v>
      </c>
      <c r="K1116" t="s">
        <v>159</v>
      </c>
      <c r="L1116" t="s">
        <v>1461</v>
      </c>
      <c r="M1116">
        <v>3</v>
      </c>
      <c r="N1116" t="str">
        <f>L1116</f>
        <v>NAM\MB1297</v>
      </c>
      <c r="O1116" s="51">
        <f>J1116</f>
        <v>41137</v>
      </c>
      <c r="P1116" s="51" t="str">
        <f>C1116</f>
        <v>~/cdd/olddocs/Ayudas visuales/Camarillo/General/VA-CGRAL-001 Rev C prueba de o-ring.ppt</v>
      </c>
      <c r="Q1116" s="51" t="str">
        <f>E1116</f>
        <v>ppt</v>
      </c>
      <c r="R1116" s="51"/>
      <c r="S1116" s="51"/>
      <c r="T1116" s="51"/>
      <c r="U1116" s="51"/>
      <c r="V1116" s="51"/>
      <c r="W1116" s="51"/>
      <c r="X1116" s="51"/>
      <c r="Y1116" s="51"/>
      <c r="Z1116" s="51"/>
      <c r="AA1116" s="51"/>
      <c r="AB1116" s="51"/>
      <c r="AC1116" s="51"/>
      <c r="AD1116" s="51"/>
      <c r="AE1116" t="s">
        <v>646</v>
      </c>
      <c r="AF1116" t="s">
        <v>479</v>
      </c>
      <c r="AG1116" t="s">
        <v>28</v>
      </c>
      <c r="AH1116" s="51"/>
      <c r="AI1116" s="51"/>
    </row>
    <row r="1117" spans="2:35">
      <c r="B1117" t="s">
        <v>2697</v>
      </c>
      <c r="C1117" t="s">
        <v>3814</v>
      </c>
      <c r="D1117">
        <v>6</v>
      </c>
      <c r="E1117" t="s">
        <v>2796</v>
      </c>
      <c r="F1117">
        <v>5</v>
      </c>
      <c r="G1117">
        <v>33</v>
      </c>
      <c r="H1117">
        <v>21</v>
      </c>
      <c r="I1117" t="s">
        <v>2698</v>
      </c>
      <c r="J1117" s="51">
        <v>41199</v>
      </c>
      <c r="K1117" t="s">
        <v>782</v>
      </c>
      <c r="L1117" t="s">
        <v>2427</v>
      </c>
      <c r="M1117">
        <v>3</v>
      </c>
      <c r="N1117" t="str">
        <f>L1117</f>
        <v>NAM\MB1911</v>
      </c>
      <c r="O1117" s="51">
        <f>J1117</f>
        <v>41199</v>
      </c>
      <c r="P1117" s="51" t="str">
        <f>C1117</f>
        <v>~cdd/olddocs/Ayudas visuales/Camarillo/General/VA-CGRAL-002  REV H ESPECIFICACIONES DE CORTE Y PREPARACION ITRON.ppt</v>
      </c>
      <c r="Q1117" s="51" t="str">
        <f>E1117</f>
        <v>ppt</v>
      </c>
      <c r="R1117" s="51"/>
      <c r="S1117" s="51"/>
      <c r="T1117" s="51"/>
      <c r="U1117" s="51"/>
      <c r="V1117" s="51"/>
      <c r="W1117" s="51"/>
      <c r="X1117" s="51"/>
      <c r="Y1117" s="51"/>
      <c r="Z1117" s="51"/>
      <c r="AA1117" s="51"/>
      <c r="AB1117" s="51"/>
      <c r="AC1117" s="51"/>
      <c r="AD1117" s="51"/>
      <c r="AE1117" t="s">
        <v>624</v>
      </c>
      <c r="AF1117" t="s">
        <v>1473</v>
      </c>
      <c r="AG1117" t="s">
        <v>28</v>
      </c>
      <c r="AH1117" s="51"/>
      <c r="AI1117" s="51"/>
    </row>
    <row r="1118" spans="2:35">
      <c r="B1118" t="s">
        <v>2699</v>
      </c>
      <c r="C1118" t="s">
        <v>3815</v>
      </c>
      <c r="D1118">
        <v>6</v>
      </c>
      <c r="E1118" t="s">
        <v>2796</v>
      </c>
      <c r="F1118">
        <v>5</v>
      </c>
      <c r="G1118">
        <v>33</v>
      </c>
      <c r="H1118">
        <v>21</v>
      </c>
      <c r="I1118" t="s">
        <v>2700</v>
      </c>
      <c r="J1118" s="51">
        <v>41197</v>
      </c>
      <c r="K1118" t="s">
        <v>27</v>
      </c>
      <c r="L1118" t="s">
        <v>2427</v>
      </c>
      <c r="M1118">
        <v>3</v>
      </c>
      <c r="N1118" t="str">
        <f>L1118</f>
        <v>NAM\MB1911</v>
      </c>
      <c r="O1118" s="51">
        <f>J1118</f>
        <v>41197</v>
      </c>
      <c r="P1118" s="51" t="str">
        <f>C1118</f>
        <v>~cdd/olddocs/Ayudas visuales/Camarillo/General/VA-CGRAL-003 Rev A lavado de tubo para llenado de epoxy.ppt</v>
      </c>
      <c r="Q1118" s="51" t="str">
        <f>E1118</f>
        <v>ppt</v>
      </c>
      <c r="R1118" s="51"/>
      <c r="S1118" s="51"/>
      <c r="T1118" s="51"/>
      <c r="U1118" s="51"/>
      <c r="V1118" s="51"/>
      <c r="W1118" s="51"/>
      <c r="X1118" s="51"/>
      <c r="Y1118" s="51"/>
      <c r="Z1118" s="51"/>
      <c r="AA1118" s="51"/>
      <c r="AB1118" s="51"/>
      <c r="AC1118" s="51"/>
      <c r="AD1118" s="51"/>
      <c r="AE1118" t="s">
        <v>30</v>
      </c>
      <c r="AF1118" t="s">
        <v>1473</v>
      </c>
      <c r="AG1118" t="s">
        <v>28</v>
      </c>
      <c r="AH1118" s="51"/>
      <c r="AI1118" s="51"/>
    </row>
    <row r="1119" spans="2:35">
      <c r="B1119" t="s">
        <v>767</v>
      </c>
      <c r="C1119" t="s">
        <v>3589</v>
      </c>
      <c r="D1119">
        <v>6</v>
      </c>
      <c r="E1119" t="s">
        <v>2793</v>
      </c>
      <c r="F1119">
        <v>5</v>
      </c>
      <c r="G1119">
        <v>12</v>
      </c>
      <c r="H1119">
        <v>4</v>
      </c>
      <c r="I1119" t="s">
        <v>768</v>
      </c>
      <c r="J1119" s="51">
        <v>41101</v>
      </c>
      <c r="K1119" t="s">
        <v>46</v>
      </c>
      <c r="L1119" t="s">
        <v>605</v>
      </c>
      <c r="M1119">
        <v>3</v>
      </c>
      <c r="N1119" t="str">
        <f>L1119</f>
        <v>NA/MB1049</v>
      </c>
      <c r="O1119" s="51">
        <f>J1119</f>
        <v>41101</v>
      </c>
      <c r="P1119" s="51" t="str">
        <f>C1119</f>
        <v>~/cdd/olddocs/Ayudas visuales/Micromini/Change Out/VA-CHGO-001 Rev B  X8652-CS Y REFERENCIA 1326304.pptx</v>
      </c>
      <c r="Q1119" s="51" t="str">
        <f>E1119</f>
        <v>pptx</v>
      </c>
      <c r="R1119" s="51"/>
      <c r="S1119" s="51"/>
      <c r="T1119" s="51"/>
      <c r="U1119" s="51"/>
      <c r="V1119" s="51"/>
      <c r="W1119" s="51"/>
      <c r="X1119" s="51"/>
      <c r="Y1119" s="51"/>
      <c r="Z1119" s="51"/>
      <c r="AA1119" s="51"/>
      <c r="AB1119" s="51"/>
      <c r="AC1119" s="51"/>
      <c r="AD1119" s="51"/>
      <c r="AE1119" t="s">
        <v>30</v>
      </c>
      <c r="AF1119" t="s">
        <v>90</v>
      </c>
      <c r="AG1119" t="s">
        <v>769</v>
      </c>
      <c r="AH1119" s="51"/>
      <c r="AI1119" s="51"/>
    </row>
    <row r="1120" spans="2:35">
      <c r="B1120" t="s">
        <v>2694</v>
      </c>
      <c r="C1120" t="s">
        <v>3522</v>
      </c>
      <c r="D1120">
        <v>6</v>
      </c>
      <c r="E1120" t="s">
        <v>2793</v>
      </c>
      <c r="F1120">
        <v>5</v>
      </c>
      <c r="G1120">
        <v>36</v>
      </c>
      <c r="H1120">
        <v>26</v>
      </c>
      <c r="I1120" t="s">
        <v>2695</v>
      </c>
      <c r="J1120" s="51">
        <v>41107</v>
      </c>
      <c r="K1120" t="s">
        <v>46</v>
      </c>
      <c r="L1120" t="s">
        <v>2427</v>
      </c>
      <c r="M1120">
        <v>3</v>
      </c>
      <c r="N1120" t="str">
        <f>L1120</f>
        <v>NAM\MB1911</v>
      </c>
      <c r="O1120" s="51">
        <f>J1120</f>
        <v>41107</v>
      </c>
      <c r="P1120" s="51" t="str">
        <f>C1120</f>
        <v>~/cdd/olddocs/Ayudas visuales/Camarillo/Ensamble general/VA-EGRAL-001 Rev B  000294-0000.pptx</v>
      </c>
      <c r="Q1120" s="51" t="str">
        <f>E1120</f>
        <v>pptx</v>
      </c>
      <c r="R1120" s="51"/>
      <c r="S1120" s="51"/>
      <c r="T1120" s="51"/>
      <c r="U1120" s="51"/>
      <c r="V1120" s="51"/>
      <c r="W1120" s="51"/>
      <c r="X1120" s="51"/>
      <c r="Y1120" s="51"/>
      <c r="Z1120" s="51"/>
      <c r="AA1120" s="51"/>
      <c r="AB1120" s="51"/>
      <c r="AC1120" s="51"/>
      <c r="AD1120" s="51"/>
      <c r="AE1120" t="s">
        <v>30</v>
      </c>
      <c r="AF1120" t="s">
        <v>479</v>
      </c>
      <c r="AG1120" t="s">
        <v>2696</v>
      </c>
      <c r="AH1120" s="51"/>
      <c r="AI1120" s="51"/>
    </row>
    <row r="1121" spans="2:35">
      <c r="B1121" t="s">
        <v>2732</v>
      </c>
      <c r="C1121" t="s">
        <v>3538</v>
      </c>
      <c r="D1121">
        <v>6</v>
      </c>
      <c r="E1121" t="s">
        <v>2796</v>
      </c>
      <c r="F1121">
        <v>5</v>
      </c>
      <c r="G1121">
        <v>9</v>
      </c>
      <c r="H1121">
        <v>9</v>
      </c>
      <c r="I1121" t="s">
        <v>2733</v>
      </c>
      <c r="J1121" s="51">
        <v>41081</v>
      </c>
      <c r="K1121" t="s">
        <v>261</v>
      </c>
      <c r="L1121" t="s">
        <v>2427</v>
      </c>
      <c r="M1121">
        <v>3</v>
      </c>
      <c r="N1121" t="str">
        <f>L1121</f>
        <v>NAM\MB1911</v>
      </c>
      <c r="O1121" s="51">
        <f>J1121</f>
        <v>41081</v>
      </c>
      <c r="P1121" s="51" t="str">
        <f>C1121</f>
        <v>~/cdd/olddocs/Ayudas visuales/Camarillo/Itron/MULTICELDA B/VA-IMB-001 Rev E  100G REMOTE MERCURY CORRECTOR 5 CBA-5000-002 (28-3278-0001) - Copy.ppt</v>
      </c>
      <c r="Q1121" s="51" t="str">
        <f>E1121</f>
        <v>ppt</v>
      </c>
      <c r="R1121" s="51"/>
      <c r="S1121" s="51"/>
      <c r="T1121" s="51"/>
      <c r="U1121" s="51"/>
      <c r="V1121" s="51"/>
      <c r="W1121" s="51"/>
      <c r="X1121" s="51"/>
      <c r="Y1121" s="51"/>
      <c r="Z1121" s="51"/>
      <c r="AA1121" s="51"/>
      <c r="AB1121" s="51"/>
      <c r="AC1121" s="51"/>
      <c r="AD1121" s="51"/>
      <c r="AE1121" t="s">
        <v>30</v>
      </c>
      <c r="AF1121" t="s">
        <v>479</v>
      </c>
      <c r="AG1121" t="s">
        <v>2734</v>
      </c>
      <c r="AH1121" s="51"/>
      <c r="AI1121" s="51"/>
    </row>
    <row r="1122" spans="2:35">
      <c r="B1122" t="s">
        <v>2735</v>
      </c>
      <c r="C1122" t="s">
        <v>3539</v>
      </c>
      <c r="D1122">
        <v>6</v>
      </c>
      <c r="E1122" t="s">
        <v>2796</v>
      </c>
      <c r="F1122">
        <v>5</v>
      </c>
      <c r="G1122">
        <v>9</v>
      </c>
      <c r="H1122">
        <v>9</v>
      </c>
      <c r="I1122" t="s">
        <v>2736</v>
      </c>
      <c r="J1122" s="51">
        <v>41092</v>
      </c>
      <c r="K1122" t="s">
        <v>46</v>
      </c>
      <c r="L1122" t="s">
        <v>2427</v>
      </c>
      <c r="M1122">
        <v>3</v>
      </c>
      <c r="N1122" t="str">
        <f>L1122</f>
        <v>NAM\MB1911</v>
      </c>
      <c r="O1122" s="51">
        <f>J1122</f>
        <v>41092</v>
      </c>
      <c r="P1122" s="51" t="str">
        <f>C1122</f>
        <v>~/cdd/olddocs/Ayudas visuales/Camarillo/Itron/MULTICELDA B/VA-IMB-002 Rev B CBA-1300-002  CBA-1300-003 CBA-1300-004 CBA-1300-001.ppt</v>
      </c>
      <c r="Q1122" s="51" t="str">
        <f>E1122</f>
        <v>ppt</v>
      </c>
      <c r="R1122" s="51"/>
      <c r="S1122" s="51"/>
      <c r="T1122" s="51"/>
      <c r="U1122" s="51"/>
      <c r="V1122" s="51"/>
      <c r="W1122" s="51"/>
      <c r="X1122" s="51"/>
      <c r="Y1122" s="51"/>
      <c r="Z1122" s="51"/>
      <c r="AA1122" s="51"/>
      <c r="AB1122" s="51"/>
      <c r="AC1122" s="51"/>
      <c r="AD1122" s="51"/>
      <c r="AE1122" t="s">
        <v>30</v>
      </c>
      <c r="AF1122" t="s">
        <v>479</v>
      </c>
      <c r="AG1122" t="s">
        <v>2737</v>
      </c>
      <c r="AH1122" s="51"/>
      <c r="AI1122" s="51"/>
    </row>
    <row r="1123" spans="2:35">
      <c r="B1123" t="s">
        <v>2738</v>
      </c>
      <c r="C1123" t="s">
        <v>3816</v>
      </c>
      <c r="D1123">
        <v>6</v>
      </c>
      <c r="E1123" t="s">
        <v>2796</v>
      </c>
      <c r="F1123">
        <v>5</v>
      </c>
      <c r="G1123">
        <v>9</v>
      </c>
      <c r="H1123">
        <v>9</v>
      </c>
      <c r="I1123" t="s">
        <v>2739</v>
      </c>
      <c r="J1123" s="51">
        <v>41199</v>
      </c>
      <c r="K1123" t="s">
        <v>46</v>
      </c>
      <c r="L1123" t="s">
        <v>2427</v>
      </c>
      <c r="M1123">
        <v>3</v>
      </c>
      <c r="N1123" t="str">
        <f>L1123</f>
        <v>NAM\MB1911</v>
      </c>
      <c r="O1123" s="51">
        <f>J1123</f>
        <v>41199</v>
      </c>
      <c r="P1123" s="51" t="str">
        <f>C1123</f>
        <v>~cdd/olddocs/Ayudas visuales/Camarillo/Itron/MULTICELDA B/VA-IMB-003 Rev B  MSC ENVIRONMENTAL CAP UNIV  MSC-0019-008 PARTE  010-0121-001 .ppt</v>
      </c>
      <c r="Q1123" s="51" t="str">
        <f>E1123</f>
        <v>ppt</v>
      </c>
      <c r="R1123" s="51"/>
      <c r="S1123" s="51"/>
      <c r="T1123" s="51"/>
      <c r="U1123" s="51"/>
      <c r="V1123" s="51"/>
      <c r="W1123" s="51"/>
      <c r="X1123" s="51"/>
      <c r="Y1123" s="51"/>
      <c r="Z1123" s="51"/>
      <c r="AA1123" s="51"/>
      <c r="AB1123" s="51"/>
      <c r="AC1123" s="51"/>
      <c r="AD1123" s="51"/>
      <c r="AE1123" t="s">
        <v>30</v>
      </c>
      <c r="AF1123" t="s">
        <v>479</v>
      </c>
      <c r="AG1123" t="s">
        <v>2164</v>
      </c>
      <c r="AH1123" s="51"/>
      <c r="AI1123" s="51"/>
    </row>
    <row r="1124" spans="2:35">
      <c r="B1124" t="s">
        <v>2740</v>
      </c>
      <c r="C1124" t="s">
        <v>3540</v>
      </c>
      <c r="D1124">
        <v>6</v>
      </c>
      <c r="E1124" t="s">
        <v>2793</v>
      </c>
      <c r="F1124">
        <v>5</v>
      </c>
      <c r="G1124">
        <v>9</v>
      </c>
      <c r="H1124">
        <v>9</v>
      </c>
      <c r="I1124" t="s">
        <v>2741</v>
      </c>
      <c r="J1124" s="51">
        <v>41101</v>
      </c>
      <c r="K1124" t="s">
        <v>27</v>
      </c>
      <c r="L1124" t="s">
        <v>2427</v>
      </c>
      <c r="M1124">
        <v>3</v>
      </c>
      <c r="N1124" t="str">
        <f>L1124</f>
        <v>NAM\MB1911</v>
      </c>
      <c r="O1124" s="51">
        <f>J1124</f>
        <v>41101</v>
      </c>
      <c r="P1124" s="51" t="str">
        <f>C1124</f>
        <v>~/cdd/olddocs/Ayudas visuales/Camarillo/Itron/MULTICELDA B/VA-IMB-004 Rev A  Ensamble de 28-2304-005 28-2305-0001  pptx - Copy.pptx</v>
      </c>
      <c r="Q1124" s="51" t="str">
        <f>E1124</f>
        <v>pptx</v>
      </c>
      <c r="R1124" s="51"/>
      <c r="S1124" s="51"/>
      <c r="T1124" s="51"/>
      <c r="U1124" s="51"/>
      <c r="V1124" s="51"/>
      <c r="W1124" s="51"/>
      <c r="X1124" s="51"/>
      <c r="Y1124" s="51"/>
      <c r="Z1124" s="51"/>
      <c r="AA1124" s="51"/>
      <c r="AB1124" s="51"/>
      <c r="AC1124" s="51"/>
      <c r="AD1124" s="51"/>
      <c r="AE1124" t="s">
        <v>30</v>
      </c>
      <c r="AF1124" t="s">
        <v>479</v>
      </c>
      <c r="AG1124" t="s">
        <v>2742</v>
      </c>
      <c r="AH1124" s="51"/>
      <c r="AI1124" s="51"/>
    </row>
    <row r="1125" spans="2:35">
      <c r="B1125" t="s">
        <v>2743</v>
      </c>
      <c r="C1125" t="s">
        <v>3541</v>
      </c>
      <c r="D1125">
        <v>6</v>
      </c>
      <c r="E1125" t="s">
        <v>2796</v>
      </c>
      <c r="F1125">
        <v>5</v>
      </c>
      <c r="G1125">
        <v>9</v>
      </c>
      <c r="H1125">
        <v>9</v>
      </c>
      <c r="I1125" t="s">
        <v>2744</v>
      </c>
      <c r="J1125" s="51">
        <v>41134</v>
      </c>
      <c r="K1125" t="s">
        <v>46</v>
      </c>
      <c r="L1125" t="s">
        <v>2427</v>
      </c>
      <c r="M1125">
        <v>3</v>
      </c>
      <c r="N1125" t="str">
        <f>L1125</f>
        <v>NAM\MB1911</v>
      </c>
      <c r="O1125" s="51">
        <f>J1125</f>
        <v>41134</v>
      </c>
      <c r="P1125" s="51" t="str">
        <f>C1125</f>
        <v>~/cdd/olddocs/Ayudas visuales/Camarillo/Itron/MULTICELDA B/VA-IMB-005  Rev B  28-2266-0000 28-2266-000X.ppt</v>
      </c>
      <c r="Q1125" s="51" t="str">
        <f>E1125</f>
        <v>ppt</v>
      </c>
      <c r="R1125" s="51"/>
      <c r="S1125" s="51"/>
      <c r="T1125" s="51"/>
      <c r="U1125" s="51"/>
      <c r="V1125" s="51"/>
      <c r="W1125" s="51"/>
      <c r="X1125" s="51"/>
      <c r="Y1125" s="51"/>
      <c r="Z1125" s="51"/>
      <c r="AA1125" s="51"/>
      <c r="AB1125" s="51"/>
      <c r="AC1125" s="51"/>
      <c r="AD1125" s="51"/>
      <c r="AE1125" t="s">
        <v>30</v>
      </c>
      <c r="AF1125" t="s">
        <v>479</v>
      </c>
      <c r="AG1125" t="s">
        <v>2745</v>
      </c>
      <c r="AH1125" s="51"/>
      <c r="AI1125" s="51"/>
    </row>
    <row r="1126" spans="2:35">
      <c r="B1126" t="s">
        <v>2746</v>
      </c>
      <c r="C1126" t="s">
        <v>3817</v>
      </c>
      <c r="D1126">
        <v>6</v>
      </c>
      <c r="E1126" t="s">
        <v>2796</v>
      </c>
      <c r="F1126">
        <v>5</v>
      </c>
      <c r="G1126">
        <v>9</v>
      </c>
      <c r="H1126">
        <v>9</v>
      </c>
      <c r="I1126" t="s">
        <v>2741</v>
      </c>
      <c r="J1126" s="51">
        <v>41212</v>
      </c>
      <c r="K1126" t="s">
        <v>159</v>
      </c>
      <c r="L1126" t="s">
        <v>2427</v>
      </c>
      <c r="M1126">
        <v>3</v>
      </c>
      <c r="N1126" t="str">
        <f>L1126</f>
        <v>NAM\MB1911</v>
      </c>
      <c r="O1126" s="51">
        <f>J1126</f>
        <v>41212</v>
      </c>
      <c r="P1126" s="51" t="str">
        <f>C1126</f>
        <v>~cdd/olddocs/Ayudas visuales/Camarillo/Itron/MULTICELDA B/VA-IMB-006 Rev C  Ensamble manual de 28-2304-005 y  28-2305-0001.ppt</v>
      </c>
      <c r="Q1126" s="51" t="str">
        <f>E1126</f>
        <v>ppt</v>
      </c>
      <c r="R1126" s="51"/>
      <c r="S1126" s="51"/>
      <c r="T1126" s="51"/>
      <c r="U1126" s="51"/>
      <c r="V1126" s="51"/>
      <c r="W1126" s="51"/>
      <c r="X1126" s="51"/>
      <c r="Y1126" s="51"/>
      <c r="Z1126" s="51"/>
      <c r="AA1126" s="51"/>
      <c r="AB1126" s="51"/>
      <c r="AC1126" s="51"/>
      <c r="AD1126" s="51"/>
      <c r="AE1126" t="s">
        <v>30</v>
      </c>
      <c r="AF1126" t="s">
        <v>1473</v>
      </c>
      <c r="AG1126" t="s">
        <v>2747</v>
      </c>
      <c r="AH1126" s="51"/>
      <c r="AI1126" s="51"/>
    </row>
    <row r="1127" spans="2:35">
      <c r="B1127" t="s">
        <v>2748</v>
      </c>
      <c r="C1127" t="s">
        <v>3818</v>
      </c>
      <c r="D1127">
        <v>6</v>
      </c>
      <c r="E1127" t="s">
        <v>2796</v>
      </c>
      <c r="F1127">
        <v>5</v>
      </c>
      <c r="G1127">
        <v>9</v>
      </c>
      <c r="H1127">
        <v>9</v>
      </c>
      <c r="I1127" t="s">
        <v>2749</v>
      </c>
      <c r="J1127" s="51">
        <v>41135</v>
      </c>
      <c r="K1127" t="s">
        <v>38</v>
      </c>
      <c r="L1127" t="s">
        <v>2427</v>
      </c>
      <c r="M1127">
        <v>3</v>
      </c>
      <c r="N1127" t="str">
        <f>L1127</f>
        <v>NAM\MB1911</v>
      </c>
      <c r="O1127" s="51">
        <f>J1127</f>
        <v>41135</v>
      </c>
      <c r="P1127" s="51" t="str">
        <f>C1127</f>
        <v>~cdd/olddocs/Ayudas visuales/Camarillo/Itron/MULTICELDA B/VA-IMB-007 Rev D  CABLE ASSY 28-3273-0000.ppt</v>
      </c>
      <c r="Q1127" s="51" t="str">
        <f>E1127</f>
        <v>ppt</v>
      </c>
      <c r="R1127" s="51"/>
      <c r="S1127" s="51"/>
      <c r="T1127" s="51"/>
      <c r="U1127" s="51"/>
      <c r="V1127" s="51"/>
      <c r="W1127" s="51"/>
      <c r="X1127" s="51"/>
      <c r="Y1127" s="51"/>
      <c r="Z1127" s="51"/>
      <c r="AA1127" s="51"/>
      <c r="AB1127" s="51"/>
      <c r="AC1127" s="51"/>
      <c r="AD1127" s="51"/>
      <c r="AE1127" t="s">
        <v>30</v>
      </c>
      <c r="AF1127" t="s">
        <v>1473</v>
      </c>
      <c r="AG1127" t="s">
        <v>2750</v>
      </c>
      <c r="AH1127" s="51"/>
      <c r="AI1127" s="51"/>
    </row>
    <row r="1128" spans="2:35">
      <c r="B1128" t="s">
        <v>2751</v>
      </c>
      <c r="C1128" t="s">
        <v>3819</v>
      </c>
      <c r="D1128">
        <v>6</v>
      </c>
      <c r="E1128" t="s">
        <v>2796</v>
      </c>
      <c r="F1128">
        <v>5</v>
      </c>
      <c r="G1128">
        <v>9</v>
      </c>
      <c r="H1128">
        <v>9</v>
      </c>
      <c r="I1128" t="s">
        <v>2752</v>
      </c>
      <c r="J1128" s="51">
        <v>41198</v>
      </c>
      <c r="K1128" t="s">
        <v>46</v>
      </c>
      <c r="L1128" t="s">
        <v>2427</v>
      </c>
      <c r="M1128">
        <v>3</v>
      </c>
      <c r="N1128" t="str">
        <f>L1128</f>
        <v>NAM\MB1911</v>
      </c>
      <c r="O1128" s="51">
        <f>J1128</f>
        <v>41198</v>
      </c>
      <c r="P1128" s="51" t="str">
        <f>C1128</f>
        <v>~cdd/olddocs/Ayudas visuales/Camarillo/Itron/MULTICELDA B/VA-IMB-008 Rev B  ENSAMBLE DE 28-2306-0001 (CBA-1300-903).ppt</v>
      </c>
      <c r="Q1128" s="51" t="str">
        <f>E1128</f>
        <v>ppt</v>
      </c>
      <c r="R1128" s="51"/>
      <c r="S1128" s="51"/>
      <c r="T1128" s="51"/>
      <c r="U1128" s="51"/>
      <c r="V1128" s="51"/>
      <c r="W1128" s="51"/>
      <c r="X1128" s="51"/>
      <c r="Y1128" s="51"/>
      <c r="Z1128" s="51"/>
      <c r="AA1128" s="51"/>
      <c r="AB1128" s="51"/>
      <c r="AC1128" s="51"/>
      <c r="AD1128" s="51"/>
      <c r="AE1128" t="s">
        <v>30</v>
      </c>
      <c r="AF1128" t="s">
        <v>1473</v>
      </c>
      <c r="AG1128" t="s">
        <v>2753</v>
      </c>
      <c r="AH1128" s="51"/>
      <c r="AI1128" s="51"/>
    </row>
    <row r="1129" spans="2:35">
      <c r="B1129" t="s">
        <v>1470</v>
      </c>
      <c r="C1129" t="s">
        <v>3820</v>
      </c>
      <c r="D1129">
        <v>6</v>
      </c>
      <c r="E1129" t="s">
        <v>2796</v>
      </c>
      <c r="F1129">
        <v>5</v>
      </c>
      <c r="G1129">
        <v>9</v>
      </c>
      <c r="H1129">
        <v>9</v>
      </c>
      <c r="I1129" t="s">
        <v>1471</v>
      </c>
      <c r="J1129" s="51">
        <v>41205</v>
      </c>
      <c r="K1129" t="s">
        <v>27</v>
      </c>
      <c r="L1129" t="s">
        <v>1461</v>
      </c>
      <c r="M1129">
        <v>3</v>
      </c>
      <c r="N1129" t="str">
        <f>L1129</f>
        <v>NAM\MB1297</v>
      </c>
      <c r="O1129" s="51">
        <f>J1129</f>
        <v>41205</v>
      </c>
      <c r="P1129" s="51" t="str">
        <f>C1129</f>
        <v>~cdd/olddocs/Ayudas visuales/Camarillo/Itron/MULTICELDA B/VA-IMB-009  Rev A  ENSAMBLE DE 28-2290-000128-2290-0002.ppt</v>
      </c>
      <c r="Q1129" s="51" t="str">
        <f>E1129</f>
        <v>ppt</v>
      </c>
      <c r="R1129" s="51"/>
      <c r="S1129" s="51"/>
      <c r="T1129" s="51"/>
      <c r="U1129" s="51"/>
      <c r="V1129" s="51"/>
      <c r="W1129" s="51"/>
      <c r="X1129" s="51"/>
      <c r="Y1129" s="51"/>
      <c r="Z1129" s="51"/>
      <c r="AA1129" s="51"/>
      <c r="AB1129" s="51"/>
      <c r="AC1129" s="51"/>
      <c r="AD1129" s="51"/>
      <c r="AE1129" t="s">
        <v>30</v>
      </c>
      <c r="AF1129" t="s">
        <v>1473</v>
      </c>
      <c r="AG1129" t="s">
        <v>1472</v>
      </c>
      <c r="AH1129" s="51"/>
      <c r="AI1129" s="51"/>
    </row>
    <row r="1130" spans="2:35">
      <c r="B1130" t="s">
        <v>2757</v>
      </c>
      <c r="C1130" t="s">
        <v>3542</v>
      </c>
      <c r="D1130">
        <v>6</v>
      </c>
      <c r="E1130" t="s">
        <v>2796</v>
      </c>
      <c r="F1130">
        <v>5</v>
      </c>
      <c r="G1130">
        <v>9</v>
      </c>
      <c r="H1130">
        <v>1</v>
      </c>
      <c r="I1130" t="s">
        <v>2758</v>
      </c>
      <c r="J1130" s="51">
        <v>41092</v>
      </c>
      <c r="K1130" t="s">
        <v>742</v>
      </c>
      <c r="L1130" t="s">
        <v>2427</v>
      </c>
      <c r="M1130">
        <v>3</v>
      </c>
      <c r="N1130" t="str">
        <f>L1130</f>
        <v>NAM\MB1911</v>
      </c>
      <c r="O1130" s="51">
        <f>J1130</f>
        <v>41092</v>
      </c>
      <c r="P1130" s="51" t="str">
        <f>C1130</f>
        <v>~/cdd/olddocs/Ayudas visuales/Camarillo/Itron/PLUG/VA-IPLUG-001 Rev F  CABLE ASSEMBLY 28-3272-0004 (CBA-0217-307) .ppt</v>
      </c>
      <c r="Q1130" s="51" t="str">
        <f>E1130</f>
        <v>ppt</v>
      </c>
      <c r="R1130" s="51"/>
      <c r="S1130" s="51"/>
      <c r="T1130" s="51"/>
      <c r="U1130" s="51"/>
      <c r="V1130" s="51"/>
      <c r="W1130" s="51"/>
      <c r="X1130" s="51"/>
      <c r="Y1130" s="51"/>
      <c r="Z1130" s="51"/>
      <c r="AA1130" s="51"/>
      <c r="AB1130" s="51"/>
      <c r="AC1130" s="51"/>
      <c r="AD1130" s="51"/>
      <c r="AE1130" t="s">
        <v>30</v>
      </c>
      <c r="AF1130" t="s">
        <v>479</v>
      </c>
      <c r="AG1130" t="s">
        <v>2759</v>
      </c>
      <c r="AH1130" s="51"/>
      <c r="AI1130" s="51"/>
    </row>
    <row r="1131" spans="2:35">
      <c r="B1131" t="s">
        <v>2760</v>
      </c>
      <c r="C1131" t="s">
        <v>3543</v>
      </c>
      <c r="D1131">
        <v>6</v>
      </c>
      <c r="E1131" t="s">
        <v>2796</v>
      </c>
      <c r="F1131">
        <v>5</v>
      </c>
      <c r="G1131">
        <v>9</v>
      </c>
      <c r="H1131">
        <v>1</v>
      </c>
      <c r="I1131" t="s">
        <v>2761</v>
      </c>
      <c r="J1131" s="51">
        <v>40946</v>
      </c>
      <c r="K1131" t="s">
        <v>159</v>
      </c>
      <c r="L1131" t="s">
        <v>2427</v>
      </c>
      <c r="M1131">
        <v>3</v>
      </c>
      <c r="N1131" t="str">
        <f>L1131</f>
        <v>NAM\MB1911</v>
      </c>
      <c r="O1131" s="51">
        <f>J1131</f>
        <v>40946</v>
      </c>
      <c r="P1131" s="51" t="str">
        <f>C1131</f>
        <v>~/cdd/olddocs/Ayudas visuales/Camarillo/Itron/PLUG/VA-IPLUG-002  Rev C   CBA-0349-105 PARTE 28-2297-0001.ppt</v>
      </c>
      <c r="Q1131" s="51" t="str">
        <f>E1131</f>
        <v>ppt</v>
      </c>
      <c r="R1131" s="51"/>
      <c r="S1131" s="51"/>
      <c r="T1131" s="51"/>
      <c r="U1131" s="51"/>
      <c r="V1131" s="51"/>
      <c r="W1131" s="51"/>
      <c r="X1131" s="51"/>
      <c r="Y1131" s="51"/>
      <c r="Z1131" s="51"/>
      <c r="AA1131" s="51"/>
      <c r="AB1131" s="51"/>
      <c r="AC1131" s="51"/>
      <c r="AD1131" s="51"/>
      <c r="AE1131" t="s">
        <v>30</v>
      </c>
      <c r="AF1131" t="s">
        <v>479</v>
      </c>
      <c r="AG1131" t="s">
        <v>2762</v>
      </c>
      <c r="AH1131" s="51"/>
      <c r="AI1131" s="51"/>
    </row>
    <row r="1132" spans="2:35">
      <c r="B1132" t="s">
        <v>2763</v>
      </c>
      <c r="C1132" t="s">
        <v>3821</v>
      </c>
      <c r="D1132">
        <v>6</v>
      </c>
      <c r="E1132" t="s">
        <v>2796</v>
      </c>
      <c r="F1132">
        <v>5</v>
      </c>
      <c r="G1132">
        <v>9</v>
      </c>
      <c r="H1132">
        <v>1</v>
      </c>
      <c r="I1132" t="s">
        <v>2764</v>
      </c>
      <c r="J1132" s="51">
        <v>41199</v>
      </c>
      <c r="K1132" t="s">
        <v>742</v>
      </c>
      <c r="L1132" t="s">
        <v>2427</v>
      </c>
      <c r="M1132">
        <v>3</v>
      </c>
      <c r="N1132" t="str">
        <f>L1132</f>
        <v>NAM\MB1911</v>
      </c>
      <c r="O1132" s="51">
        <f>J1132</f>
        <v>41199</v>
      </c>
      <c r="P1132" s="51" t="str">
        <f>C1132</f>
        <v>~cdd/olddocs/Ayudas visuales/Camarillo/Itron/PLUG/VA-IPLUG-003 REV  F.ppt</v>
      </c>
      <c r="Q1132" s="51" t="str">
        <f>E1132</f>
        <v>ppt</v>
      </c>
      <c r="R1132" s="51"/>
      <c r="S1132" s="51"/>
      <c r="T1132" s="51"/>
      <c r="U1132" s="51"/>
      <c r="V1132" s="51"/>
      <c r="W1132" s="51"/>
      <c r="X1132" s="51"/>
      <c r="Y1132" s="51"/>
      <c r="Z1132" s="51"/>
      <c r="AA1132" s="51"/>
      <c r="AB1132" s="51"/>
      <c r="AC1132" s="51"/>
      <c r="AD1132" s="51"/>
      <c r="AE1132" t="s">
        <v>2766</v>
      </c>
      <c r="AF1132" t="s">
        <v>1473</v>
      </c>
      <c r="AG1132" t="s">
        <v>2765</v>
      </c>
      <c r="AH1132" s="51"/>
      <c r="AI1132" s="51"/>
    </row>
    <row r="1133" spans="2:35">
      <c r="B1133" t="s">
        <v>2772</v>
      </c>
      <c r="C1133" t="s">
        <v>3544</v>
      </c>
      <c r="D1133">
        <v>6</v>
      </c>
      <c r="E1133" t="s">
        <v>2796</v>
      </c>
      <c r="F1133">
        <v>5</v>
      </c>
      <c r="G1133">
        <v>9</v>
      </c>
      <c r="H1133">
        <v>13</v>
      </c>
      <c r="I1133" t="s">
        <v>2773</v>
      </c>
      <c r="J1133" s="51">
        <v>41143</v>
      </c>
      <c r="K1133" t="s">
        <v>741</v>
      </c>
      <c r="L1133" t="s">
        <v>2427</v>
      </c>
      <c r="M1133">
        <v>3</v>
      </c>
      <c r="N1133" t="str">
        <f>L1133</f>
        <v>NAM\MB1911</v>
      </c>
      <c r="O1133" s="51">
        <f>J1133</f>
        <v>41143</v>
      </c>
      <c r="P1133" s="51" t="str">
        <f>C1133</f>
        <v>~/cdd/olddocs/Ayudas visuales/Camarillo/Itron/RECEPTACULO/VA-IRCPT-001 Rev G   RECEPTACLE 28-3264-0001 28-3272-050X.ppt</v>
      </c>
      <c r="Q1133" s="51" t="str">
        <f>E1133</f>
        <v>ppt</v>
      </c>
      <c r="R1133" s="51"/>
      <c r="S1133" s="51"/>
      <c r="T1133" s="51"/>
      <c r="U1133" s="51"/>
      <c r="V1133" s="51"/>
      <c r="W1133" s="51"/>
      <c r="X1133" s="51"/>
      <c r="Y1133" s="51"/>
      <c r="Z1133" s="51"/>
      <c r="AA1133" s="51"/>
      <c r="AB1133" s="51"/>
      <c r="AC1133" s="51"/>
      <c r="AD1133" s="51"/>
      <c r="AE1133" t="s">
        <v>2774</v>
      </c>
      <c r="AF1133" t="s">
        <v>1473</v>
      </c>
      <c r="AG1133" t="s">
        <v>2703</v>
      </c>
      <c r="AH1133" s="51"/>
      <c r="AI1133" s="51"/>
    </row>
    <row r="1134" spans="2:35">
      <c r="B1134" t="s">
        <v>633</v>
      </c>
      <c r="C1134" t="s">
        <v>3602</v>
      </c>
      <c r="D1134">
        <v>6</v>
      </c>
      <c r="E1134" t="s">
        <v>2793</v>
      </c>
      <c r="F1134">
        <v>5</v>
      </c>
      <c r="G1134">
        <v>33</v>
      </c>
      <c r="H1134">
        <v>28</v>
      </c>
      <c r="I1134" t="s">
        <v>634</v>
      </c>
      <c r="J1134" s="51">
        <v>41082</v>
      </c>
      <c r="K1134" t="s">
        <v>46</v>
      </c>
      <c r="L1134" t="s">
        <v>605</v>
      </c>
      <c r="M1134">
        <v>3</v>
      </c>
      <c r="N1134" t="str">
        <f>L1134</f>
        <v>NA/MB1049</v>
      </c>
      <c r="O1134" s="51">
        <f>J1134</f>
        <v>41082</v>
      </c>
      <c r="P1134" s="51" t="str">
        <f>C1134</f>
        <v>~/cdd/olddocs/Ayudas visuales/Micromini/General/VA-MGRAL-001 Rev B  COLOCACION DE FACE GASKET.pptx</v>
      </c>
      <c r="Q1134" s="51" t="str">
        <f>E1134</f>
        <v>pptx</v>
      </c>
      <c r="R1134" s="51"/>
      <c r="S1134" s="51"/>
      <c r="T1134" s="51"/>
      <c r="U1134" s="51"/>
      <c r="V1134" s="51"/>
      <c r="W1134" s="51"/>
      <c r="X1134" s="51"/>
      <c r="Y1134" s="51"/>
      <c r="Z1134" s="51"/>
      <c r="AA1134" s="51"/>
      <c r="AB1134" s="51"/>
      <c r="AC1134" s="51"/>
      <c r="AD1134" s="51"/>
      <c r="AE1134" t="s">
        <v>610</v>
      </c>
      <c r="AF1134" t="s">
        <v>90</v>
      </c>
      <c r="AG1134" t="s">
        <v>28</v>
      </c>
      <c r="AH1134" s="51"/>
      <c r="AI1134" s="51"/>
    </row>
    <row r="1135" spans="2:35">
      <c r="B1135" t="s">
        <v>635</v>
      </c>
      <c r="C1135" t="s">
        <v>3603</v>
      </c>
      <c r="D1135">
        <v>6</v>
      </c>
      <c r="E1135" t="s">
        <v>2793</v>
      </c>
      <c r="F1135">
        <v>5</v>
      </c>
      <c r="G1135">
        <v>33</v>
      </c>
      <c r="H1135">
        <v>28</v>
      </c>
      <c r="I1135" t="s">
        <v>636</v>
      </c>
      <c r="J1135" s="51">
        <v>41172</v>
      </c>
      <c r="K1135" t="s">
        <v>159</v>
      </c>
      <c r="L1135" t="s">
        <v>605</v>
      </c>
      <c r="M1135">
        <v>3</v>
      </c>
      <c r="N1135" t="str">
        <f>L1135</f>
        <v>NA/MB1049</v>
      </c>
      <c r="O1135" s="51">
        <f>J1135</f>
        <v>41172</v>
      </c>
      <c r="P1135" s="51" t="str">
        <f>C1135</f>
        <v>~/cdd/olddocs/Ayudas visuales/Micromini/General/VA-MGRAL-002 Rev C SOLDADURA DE CONDUCTORES A CONECTOR GENERICA MICROMINI (2).pptx</v>
      </c>
      <c r="Q1135" s="51" t="str">
        <f>E1135</f>
        <v>pptx</v>
      </c>
      <c r="R1135" s="51"/>
      <c r="S1135" s="51"/>
      <c r="T1135" s="51"/>
      <c r="U1135" s="51"/>
      <c r="V1135" s="51"/>
      <c r="W1135" s="51"/>
      <c r="X1135" s="51"/>
      <c r="Y1135" s="51"/>
      <c r="Z1135" s="51"/>
      <c r="AA1135" s="51"/>
      <c r="AB1135" s="51"/>
      <c r="AC1135" s="51"/>
      <c r="AD1135" s="51"/>
      <c r="AE1135" t="s">
        <v>637</v>
      </c>
      <c r="AF1135" t="s">
        <v>90</v>
      </c>
      <c r="AG1135" t="s">
        <v>28</v>
      </c>
      <c r="AH1135" s="51"/>
      <c r="AI1135" s="51"/>
    </row>
    <row r="1136" spans="2:35">
      <c r="B1136" t="s">
        <v>638</v>
      </c>
      <c r="C1136" t="s">
        <v>3604</v>
      </c>
      <c r="D1136">
        <v>6</v>
      </c>
      <c r="E1136" t="s">
        <v>2793</v>
      </c>
      <c r="F1136">
        <v>5</v>
      </c>
      <c r="G1136">
        <v>33</v>
      </c>
      <c r="H1136">
        <v>28</v>
      </c>
      <c r="I1136" t="s">
        <v>639</v>
      </c>
      <c r="J1136" s="51">
        <v>41172</v>
      </c>
      <c r="K1136" t="s">
        <v>159</v>
      </c>
      <c r="L1136" t="s">
        <v>605</v>
      </c>
      <c r="M1136">
        <v>3</v>
      </c>
      <c r="N1136" t="str">
        <f>L1136</f>
        <v>NA/MB1049</v>
      </c>
      <c r="O1136" s="51">
        <f>J1136</f>
        <v>41172</v>
      </c>
      <c r="P1136" s="51" t="str">
        <f>C1136</f>
        <v>~/cdd/olddocs/Ayudas visuales/Micromini/General/VA-MGRAL-003 Rev C  REMACHADO DE CONTACTOS MICROMINI (2).pptx</v>
      </c>
      <c r="Q1136" s="51" t="str">
        <f>E1136</f>
        <v>pptx</v>
      </c>
      <c r="R1136" s="51"/>
      <c r="S1136" s="51"/>
      <c r="T1136" s="51"/>
      <c r="U1136" s="51"/>
      <c r="V1136" s="51"/>
      <c r="W1136" s="51"/>
      <c r="X1136" s="51"/>
      <c r="Y1136" s="51"/>
      <c r="Z1136" s="51"/>
      <c r="AA1136" s="51"/>
      <c r="AB1136" s="51"/>
      <c r="AC1136" s="51"/>
      <c r="AD1136" s="51"/>
      <c r="AE1136" t="s">
        <v>637</v>
      </c>
      <c r="AF1136" t="s">
        <v>90</v>
      </c>
      <c r="AG1136" t="s">
        <v>28</v>
      </c>
      <c r="AH1136" s="51"/>
      <c r="AI1136" s="51"/>
    </row>
    <row r="1137" spans="2:35">
      <c r="B1137" t="s">
        <v>640</v>
      </c>
      <c r="C1137" t="s">
        <v>3605</v>
      </c>
      <c r="D1137">
        <v>6</v>
      </c>
      <c r="E1137" t="s">
        <v>2793</v>
      </c>
      <c r="F1137">
        <v>5</v>
      </c>
      <c r="G1137">
        <v>33</v>
      </c>
      <c r="H1137">
        <v>28</v>
      </c>
      <c r="I1137" t="s">
        <v>641</v>
      </c>
      <c r="J1137" s="51">
        <v>41172</v>
      </c>
      <c r="K1137" t="s">
        <v>46</v>
      </c>
      <c r="L1137" t="s">
        <v>605</v>
      </c>
      <c r="M1137">
        <v>3</v>
      </c>
      <c r="N1137" t="str">
        <f>L1137</f>
        <v>NA/MB1049</v>
      </c>
      <c r="O1137" s="51">
        <f>J1137</f>
        <v>41172</v>
      </c>
      <c r="P1137" s="51" t="str">
        <f>C1137</f>
        <v>~/cdd/olddocs/Ayudas visuales/Micromini/General/VA-MGRAL-004 Rev B  despoje de conductores micromini (2).pptx</v>
      </c>
      <c r="Q1137" s="51" t="str">
        <f>E1137</f>
        <v>pptx</v>
      </c>
      <c r="R1137" s="51"/>
      <c r="S1137" s="51"/>
      <c r="T1137" s="51"/>
      <c r="U1137" s="51"/>
      <c r="V1137" s="51"/>
      <c r="W1137" s="51"/>
      <c r="X1137" s="51"/>
      <c r="Y1137" s="51"/>
      <c r="Z1137" s="51"/>
      <c r="AA1137" s="51"/>
      <c r="AB1137" s="51"/>
      <c r="AC1137" s="51"/>
      <c r="AD1137" s="51"/>
      <c r="AE1137" t="s">
        <v>637</v>
      </c>
      <c r="AF1137" t="s">
        <v>90</v>
      </c>
      <c r="AG1137" t="s">
        <v>28</v>
      </c>
      <c r="AH1137" s="51"/>
      <c r="AI1137" s="51"/>
    </row>
    <row r="1138" spans="2:35">
      <c r="B1138" t="s">
        <v>642</v>
      </c>
      <c r="C1138" t="s">
        <v>3606</v>
      </c>
      <c r="D1138">
        <v>6</v>
      </c>
      <c r="E1138" t="s">
        <v>2793</v>
      </c>
      <c r="F1138">
        <v>5</v>
      </c>
      <c r="G1138">
        <v>33</v>
      </c>
      <c r="H1138">
        <v>28</v>
      </c>
      <c r="I1138" t="s">
        <v>643</v>
      </c>
      <c r="J1138" s="51">
        <v>41173</v>
      </c>
      <c r="K1138" t="s">
        <v>46</v>
      </c>
      <c r="L1138" t="s">
        <v>605</v>
      </c>
      <c r="M1138">
        <v>3</v>
      </c>
      <c r="N1138" t="str">
        <f>L1138</f>
        <v>NA/MB1049</v>
      </c>
      <c r="O1138" s="51">
        <f>J1138</f>
        <v>41173</v>
      </c>
      <c r="P1138" s="51" t="str">
        <f>C1138</f>
        <v>~/cdd/olddocs/Ayudas visuales/Micromini/General/VA-MGRAL-005 Rev B  PEGADO DE PIEZAS MOLDEADAS (2).pptx</v>
      </c>
      <c r="Q1138" s="51" t="str">
        <f>E1138</f>
        <v>pptx</v>
      </c>
      <c r="R1138" s="51"/>
      <c r="S1138" s="51"/>
      <c r="T1138" s="51"/>
      <c r="U1138" s="51"/>
      <c r="V1138" s="51"/>
      <c r="W1138" s="51"/>
      <c r="X1138" s="51"/>
      <c r="Y1138" s="51"/>
      <c r="Z1138" s="51"/>
      <c r="AA1138" s="51"/>
      <c r="AB1138" s="51"/>
      <c r="AC1138" s="51"/>
      <c r="AD1138" s="51"/>
      <c r="AE1138" t="s">
        <v>624</v>
      </c>
      <c r="AF1138" t="s">
        <v>90</v>
      </c>
      <c r="AG1138" t="s">
        <v>28</v>
      </c>
      <c r="AH1138" s="51"/>
      <c r="AI1138" s="51"/>
    </row>
    <row r="1139" spans="2:35">
      <c r="B1139" t="s">
        <v>644</v>
      </c>
      <c r="C1139" t="s">
        <v>3607</v>
      </c>
      <c r="D1139">
        <v>6</v>
      </c>
      <c r="E1139" t="s">
        <v>2793</v>
      </c>
      <c r="F1139">
        <v>5</v>
      </c>
      <c r="G1139">
        <v>33</v>
      </c>
      <c r="H1139">
        <v>28</v>
      </c>
      <c r="I1139" t="s">
        <v>645</v>
      </c>
      <c r="J1139" s="51">
        <v>41176</v>
      </c>
      <c r="K1139" t="s">
        <v>46</v>
      </c>
      <c r="L1139" t="s">
        <v>605</v>
      </c>
      <c r="M1139">
        <v>3</v>
      </c>
      <c r="N1139" t="str">
        <f>L1139</f>
        <v>NA/MB1049</v>
      </c>
      <c r="O1139" s="51">
        <f>J1139</f>
        <v>41176</v>
      </c>
      <c r="P1139" s="51" t="str">
        <f>C1139</f>
        <v>~/cdd/olddocs/Ayudas visuales/Micromini/General/VA-MGRAL-006 Rev B corte de cable micro mini generica (2).pptx</v>
      </c>
      <c r="Q1139" s="51" t="str">
        <f>E1139</f>
        <v>pptx</v>
      </c>
      <c r="R1139" s="51"/>
      <c r="S1139" s="51"/>
      <c r="T1139" s="51"/>
      <c r="U1139" s="51"/>
      <c r="V1139" s="51"/>
      <c r="W1139" s="51"/>
      <c r="X1139" s="51"/>
      <c r="Y1139" s="51"/>
      <c r="Z1139" s="51"/>
      <c r="AA1139" s="51"/>
      <c r="AB1139" s="51"/>
      <c r="AC1139" s="51"/>
      <c r="AD1139" s="51"/>
      <c r="AE1139" t="s">
        <v>646</v>
      </c>
      <c r="AF1139" t="s">
        <v>90</v>
      </c>
      <c r="AG1139" t="s">
        <v>28</v>
      </c>
      <c r="AH1139" s="51"/>
      <c r="AI1139" s="51"/>
    </row>
    <row r="1140" spans="2:35">
      <c r="B1140" t="s">
        <v>647</v>
      </c>
      <c r="C1140" t="s">
        <v>3608</v>
      </c>
      <c r="D1140">
        <v>6</v>
      </c>
      <c r="E1140" t="s">
        <v>2793</v>
      </c>
      <c r="F1140">
        <v>5</v>
      </c>
      <c r="G1140">
        <v>33</v>
      </c>
      <c r="H1140">
        <v>28</v>
      </c>
      <c r="I1140" t="s">
        <v>648</v>
      </c>
      <c r="J1140" s="51">
        <v>41176</v>
      </c>
      <c r="K1140" t="s">
        <v>46</v>
      </c>
      <c r="L1140" t="s">
        <v>605</v>
      </c>
      <c r="M1140">
        <v>3</v>
      </c>
      <c r="N1140" t="str">
        <f>L1140</f>
        <v>NA/MB1049</v>
      </c>
      <c r="O1140" s="51">
        <f>J1140</f>
        <v>41176</v>
      </c>
      <c r="P1140" s="51" t="str">
        <f>C1140</f>
        <v>~/cdd/olddocs/Ayudas visuales/Micromini/General/VA-MGRAL-007 Rev B despoje jacket  generica micromini (2).pptx</v>
      </c>
      <c r="Q1140" s="51" t="str">
        <f>E1140</f>
        <v>pptx</v>
      </c>
      <c r="R1140" s="51"/>
      <c r="S1140" s="51"/>
      <c r="T1140" s="51"/>
      <c r="U1140" s="51"/>
      <c r="V1140" s="51"/>
      <c r="W1140" s="51"/>
      <c r="X1140" s="51"/>
      <c r="Y1140" s="51"/>
      <c r="Z1140" s="51"/>
      <c r="AA1140" s="51"/>
      <c r="AB1140" s="51"/>
      <c r="AC1140" s="51"/>
      <c r="AD1140" s="51"/>
      <c r="AE1140" t="s">
        <v>646</v>
      </c>
      <c r="AF1140" t="s">
        <v>90</v>
      </c>
      <c r="AG1140" t="s">
        <v>28</v>
      </c>
      <c r="AH1140" s="51"/>
      <c r="AI1140" s="51"/>
    </row>
    <row r="1141" spans="2:35">
      <c r="B1141" t="s">
        <v>649</v>
      </c>
      <c r="C1141" t="s">
        <v>3609</v>
      </c>
      <c r="D1141">
        <v>6</v>
      </c>
      <c r="E1141" t="s">
        <v>2793</v>
      </c>
      <c r="F1141">
        <v>5</v>
      </c>
      <c r="G1141">
        <v>33</v>
      </c>
      <c r="H1141">
        <v>28</v>
      </c>
      <c r="I1141" t="s">
        <v>650</v>
      </c>
      <c r="J1141" s="51">
        <v>41176</v>
      </c>
      <c r="K1141" t="s">
        <v>46</v>
      </c>
      <c r="L1141" t="s">
        <v>605</v>
      </c>
      <c r="M1141">
        <v>3</v>
      </c>
      <c r="N1141" t="str">
        <f>L1141</f>
        <v>NA/MB1049</v>
      </c>
      <c r="O1141" s="51">
        <f>J1141</f>
        <v>41176</v>
      </c>
      <c r="P1141" s="51" t="str">
        <f>C1141</f>
        <v>~/cdd/olddocs/Ayudas visuales/Micromini/General/VA-MGRAL-008 Rev B  EMPAQUE GENERICO MICROMINI.pptx</v>
      </c>
      <c r="Q1141" s="51" t="str">
        <f>E1141</f>
        <v>pptx</v>
      </c>
      <c r="R1141" s="51"/>
      <c r="S1141" s="51"/>
      <c r="T1141" s="51"/>
      <c r="U1141" s="51"/>
      <c r="V1141" s="51"/>
      <c r="W1141" s="51"/>
      <c r="X1141" s="51"/>
      <c r="Y1141" s="51"/>
      <c r="Z1141" s="51"/>
      <c r="AA1141" s="51"/>
      <c r="AB1141" s="51"/>
      <c r="AC1141" s="51"/>
      <c r="AD1141" s="51"/>
      <c r="AE1141" t="s">
        <v>646</v>
      </c>
      <c r="AF1141" t="s">
        <v>90</v>
      </c>
      <c r="AG1141" t="s">
        <v>28</v>
      </c>
      <c r="AH1141" s="51"/>
      <c r="AI1141" s="51"/>
    </row>
    <row r="1142" spans="2:35">
      <c r="B1142" t="s">
        <v>651</v>
      </c>
      <c r="C1142" t="s">
        <v>3610</v>
      </c>
      <c r="D1142">
        <v>6</v>
      </c>
      <c r="E1142" t="s">
        <v>2793</v>
      </c>
      <c r="F1142">
        <v>5</v>
      </c>
      <c r="G1142">
        <v>33</v>
      </c>
      <c r="H1142">
        <v>28</v>
      </c>
      <c r="I1142" t="s">
        <v>652</v>
      </c>
      <c r="J1142" s="51">
        <v>41176</v>
      </c>
      <c r="K1142" t="s">
        <v>46</v>
      </c>
      <c r="L1142" t="s">
        <v>605</v>
      </c>
      <c r="M1142">
        <v>3</v>
      </c>
      <c r="N1142" t="str">
        <f>L1142</f>
        <v>NA/MB1049</v>
      </c>
      <c r="O1142" s="51">
        <f>J1142</f>
        <v>41176</v>
      </c>
      <c r="P1142" s="51" t="str">
        <f>C1142</f>
        <v>~/cdd/olddocs/Ayudas visuales/Micromini/General/VA-MGRAL-009 Rev B  INSERCION DE CONTACTOS GENERICA MICROMINI.pptx</v>
      </c>
      <c r="Q1142" s="51" t="str">
        <f>E1142</f>
        <v>pptx</v>
      </c>
      <c r="R1142" s="51"/>
      <c r="S1142" s="51"/>
      <c r="T1142" s="51"/>
      <c r="U1142" s="51"/>
      <c r="V1142" s="51"/>
      <c r="W1142" s="51"/>
      <c r="X1142" s="51"/>
      <c r="Y1142" s="51"/>
      <c r="Z1142" s="51"/>
      <c r="AA1142" s="51"/>
      <c r="AB1142" s="51"/>
      <c r="AC1142" s="51"/>
      <c r="AD1142" s="51"/>
      <c r="AE1142" t="s">
        <v>646</v>
      </c>
      <c r="AF1142" t="s">
        <v>90</v>
      </c>
      <c r="AG1142" t="s">
        <v>28</v>
      </c>
      <c r="AH1142" s="51"/>
      <c r="AI1142" s="51"/>
    </row>
    <row r="1143" spans="2:35">
      <c r="B1143" t="s">
        <v>653</v>
      </c>
      <c r="C1143" t="s">
        <v>3611</v>
      </c>
      <c r="D1143">
        <v>6</v>
      </c>
      <c r="E1143" t="s">
        <v>2793</v>
      </c>
      <c r="F1143">
        <v>5</v>
      </c>
      <c r="G1143">
        <v>33</v>
      </c>
      <c r="H1143">
        <v>28</v>
      </c>
      <c r="I1143" t="s">
        <v>654</v>
      </c>
      <c r="J1143" s="51">
        <v>41176</v>
      </c>
      <c r="K1143" t="s">
        <v>46</v>
      </c>
      <c r="L1143" t="s">
        <v>605</v>
      </c>
      <c r="M1143">
        <v>3</v>
      </c>
      <c r="N1143" t="str">
        <f>L1143</f>
        <v>NA/MB1049</v>
      </c>
      <c r="O1143" s="51">
        <f>J1143</f>
        <v>41176</v>
      </c>
      <c r="P1143" s="51" t="str">
        <f>C1143</f>
        <v>~/cdd/olddocs/Ayudas visuales/Micromini/General/VA-MGRAL-010 Rev B  Moldeo de pieza micromini.pptx</v>
      </c>
      <c r="Q1143" s="51" t="str">
        <f>E1143</f>
        <v>pptx</v>
      </c>
      <c r="R1143" s="51"/>
      <c r="S1143" s="51"/>
      <c r="T1143" s="51"/>
      <c r="U1143" s="51"/>
      <c r="V1143" s="51"/>
      <c r="W1143" s="51"/>
      <c r="X1143" s="51"/>
      <c r="Y1143" s="51"/>
      <c r="Z1143" s="51"/>
      <c r="AA1143" s="51"/>
      <c r="AB1143" s="51"/>
      <c r="AC1143" s="51"/>
      <c r="AD1143" s="51"/>
      <c r="AE1143" t="s">
        <v>646</v>
      </c>
      <c r="AF1143" t="s">
        <v>90</v>
      </c>
      <c r="AG1143" t="s">
        <v>28</v>
      </c>
      <c r="AH1143" s="51"/>
      <c r="AI1143" s="51"/>
    </row>
    <row r="1144" spans="2:35">
      <c r="B1144" t="s">
        <v>655</v>
      </c>
      <c r="C1144" t="s">
        <v>3612</v>
      </c>
      <c r="D1144">
        <v>6</v>
      </c>
      <c r="E1144" t="s">
        <v>2793</v>
      </c>
      <c r="F1144">
        <v>5</v>
      </c>
      <c r="G1144">
        <v>33</v>
      </c>
      <c r="H1144">
        <v>28</v>
      </c>
      <c r="I1144" t="s">
        <v>656</v>
      </c>
      <c r="J1144" s="51">
        <v>41186</v>
      </c>
      <c r="K1144" t="s">
        <v>38</v>
      </c>
      <c r="L1144" t="s">
        <v>605</v>
      </c>
      <c r="M1144">
        <v>3</v>
      </c>
      <c r="N1144" t="str">
        <f>L1144</f>
        <v>NA/MB1049</v>
      </c>
      <c r="O1144" s="51">
        <f>J1144</f>
        <v>41186</v>
      </c>
      <c r="P1144" s="51" t="str">
        <f>C1144</f>
        <v>~/cdd/olddocs/Ayudas visuales/Micromini/General/VA-MGRAL-011 Rev D Calentado de inserts.pptx</v>
      </c>
      <c r="Q1144" s="51" t="str">
        <f>E1144</f>
        <v>pptx</v>
      </c>
      <c r="R1144" s="51"/>
      <c r="S1144" s="51"/>
      <c r="T1144" s="51"/>
      <c r="U1144" s="51"/>
      <c r="V1144" s="51"/>
      <c r="W1144" s="51"/>
      <c r="X1144" s="51"/>
      <c r="Y1144" s="51"/>
      <c r="Z1144" s="51"/>
      <c r="AA1144" s="51"/>
      <c r="AB1144" s="51"/>
      <c r="AC1144" s="51"/>
      <c r="AD1144" s="51"/>
      <c r="AE1144" t="s">
        <v>624</v>
      </c>
      <c r="AF1144" t="s">
        <v>90</v>
      </c>
      <c r="AG1144" t="s">
        <v>28</v>
      </c>
      <c r="AH1144" s="51"/>
      <c r="AI1144" s="51"/>
    </row>
    <row r="1145" spans="2:35">
      <c r="B1145" t="s">
        <v>657</v>
      </c>
      <c r="C1145" t="s">
        <v>3613</v>
      </c>
      <c r="D1145">
        <v>6</v>
      </c>
      <c r="E1145" t="s">
        <v>2793</v>
      </c>
      <c r="F1145">
        <v>5</v>
      </c>
      <c r="G1145">
        <v>33</v>
      </c>
      <c r="H1145">
        <v>28</v>
      </c>
      <c r="I1145" t="s">
        <v>658</v>
      </c>
      <c r="J1145" s="51">
        <v>41194</v>
      </c>
      <c r="K1145" t="s">
        <v>659</v>
      </c>
      <c r="L1145" t="s">
        <v>605</v>
      </c>
      <c r="M1145">
        <v>3</v>
      </c>
      <c r="N1145" t="str">
        <f>L1145</f>
        <v>NA/MB1049</v>
      </c>
      <c r="O1145" s="51">
        <f>J1145</f>
        <v>41194</v>
      </c>
      <c r="P1145" s="51" t="str">
        <f>C1145</f>
        <v>~/cdd/olddocs/Ayudas visuales/Micromini/General/VA-MGRAL-012 Rev N aplicacion de goma al inserto y al cable.pptx</v>
      </c>
      <c r="Q1145" s="51" t="str">
        <f>E1145</f>
        <v>pptx</v>
      </c>
      <c r="R1145" s="51"/>
      <c r="S1145" s="51"/>
      <c r="T1145" s="51"/>
      <c r="U1145" s="51"/>
      <c r="V1145" s="51"/>
      <c r="W1145" s="51"/>
      <c r="X1145" s="51"/>
      <c r="Y1145" s="51"/>
      <c r="Z1145" s="51"/>
      <c r="AA1145" s="51"/>
      <c r="AB1145" s="51"/>
      <c r="AC1145" s="51"/>
      <c r="AD1145" s="51"/>
      <c r="AE1145" t="s">
        <v>478</v>
      </c>
      <c r="AF1145" t="s">
        <v>90</v>
      </c>
      <c r="AG1145" t="s">
        <v>88</v>
      </c>
      <c r="AH1145" s="51"/>
      <c r="AI1145" s="51"/>
    </row>
    <row r="1146" spans="2:35">
      <c r="B1146" t="s">
        <v>783</v>
      </c>
      <c r="C1146" t="s">
        <v>3619</v>
      </c>
      <c r="D1146">
        <v>6</v>
      </c>
      <c r="E1146" t="s">
        <v>2793</v>
      </c>
      <c r="F1146">
        <v>5</v>
      </c>
      <c r="G1146">
        <v>12</v>
      </c>
      <c r="H1146">
        <v>16</v>
      </c>
      <c r="I1146" t="s">
        <v>784</v>
      </c>
      <c r="J1146" s="51">
        <v>41094</v>
      </c>
      <c r="K1146" t="s">
        <v>46</v>
      </c>
      <c r="L1146" t="s">
        <v>605</v>
      </c>
      <c r="M1146">
        <v>3</v>
      </c>
      <c r="N1146" t="str">
        <f>L1146</f>
        <v>NA/MB1049</v>
      </c>
      <c r="O1146" s="51">
        <f>J1146</f>
        <v>41094</v>
      </c>
      <c r="P1146" s="51" t="str">
        <f>C1146</f>
        <v>~/cdd/olddocs/Ayudas visuales/Micromini/MS/VA-MS-001 REV B COLOCACION DE MALLA.pptx</v>
      </c>
      <c r="Q1146" s="51" t="str">
        <f>E1146</f>
        <v>pptx</v>
      </c>
      <c r="R1146" s="51"/>
      <c r="S1146" s="51"/>
      <c r="T1146" s="51"/>
      <c r="U1146" s="51"/>
      <c r="V1146" s="51"/>
      <c r="W1146" s="51"/>
      <c r="X1146" s="51"/>
      <c r="Y1146" s="51"/>
      <c r="Z1146" s="51"/>
      <c r="AA1146" s="51"/>
      <c r="AB1146" s="51"/>
      <c r="AC1146" s="51"/>
      <c r="AD1146" s="51"/>
      <c r="AE1146" t="s">
        <v>30</v>
      </c>
      <c r="AF1146" t="s">
        <v>90</v>
      </c>
      <c r="AG1146" t="s">
        <v>28</v>
      </c>
      <c r="AH1146" s="51"/>
      <c r="AI1146" s="51"/>
    </row>
    <row r="1147" spans="2:35">
      <c r="B1147" t="s">
        <v>785</v>
      </c>
      <c r="C1147" t="s">
        <v>3620</v>
      </c>
      <c r="D1147">
        <v>6</v>
      </c>
      <c r="E1147" t="s">
        <v>2793</v>
      </c>
      <c r="F1147">
        <v>5</v>
      </c>
      <c r="G1147">
        <v>12</v>
      </c>
      <c r="H1147">
        <v>16</v>
      </c>
      <c r="I1147" t="s">
        <v>786</v>
      </c>
      <c r="J1147" s="51">
        <v>41099</v>
      </c>
      <c r="K1147" t="s">
        <v>27</v>
      </c>
      <c r="L1147" t="s">
        <v>605</v>
      </c>
      <c r="M1147">
        <v>3</v>
      </c>
      <c r="N1147" t="str">
        <f>L1147</f>
        <v>NA/MB1049</v>
      </c>
      <c r="O1147" s="51">
        <f>J1147</f>
        <v>41099</v>
      </c>
      <c r="P1147" s="51" t="str">
        <f>C1147</f>
        <v>~/cdd/olddocs/Ayudas visuales/Micromini/MS/VA-MS-002 Rev A  USO DE CHECADOR DE ENGOMADO.pptx</v>
      </c>
      <c r="Q1147" s="51" t="str">
        <f>E1147</f>
        <v>pptx</v>
      </c>
      <c r="R1147" s="51"/>
      <c r="S1147" s="51"/>
      <c r="T1147" s="51"/>
      <c r="U1147" s="51"/>
      <c r="V1147" s="51"/>
      <c r="W1147" s="51"/>
      <c r="X1147" s="51"/>
      <c r="Y1147" s="51"/>
      <c r="Z1147" s="51"/>
      <c r="AA1147" s="51"/>
      <c r="AB1147" s="51"/>
      <c r="AC1147" s="51"/>
      <c r="AD1147" s="51"/>
      <c r="AE1147" t="s">
        <v>30</v>
      </c>
      <c r="AF1147" t="s">
        <v>90</v>
      </c>
      <c r="AG1147" t="s">
        <v>28</v>
      </c>
      <c r="AH1147" s="51"/>
      <c r="AI1147" s="51"/>
    </row>
    <row r="1148" spans="2:35">
      <c r="B1148" t="s">
        <v>787</v>
      </c>
      <c r="C1148" t="s">
        <v>3621</v>
      </c>
      <c r="D1148">
        <v>6</v>
      </c>
      <c r="E1148" t="s">
        <v>2793</v>
      </c>
      <c r="F1148">
        <v>5</v>
      </c>
      <c r="G1148">
        <v>12</v>
      </c>
      <c r="H1148">
        <v>16</v>
      </c>
      <c r="I1148" t="s">
        <v>788</v>
      </c>
      <c r="J1148" s="51">
        <v>41122</v>
      </c>
      <c r="K1148" t="s">
        <v>46</v>
      </c>
      <c r="L1148" t="s">
        <v>605</v>
      </c>
      <c r="M1148">
        <v>3</v>
      </c>
      <c r="N1148" t="str">
        <f>L1148</f>
        <v>NA/MB1049</v>
      </c>
      <c r="O1148" s="51">
        <f>J1148</f>
        <v>41122</v>
      </c>
      <c r="P1148" s="51" t="str">
        <f>C1148</f>
        <v>~/cdd/olddocs/Ayudas visuales/Micromini/MS/VA-MS-003 EB1147 Rev. B.pptx</v>
      </c>
      <c r="Q1148" s="51" t="str">
        <f>E1148</f>
        <v>pptx</v>
      </c>
      <c r="R1148" s="51"/>
      <c r="S1148" s="51"/>
      <c r="T1148" s="51"/>
      <c r="U1148" s="51"/>
      <c r="V1148" s="51"/>
      <c r="W1148" s="51"/>
      <c r="X1148" s="51"/>
      <c r="Y1148" s="51"/>
      <c r="Z1148" s="51"/>
      <c r="AA1148" s="51"/>
      <c r="AB1148" s="51"/>
      <c r="AC1148" s="51"/>
      <c r="AD1148" s="51"/>
      <c r="AE1148" t="s">
        <v>30</v>
      </c>
      <c r="AF1148" t="s">
        <v>90</v>
      </c>
      <c r="AG1148" t="s">
        <v>788</v>
      </c>
      <c r="AH1148" s="51"/>
      <c r="AI1148" s="51"/>
    </row>
    <row r="1149" spans="2:35">
      <c r="B1149" t="s">
        <v>841</v>
      </c>
      <c r="C1149" t="s">
        <v>3641</v>
      </c>
      <c r="D1149">
        <v>6</v>
      </c>
      <c r="E1149" t="s">
        <v>2793</v>
      </c>
      <c r="F1149">
        <v>5</v>
      </c>
      <c r="G1149">
        <v>12</v>
      </c>
      <c r="H1149">
        <v>18</v>
      </c>
      <c r="I1149" t="s">
        <v>842</v>
      </c>
      <c r="J1149" s="51">
        <v>41102</v>
      </c>
      <c r="K1149" t="s">
        <v>159</v>
      </c>
      <c r="L1149" t="s">
        <v>605</v>
      </c>
      <c r="M1149">
        <v>3</v>
      </c>
      <c r="N1149" t="str">
        <f>L1149</f>
        <v>NA/MB1049</v>
      </c>
      <c r="O1149" s="51">
        <f>J1149</f>
        <v>41102</v>
      </c>
      <c r="P1149" s="51" t="str">
        <f>C1149</f>
        <v>~/cdd/olddocs/Ayudas visuales/Micromini/Potted/VA-POTT-001  Rev  C  Pegado de insert a shell.pptx</v>
      </c>
      <c r="Q1149" s="51" t="str">
        <f>E1149</f>
        <v>pptx</v>
      </c>
      <c r="R1149" s="51"/>
      <c r="S1149" s="51"/>
      <c r="T1149" s="51"/>
      <c r="U1149" s="51"/>
      <c r="V1149" s="51"/>
      <c r="W1149" s="51"/>
      <c r="X1149" s="51"/>
      <c r="Y1149" s="51"/>
      <c r="Z1149" s="51"/>
      <c r="AA1149" s="51"/>
      <c r="AB1149" s="51"/>
      <c r="AC1149" s="51"/>
      <c r="AD1149" s="51"/>
      <c r="AE1149" t="s">
        <v>30</v>
      </c>
      <c r="AF1149" t="s">
        <v>90</v>
      </c>
      <c r="AG1149" t="s">
        <v>28</v>
      </c>
      <c r="AH1149" s="51"/>
      <c r="AI1149" s="51"/>
    </row>
    <row r="1150" spans="2:35">
      <c r="B1150" t="s">
        <v>843</v>
      </c>
      <c r="C1150" t="s">
        <v>3642</v>
      </c>
      <c r="D1150">
        <v>6</v>
      </c>
      <c r="E1150" t="s">
        <v>2793</v>
      </c>
      <c r="F1150">
        <v>5</v>
      </c>
      <c r="G1150">
        <v>12</v>
      </c>
      <c r="H1150">
        <v>18</v>
      </c>
      <c r="I1150" t="s">
        <v>844</v>
      </c>
      <c r="J1150" s="51">
        <v>41197</v>
      </c>
      <c r="K1150" t="s">
        <v>46</v>
      </c>
      <c r="L1150" t="s">
        <v>605</v>
      </c>
      <c r="M1150">
        <v>3</v>
      </c>
      <c r="N1150" t="str">
        <f>L1150</f>
        <v>NA/MB1049</v>
      </c>
      <c r="O1150" s="51">
        <f>J1150</f>
        <v>41197</v>
      </c>
      <c r="P1150" s="51" t="str">
        <f>C1150</f>
        <v>~/cdd/olddocs/Ayudas visuales/Micromini/Potted/VA-POTT-002 Encapsulado con epoxy Rev B.pptx</v>
      </c>
      <c r="Q1150" s="51" t="str">
        <f>E1150</f>
        <v>pptx</v>
      </c>
      <c r="R1150" s="51"/>
      <c r="S1150" s="51"/>
      <c r="T1150" s="51"/>
      <c r="U1150" s="51"/>
      <c r="V1150" s="51"/>
      <c r="W1150" s="51"/>
      <c r="X1150" s="51"/>
      <c r="Y1150" s="51"/>
      <c r="Z1150" s="51"/>
      <c r="AA1150" s="51"/>
      <c r="AB1150" s="51"/>
      <c r="AC1150" s="51"/>
      <c r="AD1150" s="51"/>
      <c r="AE1150" t="s">
        <v>30</v>
      </c>
      <c r="AF1150" t="s">
        <v>90</v>
      </c>
      <c r="AG1150" t="s">
        <v>28</v>
      </c>
      <c r="AH1150" s="51"/>
      <c r="AI1150" s="51"/>
    </row>
    <row r="1151" spans="2:35">
      <c r="B1151" t="s">
        <v>849</v>
      </c>
      <c r="C1151" t="s">
        <v>3644</v>
      </c>
      <c r="D1151">
        <v>6</v>
      </c>
      <c r="E1151" t="s">
        <v>2793</v>
      </c>
      <c r="F1151">
        <v>5</v>
      </c>
      <c r="G1151">
        <v>12</v>
      </c>
      <c r="H1151">
        <v>20</v>
      </c>
      <c r="I1151" t="s">
        <v>850</v>
      </c>
      <c r="J1151" s="51">
        <v>41095</v>
      </c>
      <c r="K1151" t="s">
        <v>27</v>
      </c>
      <c r="L1151" t="s">
        <v>605</v>
      </c>
      <c r="M1151">
        <v>3</v>
      </c>
      <c r="N1151" t="str">
        <f>L1151</f>
        <v>NA/MB1049</v>
      </c>
      <c r="O1151" s="51">
        <f>J1151</f>
        <v>41095</v>
      </c>
      <c r="P1151" s="51" t="str">
        <f>C1151</f>
        <v>~/cdd/olddocs/Ayudas visuales/Micromini/Rocwell/VA-ROCK-001 Rev A ENGOMADO DE  RONDANA.pptx</v>
      </c>
      <c r="Q1151" s="51" t="str">
        <f>E1151</f>
        <v>pptx</v>
      </c>
      <c r="R1151" s="51"/>
      <c r="S1151" s="51"/>
      <c r="T1151" s="51"/>
      <c r="U1151" s="51"/>
      <c r="V1151" s="51"/>
      <c r="W1151" s="51"/>
      <c r="X1151" s="51"/>
      <c r="Y1151" s="51"/>
      <c r="Z1151" s="51"/>
      <c r="AA1151" s="51"/>
      <c r="AB1151" s="51"/>
      <c r="AC1151" s="51"/>
      <c r="AD1151" s="51"/>
      <c r="AE1151" t="s">
        <v>30</v>
      </c>
      <c r="AF1151" t="s">
        <v>601</v>
      </c>
      <c r="AG1151" t="s">
        <v>851</v>
      </c>
      <c r="AH1151" s="51"/>
      <c r="AI1151" s="51"/>
    </row>
    <row r="1152" spans="2:35">
      <c r="B1152" t="s">
        <v>2779</v>
      </c>
      <c r="C1152" t="s">
        <v>3553</v>
      </c>
      <c r="D1152">
        <v>6</v>
      </c>
      <c r="E1152" t="s">
        <v>2796</v>
      </c>
      <c r="F1152">
        <v>5</v>
      </c>
      <c r="G1152">
        <v>34</v>
      </c>
      <c r="H1152">
        <v>25</v>
      </c>
      <c r="I1152" t="s">
        <v>2780</v>
      </c>
      <c r="J1152" s="51">
        <v>41092</v>
      </c>
      <c r="K1152" t="s">
        <v>159</v>
      </c>
      <c r="L1152" t="s">
        <v>2427</v>
      </c>
      <c r="M1152">
        <v>3</v>
      </c>
      <c r="N1152" t="str">
        <f>L1152</f>
        <v>NAM\MB1911</v>
      </c>
      <c r="O1152" s="51">
        <f>J1152</f>
        <v>41092</v>
      </c>
      <c r="P1152" s="51" t="str">
        <f>C1152</f>
        <v>~/cdd/olddocs/Ayudas visuales/Camarillo/Salem/VA-SALM-001 Rev C CABLE ASSY A1-330-0000  PART A1-330-0080.ppt</v>
      </c>
      <c r="Q1152" s="51" t="str">
        <f>E1152</f>
        <v>ppt</v>
      </c>
      <c r="R1152" s="51"/>
      <c r="S1152" s="51"/>
      <c r="T1152" s="51"/>
      <c r="U1152" s="51"/>
      <c r="V1152" s="51"/>
      <c r="W1152" s="51"/>
      <c r="X1152" s="51"/>
      <c r="Y1152" s="51"/>
      <c r="Z1152" s="51"/>
      <c r="AA1152" s="51"/>
      <c r="AB1152" s="51"/>
      <c r="AC1152" s="51"/>
      <c r="AD1152" s="51"/>
      <c r="AE1152" t="s">
        <v>30</v>
      </c>
      <c r="AF1152" t="s">
        <v>479</v>
      </c>
      <c r="AG1152" t="s">
        <v>2781</v>
      </c>
      <c r="AH1152" s="51"/>
      <c r="AI1152" s="51"/>
    </row>
    <row r="1153" spans="2:35">
      <c r="B1153" t="s">
        <v>109</v>
      </c>
      <c r="C1153" t="s">
        <v>3457</v>
      </c>
      <c r="D1153">
        <v>6</v>
      </c>
      <c r="E1153" t="s">
        <v>2796</v>
      </c>
      <c r="F1153">
        <v>5</v>
      </c>
      <c r="G1153">
        <v>6</v>
      </c>
      <c r="H1153">
        <v>14</v>
      </c>
      <c r="I1153" t="s">
        <v>110</v>
      </c>
      <c r="J1153" s="51">
        <v>41102</v>
      </c>
      <c r="K1153" t="s">
        <v>46</v>
      </c>
      <c r="L1153" t="s">
        <v>63</v>
      </c>
      <c r="M1153">
        <v>3</v>
      </c>
      <c r="N1153" t="str">
        <f>L1153</f>
        <v>NAM\D6B1B</v>
      </c>
      <c r="O1153" s="51">
        <f>J1153</f>
        <v>41102</v>
      </c>
      <c r="P1153" s="51" t="str">
        <f>C1153</f>
        <v>~/cdd/olddocs/Ayudas visuales/Avenal-Solar/VA-SOL-001  Rev. B  Proceso ensamble del area de solar IC-A61-N1.ppt</v>
      </c>
      <c r="Q1153" s="51" t="str">
        <f>E1153</f>
        <v>ppt</v>
      </c>
      <c r="R1153" s="51"/>
      <c r="S1153" s="51"/>
      <c r="T1153" s="51"/>
      <c r="U1153" s="51"/>
      <c r="V1153" s="51"/>
      <c r="W1153" s="51"/>
      <c r="X1153" s="51"/>
      <c r="Y1153" s="51"/>
      <c r="Z1153" s="51"/>
      <c r="AA1153" s="51"/>
      <c r="AB1153" s="51"/>
      <c r="AC1153" s="51"/>
      <c r="AD1153" s="51"/>
      <c r="AE1153" t="s">
        <v>101</v>
      </c>
      <c r="AF1153" t="s">
        <v>97</v>
      </c>
      <c r="AG1153" t="s">
        <v>111</v>
      </c>
      <c r="AH1153" s="51"/>
      <c r="AI1153" s="51"/>
    </row>
    <row r="1154" spans="2:35">
      <c r="B1154" t="s">
        <v>112</v>
      </c>
      <c r="C1154" t="s">
        <v>3458</v>
      </c>
      <c r="D1154">
        <v>6</v>
      </c>
      <c r="E1154" t="s">
        <v>2793</v>
      </c>
      <c r="F1154">
        <v>5</v>
      </c>
      <c r="G1154">
        <v>6</v>
      </c>
      <c r="H1154">
        <v>14</v>
      </c>
      <c r="I1154" t="s">
        <v>110</v>
      </c>
      <c r="J1154" s="51">
        <v>41106</v>
      </c>
      <c r="K1154" t="s">
        <v>46</v>
      </c>
      <c r="L1154" t="s">
        <v>63</v>
      </c>
      <c r="M1154">
        <v>3</v>
      </c>
      <c r="N1154" t="str">
        <f>L1154</f>
        <v>NAM\D6B1B</v>
      </c>
      <c r="O1154" s="51">
        <f>J1154</f>
        <v>41106</v>
      </c>
      <c r="P1154" s="51" t="str">
        <f>C1154</f>
        <v>~/cdd/olddocs/Ayudas visuales/Avenal-Solar/VA-SOL-002  Rev .B Proceso ensamble del area de solar IC-A61-N2 .pptx</v>
      </c>
      <c r="Q1154" s="51" t="str">
        <f>E1154</f>
        <v>pptx</v>
      </c>
      <c r="R1154" s="51"/>
      <c r="S1154" s="51"/>
      <c r="T1154" s="51"/>
      <c r="U1154" s="51"/>
      <c r="V1154" s="51"/>
      <c r="W1154" s="51"/>
      <c r="X1154" s="51"/>
      <c r="Y1154" s="51"/>
      <c r="Z1154" s="51"/>
      <c r="AA1154" s="51"/>
      <c r="AB1154" s="51"/>
      <c r="AC1154" s="51"/>
      <c r="AD1154" s="51"/>
      <c r="AE1154" t="s">
        <v>101</v>
      </c>
      <c r="AF1154" t="s">
        <v>97</v>
      </c>
      <c r="AG1154" t="s">
        <v>113</v>
      </c>
      <c r="AH1154" s="51"/>
      <c r="AI1154" s="51"/>
    </row>
    <row r="1155" spans="2:35">
      <c r="B1155" t="s">
        <v>114</v>
      </c>
      <c r="C1155" t="s">
        <v>3456</v>
      </c>
      <c r="D1155">
        <v>6</v>
      </c>
      <c r="E1155" t="s">
        <v>2793</v>
      </c>
      <c r="F1155">
        <v>5</v>
      </c>
      <c r="G1155">
        <v>6</v>
      </c>
      <c r="H1155">
        <v>14</v>
      </c>
      <c r="I1155" t="s">
        <v>110</v>
      </c>
      <c r="J1155" s="51">
        <v>41106</v>
      </c>
      <c r="K1155" t="s">
        <v>46</v>
      </c>
      <c r="L1155" t="s">
        <v>63</v>
      </c>
      <c r="M1155">
        <v>3</v>
      </c>
      <c r="N1155" t="str">
        <f>L1155</f>
        <v>NAM\D6B1B</v>
      </c>
      <c r="O1155" s="51">
        <f>J1155</f>
        <v>41106</v>
      </c>
      <c r="P1155" s="51" t="str">
        <f>C1155</f>
        <v>~/cdd/olddocs/Ayudas visuales/Avenal-Solar/VA-SOL- 003 Rev .B  Proceso ensamble del area de solar IC-A61-P2.pptx</v>
      </c>
      <c r="Q1155" s="51" t="str">
        <f>E1155</f>
        <v>pptx</v>
      </c>
      <c r="R1155" s="51"/>
      <c r="S1155" s="51"/>
      <c r="T1155" s="51"/>
      <c r="U1155" s="51"/>
      <c r="V1155" s="51"/>
      <c r="W1155" s="51"/>
      <c r="X1155" s="51"/>
      <c r="Y1155" s="51"/>
      <c r="Z1155" s="51"/>
      <c r="AA1155" s="51"/>
      <c r="AB1155" s="51"/>
      <c r="AC1155" s="51"/>
      <c r="AD1155" s="51"/>
      <c r="AE1155" t="s">
        <v>101</v>
      </c>
      <c r="AF1155" t="s">
        <v>97</v>
      </c>
      <c r="AG1155" t="s">
        <v>115</v>
      </c>
      <c r="AH1155" s="51"/>
      <c r="AI1155" s="51"/>
    </row>
    <row r="1156" spans="2:35">
      <c r="B1156" t="s">
        <v>116</v>
      </c>
      <c r="C1156" t="s">
        <v>3459</v>
      </c>
      <c r="D1156">
        <v>6</v>
      </c>
      <c r="E1156" t="s">
        <v>2793</v>
      </c>
      <c r="F1156">
        <v>5</v>
      </c>
      <c r="G1156">
        <v>6</v>
      </c>
      <c r="H1156">
        <v>14</v>
      </c>
      <c r="I1156" t="s">
        <v>110</v>
      </c>
      <c r="J1156" s="51">
        <v>41106</v>
      </c>
      <c r="K1156" t="s">
        <v>46</v>
      </c>
      <c r="L1156" t="s">
        <v>63</v>
      </c>
      <c r="M1156">
        <v>3</v>
      </c>
      <c r="N1156" t="str">
        <f>L1156</f>
        <v>NAM\D6B1B</v>
      </c>
      <c r="O1156" s="51">
        <f>J1156</f>
        <v>41106</v>
      </c>
      <c r="P1156" s="51" t="str">
        <f>C1156</f>
        <v>~/cdd/olddocs/Ayudas visuales/Avenal-Solar/VA-SOL-004  Rev. B Proceso ensamble del area de solar IC-A61-P1.pptx</v>
      </c>
      <c r="Q1156" s="51" t="str">
        <f>E1156</f>
        <v>pptx</v>
      </c>
      <c r="R1156" s="51"/>
      <c r="S1156" s="51"/>
      <c r="T1156" s="51"/>
      <c r="U1156" s="51"/>
      <c r="V1156" s="51"/>
      <c r="W1156" s="51"/>
      <c r="X1156" s="51"/>
      <c r="Y1156" s="51"/>
      <c r="Z1156" s="51"/>
      <c r="AA1156" s="51"/>
      <c r="AB1156" s="51"/>
      <c r="AC1156" s="51"/>
      <c r="AD1156" s="51"/>
      <c r="AE1156" t="s">
        <v>101</v>
      </c>
      <c r="AF1156" t="s">
        <v>97</v>
      </c>
      <c r="AG1156" t="s">
        <v>117</v>
      </c>
      <c r="AH1156" s="51"/>
      <c r="AI1156" s="51"/>
    </row>
    <row r="1157" spans="2:35">
      <c r="B1157" t="s">
        <v>118</v>
      </c>
      <c r="C1157" t="s">
        <v>3460</v>
      </c>
      <c r="D1157">
        <v>6</v>
      </c>
      <c r="E1157" t="s">
        <v>2793</v>
      </c>
      <c r="F1157">
        <v>5</v>
      </c>
      <c r="G1157">
        <v>6</v>
      </c>
      <c r="H1157">
        <v>14</v>
      </c>
      <c r="I1157" t="s">
        <v>119</v>
      </c>
      <c r="J1157" s="51">
        <v>41107</v>
      </c>
      <c r="K1157" t="s">
        <v>27</v>
      </c>
      <c r="L1157" t="s">
        <v>63</v>
      </c>
      <c r="M1157">
        <v>3</v>
      </c>
      <c r="N1157" t="str">
        <f>L1157</f>
        <v>NAM\D6B1B</v>
      </c>
      <c r="O1157" s="51">
        <f>J1157</f>
        <v>41107</v>
      </c>
      <c r="P1157" s="51" t="str">
        <f>C1157</f>
        <v>~/cdd/olddocs/Ayudas visuales/Avenal-Solar/VA-SOL-005 Rev. A Proyecto NEDCO area de Solar.pptx</v>
      </c>
      <c r="Q1157" s="51" t="str">
        <f>E1157</f>
        <v>pptx</v>
      </c>
      <c r="R1157" s="51"/>
      <c r="S1157" s="51"/>
      <c r="T1157" s="51"/>
      <c r="U1157" s="51"/>
      <c r="V1157" s="51"/>
      <c r="W1157" s="51"/>
      <c r="X1157" s="51"/>
      <c r="Y1157" s="51"/>
      <c r="Z1157" s="51"/>
      <c r="AA1157" s="51"/>
      <c r="AB1157" s="51"/>
      <c r="AC1157" s="51"/>
      <c r="AD1157" s="51"/>
      <c r="AE1157" t="s">
        <v>120</v>
      </c>
      <c r="AF1157" t="s">
        <v>97</v>
      </c>
      <c r="AG1157" t="s">
        <v>28</v>
      </c>
      <c r="AH1157" s="51"/>
      <c r="AI1157" s="51"/>
    </row>
    <row r="1158" spans="2:35">
      <c r="B1158" t="s">
        <v>121</v>
      </c>
      <c r="C1158" t="s">
        <v>3783</v>
      </c>
      <c r="D1158">
        <v>6</v>
      </c>
      <c r="E1158" t="s">
        <v>2796</v>
      </c>
      <c r="F1158">
        <v>5</v>
      </c>
      <c r="G1158">
        <v>6</v>
      </c>
      <c r="H1158">
        <v>14</v>
      </c>
      <c r="I1158" t="s">
        <v>122</v>
      </c>
      <c r="J1158" s="51">
        <v>41184</v>
      </c>
      <c r="K1158" t="s">
        <v>27</v>
      </c>
      <c r="L1158" t="s">
        <v>63</v>
      </c>
      <c r="M1158">
        <v>3</v>
      </c>
      <c r="N1158" t="str">
        <f>L1158</f>
        <v>NAM\D6B1B</v>
      </c>
      <c r="O1158" s="51">
        <f>J1158</f>
        <v>41184</v>
      </c>
      <c r="P1158" s="51" t="str">
        <f>C1158</f>
        <v>~cdd/olddocs/Ayudas visuales/Avenal-Solar/VA-SOL-006 Rev A Ensamble para IC-B46-SF6-XXXX proyecto AMEC.ppt</v>
      </c>
      <c r="Q1158" s="51" t="str">
        <f>E1158</f>
        <v>ppt</v>
      </c>
      <c r="R1158" s="51"/>
      <c r="S1158" s="51"/>
      <c r="T1158" s="51"/>
      <c r="U1158" s="51"/>
      <c r="V1158" s="51"/>
      <c r="W1158" s="51"/>
      <c r="X1158" s="51"/>
      <c r="Y1158" s="51"/>
      <c r="Z1158" s="51"/>
      <c r="AA1158" s="51"/>
      <c r="AB1158" s="51"/>
      <c r="AC1158" s="51"/>
      <c r="AD1158" s="51"/>
      <c r="AE1158" t="s">
        <v>124</v>
      </c>
      <c r="AF1158" t="s">
        <v>97</v>
      </c>
      <c r="AG1158" t="s">
        <v>123</v>
      </c>
      <c r="AH1158" s="51"/>
      <c r="AI1158" s="51"/>
    </row>
    <row r="1159" spans="2:35">
      <c r="B1159" t="s">
        <v>125</v>
      </c>
      <c r="C1159" t="s">
        <v>3784</v>
      </c>
      <c r="D1159">
        <v>6</v>
      </c>
      <c r="E1159" t="s">
        <v>2796</v>
      </c>
      <c r="F1159">
        <v>5</v>
      </c>
      <c r="G1159">
        <v>6</v>
      </c>
      <c r="H1159">
        <v>14</v>
      </c>
      <c r="I1159" t="s">
        <v>126</v>
      </c>
      <c r="J1159" s="51">
        <v>41184</v>
      </c>
      <c r="K1159" t="s">
        <v>27</v>
      </c>
      <c r="L1159" t="s">
        <v>63</v>
      </c>
      <c r="M1159">
        <v>3</v>
      </c>
      <c r="N1159" t="str">
        <f>L1159</f>
        <v>NAM\D6B1B</v>
      </c>
      <c r="O1159" s="51">
        <f>J1159</f>
        <v>41184</v>
      </c>
      <c r="P1159" s="51" t="str">
        <f>C1159</f>
        <v>~cdd/olddocs/Ayudas visuales/Avenal-Solar/VA-SOL-007 Rev A CORTE DE CABLE PARA IC-B46-SF6-B5N2.ppt</v>
      </c>
      <c r="Q1159" s="51" t="str">
        <f>E1159</f>
        <v>ppt</v>
      </c>
      <c r="R1159" s="51"/>
      <c r="S1159" s="51"/>
      <c r="T1159" s="51"/>
      <c r="U1159" s="51"/>
      <c r="V1159" s="51"/>
      <c r="W1159" s="51"/>
      <c r="X1159" s="51"/>
      <c r="Y1159" s="51"/>
      <c r="Z1159" s="51"/>
      <c r="AA1159" s="51"/>
      <c r="AB1159" s="51"/>
      <c r="AC1159" s="51"/>
      <c r="AD1159" s="51"/>
      <c r="AE1159" t="s">
        <v>101</v>
      </c>
      <c r="AF1159" t="s">
        <v>97</v>
      </c>
      <c r="AG1159" t="s">
        <v>127</v>
      </c>
      <c r="AH1159" s="51"/>
      <c r="AI1159" s="51"/>
    </row>
  </sheetData>
  <hyperlinks>
    <hyperlink ref="C1012" r:id="rId1" display="\\chno0276\Aseguranza de Calidad\Control de Documentos\Doc. controlados PDF\Control Plans\MICROMINI\CELDA A&amp;B\CP-A&amp;B-040  AM2C2MG030F, AM3C2MG030F, AM4C2MG030F, AM5C2MG030F.pdf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PiraTazz</dc:creator>
  <cp:lastModifiedBy>PiraTazz</cp:lastModifiedBy>
  <dcterms:created xsi:type="dcterms:W3CDTF">2012-11-02T02:24:58Z</dcterms:created>
  <dcterms:modified xsi:type="dcterms:W3CDTF">2012-11-02T06:33:33Z</dcterms:modified>
</cp:coreProperties>
</file>